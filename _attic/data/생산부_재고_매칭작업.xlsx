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매칭_작업안내" sheetId="1" state="visible" r:id="rId1"/>
    <sheet xmlns:r="http://schemas.openxmlformats.org/officeDocument/2006/relationships" name="고압진공_재고현황" sheetId="2" state="visible" r:id="rId2"/>
    <sheet xmlns:r="http://schemas.openxmlformats.org/officeDocument/2006/relationships" name="조립자재_재고현황" sheetId="3" state="visible" r:id="rId3"/>
    <sheet xmlns:r="http://schemas.openxmlformats.org/officeDocument/2006/relationships" name="창고_재고현황" sheetId="4" state="visible" r:id="rId4"/>
    <sheet xmlns:r="http://schemas.openxmlformats.org/officeDocument/2006/relationships" name="매칭결과_통합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2F5496"/>
      <sz val="14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C55A11"/>
      <sz val="11"/>
    </font>
    <font>
      <name val="맑은 고딕"/>
      <charset val="129"/>
      <family val="3"/>
      <sz val="10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</fonts>
  <fills count="2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FE2F3"/>
      </patternFill>
    </fill>
    <fill>
      <patternFill patternType="solid">
        <fgColor rgb="FFFDE8D1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CF2D7"/>
      </patternFill>
    </fill>
    <fill>
      <patternFill patternType="solid">
        <fgColor rgb="FFF2CEEF"/>
      </patternFill>
    </fill>
    <fill>
      <patternFill patternType="solid">
        <fgColor rgb="FFEBF3FB"/>
      </patternFill>
    </fill>
    <fill>
      <patternFill patternType="solid">
        <fgColor rgb="FFD0E0E3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D6DCE4"/>
      </patternFill>
    </fill>
    <fill>
      <patternFill patternType="solid">
        <fgColor rgb="FF5B9BD5"/>
      </patternFill>
    </fill>
    <fill>
      <patternFill patternType="solid">
        <fgColor rgb="FFD6DCE4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5"/>
    <xf numFmtId="0" fontId="9" fillId="21" borderId="5" applyAlignment="1">
      <alignment vertical="center"/>
    </xf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18" borderId="2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left" vertical="center" wrapText="1"/>
    </xf>
    <xf numFmtId="0" fontId="4" fillId="2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0" fillId="22" borderId="4" pivotButton="0" quotePrefix="0" xfId="0"/>
    <xf numFmtId="0" fontId="12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10" fillId="0" borderId="3" applyAlignment="1" pivotButton="0" quotePrefix="0" xfId="0">
      <alignment horizontal="left" vertical="center" wrapText="1"/>
    </xf>
    <xf numFmtId="0" fontId="14" fillId="23" borderId="6" applyAlignment="1" pivotButton="0" quotePrefix="0" xfId="0">
      <alignment horizontal="center" vertical="center" wrapText="1"/>
    </xf>
    <xf numFmtId="0" fontId="13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3" fillId="24" borderId="6" applyAlignment="1" pivotButton="0" quotePrefix="0" xfId="1">
      <alignment horizontal="center" vertical="center" wrapText="1"/>
    </xf>
    <xf numFmtId="0" fontId="14" fillId="26" borderId="6" applyAlignment="1" pivotButton="0" quotePrefix="0" xfId="1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3" fillId="0" borderId="5" pivotButton="0" quotePrefix="0" xfId="0"/>
    <xf numFmtId="0" fontId="15" fillId="27" borderId="6" applyAlignment="1" pivotButton="0" quotePrefix="0" xfId="0">
      <alignment horizontal="center" vertical="center" wrapText="1"/>
    </xf>
    <xf numFmtId="0" fontId="15" fillId="24" borderId="6" applyAlignment="1" pivotButton="0" quotePrefix="0" xfId="0">
      <alignment horizontal="left" vertical="center" wrapText="1"/>
    </xf>
    <xf numFmtId="0" fontId="15" fillId="27" borderId="6" applyAlignment="1" pivotButton="0" quotePrefix="0" xfId="0">
      <alignment horizontal="left" vertical="center" wrapText="1"/>
    </xf>
    <xf numFmtId="0" fontId="15" fillId="28" borderId="6" applyAlignment="1" pivotButton="0" quotePrefix="0" xfId="0">
      <alignment horizontal="center" vertical="center" wrapText="1"/>
    </xf>
    <xf numFmtId="0" fontId="15" fillId="28" borderId="6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2">
    <cellStyle name="표준" xfId="0" builtinId="0"/>
    <cellStyle name="좋음" xfId="1" builtinId="26"/>
  </cellStyles>
  <dxfs count="1">
    <dxf>
      <font>
        <name val="맑은 고딕"/>
        <b val="1"/>
        <sz val="10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44"/>
  <sheetViews>
    <sheetView showGridLines="0" tabSelected="1" topLeftCell="A1" zoomScale="100" zoomScaleNormal="100" workbookViewId="0">
      <selection activeCell="A1" sqref="A1"/>
    </sheetView>
  </sheetViews>
  <sheetFormatPr baseColWidth="8" defaultRowHeight="16.5"/>
  <cols>
    <col width="2" customWidth="1" min="1" max="1"/>
    <col width="85" customWidth="1" min="2" max="2"/>
  </cols>
  <sheetData>
    <row r="1" ht="24" customHeight="1"/>
    <row r="2" ht="18" customHeight="1"/>
    <row r="3" ht="18" customHeight="1">
      <c r="B3" s="18" t="inlineStr">
        <is>
          <t>📋  창고 품명 매칭 작업 안내</t>
        </is>
      </c>
    </row>
    <row r="4" ht="18" customHeight="1"/>
    <row r="5" ht="18" customHeight="1">
      <c r="B5" s="19" t="inlineStr">
        <is>
          <t>▶ 작업 목적</t>
        </is>
      </c>
    </row>
    <row r="6" ht="18" customHeight="1">
      <c r="B6" s="20" t="inlineStr">
        <is>
          <t xml:space="preserve">  생산부 품목명과 창고 품목명이 달라서 자동 매칭이 안 됩니다.</t>
        </is>
      </c>
    </row>
    <row r="7" ht="18" customHeight="1">
      <c r="B7" s="20" t="inlineStr">
        <is>
          <t xml:space="preserve">  담당자가 "같은 품목"을 직접 지정해주셔야 합니다.</t>
        </is>
      </c>
    </row>
    <row r="8" ht="18" customHeight="1"/>
    <row r="9" ht="18" customHeight="1">
      <c r="B9" s="19" t="inlineStr">
        <is>
          <t>▶ 작업 시트</t>
        </is>
      </c>
    </row>
    <row r="10" ht="18" customHeight="1">
      <c r="B10" s="25" t="inlineStr">
        <is>
          <t xml:space="preserve">  다음 2개 시트의 E열(주황 헤더)에 창고 품명을 붙여넣으세요:</t>
        </is>
      </c>
    </row>
    <row r="11" ht="18" customHeight="1">
      <c r="B11" s="20" t="inlineStr">
        <is>
          <t xml:space="preserve">    ①  고압진공_재고현황</t>
        </is>
      </c>
    </row>
    <row r="12" ht="18" customHeight="1">
      <c r="B12" s="20" t="inlineStr">
        <is>
          <t xml:space="preserve">    ②  조립자재_재고현황</t>
        </is>
      </c>
    </row>
    <row r="13" ht="18" customHeight="1"/>
    <row r="14" ht="18" customHeight="1">
      <c r="B14" s="19" t="inlineStr">
        <is>
          <t>▶ 작업 방법 (단계별)</t>
        </is>
      </c>
    </row>
    <row r="15" ht="18" customHeight="1">
      <c r="B15" s="20" t="inlineStr">
        <is>
          <t xml:space="preserve">  STEP 1.  이 파일(생산부_재고)을 왼쪽 화면에 띄움</t>
        </is>
      </c>
    </row>
    <row r="16" ht="18" customHeight="1">
      <c r="B16" s="20" t="inlineStr">
        <is>
          <t xml:space="preserve">  STEP 2.  창고_재고 파일을 오른쪽 화면에 띄움</t>
        </is>
      </c>
    </row>
    <row r="17" ht="18" customHeight="1">
      <c r="B17" s="20" t="inlineStr">
        <is>
          <t xml:space="preserve">  STEP 3.  왼쪽에서 작업할 시트(예: 고압진공_재고현황)를 엶</t>
        </is>
      </c>
    </row>
    <row r="18" ht="18" customHeight="1">
      <c r="B18" s="20" t="inlineStr">
        <is>
          <t xml:space="preserve">  STEP 4.  한 행씩 품목 확인 → 오른쪽 창고 파일에서 같은 품목 찾기</t>
        </is>
      </c>
    </row>
    <row r="19" ht="18" customHeight="1">
      <c r="B19" s="20" t="inlineStr">
        <is>
          <t xml:space="preserve">  STEP 5.  창고 파일의 "품명" 셀을 복사 (Ctrl+C)</t>
        </is>
      </c>
    </row>
    <row r="20" ht="18" customHeight="1">
      <c r="B20" s="20" t="inlineStr">
        <is>
          <t xml:space="preserve">  STEP 6.  왼쪽 생산부 시트의 같은 행 E열(주황색 칸)에 붙여넣기 (Ctrl+V)</t>
        </is>
      </c>
    </row>
    <row r="21" ht="18" customHeight="1">
      <c r="B21" s="25" t="inlineStr">
        <is>
          <t xml:space="preserve">  STEP 7.  이 파일의「창고_재고현황」시트에서 매칭된 창고 품목이 자동으로 노란색으로 변함 ✅</t>
        </is>
      </c>
    </row>
    <row r="22" ht="18" customHeight="1"/>
    <row r="23" ht="18" customHeight="1">
      <c r="B23" s="19" t="inlineStr">
        <is>
          <t>▶ 확인 방법</t>
        </is>
      </c>
    </row>
    <row r="24" ht="18" customHeight="1">
      <c r="B24" s="20" t="inlineStr">
        <is>
          <t xml:space="preserve">  작업 중간중간 「창고_재고현황」시트를 확인하면</t>
        </is>
      </c>
    </row>
    <row r="25" ht="18" customHeight="1">
      <c r="B25" s="20" t="inlineStr">
        <is>
          <t xml:space="preserve">  아직 매칭 안 된 창고 품목(흰색 행)을 한눈에 파악 가능</t>
        </is>
      </c>
    </row>
    <row r="26" ht="18" customHeight="1"/>
    <row r="27" ht="18" customHeight="1">
      <c r="B27" s="19" t="inlineStr">
        <is>
          <t>▶ 주의사항</t>
        </is>
      </c>
    </row>
    <row r="28" ht="18" customHeight="1">
      <c r="B28" s="21" t="inlineStr">
        <is>
          <t xml:space="preserve">  ❗ 창고 품명을 정확히 그대로 복사해야 자동 매칭 표시가 됩니다.</t>
        </is>
      </c>
    </row>
    <row r="29" ht="18" customHeight="1">
      <c r="B29" s="20" t="inlineStr">
        <is>
          <t xml:space="preserve">  ❗ 매칭되는 창고 품목이 없으면 빈칸으로 두세요.</t>
        </is>
      </c>
    </row>
    <row r="30" ht="18" customHeight="1">
      <c r="B30" s="20" t="inlineStr">
        <is>
          <t xml:space="preserve">  ❗ 한 생산부 품목이 여러 창고 품목과 관련되어도 1개만 대표로 붙여넣기 하세요.</t>
        </is>
      </c>
    </row>
    <row r="31" ht="18" customHeight="1"/>
    <row r="32" ht="18" customHeight="1">
      <c r="B32" s="19" t="inlineStr">
        <is>
          <t>▶ 저장</t>
        </is>
      </c>
    </row>
    <row r="33" ht="18" customHeight="1">
      <c r="B33" s="20" t="inlineStr">
        <is>
          <t xml:space="preserve">  작업 완료 후 Ctrl+S 로 저장하세요.</t>
        </is>
      </c>
    </row>
    <row r="34" ht="18" customHeight="1"/>
    <row r="35" ht="18" customHeight="1">
      <c r="B35" s="19" t="inlineStr">
        <is>
          <t>▶ 창고_재고현황 F열 기능 (자동)</t>
        </is>
      </c>
    </row>
    <row r="36" ht="18" customHeight="1">
      <c r="B36" s="20" t="inlineStr">
        <is>
          <t xml:space="preserve">  매칭이 완료되면 창고 품목 옆 F열에 생산부에서 쓰던 명칭이</t>
        </is>
      </c>
    </row>
    <row r="37" ht="18" customHeight="1">
      <c r="B37" s="25" t="inlineStr">
        <is>
          <t xml:space="preserve">  자동으로 표시됩니다.</t>
        </is>
      </c>
    </row>
    <row r="38" ht="18" customHeight="1"/>
    <row r="39" ht="18" customHeight="1">
      <c r="B39" s="26" t="inlineStr">
        <is>
          <t>▶ 매칭결과_통합 시트 (신규)</t>
        </is>
      </c>
    </row>
    <row r="40" ht="18" customHeight="1">
      <c r="B40" s="27" t="inlineStr">
        <is>
          <t xml:space="preserve">  매칭이 완료된 품목들이 이 시트에 자동으로 모입니다.</t>
        </is>
      </c>
    </row>
    <row r="41" ht="18" customHeight="1">
      <c r="B41" s="27" t="inlineStr">
        <is>
          <t xml:space="preserve">  좌측: 생산부 정보 (파란 헤더) / 중앙: 창고 정보 (초록 헤더)</t>
        </is>
      </c>
    </row>
    <row r="42" ht="18" customHeight="1">
      <c r="B42" s="27" t="inlineStr">
        <is>
          <t xml:space="preserve">  우측 확정 섹션 (주황 헤더)에 표준화된 품명을 직접 입력하세요.</t>
        </is>
      </c>
    </row>
    <row r="43" ht="18" customHeight="1">
      <c r="B43" s="27" t="inlineStr">
        <is>
          <t xml:space="preserve">  확정 컬럼 4가지: 분류 / 부품 종류 / 모델 / 품명</t>
        </is>
      </c>
    </row>
    <row r="44" ht="18" customHeight="1">
      <c r="B44" s="27" t="inlineStr">
        <is>
          <t xml:space="preserve">  → 최종적으로 생산부·창고 통합 마스터 데이터가 완성됩니다.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"/>
  <sheetViews>
    <sheetView topLeftCell="A1" zoomScale="100" zoomScaleNormal="10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5"/>
  </cols>
  <sheetData>
    <row r="1" ht="24" customHeight="1">
      <c r="A1" s="1" t="inlineStr">
        <is>
          <t>부서</t>
        </is>
      </c>
      <c r="B1" s="1" t="inlineStr">
        <is>
          <t>분류</t>
        </is>
      </c>
      <c r="C1" s="1" t="inlineStr">
        <is>
          <t>모델</t>
        </is>
      </c>
      <c r="D1" s="1" t="inlineStr">
        <is>
          <t>품목</t>
        </is>
      </c>
      <c r="E1" s="22" t="inlineStr">
        <is>
          <t>▼ 창고 품명 (창고파일에서 복사→붙여넣기)</t>
        </is>
      </c>
    </row>
    <row r="2" ht="48" customHeight="1">
      <c r="A2" s="2" t="inlineStr">
        <is>
          <t>고압</t>
        </is>
      </c>
      <c r="B2" s="2" t="inlineStr">
        <is>
          <t>튜브</t>
        </is>
      </c>
      <c r="C2" s="3" t="inlineStr">
        <is>
          <t>DX3000,  ADX4000W</t>
        </is>
      </c>
      <c r="D2" s="3" t="inlineStr">
        <is>
          <t>캐논튜브 [ D-081B ] _ 60KV</t>
        </is>
      </c>
      <c r="E2" s="23" t="n"/>
    </row>
    <row r="3" ht="48" customHeight="1">
      <c r="A3" s="2" t="inlineStr">
        <is>
          <t>고압</t>
        </is>
      </c>
      <c r="B3" s="2" t="inlineStr">
        <is>
          <t>튜브</t>
        </is>
      </c>
      <c r="C3" s="3" t="inlineStr">
        <is>
          <t>COCOON,  SOLO</t>
        </is>
      </c>
      <c r="D3" s="3" t="inlineStr">
        <is>
          <t>캐논튜브 [ D-041 ] _ 70KV</t>
        </is>
      </c>
      <c r="E3" s="23" t="n"/>
    </row>
    <row r="4" ht="48" customHeight="1">
      <c r="A4" s="2" t="inlineStr">
        <is>
          <t>고압</t>
        </is>
      </c>
      <c r="B4" s="2" t="inlineStr">
        <is>
          <t>튜브</t>
        </is>
      </c>
      <c r="C4" s="3" t="inlineStr">
        <is>
          <t>ADX6000</t>
        </is>
      </c>
      <c r="D4" s="3" t="inlineStr">
        <is>
          <t>캐논튜브 [ D-0813 ] _ 80KV</t>
        </is>
      </c>
      <c r="E4" s="23" t="n"/>
    </row>
    <row r="5" ht="48" customHeight="1">
      <c r="A5" s="2" t="inlineStr">
        <is>
          <t>고압</t>
        </is>
      </c>
      <c r="B5" s="2" t="inlineStr">
        <is>
          <t>튜브</t>
        </is>
      </c>
      <c r="C5" s="3" t="inlineStr">
        <is>
          <t>DX3000,  ADX4000W,  ADX6000,  SOLO</t>
        </is>
      </c>
      <c r="D5" s="3" t="inlineStr">
        <is>
          <t>세라믹튜브 [DXDR-070] _ 70KV</t>
        </is>
      </c>
      <c r="E5" s="23" t="n"/>
    </row>
    <row r="6" ht="48" customHeight="1">
      <c r="A6" s="2" t="inlineStr">
        <is>
          <t>고압</t>
        </is>
      </c>
      <c r="B6" s="2" t="inlineStr">
        <is>
          <t>튜브</t>
        </is>
      </c>
      <c r="C6" s="3" t="inlineStr">
        <is>
          <t>ADX6000</t>
        </is>
      </c>
      <c r="D6" s="3" t="inlineStr">
        <is>
          <t>세라믹튜브 [DXDR-100] _ 100KV</t>
        </is>
      </c>
      <c r="E6" s="23" t="n"/>
    </row>
    <row r="7" ht="48" customHeight="1">
      <c r="A7" s="2" t="inlineStr">
        <is>
          <t>고압</t>
        </is>
      </c>
      <c r="B7" s="2" t="inlineStr">
        <is>
          <t>튜브</t>
        </is>
      </c>
      <c r="C7" s="3" t="inlineStr">
        <is>
          <t>ADX6000</t>
        </is>
      </c>
      <c r="D7" s="3" t="inlineStr">
        <is>
          <t>CEI튜브 [OX-70] _ 90KV</t>
        </is>
      </c>
      <c r="E7" s="23" t="n"/>
    </row>
    <row r="8" ht="48" customHeight="1">
      <c r="A8" s="2" t="inlineStr">
        <is>
          <t>고압</t>
        </is>
      </c>
      <c r="B8" s="2" t="inlineStr">
        <is>
          <t>부품</t>
        </is>
      </c>
      <c r="C8" s="3" t="inlineStr">
        <is>
          <t>DX3000,  ADX4000W</t>
        </is>
      </c>
      <c r="D8" s="3" t="inlineStr">
        <is>
          <t>고압다이오드 2CL77 [20KV, 5mA]</t>
        </is>
      </c>
      <c r="E8" s="23" t="n"/>
    </row>
    <row r="9" ht="48" customHeight="1">
      <c r="A9" s="2" t="inlineStr">
        <is>
          <t>고압</t>
        </is>
      </c>
      <c r="B9" s="2" t="inlineStr">
        <is>
          <t>부품</t>
        </is>
      </c>
      <c r="C9" s="3" t="inlineStr">
        <is>
          <t>DX3000,  ADX4000W,  COCOON</t>
        </is>
      </c>
      <c r="D9" s="3" t="inlineStr">
        <is>
          <t>네온램프(NEON-5T)</t>
        </is>
      </c>
      <c r="E9" s="23" t="n"/>
    </row>
    <row r="10" ht="48" customHeight="1">
      <c r="A10" s="2" t="inlineStr">
        <is>
          <t>고압</t>
        </is>
      </c>
      <c r="B10" s="2" t="inlineStr">
        <is>
          <t>부품</t>
        </is>
      </c>
      <c r="C10" s="3" t="inlineStr">
        <is>
          <t>DX3000,  ADX4000W,  ADX6000</t>
        </is>
      </c>
      <c r="D10" s="3" t="inlineStr">
        <is>
          <t>RK92-11XD307J (시멘트 저항)</t>
        </is>
      </c>
      <c r="E10" s="23" t="n"/>
    </row>
    <row r="11" ht="48" customHeight="1">
      <c r="A11" s="2" t="inlineStr">
        <is>
          <t>고압</t>
        </is>
      </c>
      <c r="B11" s="2" t="inlineStr">
        <is>
          <t>부품</t>
        </is>
      </c>
      <c r="C11" s="3" t="inlineStr">
        <is>
          <t>DX3000,  ADX4000W</t>
        </is>
      </c>
      <c r="D11" s="3" t="inlineStr">
        <is>
          <t>고압용 (30㏀)</t>
        </is>
      </c>
      <c r="E11" s="23" t="n"/>
    </row>
    <row r="12" ht="48" customHeight="1">
      <c r="A12" s="2" t="inlineStr">
        <is>
          <t>고압</t>
        </is>
      </c>
      <c r="B12" s="2" t="inlineStr">
        <is>
          <t>부품</t>
        </is>
      </c>
      <c r="C12" s="3" t="inlineStr">
        <is>
          <t>DX3000,  ADX4000W,  ADX6000</t>
        </is>
      </c>
      <c r="D12" s="3" t="inlineStr">
        <is>
          <t>고압용 (15㏀±1％, DIP) - 1/4W</t>
        </is>
      </c>
      <c r="E12" s="23" t="n"/>
    </row>
    <row r="13" ht="48" customHeight="1">
      <c r="A13" s="2" t="inlineStr">
        <is>
          <t>고압</t>
        </is>
      </c>
      <c r="B13" s="2" t="inlineStr">
        <is>
          <t>부품</t>
        </is>
      </c>
      <c r="C13" s="3" t="inlineStr">
        <is>
          <t>ADX6000</t>
        </is>
      </c>
      <c r="D13" s="3" t="inlineStr">
        <is>
          <t>고압용 (500Ω±1％, DIP) - 1/4W</t>
        </is>
      </c>
      <c r="E13" s="23" t="n"/>
    </row>
    <row r="14" ht="48" customHeight="1">
      <c r="A14" s="2" t="inlineStr">
        <is>
          <t>고압</t>
        </is>
      </c>
      <c r="B14" s="2" t="inlineStr">
        <is>
          <t>부품</t>
        </is>
      </c>
      <c r="C14" s="3" t="inlineStr">
        <is>
          <t>DX3000,  ADX4000W,  ADX6000</t>
        </is>
      </c>
      <c r="D14" s="3" t="inlineStr">
        <is>
          <t>고압용(세라믹103)</t>
        </is>
      </c>
      <c r="E14" s="23" t="n"/>
    </row>
    <row r="15" ht="48" customHeight="1">
      <c r="A15" s="2" t="inlineStr">
        <is>
          <t>고압</t>
        </is>
      </c>
      <c r="B15" s="2" t="inlineStr">
        <is>
          <t>부품</t>
        </is>
      </c>
      <c r="C15" s="3" t="inlineStr">
        <is>
          <t>DX3000,  ADX4000W</t>
        </is>
      </c>
      <c r="D15" s="3" t="inlineStr">
        <is>
          <t>DHR4E4C102K2FB 큰 콘덴서</t>
        </is>
      </c>
      <c r="E15" s="23" t="n"/>
    </row>
    <row r="16" ht="48" customHeight="1">
      <c r="A16" s="2" t="inlineStr">
        <is>
          <t>고압</t>
        </is>
      </c>
      <c r="B16" s="2" t="inlineStr">
        <is>
          <t>부품</t>
        </is>
      </c>
      <c r="C16" s="3" t="inlineStr">
        <is>
          <t>DX3000,  ADX4000W,  ADX6000</t>
        </is>
      </c>
      <c r="D16" s="3" t="inlineStr">
        <is>
          <t>3216 B 100nF</t>
        </is>
      </c>
      <c r="E16" s="23" t="n"/>
    </row>
    <row r="17" ht="48" customHeight="1">
      <c r="A17" s="2" t="inlineStr">
        <is>
          <t>고압</t>
        </is>
      </c>
      <c r="B17" s="2" t="inlineStr">
        <is>
          <t>부품</t>
        </is>
      </c>
      <c r="C17" s="3" t="inlineStr">
        <is>
          <t>DX3000,  ADX4000W,  ADX6000,  COCOON</t>
        </is>
      </c>
      <c r="D17" s="3" t="inlineStr">
        <is>
          <t>DL1500(다이오드)</t>
        </is>
      </c>
      <c r="E17" s="23" t="n"/>
    </row>
    <row r="18" ht="48" customHeight="1">
      <c r="A18" s="2" t="inlineStr">
        <is>
          <t>고압</t>
        </is>
      </c>
      <c r="B18" s="2" t="inlineStr">
        <is>
          <t>부품</t>
        </is>
      </c>
      <c r="C18" s="3" t="inlineStr">
        <is>
          <t>DX3000,  ADX4000W,  ADX6000,  COCOON</t>
        </is>
      </c>
      <c r="D18" s="3" t="inlineStr">
        <is>
          <t>HPC-2C 47k/Surge</t>
        </is>
      </c>
      <c r="E18" s="23" t="n"/>
    </row>
    <row r="19" ht="48" customHeight="1">
      <c r="A19" s="2" t="inlineStr">
        <is>
          <t>고압</t>
        </is>
      </c>
      <c r="B19" s="2" t="inlineStr">
        <is>
          <t>부품</t>
        </is>
      </c>
      <c r="C19" s="3" t="inlineStr">
        <is>
          <t>COCOON</t>
        </is>
      </c>
      <c r="D19" s="3" t="inlineStr">
        <is>
          <t>RK92-18XD 307J 시멘트저항 긴 것</t>
        </is>
      </c>
      <c r="E19" s="23" t="n"/>
    </row>
    <row r="20" ht="48" customHeight="1">
      <c r="A20" s="2" t="inlineStr">
        <is>
          <t>고압</t>
        </is>
      </c>
      <c r="B20" s="2" t="inlineStr">
        <is>
          <t>부품</t>
        </is>
      </c>
      <c r="C20" s="3" t="inlineStr">
        <is>
          <t>ADX6000,  COCOON</t>
        </is>
      </c>
      <c r="D20" s="3" t="inlineStr">
        <is>
          <t>680pF  DHR4E4C681K2BB 무라타 작은 콘덴서</t>
        </is>
      </c>
      <c r="E20" s="23" t="n"/>
    </row>
    <row r="21" ht="48" customHeight="1">
      <c r="A21" s="2" t="inlineStr">
        <is>
          <t>고압</t>
        </is>
      </c>
      <c r="B21" s="2" t="inlineStr">
        <is>
          <t>부품</t>
        </is>
      </c>
      <c r="C21" s="3" t="inlineStr">
        <is>
          <t>COCOON</t>
        </is>
      </c>
      <c r="D21" s="3" t="inlineStr">
        <is>
          <t>LNTK103FW 온도센서</t>
        </is>
      </c>
      <c r="E21" s="23" t="n"/>
    </row>
    <row r="22" ht="48" customHeight="1">
      <c r="A22" s="2" t="inlineStr">
        <is>
          <t>고압</t>
        </is>
      </c>
      <c r="B22" s="2" t="inlineStr">
        <is>
          <t>부품</t>
        </is>
      </c>
      <c r="C22" s="3" t="inlineStr">
        <is>
          <t>ADX6000</t>
        </is>
      </c>
      <c r="D22" s="3" t="inlineStr">
        <is>
          <t>15k/Surge</t>
        </is>
      </c>
      <c r="E22" s="23" t="n"/>
    </row>
    <row r="23" ht="48" customHeight="1">
      <c r="A23" s="2" t="inlineStr">
        <is>
          <t>고압</t>
        </is>
      </c>
      <c r="B23" s="2" t="inlineStr">
        <is>
          <t>부품</t>
        </is>
      </c>
      <c r="C23" s="3" t="inlineStr">
        <is>
          <t>COCOON</t>
        </is>
      </c>
      <c r="D23" s="3" t="inlineStr">
        <is>
          <t>DD1800 (신규 다이오드)</t>
        </is>
      </c>
      <c r="E23" s="23" t="n"/>
    </row>
    <row r="24" ht="48" customHeight="1">
      <c r="A24" s="4" t="inlineStr">
        <is>
          <t>진공</t>
        </is>
      </c>
      <c r="B24" s="4" t="inlineStr">
        <is>
          <t>부품</t>
        </is>
      </c>
      <c r="C24" s="3" t="inlineStr">
        <is>
          <t>ADX6000</t>
        </is>
      </c>
      <c r="D24" s="3" t="inlineStr">
        <is>
          <t>2T 알루미늄 필터</t>
        </is>
      </c>
      <c r="E24" s="23" t="n"/>
    </row>
    <row r="25" ht="48" customHeight="1">
      <c r="A25" s="4" t="inlineStr">
        <is>
          <t>진공</t>
        </is>
      </c>
      <c r="B25" s="4" t="inlineStr">
        <is>
          <t>부품</t>
        </is>
      </c>
      <c r="C25" s="3" t="inlineStr">
        <is>
          <t>COCOON</t>
        </is>
      </c>
      <c r="D25" s="3" t="inlineStr">
        <is>
          <t>1.2T 알루미늄 필터</t>
        </is>
      </c>
      <c r="E25" s="23" t="n"/>
    </row>
    <row r="26" ht="48" customHeight="1">
      <c r="A26" s="4" t="inlineStr">
        <is>
          <t>진공</t>
        </is>
      </c>
      <c r="B26" s="4" t="inlineStr">
        <is>
          <t>부품</t>
        </is>
      </c>
      <c r="C26" s="3" t="inlineStr">
        <is>
          <t>DX3000,  ADX4000W,  ADX6000,  COCOON</t>
        </is>
      </c>
      <c r="D26" s="3" t="inlineStr">
        <is>
          <t>0.8T 알루미늄 필터</t>
        </is>
      </c>
      <c r="E26" s="23" t="n"/>
    </row>
    <row r="27" ht="48" customHeight="1">
      <c r="A27" s="4" t="inlineStr">
        <is>
          <t>진공</t>
        </is>
      </c>
      <c r="B27" s="4" t="inlineStr">
        <is>
          <t>부품</t>
        </is>
      </c>
      <c r="C27" s="3" t="inlineStr">
        <is>
          <t>DX3000,  ADX4000W,  ADX6000,  COCOON</t>
        </is>
      </c>
      <c r="D27" s="3" t="inlineStr">
        <is>
          <t>오링 (2*18)</t>
        </is>
      </c>
      <c r="E27" s="23" t="n"/>
    </row>
    <row r="28" ht="48" customHeight="1">
      <c r="A28" s="2" t="inlineStr">
        <is>
          <t>고압</t>
        </is>
      </c>
      <c r="B28" s="2" t="inlineStr">
        <is>
          <t>히터 트랜스</t>
        </is>
      </c>
      <c r="C28" s="3" t="inlineStr">
        <is>
          <t>DX3000,  ADX4000W,  ADX6000</t>
        </is>
      </c>
      <c r="D28" s="3" t="inlineStr">
        <is>
          <t>TIW (외경)0.7mm(내경)0.5 5000m(히터트랜스용 선)</t>
        </is>
      </c>
      <c r="E28" s="23" t="n"/>
    </row>
    <row r="29" ht="48" customHeight="1">
      <c r="A29" s="2" t="inlineStr">
        <is>
          <t>고압</t>
        </is>
      </c>
      <c r="B29" s="2" t="inlineStr">
        <is>
          <t>히터 트랜스</t>
        </is>
      </c>
      <c r="C29" s="3" t="inlineStr">
        <is>
          <t>DX3000,  ADX4000W,  ADX6000</t>
        </is>
      </c>
      <c r="D29" s="3" t="inlineStr">
        <is>
          <t>40KVDC 22AWG  (히터트랜스용 붉은 고압선)</t>
        </is>
      </c>
      <c r="E29" s="23" t="n"/>
    </row>
    <row r="30" ht="48" customHeight="1">
      <c r="A30" s="2" t="inlineStr">
        <is>
          <t>고압</t>
        </is>
      </c>
      <c r="B30" s="2" t="inlineStr">
        <is>
          <t>히터 트랜스</t>
        </is>
      </c>
      <c r="C30" s="3" t="inlineStr">
        <is>
          <t>ADX6000</t>
        </is>
      </c>
      <c r="D30" s="3" t="inlineStr">
        <is>
          <t>센더스트 코어 CS234060</t>
        </is>
      </c>
      <c r="E30" s="23" t="n"/>
    </row>
    <row r="31" ht="48" customHeight="1">
      <c r="A31" s="2" t="inlineStr">
        <is>
          <t>고압</t>
        </is>
      </c>
      <c r="B31" s="2" t="inlineStr">
        <is>
          <t>히터 트랜스</t>
        </is>
      </c>
      <c r="C31" s="3" t="inlineStr">
        <is>
          <t>DX3000,  ADX4000W</t>
        </is>
      </c>
      <c r="D31" s="3" t="inlineStr">
        <is>
          <t>T 코어 (히터트랜스용)</t>
        </is>
      </c>
      <c r="E31" s="23" t="n"/>
    </row>
    <row r="32" ht="48" customHeight="1">
      <c r="A32" s="2" t="inlineStr">
        <is>
          <t>고압</t>
        </is>
      </c>
      <c r="B32" s="2" t="inlineStr">
        <is>
          <t>히터 트랜스</t>
        </is>
      </c>
      <c r="C32" s="3" t="inlineStr">
        <is>
          <t>SOLO</t>
        </is>
      </c>
      <c r="D32" s="3" t="inlineStr">
        <is>
          <t>T 코어 (히터트랜스용)</t>
        </is>
      </c>
      <c r="E32" s="23" t="n"/>
    </row>
    <row r="33" ht="48" customHeight="1">
      <c r="A33" s="2" t="inlineStr">
        <is>
          <t>고압</t>
        </is>
      </c>
      <c r="B33" s="2" t="inlineStr">
        <is>
          <t>히터 트랜스</t>
        </is>
      </c>
      <c r="C33" s="3" t="inlineStr">
        <is>
          <t>DX3000,  ADX4000W</t>
        </is>
      </c>
      <c r="D33" s="3" t="inlineStr">
        <is>
          <t>히터트랜스포머 24턴</t>
        </is>
      </c>
      <c r="E33" s="23" t="n"/>
    </row>
    <row r="34" ht="48" customHeight="1">
      <c r="A34" s="2" t="inlineStr">
        <is>
          <t>고압</t>
        </is>
      </c>
      <c r="B34" s="2" t="inlineStr">
        <is>
          <t>히터 트랜스</t>
        </is>
      </c>
      <c r="C34" s="3" t="inlineStr">
        <is>
          <t>ADX6000</t>
        </is>
      </c>
      <c r="D34" s="3" t="inlineStr">
        <is>
          <t>히터트랜스포머 20턴 작업完</t>
        </is>
      </c>
      <c r="E34" s="23" t="n"/>
    </row>
    <row r="35" ht="48" customHeight="1">
      <c r="A35" s="2" t="inlineStr">
        <is>
          <t>고압</t>
        </is>
      </c>
      <c r="B35" s="2" t="inlineStr">
        <is>
          <t>히터 트랜스</t>
        </is>
      </c>
      <c r="C35" s="3" t="inlineStr">
        <is>
          <t>SOLO</t>
        </is>
      </c>
      <c r="D35" s="3" t="inlineStr">
        <is>
          <t>히터트랜스포머 20턴</t>
        </is>
      </c>
      <c r="E35" s="23" t="n"/>
    </row>
    <row r="36" ht="48" customHeight="1">
      <c r="A36" s="2" t="inlineStr">
        <is>
          <t>고압</t>
        </is>
      </c>
      <c r="B36" s="2" t="inlineStr">
        <is>
          <t>히터 트랜스</t>
        </is>
      </c>
      <c r="C36" s="3" t="inlineStr">
        <is>
          <t>ADX6000</t>
        </is>
      </c>
      <c r="D36" s="3" t="inlineStr">
        <is>
          <t>센더스트 코어 작업完</t>
        </is>
      </c>
      <c r="E36" s="23" t="n"/>
    </row>
    <row r="37" ht="48" customHeight="1">
      <c r="A37" s="2" t="inlineStr">
        <is>
          <t>고압</t>
        </is>
      </c>
      <c r="B37" s="2" t="inlineStr">
        <is>
          <t>트랜스포머</t>
        </is>
      </c>
      <c r="C37" s="3" t="inlineStr">
        <is>
          <t>DX3000,  ADX4000W</t>
        </is>
      </c>
      <c r="D37" s="3" t="inlineStr">
        <is>
          <t>트랜스포머</t>
        </is>
      </c>
      <c r="E37" s="23" t="n"/>
    </row>
    <row r="38" ht="48" customHeight="1">
      <c r="A38" s="2" t="inlineStr">
        <is>
          <t>고압</t>
        </is>
      </c>
      <c r="B38" s="2" t="inlineStr">
        <is>
          <t>트랜스포머</t>
        </is>
      </c>
      <c r="C38" s="3" t="inlineStr">
        <is>
          <t>COCOON</t>
        </is>
      </c>
      <c r="D38" s="3" t="inlineStr">
        <is>
          <t>트랜스포머</t>
        </is>
      </c>
      <c r="E38" s="23" t="n"/>
    </row>
    <row r="39" ht="48" customHeight="1">
      <c r="A39" s="2" t="inlineStr">
        <is>
          <t>고압</t>
        </is>
      </c>
      <c r="B39" s="2" t="inlineStr">
        <is>
          <t>트랜스포머</t>
        </is>
      </c>
      <c r="C39" s="3" t="inlineStr">
        <is>
          <t>SOLO</t>
        </is>
      </c>
      <c r="D39" s="3" t="inlineStr">
        <is>
          <t>트랜스포머</t>
        </is>
      </c>
      <c r="E39" s="23" t="n"/>
    </row>
    <row r="40" ht="48" customHeight="1">
      <c r="A40" s="2" t="inlineStr">
        <is>
          <t>고압</t>
        </is>
      </c>
      <c r="B40" s="2" t="inlineStr">
        <is>
          <t>트랜스포머</t>
        </is>
      </c>
      <c r="C40" s="3" t="inlineStr">
        <is>
          <t>ADX6000</t>
        </is>
      </c>
      <c r="D40" s="3" t="inlineStr">
        <is>
          <t>트랜스포머</t>
        </is>
      </c>
      <c r="E40" s="23" t="n"/>
    </row>
    <row r="41" ht="48" customHeight="1">
      <c r="A41" s="2" t="inlineStr">
        <is>
          <t>고압</t>
        </is>
      </c>
      <c r="B41" s="2" t="inlineStr">
        <is>
          <t>BD</t>
        </is>
      </c>
      <c r="C41" s="3" t="inlineStr">
        <is>
          <t>DX3000,  ADX4000W</t>
        </is>
      </c>
      <c r="D41" s="3" t="inlineStr">
        <is>
          <t>튜브 고정 보드 에노드 (나사)</t>
        </is>
      </c>
      <c r="E41" s="23" t="n"/>
    </row>
    <row r="42" ht="48" customHeight="1">
      <c r="A42" s="2" t="inlineStr">
        <is>
          <t>고압</t>
        </is>
      </c>
      <c r="B42" s="2" t="inlineStr">
        <is>
          <t>BD</t>
        </is>
      </c>
      <c r="C42" s="3" t="inlineStr">
        <is>
          <t>DX3000</t>
        </is>
      </c>
      <c r="D42" s="3" t="inlineStr">
        <is>
          <t>튜브 고정 보드 케소드 (필라멘트)</t>
        </is>
      </c>
      <c r="E42" s="23" t="n"/>
    </row>
    <row r="43" ht="48" customHeight="1">
      <c r="A43" s="2" t="inlineStr">
        <is>
          <t>고압</t>
        </is>
      </c>
      <c r="B43" s="2" t="inlineStr">
        <is>
          <t>BD</t>
        </is>
      </c>
      <c r="C43" s="3" t="inlineStr">
        <is>
          <t>ADX4000W</t>
        </is>
      </c>
      <c r="D43" s="3" t="inlineStr">
        <is>
          <t>튜브 고정 보드 케소드 (필라멘트)</t>
        </is>
      </c>
      <c r="E43" s="23" t="n"/>
    </row>
    <row r="44" ht="48" customHeight="1">
      <c r="A44" s="2" t="inlineStr">
        <is>
          <t>고압</t>
        </is>
      </c>
      <c r="B44" s="2" t="inlineStr">
        <is>
          <t>BD</t>
        </is>
      </c>
      <c r="C44" s="3" t="inlineStr">
        <is>
          <t>COCOON</t>
        </is>
      </c>
      <c r="D44" s="3" t="inlineStr">
        <is>
          <t>에노드 튜브 고정 보드(나사)</t>
        </is>
      </c>
      <c r="E44" s="23" t="n"/>
    </row>
    <row r="45" ht="48" customHeight="1">
      <c r="A45" s="2" t="inlineStr">
        <is>
          <t>고압</t>
        </is>
      </c>
      <c r="B45" s="2" t="inlineStr">
        <is>
          <t>BD</t>
        </is>
      </c>
      <c r="C45" s="3" t="inlineStr">
        <is>
          <t>ADX6000</t>
        </is>
      </c>
      <c r="D45" s="3" t="inlineStr">
        <is>
          <t>ADX6000 고압 베어보드</t>
        </is>
      </c>
      <c r="E45" s="23" t="n"/>
    </row>
    <row r="46" ht="48" customHeight="1">
      <c r="A46" s="2" t="inlineStr">
        <is>
          <t>고압</t>
        </is>
      </c>
      <c r="B46" s="2" t="inlineStr">
        <is>
          <t>BD</t>
        </is>
      </c>
      <c r="C46" s="3" t="inlineStr">
        <is>
          <t>ADX6000</t>
        </is>
      </c>
      <c r="D46" s="3" t="inlineStr">
        <is>
          <t>ADX6000 신형 고압 베어보드</t>
        </is>
      </c>
      <c r="E46" s="23" t="n"/>
    </row>
    <row r="47" ht="48" customHeight="1">
      <c r="A47" s="2" t="inlineStr">
        <is>
          <t>고압</t>
        </is>
      </c>
      <c r="B47" s="2" t="inlineStr">
        <is>
          <t>BD</t>
        </is>
      </c>
      <c r="C47" s="3" t="inlineStr">
        <is>
          <t>DX3000,  ADX4000W</t>
        </is>
      </c>
      <c r="D47" s="3" t="inlineStr">
        <is>
          <t>고압베어 B/D (Ver. 2.5)</t>
        </is>
      </c>
      <c r="E47" s="23" t="n"/>
    </row>
    <row r="48" ht="48" customHeight="1">
      <c r="A48" s="2" t="inlineStr">
        <is>
          <t>고압</t>
        </is>
      </c>
      <c r="B48" s="2" t="inlineStr">
        <is>
          <t>BD</t>
        </is>
      </c>
      <c r="C48" s="3" t="inlineStr">
        <is>
          <t>DX3000</t>
        </is>
      </c>
      <c r="D48" s="3" t="inlineStr">
        <is>
          <t>고압베어B/D (신형) (Ver. 1.0.1)</t>
        </is>
      </c>
      <c r="E48" s="23" t="n"/>
    </row>
    <row r="49" ht="48" customHeight="1">
      <c r="A49" s="2" t="inlineStr">
        <is>
          <t>고압</t>
        </is>
      </c>
      <c r="B49" s="2" t="inlineStr">
        <is>
          <t>BD</t>
        </is>
      </c>
      <c r="C49" s="3" t="inlineStr">
        <is>
          <t>COCOON</t>
        </is>
      </c>
      <c r="D49" s="3" t="inlineStr">
        <is>
          <t>고압베어B/D</t>
        </is>
      </c>
      <c r="E49" s="23" t="n"/>
    </row>
    <row r="50" ht="48" customHeight="1">
      <c r="A50" s="2" t="inlineStr">
        <is>
          <t>고압</t>
        </is>
      </c>
      <c r="B50" s="2" t="inlineStr">
        <is>
          <t>BD</t>
        </is>
      </c>
      <c r="C50" s="3" t="inlineStr">
        <is>
          <t>SOLO</t>
        </is>
      </c>
      <c r="D50" s="3" t="inlineStr">
        <is>
          <t>고압베어B/D (4개 1세트)</t>
        </is>
      </c>
      <c r="E50" s="23" t="n"/>
    </row>
    <row r="51" ht="48" customHeight="1">
      <c r="A51" s="2" t="inlineStr">
        <is>
          <t>고압</t>
        </is>
      </c>
      <c r="B51" s="2" t="n"/>
      <c r="C51" s="3" t="inlineStr">
        <is>
          <t>COCOON</t>
        </is>
      </c>
      <c r="D51" s="3" t="inlineStr">
        <is>
          <t>고압베어B/D (신형) (Ver. 2.12)</t>
        </is>
      </c>
      <c r="E51" s="23" t="n"/>
    </row>
    <row r="52" ht="48" customHeight="1">
      <c r="A52" s="2" t="inlineStr">
        <is>
          <t>고압</t>
        </is>
      </c>
      <c r="B52" s="2" t="n"/>
      <c r="C52" s="3" t="inlineStr">
        <is>
          <t>COCOON</t>
        </is>
      </c>
      <c r="D52" s="3" t="inlineStr">
        <is>
          <t>튜브 고정 지지대 (Ver 2.12에 사용)</t>
        </is>
      </c>
      <c r="E52" s="23" t="n"/>
    </row>
    <row r="53" ht="48" customHeight="1">
      <c r="A53" s="2" t="inlineStr">
        <is>
          <t>고압</t>
        </is>
      </c>
      <c r="B53" s="2" t="n"/>
      <c r="C53" s="3" t="inlineStr">
        <is>
          <t>DX3000V</t>
        </is>
      </c>
      <c r="D53" s="3" t="inlineStr">
        <is>
          <t>고압베어B/D (D-0813) (Ver 1.0.0)</t>
        </is>
      </c>
      <c r="E53" s="23" t="n"/>
    </row>
    <row r="54" ht="48" customHeight="1">
      <c r="A54" s="2" t="inlineStr">
        <is>
          <t>고압</t>
        </is>
      </c>
      <c r="B54" s="2" t="inlineStr">
        <is>
          <t>BD</t>
        </is>
      </c>
      <c r="C54" s="3" t="inlineStr">
        <is>
          <t>ADX6000</t>
        </is>
      </c>
      <c r="D54" s="3" t="inlineStr">
        <is>
          <t>튜브 고정 보드 에노드 (나사)</t>
        </is>
      </c>
      <c r="E54" s="23" t="n"/>
    </row>
    <row r="55" ht="48" customHeight="1">
      <c r="A55" s="2" t="inlineStr">
        <is>
          <t>고압</t>
        </is>
      </c>
      <c r="B55" s="2" t="inlineStr">
        <is>
          <t>BD</t>
        </is>
      </c>
      <c r="C55" s="3" t="inlineStr">
        <is>
          <t>ADX6000</t>
        </is>
      </c>
      <c r="D55" s="3" t="inlineStr">
        <is>
          <t>튜브 고정 보드 케소드 (필라멘트)</t>
        </is>
      </c>
      <c r="E55" s="23" t="n"/>
    </row>
    <row r="56" ht="48" customHeight="1">
      <c r="A56" s="4" t="inlineStr">
        <is>
          <t>진공</t>
        </is>
      </c>
      <c r="B56" s="4" t="inlineStr">
        <is>
          <t>BD</t>
        </is>
      </c>
      <c r="C56" s="3" t="inlineStr">
        <is>
          <t>DX3000,  ADX4000W</t>
        </is>
      </c>
      <c r="D56" s="3" t="inlineStr">
        <is>
          <t>7핀 BD [190*88*1.6T*2L]</t>
        </is>
      </c>
      <c r="E56" s="23" t="n"/>
    </row>
    <row r="57" ht="48" customHeight="1">
      <c r="A57" s="4" t="inlineStr">
        <is>
          <t>진공</t>
        </is>
      </c>
      <c r="B57" s="4" t="inlineStr">
        <is>
          <t>BD</t>
        </is>
      </c>
      <c r="C57" s="3" t="inlineStr">
        <is>
          <t>ADX6000</t>
        </is>
      </c>
      <c r="D57" s="3" t="inlineStr">
        <is>
          <t>8핀 BD</t>
        </is>
      </c>
      <c r="E57" s="23" t="n"/>
    </row>
    <row r="58" ht="48" customHeight="1">
      <c r="A58" s="4" t="inlineStr">
        <is>
          <t>진공</t>
        </is>
      </c>
      <c r="B58" s="4" t="inlineStr">
        <is>
          <t>BD</t>
        </is>
      </c>
      <c r="C58" s="3" t="inlineStr">
        <is>
          <t>ADX6000</t>
        </is>
      </c>
      <c r="D58" s="3" t="inlineStr">
        <is>
          <t>10핀 BD</t>
        </is>
      </c>
      <c r="E58" s="23" t="n"/>
    </row>
    <row r="59" ht="48" customHeight="1">
      <c r="A59" s="4" t="inlineStr">
        <is>
          <t>진공</t>
        </is>
      </c>
      <c r="B59" s="4" t="inlineStr">
        <is>
          <t>BD</t>
        </is>
      </c>
      <c r="C59" s="3" t="inlineStr">
        <is>
          <t>COCOON</t>
        </is>
      </c>
      <c r="D59" s="3" t="inlineStr">
        <is>
          <t>8핀 BD</t>
        </is>
      </c>
      <c r="E59" s="23" t="n"/>
    </row>
    <row r="60" ht="48" customHeight="1">
      <c r="A60" s="4" t="inlineStr">
        <is>
          <t>진공</t>
        </is>
      </c>
      <c r="B60" s="4" t="inlineStr">
        <is>
          <t>BD</t>
        </is>
      </c>
      <c r="C60" s="3" t="inlineStr">
        <is>
          <t>DX3000</t>
        </is>
      </c>
      <c r="D60" s="3" t="inlineStr">
        <is>
          <t>9핀 BD</t>
        </is>
      </c>
      <c r="E60" s="23" t="n"/>
    </row>
    <row r="61" ht="48" customHeight="1">
      <c r="A61" s="4" t="inlineStr">
        <is>
          <t>진공</t>
        </is>
      </c>
      <c r="B61" s="4" t="inlineStr">
        <is>
          <t>BD</t>
        </is>
      </c>
      <c r="C61" s="3" t="inlineStr">
        <is>
          <t>SOLO</t>
        </is>
      </c>
      <c r="D61" s="3" t="inlineStr">
        <is>
          <t>9핀 BD</t>
        </is>
      </c>
      <c r="E61" s="23" t="n"/>
    </row>
    <row r="62" ht="48" customHeight="1">
      <c r="A62" s="4" t="inlineStr">
        <is>
          <t>진공</t>
        </is>
      </c>
      <c r="B62" s="4" t="inlineStr">
        <is>
          <t>BD</t>
        </is>
      </c>
      <c r="C62" s="3" t="inlineStr">
        <is>
          <t>DX3000V</t>
        </is>
      </c>
      <c r="D62" s="3" t="inlineStr">
        <is>
          <t>10핀 BD</t>
        </is>
      </c>
      <c r="E62" s="23" t="n"/>
    </row>
    <row r="63" ht="48" customHeight="1">
      <c r="A63" s="4" t="inlineStr">
        <is>
          <t>진공</t>
        </is>
      </c>
      <c r="B63" s="4" t="inlineStr">
        <is>
          <t>BD</t>
        </is>
      </c>
      <c r="C63" s="3" t="inlineStr">
        <is>
          <t>DX3000</t>
        </is>
      </c>
      <c r="D63" s="3" t="inlineStr">
        <is>
          <t>D3CT (TFT용)</t>
        </is>
      </c>
      <c r="E63" s="23" t="n"/>
    </row>
    <row r="64" ht="48" customHeight="1">
      <c r="A64" s="4" t="inlineStr">
        <is>
          <t>진공</t>
        </is>
      </c>
      <c r="B64" s="4" t="inlineStr">
        <is>
          <t>BD</t>
        </is>
      </c>
      <c r="C64" s="3" t="inlineStr">
        <is>
          <t>DX3000</t>
        </is>
      </c>
      <c r="D64" s="3" t="inlineStr">
        <is>
          <t>DC3D (유럽용)</t>
        </is>
      </c>
      <c r="E64" s="23" t="n"/>
    </row>
    <row r="65" ht="48" customHeight="1">
      <c r="A65" s="4" t="inlineStr">
        <is>
          <t>진공</t>
        </is>
      </c>
      <c r="B65" s="4" t="inlineStr">
        <is>
          <t>BD</t>
        </is>
      </c>
      <c r="C65" s="3" t="inlineStr">
        <is>
          <t>DX3000</t>
        </is>
      </c>
      <c r="D65" s="3" t="inlineStr">
        <is>
          <t>D3CL (미국용)</t>
        </is>
      </c>
      <c r="E65" s="23" t="n"/>
    </row>
    <row r="66" ht="48" customHeight="1">
      <c r="A66" s="4" t="inlineStr">
        <is>
          <t>진공</t>
        </is>
      </c>
      <c r="B66" s="4" t="inlineStr">
        <is>
          <t>BD</t>
        </is>
      </c>
      <c r="C66" s="3" t="inlineStr">
        <is>
          <t>ADX4000W</t>
        </is>
      </c>
      <c r="D66" s="3" t="inlineStr">
        <is>
          <t>A4CB</t>
        </is>
      </c>
      <c r="E66" s="23" t="n"/>
    </row>
    <row r="67" ht="48" customHeight="1">
      <c r="A67" s="4" t="inlineStr">
        <is>
          <t>진공</t>
        </is>
      </c>
      <c r="B67" s="4" t="inlineStr">
        <is>
          <t>BD</t>
        </is>
      </c>
      <c r="C67" s="3" t="inlineStr">
        <is>
          <t>COCOON</t>
        </is>
      </c>
      <c r="D67" s="3" t="inlineStr">
        <is>
          <t>FET BD</t>
        </is>
      </c>
      <c r="E67" s="23" t="n"/>
    </row>
    <row r="68" ht="48" customHeight="1">
      <c r="A68" s="4" t="inlineStr">
        <is>
          <t>진공</t>
        </is>
      </c>
      <c r="B68" s="4" t="inlineStr">
        <is>
          <t>BD</t>
        </is>
      </c>
      <c r="C68" s="3" t="inlineStr">
        <is>
          <t>SOLO</t>
        </is>
      </c>
      <c r="D68" s="3" t="inlineStr">
        <is>
          <t>CSCB</t>
        </is>
      </c>
      <c r="E68" s="23" t="n"/>
    </row>
    <row r="69" ht="48" customHeight="1">
      <c r="A69" s="4" t="inlineStr">
        <is>
          <t>진공</t>
        </is>
      </c>
      <c r="B69" s="4" t="inlineStr">
        <is>
          <t>BD</t>
        </is>
      </c>
      <c r="C69" s="3" t="inlineStr">
        <is>
          <t>DX3000V</t>
        </is>
      </c>
      <c r="D69" s="3" t="inlineStr">
        <is>
          <t>D3CV</t>
        </is>
      </c>
      <c r="E69" s="23" t="n"/>
    </row>
    <row r="70" ht="48" customHeight="1">
      <c r="A70" s="5" t="inlineStr">
        <is>
          <t>튜닝</t>
        </is>
      </c>
      <c r="B70" s="5" t="inlineStr">
        <is>
          <t>BD</t>
        </is>
      </c>
      <c r="C70" s="3" t="inlineStr">
        <is>
          <t>ADX6000</t>
        </is>
      </c>
      <c r="D70" s="3" t="inlineStr">
        <is>
          <t>A6CB</t>
        </is>
      </c>
      <c r="E70" s="23" t="n"/>
    </row>
    <row r="71" ht="48" customHeight="1">
      <c r="A71" s="5" t="inlineStr">
        <is>
          <t>튜닝</t>
        </is>
      </c>
      <c r="B71" s="5" t="inlineStr">
        <is>
          <t>BD</t>
        </is>
      </c>
      <c r="C71" s="3" t="inlineStr">
        <is>
          <t>COCOON</t>
        </is>
      </c>
      <c r="D71" s="3" t="inlineStr">
        <is>
          <t>COCB</t>
        </is>
      </c>
      <c r="E71" s="23" t="n"/>
    </row>
    <row r="72" ht="48" customHeight="1">
      <c r="A72" s="2" t="inlineStr">
        <is>
          <t>고압</t>
        </is>
      </c>
      <c r="B72" s="2" t="inlineStr">
        <is>
          <t>튜브 A,SSY</t>
        </is>
      </c>
      <c r="C72" s="3" t="inlineStr">
        <is>
          <t>DX3000,  ADX4000W</t>
        </is>
      </c>
      <c r="D72" s="3" t="inlineStr">
        <is>
          <t>캐논튜브 60KV 하우징 [D-081B]</t>
        </is>
      </c>
      <c r="E72" s="23" t="n"/>
    </row>
    <row r="73" ht="48" customHeight="1">
      <c r="A73" s="2" t="inlineStr">
        <is>
          <t>고압</t>
        </is>
      </c>
      <c r="B73" s="2" t="inlineStr">
        <is>
          <t>튜브 A,SSY</t>
        </is>
      </c>
      <c r="C73" s="3" t="inlineStr">
        <is>
          <t>DX3000,  ADX4000W,  ADX6000,  SOLO</t>
        </is>
      </c>
      <c r="D73" s="3" t="inlineStr">
        <is>
          <t>세라믹튜브 70KV 하우징 [DXDR-070]</t>
        </is>
      </c>
      <c r="E73" s="23" t="n"/>
    </row>
    <row r="74" ht="48" customHeight="1">
      <c r="A74" s="2" t="inlineStr">
        <is>
          <t>고압</t>
        </is>
      </c>
      <c r="B74" s="2" t="inlineStr">
        <is>
          <t>튜브 A,SSY</t>
        </is>
      </c>
      <c r="C74" s="3" t="inlineStr">
        <is>
          <t>COCOON,  SOLO</t>
        </is>
      </c>
      <c r="D74" s="3" t="inlineStr">
        <is>
          <t>캐논튜브 70KV 하우징 [D-041]</t>
        </is>
      </c>
      <c r="E74" s="23" t="n"/>
    </row>
    <row r="75" ht="48" customHeight="1">
      <c r="A75" s="2" t="inlineStr">
        <is>
          <t>고압</t>
        </is>
      </c>
      <c r="B75" s="2" t="inlineStr">
        <is>
          <t>튜브 A,SSY</t>
        </is>
      </c>
      <c r="C75" s="3" t="inlineStr">
        <is>
          <t>ADX6000</t>
        </is>
      </c>
      <c r="D75" s="3" t="inlineStr">
        <is>
          <t>캐논튜브 80KV 하우징 [D-0813]</t>
        </is>
      </c>
      <c r="E75" s="23" t="n"/>
    </row>
    <row r="76" ht="48" customHeight="1">
      <c r="A76" s="2" t="inlineStr">
        <is>
          <t>고압</t>
        </is>
      </c>
      <c r="B76" s="2" t="inlineStr">
        <is>
          <t>튜브 A,SSY</t>
        </is>
      </c>
      <c r="C76" s="3" t="inlineStr">
        <is>
          <t>ADX6000</t>
        </is>
      </c>
      <c r="D76" s="3" t="inlineStr">
        <is>
          <t>세라믹튜브 100KV 하우징 [DXDR-100]</t>
        </is>
      </c>
      <c r="E76" s="23" t="n"/>
    </row>
    <row r="77" ht="48" customHeight="1">
      <c r="A77" s="2" t="inlineStr">
        <is>
          <t>고압</t>
        </is>
      </c>
      <c r="B77" s="2" t="inlineStr">
        <is>
          <t>튜브 A,SSY</t>
        </is>
      </c>
      <c r="C77" s="3" t="inlineStr">
        <is>
          <t>ADX6000</t>
        </is>
      </c>
      <c r="D77" s="3" t="inlineStr">
        <is>
          <t>CEI튜브 90KV 하우징 [OX-70]</t>
        </is>
      </c>
      <c r="E77" s="23" t="n"/>
    </row>
    <row r="78" ht="48" customHeight="1">
      <c r="A78" s="2" t="inlineStr">
        <is>
          <t>고압</t>
        </is>
      </c>
      <c r="B78" s="2" t="inlineStr">
        <is>
          <t>고압보드 A,SSY</t>
        </is>
      </c>
      <c r="C78" s="3" t="inlineStr">
        <is>
          <t>DX3000,  ADX4000W</t>
        </is>
      </c>
      <c r="D78" s="3" t="inlineStr">
        <is>
          <t>고압보드SMT 完 (Ver. 2.5)</t>
        </is>
      </c>
      <c r="E78" s="23" t="n"/>
    </row>
    <row r="79" ht="48" customHeight="1">
      <c r="A79" s="2" t="inlineStr">
        <is>
          <t>고압</t>
        </is>
      </c>
      <c r="B79" s="2" t="inlineStr">
        <is>
          <t>고압보드 A,SSY</t>
        </is>
      </c>
      <c r="C79" s="3" t="inlineStr">
        <is>
          <t>DX3000</t>
        </is>
      </c>
      <c r="D79" s="3" t="inlineStr">
        <is>
          <t>고압보드SMT 完 (신형) (Ver. 1.0.1)</t>
        </is>
      </c>
      <c r="E79" s="23" t="n"/>
    </row>
    <row r="80" ht="48" customHeight="1">
      <c r="A80" s="2" t="inlineStr">
        <is>
          <t>고압</t>
        </is>
      </c>
      <c r="B80" s="2" t="inlineStr">
        <is>
          <t>고압보드 A,SSY</t>
        </is>
      </c>
      <c r="C80" s="3" t="inlineStr">
        <is>
          <t>ADX6000</t>
        </is>
      </c>
      <c r="D80" s="3" t="inlineStr">
        <is>
          <t>고압보드SMT 完</t>
        </is>
      </c>
      <c r="E80" s="23" t="n"/>
    </row>
    <row r="81" ht="48" customHeight="1">
      <c r="A81" s="2" t="inlineStr">
        <is>
          <t>고압</t>
        </is>
      </c>
      <c r="B81" s="2" t="inlineStr">
        <is>
          <t>고압보드 A,SSY</t>
        </is>
      </c>
      <c r="C81" s="3" t="inlineStr">
        <is>
          <t>ADX6000</t>
        </is>
      </c>
      <c r="D81" s="3" t="inlineStr">
        <is>
          <t>고압보드SMT 完 (신형)</t>
        </is>
      </c>
      <c r="E81" s="23" t="n"/>
    </row>
    <row r="82" ht="48" customHeight="1">
      <c r="A82" s="2" t="inlineStr">
        <is>
          <t>고압</t>
        </is>
      </c>
      <c r="B82" s="2" t="inlineStr">
        <is>
          <t>고압보드 A,SSY</t>
        </is>
      </c>
      <c r="C82" s="3" t="inlineStr">
        <is>
          <t>COCOON</t>
        </is>
      </c>
      <c r="D82" s="3" t="inlineStr">
        <is>
          <t>고압보드SMT 完</t>
        </is>
      </c>
      <c r="E82" s="23" t="n"/>
    </row>
    <row r="83" ht="48" customHeight="1">
      <c r="A83" s="2" t="inlineStr">
        <is>
          <t>고압</t>
        </is>
      </c>
      <c r="B83" s="2" t="inlineStr">
        <is>
          <t>고압보드 A,SSY</t>
        </is>
      </c>
      <c r="C83" s="3" t="inlineStr">
        <is>
          <t>COCOON</t>
        </is>
      </c>
      <c r="D83" s="3" t="inlineStr">
        <is>
          <t>고압보드SMT 完 [Ver 2.12 신형]</t>
        </is>
      </c>
      <c r="E83" s="23" t="n"/>
    </row>
    <row r="84" ht="48" customHeight="1">
      <c r="A84" s="2" t="inlineStr">
        <is>
          <t>고압</t>
        </is>
      </c>
      <c r="B84" s="2" t="n"/>
      <c r="C84" s="3" t="inlineStr">
        <is>
          <t>SOLO</t>
        </is>
      </c>
      <c r="D84" s="3" t="inlineStr">
        <is>
          <t>고압보드 SMT (DXDR-070)</t>
        </is>
      </c>
      <c r="E84" s="23" t="n"/>
    </row>
    <row r="85" ht="48" customHeight="1">
      <c r="A85" s="2" t="inlineStr">
        <is>
          <t>고압</t>
        </is>
      </c>
      <c r="B85" s="2" t="n"/>
      <c r="C85" s="3" t="inlineStr">
        <is>
          <t>SOLO</t>
        </is>
      </c>
      <c r="D85" s="3" t="inlineStr">
        <is>
          <t>고압보드 SMT (D-041)</t>
        </is>
      </c>
      <c r="E85" s="23" t="n"/>
    </row>
    <row r="86" ht="48" customHeight="1">
      <c r="A86" s="2" t="inlineStr">
        <is>
          <t>고압</t>
        </is>
      </c>
      <c r="B86" s="2" t="n"/>
      <c r="C86" s="3" t="inlineStr">
        <is>
          <t>DX3000V</t>
        </is>
      </c>
      <c r="D86" s="3" t="inlineStr">
        <is>
          <t>고압보드 SMT 完 (D-0813) (Ver 1.0.0)</t>
        </is>
      </c>
      <c r="E86" s="23" t="n"/>
    </row>
    <row r="87" ht="48" customHeight="1">
      <c r="A87" s="2" t="inlineStr">
        <is>
          <t>고압</t>
        </is>
      </c>
      <c r="B87" s="2" t="inlineStr">
        <is>
          <t>신주 및  베크라이트</t>
        </is>
      </c>
      <c r="C87" s="3" t="inlineStr">
        <is>
          <t>DX3000,  ADX4000W,  ADX6000</t>
        </is>
      </c>
      <c r="D87" s="3" t="inlineStr">
        <is>
          <t>베이클라이트 하우징 파이프</t>
        </is>
      </c>
      <c r="E87" s="23" t="n"/>
    </row>
    <row r="88" ht="48" customHeight="1">
      <c r="A88" s="2" t="inlineStr">
        <is>
          <t>고압</t>
        </is>
      </c>
      <c r="B88" s="2" t="n"/>
      <c r="C88" s="3" t="inlineStr">
        <is>
          <t>COCOON, SOLO</t>
        </is>
      </c>
      <c r="D88" s="3" t="inlineStr">
        <is>
          <t>70KV 튜브 하우징용 파이프</t>
        </is>
      </c>
      <c r="E88" s="23" t="n"/>
    </row>
    <row r="89" ht="48" customHeight="1">
      <c r="A89" s="2" t="inlineStr">
        <is>
          <t>고압</t>
        </is>
      </c>
      <c r="B89" s="2" t="n"/>
      <c r="C89" s="3" t="inlineStr">
        <is>
          <t>SOLO</t>
        </is>
      </c>
      <c r="D89" s="3" t="inlineStr">
        <is>
          <t>DXDR-070 하우징용 파이프</t>
        </is>
      </c>
      <c r="E89" s="23" t="n"/>
    </row>
    <row r="90" ht="48" customHeight="1">
      <c r="A90" s="2" t="inlineStr">
        <is>
          <t>고압</t>
        </is>
      </c>
      <c r="B90" s="2" t="n"/>
      <c r="C90" s="3" t="inlineStr">
        <is>
          <t>SOLO</t>
        </is>
      </c>
      <c r="D90" s="3" t="inlineStr">
        <is>
          <t>D-041 하우징용 파이프</t>
        </is>
      </c>
      <c r="E90" s="23" t="n"/>
    </row>
    <row r="91" ht="48" customHeight="1">
      <c r="A91" s="2" t="inlineStr">
        <is>
          <t>고압</t>
        </is>
      </c>
      <c r="B91" s="2" t="n"/>
      <c r="C91" s="3" t="inlineStr">
        <is>
          <t>ADX6000</t>
        </is>
      </c>
      <c r="D91" s="3" t="inlineStr">
        <is>
          <t>PE 하우징 파이프</t>
        </is>
      </c>
      <c r="E91" s="23" t="n"/>
    </row>
    <row r="92" ht="48" customHeight="1">
      <c r="A92" s="4" t="inlineStr">
        <is>
          <t>진공</t>
        </is>
      </c>
      <c r="B92" s="4" t="inlineStr">
        <is>
          <t>신주  A,ssy</t>
        </is>
      </c>
      <c r="C92" s="3" t="inlineStr">
        <is>
          <t>DX3000,  ADX4000W,  ADX6000</t>
        </is>
      </c>
      <c r="D92" s="3" t="inlineStr">
        <is>
          <t>베크라이트케이스</t>
        </is>
      </c>
      <c r="E92" s="23" t="n"/>
    </row>
    <row r="93" ht="48" customHeight="1">
      <c r="A93" s="4" t="inlineStr">
        <is>
          <t>진공</t>
        </is>
      </c>
      <c r="B93" s="4" t="n"/>
      <c r="C93" s="3" t="inlineStr">
        <is>
          <t>COCOON</t>
        </is>
      </c>
      <c r="D93" s="3" t="inlineStr">
        <is>
          <t>(nc)케이스</t>
        </is>
      </c>
      <c r="E93" s="23" t="n"/>
    </row>
    <row r="94" ht="48" customHeight="1">
      <c r="A94" s="4" t="inlineStr">
        <is>
          <t>진공</t>
        </is>
      </c>
      <c r="B94" s="4" t="n"/>
      <c r="C94" s="3" t="inlineStr">
        <is>
          <t>COCOON</t>
        </is>
      </c>
      <c r="D94" s="3" t="inlineStr">
        <is>
          <t>PE케이스거치대</t>
        </is>
      </c>
      <c r="E94" s="23" t="n"/>
    </row>
    <row r="95" ht="48" customHeight="1">
      <c r="A95" s="4" t="inlineStr">
        <is>
          <t>진공</t>
        </is>
      </c>
      <c r="B95" s="4" t="n"/>
      <c r="C95" s="3" t="inlineStr">
        <is>
          <t>ADX6000</t>
        </is>
      </c>
      <c r="D95" s="3" t="inlineStr">
        <is>
          <t>(nc)케이스</t>
        </is>
      </c>
      <c r="E95" s="23" t="n"/>
    </row>
    <row r="96" ht="48" customHeight="1">
      <c r="A96" s="4" t="inlineStr">
        <is>
          <t>진공</t>
        </is>
      </c>
      <c r="B96" s="4" t="n"/>
      <c r="C96" s="3" t="inlineStr">
        <is>
          <t>SOLO</t>
        </is>
      </c>
      <c r="D96" s="3" t="inlineStr">
        <is>
          <t>(nc)케이스</t>
        </is>
      </c>
      <c r="E96" s="23" t="n"/>
    </row>
    <row r="97" ht="48" customHeight="1">
      <c r="A97" s="4" t="inlineStr">
        <is>
          <t>진공</t>
        </is>
      </c>
      <c r="B97" s="4" t="n"/>
      <c r="C97" s="3" t="inlineStr">
        <is>
          <t>SOLO</t>
        </is>
      </c>
      <c r="D97" s="3" t="inlineStr">
        <is>
          <t>신주케이스 뚜껑</t>
        </is>
      </c>
      <c r="E97" s="23" t="n"/>
    </row>
    <row r="98" ht="48" customHeight="1">
      <c r="A98" s="4" t="inlineStr">
        <is>
          <t>진공</t>
        </is>
      </c>
      <c r="B98" s="4" t="inlineStr">
        <is>
          <t>신주 및  베크라이트</t>
        </is>
      </c>
      <c r="C98" s="3" t="inlineStr">
        <is>
          <t>COCOON</t>
        </is>
      </c>
      <c r="D98" s="3" t="inlineStr">
        <is>
          <t>신주케이스 뚜껑</t>
        </is>
      </c>
      <c r="E98" s="23" t="n"/>
    </row>
    <row r="99" ht="48" customHeight="1">
      <c r="A99" s="4" t="inlineStr">
        <is>
          <t>진공</t>
        </is>
      </c>
      <c r="B99" s="4" t="n"/>
      <c r="C99" s="3" t="inlineStr">
        <is>
          <t>DX3000,  ADX4000W</t>
        </is>
      </c>
      <c r="D99" s="3" t="inlineStr">
        <is>
          <t>3 PIN (봉 단위)</t>
        </is>
      </c>
      <c r="E99" s="23" t="n"/>
    </row>
    <row r="100" ht="48" customHeight="1">
      <c r="A100" s="4" t="inlineStr">
        <is>
          <t>진공</t>
        </is>
      </c>
      <c r="B100" s="4" t="n"/>
      <c r="C100" s="3" t="inlineStr">
        <is>
          <t>DX3000,  ADX4000W,  ADX6000,  COCOON</t>
        </is>
      </c>
      <c r="D100" s="3" t="inlineStr">
        <is>
          <t>4 PIN (봉 단위)</t>
        </is>
      </c>
      <c r="E100" s="23" t="n"/>
    </row>
    <row r="101" ht="48" customHeight="1">
      <c r="A101" s="4" t="inlineStr">
        <is>
          <t>진공</t>
        </is>
      </c>
      <c r="B101" s="4" t="n"/>
      <c r="C101" s="3" t="inlineStr">
        <is>
          <t>SOLO</t>
        </is>
      </c>
      <c r="D101" s="3" t="inlineStr">
        <is>
          <t>4 PIN (봉 단위)</t>
        </is>
      </c>
      <c r="E101" s="23" t="n"/>
    </row>
    <row r="102" ht="48" customHeight="1">
      <c r="A102" s="4" t="inlineStr">
        <is>
          <t>진공</t>
        </is>
      </c>
      <c r="B102" s="4" t="n"/>
      <c r="C102" s="3" t="inlineStr">
        <is>
          <t>SOLO</t>
        </is>
      </c>
      <c r="D102" s="3" t="inlineStr">
        <is>
          <t>5 PIN (봉 단위)</t>
        </is>
      </c>
      <c r="E102" s="23" t="n"/>
    </row>
    <row r="103" ht="48" customHeight="1">
      <c r="A103" s="4" t="inlineStr">
        <is>
          <t>진공</t>
        </is>
      </c>
      <c r="B103" s="4" t="n"/>
      <c r="C103" s="3" t="inlineStr">
        <is>
          <t>DX3000,ADX6000</t>
        </is>
      </c>
      <c r="D103" s="3" t="inlineStr">
        <is>
          <t>5 PIN (봉 단위)</t>
        </is>
      </c>
      <c r="E103" s="23" t="n"/>
    </row>
    <row r="104" ht="48" customHeight="1">
      <c r="A104" s="4" t="inlineStr">
        <is>
          <t>진공</t>
        </is>
      </c>
      <c r="B104" s="4" t="n"/>
      <c r="C104" s="3" t="inlineStr">
        <is>
          <t>DX3000</t>
        </is>
      </c>
      <c r="D104" s="3" t="inlineStr">
        <is>
          <t>신주케이스</t>
        </is>
      </c>
      <c r="E104" s="23" t="n"/>
    </row>
    <row r="105" ht="48" customHeight="1">
      <c r="A105" s="4" t="inlineStr">
        <is>
          <t>진공</t>
        </is>
      </c>
      <c r="B105" s="4" t="n"/>
      <c r="C105" s="3" t="inlineStr">
        <is>
          <t>DX3000,  ADX4000W,  ADX6000</t>
        </is>
      </c>
      <c r="D105" s="3" t="inlineStr">
        <is>
          <t>신주케이스 뚜껑</t>
        </is>
      </c>
      <c r="E105" s="23" t="n"/>
    </row>
    <row r="106" ht="48" customHeight="1">
      <c r="A106" s="4" t="inlineStr">
        <is>
          <t>진공</t>
        </is>
      </c>
      <c r="B106" s="4" t="n"/>
      <c r="C106" s="3" t="inlineStr">
        <is>
          <t>ADX4000W</t>
        </is>
      </c>
      <c r="D106" s="3" t="inlineStr">
        <is>
          <t>신주케이스</t>
        </is>
      </c>
      <c r="E106" s="23" t="n"/>
    </row>
    <row r="107" ht="48" customHeight="1">
      <c r="A107" s="4" t="inlineStr">
        <is>
          <t>진공</t>
        </is>
      </c>
      <c r="B107" s="4" t="n"/>
      <c r="C107" s="3" t="inlineStr">
        <is>
          <t>COCOON</t>
        </is>
      </c>
      <c r="D107" s="3" t="inlineStr">
        <is>
          <t>신주케이스</t>
        </is>
      </c>
      <c r="E107" s="23" t="n"/>
    </row>
    <row r="108" ht="48" customHeight="1">
      <c r="A108" s="4" t="inlineStr">
        <is>
          <t>진공</t>
        </is>
      </c>
      <c r="B108" s="4" t="n"/>
      <c r="C108" s="3" t="inlineStr">
        <is>
          <t>ADX6000</t>
        </is>
      </c>
      <c r="D108" s="3" t="inlineStr">
        <is>
          <t>신주케이스</t>
        </is>
      </c>
      <c r="E108" s="23" t="n"/>
    </row>
    <row r="109" ht="48" customHeight="1">
      <c r="A109" s="4" t="inlineStr">
        <is>
          <t>진공</t>
        </is>
      </c>
      <c r="B109" s="4" t="n"/>
      <c r="C109" s="3" t="inlineStr">
        <is>
          <t>ADX6000</t>
        </is>
      </c>
      <c r="D109" s="3" t="inlineStr">
        <is>
          <t>신주케이스 (10P)</t>
        </is>
      </c>
      <c r="E109" s="23" t="n"/>
    </row>
    <row r="110" ht="48" customHeight="1">
      <c r="A110" s="4" t="inlineStr">
        <is>
          <t>진공</t>
        </is>
      </c>
      <c r="B110" s="4" t="n"/>
      <c r="C110" s="3" t="inlineStr">
        <is>
          <t>DX3000V</t>
        </is>
      </c>
      <c r="D110" s="3" t="inlineStr">
        <is>
          <t>신주케이스 (10P)</t>
        </is>
      </c>
      <c r="E110" s="23" t="n"/>
    </row>
    <row r="111" ht="48" customHeight="1">
      <c r="A111" s="4" t="inlineStr">
        <is>
          <t>진공</t>
        </is>
      </c>
      <c r="B111" s="4" t="n"/>
      <c r="C111" s="3" t="inlineStr">
        <is>
          <t>SOLO</t>
        </is>
      </c>
      <c r="D111" s="3" t="inlineStr">
        <is>
          <t>신주케이스</t>
        </is>
      </c>
      <c r="E111" s="23" t="n"/>
    </row>
    <row r="112" ht="48" customHeight="1">
      <c r="A112" s="4" t="inlineStr">
        <is>
          <t>진공</t>
        </is>
      </c>
      <c r="B112" s="4" t="n"/>
      <c r="C112" s="3" t="inlineStr">
        <is>
          <t>DX3000,  ADX4000W,  ADX6000</t>
        </is>
      </c>
      <c r="D112" s="3" t="inlineStr">
        <is>
          <t>방사구</t>
        </is>
      </c>
      <c r="E112" s="23" t="n"/>
    </row>
    <row r="113" ht="48" customHeight="1">
      <c r="A113" s="4" t="inlineStr">
        <is>
          <t>진공</t>
        </is>
      </c>
      <c r="B113" s="4" t="n"/>
      <c r="C113" s="3" t="inlineStr">
        <is>
          <t>DX3000</t>
        </is>
      </c>
      <c r="D113" s="3" t="inlineStr">
        <is>
          <t>방사구 (외부탭)</t>
        </is>
      </c>
      <c r="E113" s="23" t="n"/>
    </row>
    <row r="114" ht="48" customHeight="1">
      <c r="A114" s="4" t="inlineStr">
        <is>
          <t>진공</t>
        </is>
      </c>
      <c r="B114" s="4" t="n"/>
      <c r="C114" s="3" t="inlineStr">
        <is>
          <t>DX3000</t>
        </is>
      </c>
      <c r="D114" s="3" t="inlineStr">
        <is>
          <t>방사구 너트</t>
        </is>
      </c>
      <c r="E114" s="23" t="n"/>
    </row>
    <row r="115" ht="48" customHeight="1">
      <c r="A115" s="4" t="inlineStr">
        <is>
          <t>진공</t>
        </is>
      </c>
      <c r="B115" s="4" t="inlineStr">
        <is>
          <t>신주  A,ssy</t>
        </is>
      </c>
      <c r="C115" s="3" t="inlineStr">
        <is>
          <t>DX3000</t>
        </is>
      </c>
      <c r="D115" s="3" t="inlineStr">
        <is>
          <t>신주케이스 작업완료</t>
        </is>
      </c>
      <c r="E115" s="23" t="n"/>
    </row>
    <row r="116" ht="48" customHeight="1">
      <c r="A116" s="4" t="inlineStr">
        <is>
          <t>진공</t>
        </is>
      </c>
      <c r="B116" s="4" t="inlineStr">
        <is>
          <t>신주  A,ssy</t>
        </is>
      </c>
      <c r="C116" s="3" t="inlineStr">
        <is>
          <t>DX3000</t>
        </is>
      </c>
      <c r="D116" s="3" t="inlineStr">
        <is>
          <t>신주케이스(9P) 작업완료</t>
        </is>
      </c>
      <c r="E116" s="23" t="n"/>
    </row>
    <row r="117" ht="48" customHeight="1">
      <c r="A117" s="4" t="inlineStr">
        <is>
          <t>진공</t>
        </is>
      </c>
      <c r="B117" s="4" t="inlineStr">
        <is>
          <t>신주  A,ssy</t>
        </is>
      </c>
      <c r="C117" s="3" t="inlineStr">
        <is>
          <t>ADX4000W</t>
        </is>
      </c>
      <c r="D117" s="3" t="inlineStr">
        <is>
          <t>신주케이스 작업완료</t>
        </is>
      </c>
      <c r="E117" s="23" t="n"/>
    </row>
    <row r="118" ht="48" customHeight="1">
      <c r="A118" s="4" t="inlineStr">
        <is>
          <t>진공</t>
        </is>
      </c>
      <c r="B118" s="4" t="inlineStr">
        <is>
          <t>신주  A,ssy</t>
        </is>
      </c>
      <c r="C118" s="3" t="inlineStr">
        <is>
          <t>ADX6000</t>
        </is>
      </c>
      <c r="D118" s="3" t="inlineStr">
        <is>
          <t>신주케이스 작업완료</t>
        </is>
      </c>
      <c r="E118" s="23" t="n"/>
    </row>
    <row r="119" ht="48" customHeight="1">
      <c r="A119" s="4" t="inlineStr">
        <is>
          <t>진공</t>
        </is>
      </c>
      <c r="B119" s="4" t="inlineStr">
        <is>
          <t>신주  A,ssy</t>
        </is>
      </c>
      <c r="C119" s="3" t="inlineStr">
        <is>
          <t>ADX6000</t>
        </is>
      </c>
      <c r="D119" s="3" t="inlineStr">
        <is>
          <t>신주케이스(10P) 작업완료</t>
        </is>
      </c>
      <c r="E119" s="23" t="n"/>
    </row>
    <row r="120" ht="48" customHeight="1">
      <c r="A120" s="4" t="inlineStr">
        <is>
          <t>진공</t>
        </is>
      </c>
      <c r="B120" s="4" t="inlineStr">
        <is>
          <t>신주  A,ssy</t>
        </is>
      </c>
      <c r="C120" s="3" t="inlineStr">
        <is>
          <t>COCOON</t>
        </is>
      </c>
      <c r="D120" s="3" t="inlineStr">
        <is>
          <t>신주케이스 작업완료</t>
        </is>
      </c>
      <c r="E120" s="23" t="n"/>
    </row>
    <row r="121" ht="48" customHeight="1">
      <c r="A121" s="4" t="inlineStr">
        <is>
          <t>진공</t>
        </is>
      </c>
      <c r="B121" s="4" t="inlineStr">
        <is>
          <t>신주  A,ssy</t>
        </is>
      </c>
      <c r="C121" s="3" t="inlineStr">
        <is>
          <t>DX3000V</t>
        </is>
      </c>
      <c r="D121" s="3" t="inlineStr">
        <is>
          <t>신주케이스(10P) 작업완료</t>
        </is>
      </c>
      <c r="E121" s="23" t="n"/>
    </row>
    <row r="122" ht="48" customHeight="1">
      <c r="A122" s="4" t="inlineStr">
        <is>
          <t>진공</t>
        </is>
      </c>
      <c r="B122" s="4" t="inlineStr">
        <is>
          <t>신주  A,ssy</t>
        </is>
      </c>
      <c r="C122" s="3" t="inlineStr">
        <is>
          <t>SOLO</t>
        </is>
      </c>
      <c r="D122" s="3" t="inlineStr">
        <is>
          <t>신주케이스 작업완료</t>
        </is>
      </c>
      <c r="E122" s="23" t="n"/>
    </row>
    <row r="123" ht="48" customHeight="1">
      <c r="A123" s="4" t="inlineStr">
        <is>
          <t>진공</t>
        </is>
      </c>
      <c r="B123" s="4" t="inlineStr">
        <is>
          <t>고압 A,ssy  진공 이전</t>
        </is>
      </c>
      <c r="C123" s="3" t="inlineStr">
        <is>
          <t>DX3000</t>
        </is>
      </c>
      <c r="D123" s="3" t="inlineStr">
        <is>
          <t>발생부 고압B/D+튜브 최종 작업完</t>
        </is>
      </c>
      <c r="E123" s="23" t="n"/>
    </row>
    <row r="124" ht="48" customHeight="1">
      <c r="A124" s="4" t="inlineStr">
        <is>
          <t>진공</t>
        </is>
      </c>
      <c r="B124" s="4" t="inlineStr">
        <is>
          <t>고압 A,ssy  진공 이전</t>
        </is>
      </c>
      <c r="C124" s="3" t="inlineStr">
        <is>
          <t>DX3000</t>
        </is>
      </c>
      <c r="D124" s="3" t="inlineStr">
        <is>
          <t>발생부 고압B/D+튜브 최종 작업完 (9P)</t>
        </is>
      </c>
      <c r="E124" s="23" t="n"/>
    </row>
    <row r="125" ht="48" customHeight="1">
      <c r="A125" s="4" t="inlineStr">
        <is>
          <t>진공</t>
        </is>
      </c>
      <c r="B125" s="4" t="inlineStr">
        <is>
          <t>고압 A,ssy  진공 이전</t>
        </is>
      </c>
      <c r="C125" s="3" t="inlineStr">
        <is>
          <t>ADX4000W</t>
        </is>
      </c>
      <c r="D125" s="3" t="inlineStr">
        <is>
          <t>발생부 고압B/D+튜브 최종 작업完</t>
        </is>
      </c>
      <c r="E125" s="23" t="n"/>
    </row>
    <row r="126" ht="48" customHeight="1">
      <c r="A126" s="4" t="inlineStr">
        <is>
          <t>진공</t>
        </is>
      </c>
      <c r="B126" s="4" t="inlineStr">
        <is>
          <t>고압 A,ssy  진공 이전</t>
        </is>
      </c>
      <c r="C126" s="3" t="inlineStr">
        <is>
          <t>ADX6000</t>
        </is>
      </c>
      <c r="D126" s="3" t="inlineStr">
        <is>
          <t>발생부 고압B/D+튜브 최종 작업完 [D-0813]</t>
        </is>
      </c>
      <c r="E126" s="23" t="n"/>
    </row>
    <row r="127" ht="48" customHeight="1">
      <c r="A127" s="4" t="inlineStr">
        <is>
          <t>진공</t>
        </is>
      </c>
      <c r="B127" s="4" t="inlineStr">
        <is>
          <t>고압 A,ssy  진공 이전</t>
        </is>
      </c>
      <c r="C127" s="3" t="inlineStr">
        <is>
          <t>ADX6000</t>
        </is>
      </c>
      <c r="D127" s="3" t="inlineStr">
        <is>
          <t>발생부 고압B/D+튜브 최종 작업完 [DXDR-100]</t>
        </is>
      </c>
      <c r="E127" s="23" t="n"/>
    </row>
    <row r="128" ht="48" customHeight="1">
      <c r="A128" s="4" t="inlineStr">
        <is>
          <t>진공</t>
        </is>
      </c>
      <c r="B128" s="4" t="inlineStr">
        <is>
          <t>고압 A,ssy  진공 이전</t>
        </is>
      </c>
      <c r="C128" s="3" t="inlineStr">
        <is>
          <t>ADX6000</t>
        </is>
      </c>
      <c r="D128" s="3" t="inlineStr">
        <is>
          <t>발생부 고압B/D+튜브 최종 작업完 [OX-70]</t>
        </is>
      </c>
      <c r="E128" s="23" t="n"/>
    </row>
    <row r="129" ht="48" customHeight="1">
      <c r="A129" s="4" t="inlineStr">
        <is>
          <t>진공</t>
        </is>
      </c>
      <c r="B129" s="4" t="inlineStr">
        <is>
          <t>고압 A,ssy  진공 이전</t>
        </is>
      </c>
      <c r="C129" s="3" t="inlineStr">
        <is>
          <t>COCOON</t>
        </is>
      </c>
      <c r="D129" s="3" t="inlineStr">
        <is>
          <t>발생부 고압B/D+튜브 최종 작업完</t>
        </is>
      </c>
      <c r="E129" s="23" t="n"/>
    </row>
    <row r="130" ht="48" customHeight="1">
      <c r="A130" s="4" t="inlineStr">
        <is>
          <t>진공</t>
        </is>
      </c>
      <c r="B130" s="4" t="inlineStr">
        <is>
          <t>고압 A,ssy  진공 이전</t>
        </is>
      </c>
      <c r="C130" s="3" t="inlineStr">
        <is>
          <t>ADX6000</t>
        </is>
      </c>
      <c r="D130" s="3" t="inlineStr">
        <is>
          <t>발생부 고압B/D+튜브 최종 작업完 (10핀)[D-0813]</t>
        </is>
      </c>
      <c r="E130" s="23" t="n"/>
    </row>
    <row r="131" ht="48" customHeight="1">
      <c r="A131" s="4" t="inlineStr">
        <is>
          <t>진공</t>
        </is>
      </c>
      <c r="B131" s="4" t="n"/>
      <c r="C131" s="3" t="inlineStr">
        <is>
          <t>COCOON</t>
        </is>
      </c>
      <c r="D131" s="3" t="inlineStr">
        <is>
          <t>발생부 고압B/D+튜브 최종 작업完 [Ver 2.12]</t>
        </is>
      </c>
      <c r="E131" s="23" t="n"/>
    </row>
    <row r="132" ht="48" customHeight="1">
      <c r="A132" s="4" t="inlineStr">
        <is>
          <t>진공</t>
        </is>
      </c>
      <c r="B132" s="4" t="n"/>
      <c r="C132" s="3" t="inlineStr">
        <is>
          <t>DX3000V</t>
        </is>
      </c>
      <c r="D132" s="3" t="inlineStr">
        <is>
          <t>발생부 고압B/D+튜브 최종 작업完 (10핀)[D-0813]</t>
        </is>
      </c>
      <c r="E132" s="23" t="n"/>
    </row>
    <row r="133" ht="48" customHeight="1">
      <c r="A133" s="4" t="inlineStr">
        <is>
          <t>진공</t>
        </is>
      </c>
      <c r="B133" s="4" t="n"/>
      <c r="C133" s="3" t="inlineStr">
        <is>
          <t>SOLO</t>
        </is>
      </c>
      <c r="D133" s="3" t="inlineStr">
        <is>
          <t>발생부 고압B/D+튜브 최종 작업完 [CBT]</t>
        </is>
      </c>
      <c r="E133" s="23" t="n"/>
    </row>
    <row r="134" ht="48" customHeight="1">
      <c r="A134" s="4" t="inlineStr">
        <is>
          <t>진공</t>
        </is>
      </c>
      <c r="B134" s="4" t="inlineStr">
        <is>
          <t>진공</t>
        </is>
      </c>
      <c r="C134" s="3" t="inlineStr">
        <is>
          <t>DX3000</t>
        </is>
      </c>
      <c r="D134" s="3" t="inlineStr">
        <is>
          <t>발생부(진공)</t>
        </is>
      </c>
      <c r="E134" s="23" t="n"/>
    </row>
    <row r="135" ht="48" customHeight="1">
      <c r="A135" s="4" t="inlineStr">
        <is>
          <t>진공</t>
        </is>
      </c>
      <c r="B135" s="4" t="inlineStr">
        <is>
          <t>진공</t>
        </is>
      </c>
      <c r="C135" s="3" t="inlineStr">
        <is>
          <t>DX3000</t>
        </is>
      </c>
      <c r="D135" s="3" t="inlineStr">
        <is>
          <t>발생부(9P)(진공)</t>
        </is>
      </c>
      <c r="E135" s="23" t="n"/>
    </row>
    <row r="136" ht="48" customHeight="1">
      <c r="A136" s="4" t="inlineStr">
        <is>
          <t>진공</t>
        </is>
      </c>
      <c r="B136" s="4" t="inlineStr">
        <is>
          <t>진공</t>
        </is>
      </c>
      <c r="C136" s="3" t="inlineStr">
        <is>
          <t>ADX4000W</t>
        </is>
      </c>
      <c r="D136" s="3" t="inlineStr">
        <is>
          <t>발생부(진공)</t>
        </is>
      </c>
      <c r="E136" s="23" t="n"/>
    </row>
    <row r="137" ht="48" customHeight="1">
      <c r="A137" s="4" t="inlineStr">
        <is>
          <t>진공</t>
        </is>
      </c>
      <c r="B137" s="4" t="inlineStr">
        <is>
          <t>진공</t>
        </is>
      </c>
      <c r="C137" s="3" t="inlineStr">
        <is>
          <t>ADX6000</t>
        </is>
      </c>
      <c r="D137" s="3" t="inlineStr">
        <is>
          <t>발생부(진공)</t>
        </is>
      </c>
      <c r="E137" s="23" t="n"/>
    </row>
    <row r="138" ht="48" customHeight="1">
      <c r="A138" s="4" t="inlineStr">
        <is>
          <t>진공</t>
        </is>
      </c>
      <c r="B138" s="4" t="inlineStr">
        <is>
          <t>진공</t>
        </is>
      </c>
      <c r="C138" s="3" t="inlineStr">
        <is>
          <t>ADX6000</t>
        </is>
      </c>
      <c r="D138" s="3" t="inlineStr">
        <is>
          <t>발생부(10P)(진공)</t>
        </is>
      </c>
      <c r="E138" s="23" t="n"/>
    </row>
    <row r="139" ht="48" customHeight="1">
      <c r="A139" s="4" t="inlineStr">
        <is>
          <t>진공</t>
        </is>
      </c>
      <c r="B139" s="4" t="inlineStr">
        <is>
          <t>진공</t>
        </is>
      </c>
      <c r="C139" s="3" t="inlineStr">
        <is>
          <t>COCOON</t>
        </is>
      </c>
      <c r="D139" s="3" t="inlineStr">
        <is>
          <t>발생부(진공)</t>
        </is>
      </c>
      <c r="E139" s="23" t="n"/>
    </row>
    <row r="140" ht="48" customHeight="1">
      <c r="A140" s="4" t="inlineStr">
        <is>
          <t>진공</t>
        </is>
      </c>
      <c r="B140" s="4" t="inlineStr">
        <is>
          <t>진공</t>
        </is>
      </c>
      <c r="C140" s="3" t="inlineStr">
        <is>
          <t>SOLO</t>
        </is>
      </c>
      <c r="D140" s="3" t="inlineStr">
        <is>
          <t>발생부(진공)</t>
        </is>
      </c>
      <c r="E140" s="23" t="n"/>
    </row>
    <row r="141" ht="48" customHeight="1">
      <c r="A141" s="4" t="inlineStr">
        <is>
          <t>진공</t>
        </is>
      </c>
      <c r="B141" s="4" t="inlineStr">
        <is>
          <t>진공</t>
        </is>
      </c>
      <c r="C141" s="3" t="inlineStr">
        <is>
          <t>DX3000V</t>
        </is>
      </c>
      <c r="D141" s="3" t="inlineStr">
        <is>
          <t>발생부(10P)(진공)</t>
        </is>
      </c>
      <c r="E141" s="23" t="n"/>
    </row>
    <row r="142" ht="48" customHeight="1">
      <c r="A142" s="5" t="inlineStr">
        <is>
          <t>튜닝</t>
        </is>
      </c>
      <c r="B142" s="5" t="inlineStr">
        <is>
          <t>튜닝</t>
        </is>
      </c>
      <c r="C142" s="3" t="inlineStr">
        <is>
          <t>DX3000</t>
        </is>
      </c>
      <c r="D142" s="3" t="inlineStr">
        <is>
          <t>D3GR + D3CD (해외용)</t>
        </is>
      </c>
      <c r="E142" s="23" t="n"/>
    </row>
    <row r="143" ht="48" customHeight="1">
      <c r="A143" s="5" t="inlineStr">
        <is>
          <t>튜닝</t>
        </is>
      </c>
      <c r="B143" s="5" t="inlineStr">
        <is>
          <t>튜닝</t>
        </is>
      </c>
      <c r="C143" s="3" t="inlineStr">
        <is>
          <t>DX3000</t>
        </is>
      </c>
      <c r="D143" s="3" t="inlineStr">
        <is>
          <t>D3GR + D3CL (미국용)</t>
        </is>
      </c>
      <c r="E143" s="23" t="n"/>
    </row>
    <row r="144" ht="48" customHeight="1">
      <c r="A144" s="5" t="inlineStr">
        <is>
          <t>튜닝</t>
        </is>
      </c>
      <c r="B144" s="5" t="inlineStr">
        <is>
          <t>튜닝</t>
        </is>
      </c>
      <c r="C144" s="3" t="inlineStr">
        <is>
          <t>DX3000</t>
        </is>
      </c>
      <c r="D144" s="3" t="inlineStr">
        <is>
          <t>D3GR + D3CT (TFT용)</t>
        </is>
      </c>
      <c r="E144" s="23" t="n"/>
    </row>
    <row r="145" ht="48" customHeight="1">
      <c r="A145" s="5" t="inlineStr">
        <is>
          <t>튜닝</t>
        </is>
      </c>
      <c r="B145" s="5" t="inlineStr">
        <is>
          <t>튜닝</t>
        </is>
      </c>
      <c r="C145" s="3" t="inlineStr">
        <is>
          <t>ADX4000W</t>
        </is>
      </c>
      <c r="D145" s="3" t="inlineStr">
        <is>
          <t>A4GR + A4CB</t>
        </is>
      </c>
      <c r="E145" s="23" t="n"/>
    </row>
    <row r="146" ht="48" customHeight="1">
      <c r="A146" s="5" t="inlineStr">
        <is>
          <t>튜닝</t>
        </is>
      </c>
      <c r="B146" s="5" t="inlineStr">
        <is>
          <t>튜닝</t>
        </is>
      </c>
      <c r="C146" s="3" t="inlineStr">
        <is>
          <t>ADX6000</t>
        </is>
      </c>
      <c r="D146" s="3" t="inlineStr">
        <is>
          <t>A6GR (10핀)</t>
        </is>
      </c>
      <c r="E146" s="23" t="n"/>
    </row>
    <row r="147" ht="48" customHeight="1">
      <c r="A147" s="5" t="inlineStr">
        <is>
          <t>튜닝</t>
        </is>
      </c>
      <c r="B147" s="5" t="inlineStr">
        <is>
          <t>튜닝</t>
        </is>
      </c>
      <c r="C147" s="3" t="inlineStr">
        <is>
          <t>SOLO</t>
        </is>
      </c>
      <c r="D147" s="3" t="inlineStr">
        <is>
          <t>CSGR + CSCB</t>
        </is>
      </c>
      <c r="E147" s="23" t="n"/>
    </row>
    <row r="148" ht="48" customHeight="1">
      <c r="A148" s="5" t="inlineStr">
        <is>
          <t>튜닝</t>
        </is>
      </c>
      <c r="B148" s="5" t="inlineStr">
        <is>
          <t>튜닝</t>
        </is>
      </c>
      <c r="C148" s="3" t="inlineStr">
        <is>
          <t>COCOON</t>
        </is>
      </c>
      <c r="D148" s="3" t="inlineStr">
        <is>
          <t>COGR + FET BD</t>
        </is>
      </c>
      <c r="E148" s="23" t="n"/>
    </row>
    <row r="149" ht="48" customHeight="1">
      <c r="A149" s="5" t="inlineStr">
        <is>
          <t>튜닝</t>
        </is>
      </c>
      <c r="B149" s="5" t="inlineStr">
        <is>
          <t>튜닝완료</t>
        </is>
      </c>
      <c r="C149" s="3" t="inlineStr">
        <is>
          <t>DX3000</t>
        </is>
      </c>
      <c r="D149" s="3" t="inlineStr">
        <is>
          <t>D3GR + D3CD (해외용) 60KV, 2mA</t>
        </is>
      </c>
      <c r="E149" s="23" t="n"/>
    </row>
    <row r="150" ht="48" customHeight="1">
      <c r="A150" s="5" t="inlineStr">
        <is>
          <t>튜닝</t>
        </is>
      </c>
      <c r="B150" s="5" t="inlineStr">
        <is>
          <t>튜닝완료</t>
        </is>
      </c>
      <c r="C150" s="3" t="inlineStr">
        <is>
          <t>DX3000</t>
        </is>
      </c>
      <c r="D150" s="3" t="inlineStr">
        <is>
          <t>D3GR + D3CD + 1.4T (Safari Dental용) 60KV, 2mA</t>
        </is>
      </c>
      <c r="E150" s="23" t="n"/>
    </row>
    <row r="151" ht="48" customHeight="1">
      <c r="A151" s="5" t="inlineStr">
        <is>
          <t>튜닝</t>
        </is>
      </c>
      <c r="B151" s="5" t="inlineStr">
        <is>
          <t>튜닝완료</t>
        </is>
      </c>
      <c r="C151" s="3" t="inlineStr">
        <is>
          <t>DX3000</t>
        </is>
      </c>
      <c r="D151" s="3" t="inlineStr">
        <is>
          <t>D3GR + D3CL (미국용) 65kv, 1.7mA</t>
        </is>
      </c>
      <c r="E151" s="23" t="n"/>
    </row>
    <row r="152" ht="48" customHeight="1">
      <c r="A152" s="5" t="inlineStr">
        <is>
          <t>튜닝</t>
        </is>
      </c>
      <c r="B152" s="5" t="inlineStr">
        <is>
          <t>튜닝완료</t>
        </is>
      </c>
      <c r="C152" s="3" t="inlineStr">
        <is>
          <t>DX3000M</t>
        </is>
      </c>
      <c r="D152" s="3" t="inlineStr">
        <is>
          <t>D3GR + D3CT (TFT용) 70kv, 3mA</t>
        </is>
      </c>
      <c r="E152" s="23" t="n"/>
    </row>
    <row r="153" ht="48" customHeight="1">
      <c r="A153" s="5" t="inlineStr">
        <is>
          <t>튜닝</t>
        </is>
      </c>
      <c r="B153" s="5" t="inlineStr">
        <is>
          <t>튜닝완료</t>
        </is>
      </c>
      <c r="C153" s="3" t="inlineStr">
        <is>
          <t>ADX4000W</t>
        </is>
      </c>
      <c r="D153" s="3" t="inlineStr">
        <is>
          <t>A4GR + A4CB 60KV 2mA</t>
        </is>
      </c>
      <c r="E153" s="23" t="n"/>
    </row>
    <row r="154" ht="48" customHeight="1">
      <c r="A154" s="5" t="inlineStr">
        <is>
          <t>튜닝</t>
        </is>
      </c>
      <c r="B154" s="5" t="inlineStr">
        <is>
          <t>튜닝완료</t>
        </is>
      </c>
      <c r="C154" s="3" t="inlineStr">
        <is>
          <t>ADX4000W</t>
        </is>
      </c>
      <c r="D154" s="3" t="inlineStr">
        <is>
          <t>A4GR + A4CB + 1.4T (Safari Dental용) 60KV 2mA</t>
        </is>
      </c>
      <c r="E154" s="23" t="n"/>
    </row>
    <row r="155" ht="48" customHeight="1">
      <c r="A155" s="5" t="inlineStr">
        <is>
          <t>튜닝</t>
        </is>
      </c>
      <c r="B155" s="5" t="inlineStr">
        <is>
          <t>튜닝완료</t>
        </is>
      </c>
      <c r="C155" s="3" t="inlineStr">
        <is>
          <t>ADX6000</t>
        </is>
      </c>
      <c r="D155" s="3" t="inlineStr">
        <is>
          <t>XG + A6CTR 80KV, 5mA</t>
        </is>
      </c>
      <c r="E155" s="23" t="n"/>
    </row>
    <row r="156" ht="48" customHeight="1">
      <c r="A156" s="5" t="inlineStr">
        <is>
          <t>튜닝</t>
        </is>
      </c>
      <c r="B156" s="5" t="inlineStr">
        <is>
          <t>튜닝완료</t>
        </is>
      </c>
      <c r="C156" s="3" t="inlineStr">
        <is>
          <t>ADX6000S</t>
        </is>
      </c>
      <c r="D156" s="3" t="inlineStr">
        <is>
          <t>A6GR + A6CB 90KV 6mA</t>
        </is>
      </c>
      <c r="E156" s="23" t="n"/>
    </row>
    <row r="157" ht="48" customHeight="1">
      <c r="A157" s="5" t="inlineStr">
        <is>
          <t>튜닝</t>
        </is>
      </c>
      <c r="B157" s="5" t="inlineStr">
        <is>
          <t>튜닝완료</t>
        </is>
      </c>
      <c r="C157" s="3" t="inlineStr">
        <is>
          <t>COCOON</t>
        </is>
      </c>
      <c r="D157" s="3" t="inlineStr">
        <is>
          <t>COGR + COCB + FET BD 70kv, 2mA</t>
        </is>
      </c>
      <c r="E157" s="23" t="n"/>
    </row>
    <row r="158" ht="48" customHeight="1">
      <c r="A158" s="5" t="inlineStr">
        <is>
          <t>튜닝</t>
        </is>
      </c>
      <c r="B158" s="5" t="inlineStr">
        <is>
          <t>튜닝완료</t>
        </is>
      </c>
      <c r="C158" s="3" t="inlineStr">
        <is>
          <t>SOLO</t>
        </is>
      </c>
      <c r="D158" s="3" t="inlineStr">
        <is>
          <t>CSGR + CSCB  70KV 2mA</t>
        </is>
      </c>
      <c r="E158" s="23" t="n"/>
    </row>
    <row r="159" ht="48" customHeight="1">
      <c r="A159" s="6" t="inlineStr">
        <is>
          <t>구버전</t>
        </is>
      </c>
      <c r="B159" s="6" t="inlineStr">
        <is>
          <t>6000S</t>
        </is>
      </c>
      <c r="C159" s="3" t="inlineStr">
        <is>
          <t>A6CB(8핀)</t>
        </is>
      </c>
      <c r="D159" s="3" t="inlineStr">
        <is>
          <t>V1.1.1</t>
        </is>
      </c>
      <c r="E159" s="23" t="n"/>
    </row>
    <row r="160" ht="48" customHeight="1">
      <c r="A160" s="6" t="inlineStr">
        <is>
          <t>구버전</t>
        </is>
      </c>
      <c r="B160" s="6" t="inlineStr">
        <is>
          <t>6000</t>
        </is>
      </c>
      <c r="C160" s="3" t="inlineStr">
        <is>
          <t>A6CTR(6000 CTR)</t>
        </is>
      </c>
      <c r="D160" s="3" t="inlineStr">
        <is>
          <t>V1.5</t>
        </is>
      </c>
      <c r="E160" s="23" t="n"/>
    </row>
    <row r="161" ht="48" customHeight="1">
      <c r="A161" s="6" t="inlineStr">
        <is>
          <t>구버전</t>
        </is>
      </c>
      <c r="B161" s="6" t="inlineStr">
        <is>
          <t>COCOON</t>
        </is>
      </c>
      <c r="C161" s="3" t="inlineStr">
        <is>
          <t>COCB(핸들공용 이전)</t>
        </is>
      </c>
      <c r="D161" s="3" t="inlineStr">
        <is>
          <t>v2.20.5</t>
        </is>
      </c>
      <c r="E161" s="23" t="n"/>
    </row>
    <row r="162" ht="48" customHeight="1">
      <c r="A162" s="6" t="inlineStr">
        <is>
          <t>미사용</t>
        </is>
      </c>
      <c r="B162" s="6" t="inlineStr">
        <is>
          <t>6000</t>
        </is>
      </c>
      <c r="C162" s="3" t="inlineStr">
        <is>
          <t>INNER_USB_BD (6000 커넥터)</t>
        </is>
      </c>
      <c r="D162" s="3" t="inlineStr">
        <is>
          <t>V2.1</t>
        </is>
      </c>
      <c r="E162" s="23" t="n"/>
    </row>
    <row r="163" ht="48" customHeight="1">
      <c r="A163" s="6" t="inlineStr">
        <is>
          <t>미사용</t>
        </is>
      </c>
      <c r="B163" s="6" t="inlineStr">
        <is>
          <t>6000S</t>
        </is>
      </c>
      <c r="C163" s="3" t="inlineStr">
        <is>
          <t>CTR_to_GEN BD (8핀 커넥터)</t>
        </is>
      </c>
      <c r="D163" s="3" t="inlineStr">
        <is>
          <t>V2.0.0</t>
        </is>
      </c>
      <c r="E163" s="23" t="n"/>
    </row>
    <row r="164" ht="48" customHeight="1">
      <c r="A164" s="6" t="inlineStr">
        <is>
          <t>미사용</t>
        </is>
      </c>
      <c r="B164" s="6" t="inlineStr">
        <is>
          <t>6000S</t>
        </is>
      </c>
      <c r="C164" s="3" t="inlineStr">
        <is>
          <t>AIM_LIGHT_DRIVER BD (9핀 커넥터)</t>
        </is>
      </c>
      <c r="D164" s="3" t="inlineStr">
        <is>
          <t>V1.0.0</t>
        </is>
      </c>
      <c r="E164" s="23" t="n"/>
    </row>
    <row r="165" ht="48" customHeight="1">
      <c r="A165" s="6" t="inlineStr">
        <is>
          <t>사용중</t>
        </is>
      </c>
      <c r="B165" s="6" t="inlineStr">
        <is>
          <t>6000FB</t>
        </is>
      </c>
      <c r="C165" s="3" t="inlineStr">
        <is>
          <t>CTR_to_GEN BD (10핀 커넥터)</t>
        </is>
      </c>
      <c r="D165" s="3" t="inlineStr">
        <is>
          <t>V2.0.1</t>
        </is>
      </c>
      <c r="E165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3"/>
  <sheetViews>
    <sheetView topLeftCell="A1" zoomScale="100" zoomScaleNormal="100" workbookViewId="0">
      <pane ySplit="1" topLeftCell="A488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5"/>
  </cols>
  <sheetData>
    <row r="1" ht="24" customHeight="1">
      <c r="A1" s="1" t="inlineStr">
        <is>
          <t>부서</t>
        </is>
      </c>
      <c r="B1" s="1" t="inlineStr">
        <is>
          <t>분류</t>
        </is>
      </c>
      <c r="C1" s="1" t="inlineStr">
        <is>
          <t>모델</t>
        </is>
      </c>
      <c r="D1" s="1" t="inlineStr">
        <is>
          <t>품목</t>
        </is>
      </c>
      <c r="E1" s="22" t="inlineStr">
        <is>
          <t>▼ 창고 품명 (창고파일에서 복사→붙여넣기)</t>
        </is>
      </c>
    </row>
    <row r="2" ht="48" customHeight="1">
      <c r="A2" s="14" t="inlineStr">
        <is>
          <t>조립</t>
        </is>
      </c>
      <c r="B2" s="14" t="inlineStr">
        <is>
          <t>판넬</t>
        </is>
      </c>
      <c r="C2" s="3" t="inlineStr">
        <is>
          <t>DX3000</t>
        </is>
      </c>
      <c r="D2" s="3" t="inlineStr">
        <is>
          <t>2.4" TFT LCD 판넬</t>
        </is>
      </c>
      <c r="E2" s="23" t="n"/>
    </row>
    <row r="3" ht="48" customHeight="1">
      <c r="A3" s="4" t="inlineStr">
        <is>
          <t>조립</t>
        </is>
      </c>
      <c r="B3" s="4" t="inlineStr">
        <is>
          <t>사출 및 공용 자재</t>
        </is>
      </c>
      <c r="C3" s="3" t="inlineStr">
        <is>
          <t>DX3000</t>
        </is>
      </c>
      <c r="D3" s="3" t="inlineStr">
        <is>
          <t>LCD GUIDE</t>
        </is>
      </c>
      <c r="E3" s="23" t="n"/>
    </row>
    <row r="4" ht="48" customHeight="1">
      <c r="A4" s="4" t="inlineStr">
        <is>
          <t>조립</t>
        </is>
      </c>
      <c r="B4" s="4" t="inlineStr">
        <is>
          <t>사출 및 공용 자재</t>
        </is>
      </c>
      <c r="C4" s="3" t="inlineStr">
        <is>
          <t>DX3000</t>
        </is>
      </c>
      <c r="D4" s="3" t="inlineStr">
        <is>
          <t>NAVI KEY</t>
        </is>
      </c>
      <c r="E4" s="23" t="n"/>
    </row>
    <row r="5" ht="48" customHeight="1">
      <c r="A5" s="4" t="inlineStr">
        <is>
          <t>조립</t>
        </is>
      </c>
      <c r="B5" s="4" t="inlineStr">
        <is>
          <t>사출 및 공용 자재</t>
        </is>
      </c>
      <c r="C5" s="3" t="inlineStr">
        <is>
          <t>DX3000</t>
        </is>
      </c>
      <c r="D5" s="3" t="inlineStr">
        <is>
          <t>POWER LED</t>
        </is>
      </c>
      <c r="E5" s="23" t="n"/>
    </row>
    <row r="6" ht="48" customHeight="1">
      <c r="A6" s="4" t="inlineStr">
        <is>
          <t>조립</t>
        </is>
      </c>
      <c r="B6" s="4" t="inlineStr">
        <is>
          <t>사출 및 공용 자재</t>
        </is>
      </c>
      <c r="C6" s="3" t="inlineStr">
        <is>
          <t>DX3000</t>
        </is>
      </c>
      <c r="D6" s="3" t="inlineStr">
        <is>
          <t>POWER BUTTON</t>
        </is>
      </c>
      <c r="E6" s="23" t="n"/>
    </row>
    <row r="7" ht="48" customHeight="1">
      <c r="A7" s="4" t="inlineStr">
        <is>
          <t>조립</t>
        </is>
      </c>
      <c r="B7" s="4" t="inlineStr">
        <is>
          <t>사출 및 공용 자재</t>
        </is>
      </c>
      <c r="C7" s="3" t="inlineStr">
        <is>
          <t>DX3000블랙</t>
        </is>
      </c>
      <c r="D7" s="3" t="inlineStr">
        <is>
          <t>FRONT COVER (듀얼 슬라이드)</t>
        </is>
      </c>
      <c r="E7" s="23" t="n"/>
    </row>
    <row r="8" ht="48" customHeight="1">
      <c r="A8" s="4" t="inlineStr">
        <is>
          <t>조립</t>
        </is>
      </c>
      <c r="B8" s="4" t="inlineStr">
        <is>
          <t>사출 및 공용 자재</t>
        </is>
      </c>
      <c r="C8" s="3" t="inlineStr">
        <is>
          <t>DX3000 화이트</t>
        </is>
      </c>
      <c r="D8" s="3" t="inlineStr">
        <is>
          <t>FRONT COVER (듀얼 슬라이드)</t>
        </is>
      </c>
      <c r="E8" s="23" t="n"/>
    </row>
    <row r="9" ht="48" customHeight="1">
      <c r="A9" s="4" t="inlineStr">
        <is>
          <t>조립</t>
        </is>
      </c>
      <c r="B9" s="4" t="inlineStr">
        <is>
          <t>사출 및 공용 자재</t>
        </is>
      </c>
      <c r="C9" s="3" t="inlineStr">
        <is>
          <t>DX3000 블랙</t>
        </is>
      </c>
      <c r="D9" s="3" t="inlineStr">
        <is>
          <t>REAR COVER</t>
        </is>
      </c>
      <c r="E9" s="23" t="n"/>
    </row>
    <row r="10" ht="48" customHeight="1">
      <c r="A10" s="4" t="inlineStr">
        <is>
          <t>조립</t>
        </is>
      </c>
      <c r="B10" s="4" t="inlineStr">
        <is>
          <t>사출 및 공용 자재</t>
        </is>
      </c>
      <c r="C10" s="3" t="inlineStr">
        <is>
          <t>DX3000 화이트</t>
        </is>
      </c>
      <c r="D10" s="3" t="inlineStr">
        <is>
          <t>REAR COVER</t>
        </is>
      </c>
      <c r="E10" s="23" t="n"/>
    </row>
    <row r="11" ht="48" customHeight="1">
      <c r="A11" s="4" t="inlineStr">
        <is>
          <t>조립</t>
        </is>
      </c>
      <c r="B11" s="4" t="inlineStr">
        <is>
          <t>사출 및 공용 자재</t>
        </is>
      </c>
      <c r="C11" s="3" t="inlineStr">
        <is>
          <t>DX3000</t>
        </is>
      </c>
      <c r="D11" s="3" t="inlineStr">
        <is>
          <t>LCD LED</t>
        </is>
      </c>
      <c r="E11" s="23" t="n"/>
    </row>
    <row r="12" ht="48" customHeight="1">
      <c r="A12" s="4" t="inlineStr">
        <is>
          <t>조립</t>
        </is>
      </c>
      <c r="B12" s="4" t="inlineStr">
        <is>
          <t>사출 및 공용 자재</t>
        </is>
      </c>
      <c r="C12" s="3" t="inlineStr">
        <is>
          <t>DX3000</t>
        </is>
      </c>
      <c r="D12" s="3" t="inlineStr">
        <is>
          <t>EX LED (왼쪽)</t>
        </is>
      </c>
      <c r="E12" s="23" t="n"/>
    </row>
    <row r="13" ht="48" customHeight="1">
      <c r="A13" s="4" t="inlineStr">
        <is>
          <t>조립</t>
        </is>
      </c>
      <c r="B13" s="4" t="inlineStr">
        <is>
          <t>사출 및 공용 자재</t>
        </is>
      </c>
      <c r="C13" s="3" t="inlineStr">
        <is>
          <t>DX3000</t>
        </is>
      </c>
      <c r="D13" s="3" t="inlineStr">
        <is>
          <t>EX LED (오른쪽)</t>
        </is>
      </c>
      <c r="E13" s="23" t="n"/>
    </row>
    <row r="14" ht="48" customHeight="1">
      <c r="A14" s="4" t="inlineStr">
        <is>
          <t>조립</t>
        </is>
      </c>
      <c r="B14" s="4" t="inlineStr">
        <is>
          <t>사출 및 공용 자재</t>
        </is>
      </c>
      <c r="C14" s="3" t="inlineStr">
        <is>
          <t>DX3000</t>
        </is>
      </c>
      <c r="D14" s="3" t="inlineStr">
        <is>
          <t>EX BUTTON (개당 두개씩)</t>
        </is>
      </c>
      <c r="E14" s="23" t="n"/>
    </row>
    <row r="15" ht="48" customHeight="1">
      <c r="A15" s="4" t="inlineStr">
        <is>
          <t>조립</t>
        </is>
      </c>
      <c r="B15" s="4" t="inlineStr">
        <is>
          <t>사출 및 공용 자재</t>
        </is>
      </c>
      <c r="C15" s="3" t="inlineStr">
        <is>
          <t>DX3000</t>
        </is>
      </c>
      <c r="D15" s="3" t="inlineStr">
        <is>
          <t>HAND STRAP</t>
        </is>
      </c>
      <c r="E15" s="23" t="n"/>
    </row>
    <row r="16" ht="48" customHeight="1">
      <c r="A16" s="4" t="inlineStr">
        <is>
          <t>조립</t>
        </is>
      </c>
      <c r="B16" s="4" t="inlineStr">
        <is>
          <t>사출 및 공용 자재</t>
        </is>
      </c>
      <c r="C16" s="3" t="inlineStr">
        <is>
          <t>DX3000</t>
        </is>
      </c>
      <c r="D16" s="3" t="inlineStr">
        <is>
          <t>HAND STRAP_로고없음_사파리,이미지웍스용</t>
        </is>
      </c>
      <c r="E16" s="23" t="n"/>
    </row>
    <row r="17" ht="48" customHeight="1">
      <c r="A17" s="4" t="inlineStr">
        <is>
          <t>조립</t>
        </is>
      </c>
      <c r="B17" s="4" t="inlineStr">
        <is>
          <t>사출 및 공용 자재</t>
        </is>
      </c>
      <c r="C17" s="3" t="inlineStr">
        <is>
          <t>DX3000 화이트</t>
        </is>
      </c>
      <c r="D17" s="3" t="inlineStr">
        <is>
          <t>20cm CONE</t>
        </is>
      </c>
      <c r="E17" s="23" t="n"/>
    </row>
    <row r="18" ht="48" customHeight="1">
      <c r="A18" s="4" t="inlineStr">
        <is>
          <t>조립</t>
        </is>
      </c>
      <c r="B18" s="4" t="inlineStr">
        <is>
          <t>사출 및 공용 자재</t>
        </is>
      </c>
      <c r="C18" s="3" t="inlineStr">
        <is>
          <t>DX3000 블랙</t>
        </is>
      </c>
      <c r="D18" s="3" t="inlineStr">
        <is>
          <t>20cm CONE</t>
        </is>
      </c>
      <c r="E18" s="23" t="n"/>
    </row>
    <row r="19" ht="48" customHeight="1">
      <c r="A19" s="4" t="inlineStr">
        <is>
          <t>조립</t>
        </is>
      </c>
      <c r="B19" s="4" t="inlineStr">
        <is>
          <t>사출 및 공용 자재</t>
        </is>
      </c>
      <c r="C19" s="3" t="inlineStr">
        <is>
          <t>DX3000 화이트</t>
        </is>
      </c>
      <c r="D19" s="3" t="inlineStr">
        <is>
          <t>15cm CONE</t>
        </is>
      </c>
      <c r="E19" s="23" t="n"/>
    </row>
    <row r="20" ht="48" customHeight="1">
      <c r="A20" s="4" t="inlineStr">
        <is>
          <t>조립</t>
        </is>
      </c>
      <c r="B20" s="4" t="inlineStr">
        <is>
          <t>사출 및 공용 자재</t>
        </is>
      </c>
      <c r="C20" s="3" t="inlineStr">
        <is>
          <t>DX3000</t>
        </is>
      </c>
      <c r="D20" s="3" t="inlineStr">
        <is>
          <t>X-CAP (기본)</t>
        </is>
      </c>
      <c r="E20" s="23" t="n"/>
    </row>
    <row r="21" ht="48" customHeight="1">
      <c r="A21" s="4" t="inlineStr">
        <is>
          <t>조립</t>
        </is>
      </c>
      <c r="B21" s="4" t="inlineStr">
        <is>
          <t>사출 및 공용 자재</t>
        </is>
      </c>
      <c r="C21" s="3" t="inlineStr">
        <is>
          <t>DX3000 ADX4000W</t>
        </is>
      </c>
      <c r="D21" s="3" t="inlineStr">
        <is>
          <t>X-CAP 체결형 (신형)</t>
        </is>
      </c>
      <c r="E21" s="23" t="n"/>
    </row>
    <row r="22" ht="48" customHeight="1">
      <c r="A22" s="4" t="inlineStr">
        <is>
          <t>조립</t>
        </is>
      </c>
      <c r="B22" s="4" t="inlineStr">
        <is>
          <t>사출 및 공용 자재</t>
        </is>
      </c>
      <c r="C22" s="3" t="inlineStr">
        <is>
          <t>DX3000 ADX4000W</t>
        </is>
      </c>
      <c r="D22" s="3" t="inlineStr">
        <is>
          <t>가죽손잡이 고리1_ [AL(Cr도금), SUS Φ2.0]</t>
        </is>
      </c>
      <c r="E22" s="23" t="n"/>
    </row>
    <row r="23" ht="48" customHeight="1">
      <c r="A23" s="4" t="inlineStr">
        <is>
          <t>조립</t>
        </is>
      </c>
      <c r="B23" s="4" t="inlineStr">
        <is>
          <t>사출 및 공용 자재</t>
        </is>
      </c>
      <c r="C23" s="3" t="inlineStr">
        <is>
          <t>DX3000 ADX4000W</t>
        </is>
      </c>
      <c r="D23" s="3" t="inlineStr">
        <is>
          <t>가죽손잡이 고리2_ [AL(Cr도금), SUS Φ2.0 ]</t>
        </is>
      </c>
      <c r="E23" s="23" t="n"/>
    </row>
    <row r="24" ht="48" customHeight="1">
      <c r="A24" s="4" t="inlineStr">
        <is>
          <t>조립</t>
        </is>
      </c>
      <c r="B24" s="4" t="inlineStr">
        <is>
          <t>사출 및 공용 자재</t>
        </is>
      </c>
      <c r="C24" s="3" t="inlineStr">
        <is>
          <t>DX3000</t>
        </is>
      </c>
      <c r="D24" s="3" t="inlineStr">
        <is>
          <t>LCD 윈도우</t>
        </is>
      </c>
      <c r="E24" s="23" t="n"/>
    </row>
    <row r="25" ht="48" customHeight="1">
      <c r="A25" s="4" t="inlineStr">
        <is>
          <t>조립</t>
        </is>
      </c>
      <c r="B25" s="4" t="inlineStr">
        <is>
          <t>사출 및 공용 자재</t>
        </is>
      </c>
      <c r="C25" s="3" t="inlineStr">
        <is>
          <t>DX3000  회색</t>
        </is>
      </c>
      <c r="D25" s="3" t="inlineStr">
        <is>
          <t>배터리커버</t>
        </is>
      </c>
      <c r="E25" s="23" t="n"/>
    </row>
    <row r="26" ht="48" customHeight="1">
      <c r="A26" s="4" t="inlineStr">
        <is>
          <t>조립</t>
        </is>
      </c>
      <c r="B26" s="4" t="inlineStr">
        <is>
          <t>사출 및 공용 자재</t>
        </is>
      </c>
      <c r="C26" s="3" t="inlineStr">
        <is>
          <t>DX3000  화이트</t>
        </is>
      </c>
      <c r="D26" s="3" t="inlineStr">
        <is>
          <t>배터리커버</t>
        </is>
      </c>
      <c r="E26" s="23" t="n"/>
    </row>
    <row r="27" ht="48" customHeight="1">
      <c r="A27" s="4" t="inlineStr">
        <is>
          <t>조립</t>
        </is>
      </c>
      <c r="B27" s="4" t="inlineStr">
        <is>
          <t>사출 및 공용 자재</t>
        </is>
      </c>
      <c r="C27" s="3" t="inlineStr">
        <is>
          <t>DX3000  블랙</t>
        </is>
      </c>
      <c r="D27" s="3" t="inlineStr">
        <is>
          <t>배터리커버</t>
        </is>
      </c>
      <c r="E27" s="23" t="n"/>
    </row>
    <row r="28" ht="48" customHeight="1">
      <c r="A28" s="4" t="inlineStr">
        <is>
          <t>조립</t>
        </is>
      </c>
      <c r="B28" s="4" t="inlineStr">
        <is>
          <t>사출 및 공용 자재</t>
        </is>
      </c>
      <c r="C28" s="3" t="inlineStr">
        <is>
          <t>DX3000</t>
        </is>
      </c>
      <c r="D28" s="3" t="inlineStr">
        <is>
          <t>데코가이드</t>
        </is>
      </c>
      <c r="E28" s="23" t="n"/>
    </row>
    <row r="29" ht="48" customHeight="1">
      <c r="A29" s="4" t="inlineStr">
        <is>
          <t>조립</t>
        </is>
      </c>
      <c r="B29" s="4" t="inlineStr">
        <is>
          <t>사출 및 공용 자재</t>
        </is>
      </c>
      <c r="C29" s="3" t="inlineStr">
        <is>
          <t>DX3000</t>
        </is>
      </c>
      <c r="D29" s="3" t="inlineStr">
        <is>
          <t>알루미늄 필터 [0.8T * Φ63]</t>
        </is>
      </c>
      <c r="E29" s="23" t="n"/>
    </row>
    <row r="30" ht="48" customHeight="1">
      <c r="A30" s="2" t="inlineStr">
        <is>
          <t>조립</t>
        </is>
      </c>
      <c r="B30" s="2" t="inlineStr">
        <is>
          <t>하네스</t>
        </is>
      </c>
      <c r="C30" s="3" t="inlineStr">
        <is>
          <t>DX3000</t>
        </is>
      </c>
      <c r="D30" s="3" t="inlineStr">
        <is>
          <t>CJ4003 JACK  (관전류 짹 + 2핀케이블) - 하네스8</t>
        </is>
      </c>
      <c r="E30" s="23" t="n"/>
    </row>
    <row r="31" ht="48" customHeight="1">
      <c r="A31" s="2" t="inlineStr">
        <is>
          <t>조립</t>
        </is>
      </c>
      <c r="B31" s="2" t="inlineStr">
        <is>
          <t>하네스</t>
        </is>
      </c>
      <c r="C31" s="3" t="inlineStr">
        <is>
          <t>DX3000</t>
        </is>
      </c>
      <c r="D31" s="3" t="inlineStr">
        <is>
          <t>FFC 20핀 - 하네스1</t>
        </is>
      </c>
      <c r="E31" s="23" t="n"/>
    </row>
    <row r="32" ht="48" customHeight="1">
      <c r="A32" s="2" t="inlineStr">
        <is>
          <t>조립</t>
        </is>
      </c>
      <c r="B32" s="2" t="inlineStr">
        <is>
          <t>하네스</t>
        </is>
      </c>
      <c r="C32" s="3" t="inlineStr">
        <is>
          <t>DX3000</t>
        </is>
      </c>
      <c r="D32" s="3" t="inlineStr">
        <is>
          <t>EXP KEY 4핀 케이블 - 하네스5 (개당 2개씩)</t>
        </is>
      </c>
      <c r="E32" s="23" t="n"/>
    </row>
    <row r="33" ht="48" customHeight="1">
      <c r="A33" s="2" t="inlineStr">
        <is>
          <t>조립</t>
        </is>
      </c>
      <c r="B33" s="2" t="inlineStr">
        <is>
          <t>하네스</t>
        </is>
      </c>
      <c r="C33" s="3" t="inlineStr">
        <is>
          <t>DX3000</t>
        </is>
      </c>
      <c r="D33" s="3" t="inlineStr">
        <is>
          <t>EX BD (듀얼) - 왼쪽</t>
        </is>
      </c>
      <c r="E33" s="23" t="n"/>
    </row>
    <row r="34" ht="48" customHeight="1">
      <c r="A34" s="2" t="inlineStr">
        <is>
          <t>조립</t>
        </is>
      </c>
      <c r="B34" s="2" t="inlineStr">
        <is>
          <t>하네스</t>
        </is>
      </c>
      <c r="C34" s="3" t="inlineStr">
        <is>
          <t>DX3000</t>
        </is>
      </c>
      <c r="D34" s="3" t="inlineStr">
        <is>
          <t>EX BD (듀얼) - 오른쪽</t>
        </is>
      </c>
      <c r="E34" s="23" t="n"/>
    </row>
    <row r="35" ht="48" customHeight="1">
      <c r="A35" s="2" t="inlineStr">
        <is>
          <t>조립</t>
        </is>
      </c>
      <c r="B35" s="2" t="inlineStr">
        <is>
          <t>하네스</t>
        </is>
      </c>
      <c r="C35" s="3" t="inlineStr">
        <is>
          <t>DX3000</t>
        </is>
      </c>
      <c r="D35" s="3" t="inlineStr">
        <is>
          <t>EX BD (원버턴) - 사파리</t>
        </is>
      </c>
      <c r="E35" s="23" t="n"/>
    </row>
    <row r="36" ht="48" customHeight="1">
      <c r="A36" s="2" t="inlineStr">
        <is>
          <t>조립</t>
        </is>
      </c>
      <c r="B36" s="2" t="inlineStr">
        <is>
          <t>하네스</t>
        </is>
      </c>
      <c r="C36" s="3" t="inlineStr">
        <is>
          <t>DX3000</t>
        </is>
      </c>
      <c r="D36" s="3" t="inlineStr">
        <is>
          <t>LCD BD</t>
        </is>
      </c>
      <c r="E36" s="23" t="n"/>
    </row>
    <row r="37" ht="48" customHeight="1">
      <c r="A37" s="2" t="inlineStr">
        <is>
          <t>조립</t>
        </is>
      </c>
      <c r="B37" s="2" t="inlineStr">
        <is>
          <t>하네스</t>
        </is>
      </c>
      <c r="C37" s="3" t="inlineStr">
        <is>
          <t>DX3000</t>
        </is>
      </c>
      <c r="D37" s="3" t="inlineStr">
        <is>
          <t>LCD BD  (사파리) -원버턴타입</t>
        </is>
      </c>
      <c r="E37" s="23" t="n"/>
    </row>
    <row r="38" ht="48" customHeight="1">
      <c r="A38" s="2" t="inlineStr">
        <is>
          <t>조립</t>
        </is>
      </c>
      <c r="B38" s="2" t="inlineStr">
        <is>
          <t>하네스</t>
        </is>
      </c>
      <c r="C38" s="3" t="inlineStr">
        <is>
          <t>DX3000</t>
        </is>
      </c>
      <c r="D38" s="3" t="inlineStr">
        <is>
          <t>TFT LCD BD</t>
        </is>
      </c>
      <c r="E38" s="23" t="n"/>
    </row>
    <row r="39" ht="48" customHeight="1">
      <c r="A39" s="2" t="inlineStr">
        <is>
          <t>조립</t>
        </is>
      </c>
      <c r="B39" s="2" t="inlineStr">
        <is>
          <t>하네스</t>
        </is>
      </c>
      <c r="C39" s="3" t="inlineStr">
        <is>
          <t>DX3000</t>
        </is>
      </c>
      <c r="D39" s="3" t="inlineStr">
        <is>
          <t>LED DRIVE BD V3.0.1 (TFT CTR BD용)</t>
        </is>
      </c>
      <c r="E39" s="23" t="n"/>
    </row>
    <row r="40" ht="48" customHeight="1">
      <c r="A40" s="5" t="inlineStr">
        <is>
          <t>조립</t>
        </is>
      </c>
      <c r="B40" s="5" t="inlineStr">
        <is>
          <t>ASS'Y</t>
        </is>
      </c>
      <c r="C40" s="3" t="inlineStr">
        <is>
          <t>DX3000</t>
        </is>
      </c>
      <c r="D40" s="3" t="inlineStr">
        <is>
          <t>데코가이드 ASS'Y (손잡이 포함)</t>
        </is>
      </c>
      <c r="E40" s="23" t="n"/>
    </row>
    <row r="41" ht="48" customHeight="1">
      <c r="A41" s="5" t="inlineStr">
        <is>
          <t>조립</t>
        </is>
      </c>
      <c r="B41" s="5" t="inlineStr">
        <is>
          <t>ASS'Y</t>
        </is>
      </c>
      <c r="C41" s="3" t="inlineStr">
        <is>
          <t>DX3000</t>
        </is>
      </c>
      <c r="D41" s="3" t="inlineStr">
        <is>
          <t>LCD BD ASS'Y</t>
        </is>
      </c>
      <c r="E41" s="23" t="n"/>
    </row>
    <row r="42" ht="48" customHeight="1">
      <c r="A42" s="5" t="inlineStr">
        <is>
          <t>조립</t>
        </is>
      </c>
      <c r="B42" s="5" t="inlineStr">
        <is>
          <t>ASS'Y</t>
        </is>
      </c>
      <c r="C42" s="3" t="inlineStr">
        <is>
          <t>DX3000</t>
        </is>
      </c>
      <c r="D42" s="3" t="inlineStr">
        <is>
          <t>LCD BD ASS'Y  _사파리_원버턴 타입</t>
        </is>
      </c>
      <c r="E42" s="23" t="n"/>
    </row>
    <row r="43" ht="48" customHeight="1">
      <c r="A43" s="5" t="inlineStr">
        <is>
          <t>조립</t>
        </is>
      </c>
      <c r="B43" s="5" t="inlineStr">
        <is>
          <t>ASS'Y</t>
        </is>
      </c>
      <c r="C43" s="3" t="inlineStr">
        <is>
          <t>DX3000</t>
        </is>
      </c>
      <c r="D43" s="3" t="inlineStr">
        <is>
          <t>LCD BD ASS'Y  _TFT</t>
        </is>
      </c>
      <c r="E43" s="23" t="n"/>
    </row>
    <row r="44" ht="48" customHeight="1">
      <c r="A44" s="5" t="inlineStr">
        <is>
          <t>조립</t>
        </is>
      </c>
      <c r="B44" s="5" t="inlineStr">
        <is>
          <t>ASS'Y</t>
        </is>
      </c>
      <c r="C44" s="3" t="inlineStr">
        <is>
          <t>DX3000  화이트</t>
        </is>
      </c>
      <c r="D44" s="3" t="inlineStr">
        <is>
          <t>기본 사출 ASS'Y</t>
        </is>
      </c>
      <c r="E44" s="23" t="n"/>
    </row>
    <row r="45" ht="48" customHeight="1">
      <c r="A45" s="5" t="inlineStr">
        <is>
          <t>조립</t>
        </is>
      </c>
      <c r="B45" s="5" t="inlineStr">
        <is>
          <t>ASS'Y</t>
        </is>
      </c>
      <c r="C45" s="3" t="inlineStr">
        <is>
          <t>DX3000  블랙</t>
        </is>
      </c>
      <c r="D45" s="3" t="inlineStr">
        <is>
          <t>기본 사출 ASS'Y</t>
        </is>
      </c>
      <c r="E45" s="23" t="n"/>
    </row>
    <row r="46" ht="48" customHeight="1">
      <c r="A46" s="5" t="inlineStr">
        <is>
          <t>조립</t>
        </is>
      </c>
      <c r="B46" s="5" t="inlineStr">
        <is>
          <t>ASS'Y</t>
        </is>
      </c>
      <c r="C46" s="3" t="inlineStr">
        <is>
          <t>DX3000 화이트</t>
        </is>
      </c>
      <c r="D46" s="3" t="inlineStr">
        <is>
          <t>사출 ASS'Y _ 태국용</t>
        </is>
      </c>
      <c r="E46" s="23" t="n"/>
    </row>
    <row r="47" ht="48" customHeight="1">
      <c r="A47" s="5" t="inlineStr">
        <is>
          <t>조립</t>
        </is>
      </c>
      <c r="B47" s="5" t="inlineStr">
        <is>
          <t>ASS'Y</t>
        </is>
      </c>
      <c r="C47" s="3" t="inlineStr">
        <is>
          <t>DX3000  블랙</t>
        </is>
      </c>
      <c r="D47" s="3" t="inlineStr">
        <is>
          <t>기본 사출 ASS'Y _ 이미지웍스</t>
        </is>
      </c>
      <c r="E47" s="23" t="n"/>
    </row>
    <row r="48" ht="48" customHeight="1">
      <c r="A48" s="5" t="inlineStr">
        <is>
          <t>조립</t>
        </is>
      </c>
      <c r="B48" s="5" t="inlineStr">
        <is>
          <t>ASS'Y</t>
        </is>
      </c>
      <c r="C48" s="3" t="inlineStr">
        <is>
          <t>DX3000  블랙</t>
        </is>
      </c>
      <c r="D48" s="3" t="inlineStr">
        <is>
          <t>기본 사출 ASS'Y _ CBI</t>
        </is>
      </c>
      <c r="E48" s="23" t="n"/>
    </row>
    <row r="49" ht="48" customHeight="1">
      <c r="A49" s="5" t="inlineStr">
        <is>
          <t>조립</t>
        </is>
      </c>
      <c r="B49" s="5" t="inlineStr">
        <is>
          <t>ASS'Y</t>
        </is>
      </c>
      <c r="C49" s="3" t="inlineStr">
        <is>
          <t>DX3000 화이트</t>
        </is>
      </c>
      <c r="D49" s="3" t="inlineStr">
        <is>
          <t>기본 사출 ASS'Y _ 미국용_동물용</t>
        </is>
      </c>
      <c r="E49" s="23" t="n"/>
    </row>
    <row r="50" ht="48" customHeight="1">
      <c r="A50" s="5" t="inlineStr">
        <is>
          <t>조립</t>
        </is>
      </c>
      <c r="B50" s="5" t="inlineStr">
        <is>
          <t>ASS'Y</t>
        </is>
      </c>
      <c r="C50" s="3" t="inlineStr">
        <is>
          <t>DX3000 화이트</t>
        </is>
      </c>
      <c r="D50" s="3" t="inlineStr">
        <is>
          <t>15cm 사출 ASS'Y - 일본용</t>
        </is>
      </c>
      <c r="E50" s="23" t="n"/>
    </row>
    <row r="51" ht="48" customHeight="1">
      <c r="A51" s="5" t="inlineStr">
        <is>
          <t>조립</t>
        </is>
      </c>
      <c r="B51" s="5" t="inlineStr">
        <is>
          <t>ASS'Y</t>
        </is>
      </c>
      <c r="C51" s="3" t="inlineStr">
        <is>
          <t>DX3000 화이트</t>
        </is>
      </c>
      <c r="D51" s="3" t="inlineStr">
        <is>
          <t>20cm 사출 ASS'Y - 기본</t>
        </is>
      </c>
      <c r="E51" s="23" t="n"/>
    </row>
    <row r="52" ht="48" customHeight="1">
      <c r="A52" s="5" t="inlineStr">
        <is>
          <t>조립</t>
        </is>
      </c>
      <c r="B52" s="5" t="inlineStr">
        <is>
          <t>ASS'Y</t>
        </is>
      </c>
      <c r="C52" s="3" t="inlineStr">
        <is>
          <t>DX3000  블랙</t>
        </is>
      </c>
      <c r="D52" s="3" t="inlineStr">
        <is>
          <t>20cm 사출 ASS'Y - 기본</t>
        </is>
      </c>
      <c r="E52" s="23" t="n"/>
    </row>
    <row r="53" ht="48" customHeight="1">
      <c r="A53" s="5" t="inlineStr">
        <is>
          <t>조립</t>
        </is>
      </c>
      <c r="B53" s="5" t="inlineStr">
        <is>
          <t>ASS'Y</t>
        </is>
      </c>
      <c r="C53" s="3" t="inlineStr">
        <is>
          <t>DX3000 화이트</t>
        </is>
      </c>
      <c r="D53" s="3" t="inlineStr">
        <is>
          <t>20cm 사출 ASS'Y - 맥스레이</t>
        </is>
      </c>
      <c r="E53" s="23" t="n"/>
    </row>
    <row r="54" ht="48" customHeight="1">
      <c r="A54" s="5" t="inlineStr">
        <is>
          <t>조립</t>
        </is>
      </c>
      <c r="B54" s="5" t="inlineStr">
        <is>
          <t>ASS'Y</t>
        </is>
      </c>
      <c r="C54" s="3" t="inlineStr">
        <is>
          <t>DX3000  블랙</t>
        </is>
      </c>
      <c r="D54" s="3" t="inlineStr">
        <is>
          <t>20cm 사출 ASS'Y - 맥스레이</t>
        </is>
      </c>
      <c r="E54" s="23" t="n"/>
    </row>
    <row r="55" ht="48" customHeight="1">
      <c r="A55" s="5" t="inlineStr">
        <is>
          <t>조립</t>
        </is>
      </c>
      <c r="B55" s="5" t="inlineStr">
        <is>
          <t>ASS'Y</t>
        </is>
      </c>
      <c r="C55" s="3" t="inlineStr">
        <is>
          <t>DX3000 화이트</t>
        </is>
      </c>
      <c r="D55" s="3" t="inlineStr">
        <is>
          <t>20cm 사출 ASS'Y 원버튼 _ 사파리용</t>
        </is>
      </c>
      <c r="E55" s="23" t="n"/>
    </row>
    <row r="56" ht="48" customHeight="1">
      <c r="A56" s="5" t="inlineStr">
        <is>
          <t>조립</t>
        </is>
      </c>
      <c r="B56" s="5" t="inlineStr">
        <is>
          <t>ASS'Y</t>
        </is>
      </c>
      <c r="C56" s="3" t="inlineStr">
        <is>
          <t>DX3000  블랙</t>
        </is>
      </c>
      <c r="D56" s="3" t="inlineStr">
        <is>
          <t>기본 사출 ASS'Y _ SMPS용</t>
        </is>
      </c>
      <c r="E56" s="23" t="n"/>
    </row>
    <row r="57" ht="48" customHeight="1">
      <c r="A57" s="5" t="inlineStr">
        <is>
          <t>조립</t>
        </is>
      </c>
      <c r="B57" s="5" t="inlineStr">
        <is>
          <t>ASS'Y</t>
        </is>
      </c>
      <c r="C57" s="3" t="inlineStr">
        <is>
          <t>DX3000  블랙</t>
        </is>
      </c>
      <c r="D57" s="3" t="inlineStr">
        <is>
          <t>사출 ASS'Y _ 태국용</t>
        </is>
      </c>
      <c r="E57" s="23" t="n"/>
    </row>
    <row r="58" ht="48" customHeight="1">
      <c r="A58" s="13" t="inlineStr">
        <is>
          <t>조립</t>
        </is>
      </c>
      <c r="B58" s="13" t="inlineStr">
        <is>
          <t>컬리메이터 적용</t>
        </is>
      </c>
      <c r="C58" s="3" t="inlineStr">
        <is>
          <t>DX3000 블랙 무광</t>
        </is>
      </c>
      <c r="D58" s="3" t="inlineStr">
        <is>
          <t>메디컬용 콘 가이드</t>
        </is>
      </c>
      <c r="E58" s="23" t="n"/>
    </row>
    <row r="59" ht="48" customHeight="1">
      <c r="A59" s="13" t="inlineStr">
        <is>
          <t>조립</t>
        </is>
      </c>
      <c r="B59" s="13" t="inlineStr">
        <is>
          <t>컬리메이터 적용</t>
        </is>
      </c>
      <c r="C59" s="3" t="inlineStr">
        <is>
          <t>DX3000 블랙 무광</t>
        </is>
      </c>
      <c r="D59" s="3" t="inlineStr">
        <is>
          <t>메디컬용 FRONT</t>
        </is>
      </c>
      <c r="E59" s="23" t="n"/>
    </row>
    <row r="60" ht="48" customHeight="1">
      <c r="A60" s="13" t="inlineStr">
        <is>
          <t>조립</t>
        </is>
      </c>
      <c r="B60" s="13" t="inlineStr">
        <is>
          <t>컬리메이터 적용</t>
        </is>
      </c>
      <c r="C60" s="3" t="inlineStr">
        <is>
          <t>DX3000</t>
        </is>
      </c>
      <c r="D60" s="3" t="inlineStr">
        <is>
          <t>아크릴 투명 십자 Panel (66 x 66 mm)</t>
        </is>
      </c>
      <c r="E60" s="23" t="n"/>
    </row>
    <row r="61" ht="48" customHeight="1">
      <c r="A61" s="13" t="inlineStr">
        <is>
          <t>조립</t>
        </is>
      </c>
      <c r="B61" s="13" t="inlineStr">
        <is>
          <t>컬리메이터 적용</t>
        </is>
      </c>
      <c r="C61" s="3" t="inlineStr">
        <is>
          <t>DX3000</t>
        </is>
      </c>
      <c r="D61" s="3" t="inlineStr">
        <is>
          <t>아크릴 은경 40∮</t>
        </is>
      </c>
      <c r="E61" s="23" t="n"/>
    </row>
    <row r="62" ht="48" customHeight="1">
      <c r="A62" s="13" t="inlineStr">
        <is>
          <t>조립</t>
        </is>
      </c>
      <c r="B62" s="13" t="inlineStr">
        <is>
          <t>컬리메이터 적용</t>
        </is>
      </c>
      <c r="C62" s="3" t="inlineStr">
        <is>
          <t>DX3000</t>
        </is>
      </c>
      <c r="D62" s="3" t="inlineStr">
        <is>
          <t>에이밍 알루미늄 플레이트</t>
        </is>
      </c>
      <c r="E62" s="23" t="n"/>
    </row>
    <row r="63" ht="48" customHeight="1">
      <c r="A63" s="13" t="inlineStr">
        <is>
          <t>조립</t>
        </is>
      </c>
      <c r="B63" s="13" t="inlineStr">
        <is>
          <t>컬리메이터 적용</t>
        </is>
      </c>
      <c r="C63" s="3" t="inlineStr">
        <is>
          <t>DX3000</t>
        </is>
      </c>
      <c r="D63" s="3" t="inlineStr">
        <is>
          <t>에이밍 LED BD</t>
        </is>
      </c>
      <c r="E63" s="23" t="n"/>
    </row>
    <row r="64" ht="48" customHeight="1">
      <c r="A64" s="13" t="inlineStr">
        <is>
          <t>조립</t>
        </is>
      </c>
      <c r="B64" s="13" t="inlineStr">
        <is>
          <t>컬리메이터 적용</t>
        </is>
      </c>
      <c r="C64" s="3" t="inlineStr">
        <is>
          <t>DX3000</t>
        </is>
      </c>
      <c r="D64" s="3" t="inlineStr">
        <is>
          <t>에이밍 원형 LED GUIDE</t>
        </is>
      </c>
      <c r="E64" s="23" t="n"/>
    </row>
    <row r="65" ht="48" customHeight="1">
      <c r="A65" s="13" t="inlineStr">
        <is>
          <t>조립</t>
        </is>
      </c>
      <c r="B65" s="13" t="inlineStr">
        <is>
          <t>컬리메이터 적용</t>
        </is>
      </c>
      <c r="C65" s="3" t="inlineStr">
        <is>
          <t>DX3000</t>
        </is>
      </c>
      <c r="D65" s="3" t="inlineStr">
        <is>
          <t>메디컬용 FRONT ASS'Y</t>
        </is>
      </c>
      <c r="E65" s="23" t="n"/>
    </row>
    <row r="66" ht="48" customHeight="1">
      <c r="A66" s="13" t="inlineStr">
        <is>
          <t>조립</t>
        </is>
      </c>
      <c r="B66" s="13" t="inlineStr">
        <is>
          <t>컬리메이터 적용</t>
        </is>
      </c>
      <c r="C66" s="3" t="inlineStr">
        <is>
          <t>DX3000</t>
        </is>
      </c>
      <c r="D66" s="3" t="inlineStr">
        <is>
          <t>에이밍라이트 플레이트 ASS'Y</t>
        </is>
      </c>
      <c r="E66" s="23" t="n"/>
    </row>
    <row r="67" ht="48" customHeight="1">
      <c r="A67" s="13" t="inlineStr">
        <is>
          <t>조립</t>
        </is>
      </c>
      <c r="B67" s="13" t="inlineStr">
        <is>
          <t>컬리메이터 적용</t>
        </is>
      </c>
      <c r="C67" s="3" t="inlineStr">
        <is>
          <t>DX3000 블랙 무광</t>
        </is>
      </c>
      <c r="D67" s="3" t="inlineStr">
        <is>
          <t>메디컬용 FRONT ASS'Y</t>
        </is>
      </c>
      <c r="E67" s="23" t="n"/>
    </row>
    <row r="68" ht="48" customHeight="1">
      <c r="A68" s="13" t="inlineStr">
        <is>
          <t>조립</t>
        </is>
      </c>
      <c r="B68" s="13" t="inlineStr">
        <is>
          <t>컬리메이터 적용</t>
        </is>
      </c>
      <c r="C68" s="3" t="inlineStr">
        <is>
          <t>DX3000 블랙 무광</t>
        </is>
      </c>
      <c r="D68" s="3" t="inlineStr">
        <is>
          <t>메디컬용 사출 ASS'Y</t>
        </is>
      </c>
      <c r="E68" s="23" t="n"/>
    </row>
    <row r="69" ht="48" customHeight="1">
      <c r="A69" s="9" t="inlineStr">
        <is>
          <t>조립</t>
        </is>
      </c>
      <c r="B69" s="9" t="inlineStr">
        <is>
          <t>사출 및 자재</t>
        </is>
      </c>
      <c r="C69" s="3" t="inlineStr">
        <is>
          <t>ADX4000W</t>
        </is>
      </c>
      <c r="D69" s="3" t="inlineStr">
        <is>
          <t>LCD TOP COVER</t>
        </is>
      </c>
      <c r="E69" s="23" t="n"/>
    </row>
    <row r="70" ht="48" customHeight="1">
      <c r="A70" s="9" t="inlineStr">
        <is>
          <t>조립</t>
        </is>
      </c>
      <c r="B70" s="9" t="inlineStr">
        <is>
          <t>사출 및 자재</t>
        </is>
      </c>
      <c r="C70" s="3" t="inlineStr">
        <is>
          <t>ADX4000W</t>
        </is>
      </c>
      <c r="D70" s="3" t="inlineStr">
        <is>
          <t>LCD BOTTOM COVER</t>
        </is>
      </c>
      <c r="E70" s="23" t="n"/>
    </row>
    <row r="71" ht="48" customHeight="1">
      <c r="A71" s="9" t="inlineStr">
        <is>
          <t>조립</t>
        </is>
      </c>
      <c r="B71" s="9" t="inlineStr">
        <is>
          <t>사출 및 자재</t>
        </is>
      </c>
      <c r="C71" s="3" t="inlineStr">
        <is>
          <t>ADX4000W</t>
        </is>
      </c>
      <c r="D71" s="3" t="inlineStr">
        <is>
          <t>TOP BODY</t>
        </is>
      </c>
      <c r="E71" s="23" t="n"/>
    </row>
    <row r="72" ht="48" customHeight="1">
      <c r="A72" s="9" t="inlineStr">
        <is>
          <t>조립</t>
        </is>
      </c>
      <c r="B72" s="9" t="inlineStr">
        <is>
          <t>사출 및 자재</t>
        </is>
      </c>
      <c r="C72" s="3" t="inlineStr">
        <is>
          <t>ADX4000W</t>
        </is>
      </c>
      <c r="D72" s="3" t="inlineStr">
        <is>
          <t>BOTTOM BODY</t>
        </is>
      </c>
      <c r="E72" s="23" t="n"/>
    </row>
    <row r="73" ht="48" customHeight="1">
      <c r="A73" s="9" t="inlineStr">
        <is>
          <t>조립</t>
        </is>
      </c>
      <c r="B73" s="9" t="inlineStr">
        <is>
          <t>사출 및 자재</t>
        </is>
      </c>
      <c r="C73" s="3" t="inlineStr">
        <is>
          <t>ADX4000W</t>
        </is>
      </c>
      <c r="D73" s="3" t="inlineStr">
        <is>
          <t>POWER BUTTON</t>
        </is>
      </c>
      <c r="E73" s="23" t="n"/>
    </row>
    <row r="74" ht="48" customHeight="1">
      <c r="A74" s="9" t="inlineStr">
        <is>
          <t>조립</t>
        </is>
      </c>
      <c r="B74" s="9" t="inlineStr">
        <is>
          <t>사출 및 자재</t>
        </is>
      </c>
      <c r="C74" s="3" t="inlineStr">
        <is>
          <t>ADX4000W</t>
        </is>
      </c>
      <c r="D74" s="3" t="inlineStr">
        <is>
          <t>POWER LED GUIDE</t>
        </is>
      </c>
      <c r="E74" s="23" t="n"/>
    </row>
    <row r="75" ht="48" customHeight="1">
      <c r="A75" s="9" t="inlineStr">
        <is>
          <t>조립</t>
        </is>
      </c>
      <c r="B75" s="9" t="inlineStr">
        <is>
          <t>사출 및 자재</t>
        </is>
      </c>
      <c r="C75" s="3" t="inlineStr">
        <is>
          <t>ADX4000W</t>
        </is>
      </c>
      <c r="D75" s="3" t="inlineStr">
        <is>
          <t>NAVI BUTTON (가운데)</t>
        </is>
      </c>
      <c r="E75" s="23" t="n"/>
    </row>
    <row r="76" ht="48" customHeight="1">
      <c r="A76" s="9" t="inlineStr">
        <is>
          <t>조립</t>
        </is>
      </c>
      <c r="B76" s="9" t="inlineStr">
        <is>
          <t>사출 및 자재</t>
        </is>
      </c>
      <c r="C76" s="3" t="inlineStr">
        <is>
          <t>ADX4000W</t>
        </is>
      </c>
      <c r="D76" s="3" t="inlineStr">
        <is>
          <t>NAVI KEY (방향)</t>
        </is>
      </c>
      <c r="E76" s="23" t="n"/>
    </row>
    <row r="77" ht="48" customHeight="1">
      <c r="A77" s="9" t="inlineStr">
        <is>
          <t>조립</t>
        </is>
      </c>
      <c r="B77" s="9" t="inlineStr">
        <is>
          <t>사출 및 자재</t>
        </is>
      </c>
      <c r="C77" s="3" t="inlineStr">
        <is>
          <t>ADX4000W</t>
        </is>
      </c>
      <c r="D77" s="3" t="inlineStr">
        <is>
          <t>EXPOSE BUTTON</t>
        </is>
      </c>
      <c r="E77" s="23" t="n"/>
    </row>
    <row r="78" ht="48" customHeight="1">
      <c r="A78" s="9" t="inlineStr">
        <is>
          <t>조립</t>
        </is>
      </c>
      <c r="B78" s="9" t="inlineStr">
        <is>
          <t>사출 및 자재</t>
        </is>
      </c>
      <c r="C78" s="3" t="inlineStr">
        <is>
          <t>ADX4000W</t>
        </is>
      </c>
      <c r="D78" s="3" t="inlineStr">
        <is>
          <t>EX LED GUIDE</t>
        </is>
      </c>
      <c r="E78" s="23" t="n"/>
    </row>
    <row r="79" ht="48" customHeight="1">
      <c r="A79" s="9" t="inlineStr">
        <is>
          <t>조립</t>
        </is>
      </c>
      <c r="B79" s="9" t="inlineStr">
        <is>
          <t>사출 및 자재</t>
        </is>
      </c>
      <c r="C79" s="3" t="inlineStr">
        <is>
          <t>ADX4000W</t>
        </is>
      </c>
      <c r="D79" s="3" t="inlineStr">
        <is>
          <t>HAND GUIDE</t>
        </is>
      </c>
      <c r="E79" s="23" t="n"/>
    </row>
    <row r="80" ht="48" customHeight="1">
      <c r="A80" s="9" t="inlineStr">
        <is>
          <t>조립</t>
        </is>
      </c>
      <c r="B80" s="9" t="inlineStr">
        <is>
          <t>사출 및 자재</t>
        </is>
      </c>
      <c r="C80" s="3" t="inlineStr">
        <is>
          <t>ADX4000W</t>
        </is>
      </c>
      <c r="D80" s="3" t="inlineStr">
        <is>
          <t>LCD GUIDE</t>
        </is>
      </c>
      <c r="E80" s="23" t="n"/>
    </row>
    <row r="81" ht="48" customHeight="1">
      <c r="A81" s="9" t="inlineStr">
        <is>
          <t>조립</t>
        </is>
      </c>
      <c r="B81" s="9" t="inlineStr">
        <is>
          <t>사출 및 자재</t>
        </is>
      </c>
      <c r="C81" s="3" t="inlineStr">
        <is>
          <t>ADX4000W</t>
        </is>
      </c>
      <c r="D81" s="3" t="inlineStr">
        <is>
          <t>HINGE GUIDE</t>
        </is>
      </c>
      <c r="E81" s="23" t="n"/>
    </row>
    <row r="82" ht="48" customHeight="1">
      <c r="A82" s="9" t="inlineStr">
        <is>
          <t>조립</t>
        </is>
      </c>
      <c r="B82" s="9" t="inlineStr">
        <is>
          <t>사출 및 자재</t>
        </is>
      </c>
      <c r="C82" s="3" t="inlineStr">
        <is>
          <t>ADX4000W</t>
        </is>
      </c>
      <c r="D82" s="3" t="inlineStr">
        <is>
          <t>데코 가이드</t>
        </is>
      </c>
      <c r="E82" s="23" t="n"/>
    </row>
    <row r="83" ht="48" customHeight="1">
      <c r="A83" s="9" t="inlineStr">
        <is>
          <t>조립</t>
        </is>
      </c>
      <c r="B83" s="9" t="inlineStr">
        <is>
          <t>사출 및 자재</t>
        </is>
      </c>
      <c r="C83" s="3" t="inlineStr">
        <is>
          <t>ADX4000W</t>
        </is>
      </c>
      <c r="D83" s="3" t="inlineStr">
        <is>
          <t>FRONT CONE 일체형</t>
        </is>
      </c>
      <c r="E83" s="23" t="n"/>
    </row>
    <row r="84" ht="48" customHeight="1">
      <c r="A84" s="9" t="inlineStr">
        <is>
          <t>조립</t>
        </is>
      </c>
      <c r="B84" s="9" t="inlineStr">
        <is>
          <t>사출 및 자재</t>
        </is>
      </c>
      <c r="C84" s="3" t="inlineStr">
        <is>
          <t>ADX4000W</t>
        </is>
      </c>
      <c r="D84" s="3" t="inlineStr">
        <is>
          <t>FRONT CONE 체결형</t>
        </is>
      </c>
      <c r="E84" s="23" t="n"/>
    </row>
    <row r="85" ht="48" customHeight="1">
      <c r="A85" s="9" t="inlineStr">
        <is>
          <t>조립</t>
        </is>
      </c>
      <c r="B85" s="9" t="inlineStr">
        <is>
          <t>사출 및 자재</t>
        </is>
      </c>
      <c r="C85" s="3" t="inlineStr">
        <is>
          <t>ADX4000W</t>
        </is>
      </c>
      <c r="D85" s="3" t="inlineStr">
        <is>
          <t>20cm CONE</t>
        </is>
      </c>
      <c r="E85" s="23" t="n"/>
    </row>
    <row r="86" ht="48" customHeight="1">
      <c r="A86" s="9" t="inlineStr">
        <is>
          <t>조립</t>
        </is>
      </c>
      <c r="B86" s="9" t="inlineStr">
        <is>
          <t>사출 및 자재</t>
        </is>
      </c>
      <c r="C86" s="3" t="inlineStr">
        <is>
          <t>ADX4000W</t>
        </is>
      </c>
      <c r="D86" s="3" t="inlineStr">
        <is>
          <t>15cm CONE</t>
        </is>
      </c>
      <c r="E86" s="23" t="n"/>
    </row>
    <row r="87" ht="48" customHeight="1">
      <c r="A87" s="9" t="inlineStr">
        <is>
          <t>조립</t>
        </is>
      </c>
      <c r="B87" s="9" t="inlineStr">
        <is>
          <t>사출 및 자재</t>
        </is>
      </c>
      <c r="C87" s="3" t="inlineStr">
        <is>
          <t>ADX4000W</t>
        </is>
      </c>
      <c r="D87" s="3" t="inlineStr">
        <is>
          <t>BATTERY COVER</t>
        </is>
      </c>
      <c r="E87" s="23" t="n"/>
    </row>
    <row r="88" ht="48" customHeight="1">
      <c r="A88" s="9" t="inlineStr">
        <is>
          <t>조립</t>
        </is>
      </c>
      <c r="B88" s="9" t="inlineStr">
        <is>
          <t>사출 및 자재</t>
        </is>
      </c>
      <c r="C88" s="3" t="inlineStr">
        <is>
          <t>ADX4000W</t>
        </is>
      </c>
      <c r="D88" s="3" t="inlineStr">
        <is>
          <t>USB COVER</t>
        </is>
      </c>
      <c r="E88" s="23" t="n"/>
    </row>
    <row r="89" ht="48" customHeight="1">
      <c r="A89" s="9" t="inlineStr">
        <is>
          <t>조립</t>
        </is>
      </c>
      <c r="B89" s="9" t="inlineStr">
        <is>
          <t>사출 및 자재</t>
        </is>
      </c>
      <c r="C89" s="3" t="inlineStr">
        <is>
          <t>ADX4000W</t>
        </is>
      </c>
      <c r="D89" s="3" t="inlineStr">
        <is>
          <t>HAND STRAP [AL(Cr도금), SUS Φ2.0]-손잡이(터치펜)</t>
        </is>
      </c>
      <c r="E89" s="23" t="n"/>
    </row>
    <row r="90" ht="48" customHeight="1">
      <c r="A90" s="9" t="inlineStr">
        <is>
          <t>조립</t>
        </is>
      </c>
      <c r="B90" s="9" t="inlineStr">
        <is>
          <t>사출 및 자재</t>
        </is>
      </c>
      <c r="C90" s="3" t="inlineStr">
        <is>
          <t>ADX4000W</t>
        </is>
      </c>
      <c r="D90" s="3" t="inlineStr">
        <is>
          <t>NAVI KEY(방향) _ 사파리용</t>
        </is>
      </c>
      <c r="E90" s="23" t="n"/>
    </row>
    <row r="91" ht="48" customHeight="1">
      <c r="A91" s="9" t="inlineStr">
        <is>
          <t>조립</t>
        </is>
      </c>
      <c r="B91" s="9" t="inlineStr">
        <is>
          <t>사출 및 자재</t>
        </is>
      </c>
      <c r="C91" s="3" t="inlineStr">
        <is>
          <t>ADX4000W</t>
        </is>
      </c>
      <c r="D91" s="3" t="inlineStr">
        <is>
          <t>5" LCD 판넬 (SHARF)</t>
        </is>
      </c>
      <c r="E91" s="23" t="n"/>
    </row>
    <row r="92" ht="48" customHeight="1">
      <c r="A92" s="9" t="inlineStr">
        <is>
          <t>조립</t>
        </is>
      </c>
      <c r="B92" s="9" t="inlineStr">
        <is>
          <t>사출 및 자재</t>
        </is>
      </c>
      <c r="C92" s="3" t="inlineStr">
        <is>
          <t>ADX4000W ADX6000</t>
        </is>
      </c>
      <c r="D92" s="3" t="inlineStr">
        <is>
          <t>4.8" LCD 판넬 (SAMSUNG)</t>
        </is>
      </c>
      <c r="E92" s="23" t="n"/>
    </row>
    <row r="93" ht="48" customHeight="1">
      <c r="A93" s="9" t="inlineStr">
        <is>
          <t>조립</t>
        </is>
      </c>
      <c r="B93" s="9" t="inlineStr">
        <is>
          <t>사출 및 자재</t>
        </is>
      </c>
      <c r="C93" s="3" t="inlineStr">
        <is>
          <t>ADX4000W ADX6000</t>
        </is>
      </c>
      <c r="D93" s="3" t="inlineStr">
        <is>
          <t>16GB USB 메모리</t>
        </is>
      </c>
      <c r="E93" s="23" t="n"/>
    </row>
    <row r="94" ht="48" customHeight="1">
      <c r="A94" s="9" t="inlineStr">
        <is>
          <t>조립</t>
        </is>
      </c>
      <c r="B94" s="9" t="inlineStr">
        <is>
          <t>사출 및 자재</t>
        </is>
      </c>
      <c r="C94" s="3" t="inlineStr">
        <is>
          <t>ADX4000W ADX6000</t>
        </is>
      </c>
      <c r="D94" s="3" t="inlineStr">
        <is>
          <t>TP-LINK (WAN1000M)-동글</t>
        </is>
      </c>
      <c r="E94" s="23" t="n"/>
    </row>
    <row r="95" ht="48" customHeight="1">
      <c r="A95" s="9" t="inlineStr">
        <is>
          <t>조립</t>
        </is>
      </c>
      <c r="B95" s="9" t="inlineStr">
        <is>
          <t>사출 및 자재</t>
        </is>
      </c>
      <c r="C95" s="3" t="inlineStr">
        <is>
          <t>ADX4000W ADX6000</t>
        </is>
      </c>
      <c r="D95" s="3" t="inlineStr">
        <is>
          <t>ip TIME 무선 랜카드 [N100UM]</t>
        </is>
      </c>
      <c r="E95" s="23" t="n"/>
    </row>
    <row r="96" ht="48" customHeight="1">
      <c r="A96" s="9" t="inlineStr">
        <is>
          <t>조립</t>
        </is>
      </c>
      <c r="B96" s="9" t="inlineStr">
        <is>
          <t>사출 및 자재</t>
        </is>
      </c>
      <c r="C96" s="3" t="inlineStr">
        <is>
          <t>ADX4000W</t>
        </is>
      </c>
      <c r="D96" s="3" t="inlineStr">
        <is>
          <t>히팅 싱크 구형 (일본 사용)</t>
        </is>
      </c>
      <c r="E96" s="23" t="n"/>
    </row>
    <row r="97" ht="48" customHeight="1">
      <c r="A97" s="9" t="inlineStr">
        <is>
          <t>조립</t>
        </is>
      </c>
      <c r="B97" s="9" t="inlineStr">
        <is>
          <t>사출 및 자재</t>
        </is>
      </c>
      <c r="C97" s="3" t="inlineStr">
        <is>
          <t>ADX4000W</t>
        </is>
      </c>
      <c r="D97" s="3" t="inlineStr">
        <is>
          <t>방열 팬 구형 (일본 사용) [1204KL-01W-B10 5V 0.1A]</t>
        </is>
      </c>
      <c r="E97" s="23" t="n"/>
    </row>
    <row r="98" ht="48" customHeight="1">
      <c r="A98" s="9" t="inlineStr">
        <is>
          <t>조립</t>
        </is>
      </c>
      <c r="B98" s="9" t="inlineStr">
        <is>
          <t>사출 및 자재</t>
        </is>
      </c>
      <c r="C98" s="3" t="inlineStr">
        <is>
          <t>ADX4000W ADX6000</t>
        </is>
      </c>
      <c r="D98" s="3" t="inlineStr">
        <is>
          <t>히팅 패드</t>
        </is>
      </c>
      <c r="E98" s="23" t="n"/>
    </row>
    <row r="99" ht="48" customHeight="1">
      <c r="A99" s="9" t="inlineStr">
        <is>
          <t>조립</t>
        </is>
      </c>
      <c r="B99" s="9" t="inlineStr">
        <is>
          <t>사출 및 자재</t>
        </is>
      </c>
      <c r="C99" s="3" t="inlineStr">
        <is>
          <t>ADX4000W ADX6000</t>
        </is>
      </c>
      <c r="D99" s="3" t="inlineStr">
        <is>
          <t>히팅 싱크 신형</t>
        </is>
      </c>
      <c r="E99" s="23" t="n"/>
    </row>
    <row r="100" ht="48" customHeight="1">
      <c r="A100" s="9" t="inlineStr">
        <is>
          <t>조립</t>
        </is>
      </c>
      <c r="B100" s="9" t="inlineStr">
        <is>
          <t>사출 및 자재</t>
        </is>
      </c>
      <c r="C100" s="3" t="inlineStr">
        <is>
          <t>ADX4000W ADX6000</t>
        </is>
      </c>
      <c r="D100" s="3" t="inlineStr">
        <is>
          <t>방열 팬 신형 [HBD0401005SEM 5V 0.15A]</t>
        </is>
      </c>
      <c r="E100" s="23" t="n"/>
    </row>
    <row r="101" ht="48" customHeight="1">
      <c r="A101" s="9" t="inlineStr">
        <is>
          <t>조립</t>
        </is>
      </c>
      <c r="B101" s="9" t="inlineStr">
        <is>
          <t>사출 및 자재</t>
        </is>
      </c>
      <c r="C101" s="3" t="inlineStr">
        <is>
          <t>ADX4000W ADX6000</t>
        </is>
      </c>
      <c r="D101" s="3" t="inlineStr">
        <is>
          <t>ELECOM WIFI (10DR) [WDC-150SU2M]</t>
        </is>
      </c>
      <c r="E101" s="23" t="n"/>
    </row>
    <row r="102" ht="48" customHeight="1">
      <c r="A102" s="9" t="inlineStr">
        <is>
          <t>조립</t>
        </is>
      </c>
      <c r="B102" s="9" t="inlineStr">
        <is>
          <t>사출 및 자재</t>
        </is>
      </c>
      <c r="C102" s="3" t="inlineStr">
        <is>
          <t>ADX4000W ADX6000</t>
        </is>
      </c>
      <c r="D102" s="3" t="inlineStr">
        <is>
          <t>BUFFALO WIFI [WLI-UC-GNM2]</t>
        </is>
      </c>
      <c r="E102" s="23" t="n"/>
    </row>
    <row r="103" ht="48" customHeight="1">
      <c r="A103" s="4" t="inlineStr">
        <is>
          <t>조립</t>
        </is>
      </c>
      <c r="B103" s="4" t="inlineStr">
        <is>
          <t>보드</t>
        </is>
      </c>
      <c r="C103" s="3" t="inlineStr">
        <is>
          <t>ADX4000W</t>
        </is>
      </c>
      <c r="D103" s="3" t="inlineStr">
        <is>
          <t>NAVI BD _ 사파리용</t>
        </is>
      </c>
      <c r="E103" s="23" t="n"/>
    </row>
    <row r="104" ht="48" customHeight="1">
      <c r="A104" s="4" t="inlineStr">
        <is>
          <t>조립</t>
        </is>
      </c>
      <c r="B104" s="4" t="inlineStr">
        <is>
          <t>보드</t>
        </is>
      </c>
      <c r="C104" s="3" t="inlineStr">
        <is>
          <t>ADX4000W</t>
        </is>
      </c>
      <c r="D104" s="3" t="inlineStr">
        <is>
          <t>4.8" LCD  BD</t>
        </is>
      </c>
      <c r="E104" s="23" t="n"/>
    </row>
    <row r="105" ht="48" customHeight="1">
      <c r="A105" s="4" t="inlineStr">
        <is>
          <t>조립</t>
        </is>
      </c>
      <c r="B105" s="4" t="inlineStr">
        <is>
          <t>보드</t>
        </is>
      </c>
      <c r="C105" s="3" t="inlineStr">
        <is>
          <t>ADX4000W</t>
        </is>
      </c>
      <c r="D105" s="3" t="inlineStr">
        <is>
          <t>POWER BD</t>
        </is>
      </c>
      <c r="E105" s="23" t="n"/>
    </row>
    <row r="106" ht="48" customHeight="1">
      <c r="A106" s="4" t="inlineStr">
        <is>
          <t>조립</t>
        </is>
      </c>
      <c r="B106" s="4" t="inlineStr">
        <is>
          <t>보드</t>
        </is>
      </c>
      <c r="C106" s="3" t="inlineStr">
        <is>
          <t>ADX4000W</t>
        </is>
      </c>
      <c r="D106" s="3" t="inlineStr">
        <is>
          <t>NAVI BD</t>
        </is>
      </c>
      <c r="E106" s="23" t="n"/>
    </row>
    <row r="107" ht="48" customHeight="1">
      <c r="A107" s="4" t="inlineStr">
        <is>
          <t>조립</t>
        </is>
      </c>
      <c r="B107" s="4" t="inlineStr">
        <is>
          <t>보드</t>
        </is>
      </c>
      <c r="C107" s="3" t="inlineStr">
        <is>
          <t>ADX4000W</t>
        </is>
      </c>
      <c r="D107" s="3" t="inlineStr">
        <is>
          <t>EX B/D</t>
        </is>
      </c>
      <c r="E107" s="23" t="n"/>
    </row>
    <row r="108" ht="48" customHeight="1">
      <c r="A108" s="4" t="inlineStr">
        <is>
          <t>조립</t>
        </is>
      </c>
      <c r="B108" s="4" t="inlineStr">
        <is>
          <t>보드</t>
        </is>
      </c>
      <c r="C108" s="3" t="inlineStr">
        <is>
          <t>ADX4000W</t>
        </is>
      </c>
      <c r="D108" s="3" t="inlineStr">
        <is>
          <t>Carrier BD _ KONTRON</t>
        </is>
      </c>
      <c r="E108" s="23" t="n"/>
    </row>
    <row r="109" ht="48" customHeight="1">
      <c r="A109" s="4" t="inlineStr">
        <is>
          <t>조립</t>
        </is>
      </c>
      <c r="B109" s="4" t="inlineStr">
        <is>
          <t>보드</t>
        </is>
      </c>
      <c r="C109" s="3" t="inlineStr">
        <is>
          <t>ADX4000W ADX6000</t>
        </is>
      </c>
      <c r="D109" s="3" t="inlineStr">
        <is>
          <t>Module BD _ KONTRON</t>
        </is>
      </c>
      <c r="E109" s="23" t="n"/>
    </row>
    <row r="110" ht="48" customHeight="1">
      <c r="A110" s="4" t="inlineStr">
        <is>
          <t>조립</t>
        </is>
      </c>
      <c r="B110" s="4" t="inlineStr">
        <is>
          <t>보드</t>
        </is>
      </c>
      <c r="C110" s="3" t="inlineStr">
        <is>
          <t>ADX4000W</t>
        </is>
      </c>
      <c r="D110" s="3" t="inlineStr">
        <is>
          <t>Carrier BD _ DFI</t>
        </is>
      </c>
      <c r="E110" s="23" t="n"/>
    </row>
    <row r="111" ht="48" customHeight="1">
      <c r="A111" s="4" t="inlineStr">
        <is>
          <t>조립</t>
        </is>
      </c>
      <c r="B111" s="4" t="inlineStr">
        <is>
          <t>보드</t>
        </is>
      </c>
      <c r="C111" s="3" t="inlineStr">
        <is>
          <t>ADX4000W ADX6000</t>
        </is>
      </c>
      <c r="D111" s="3" t="inlineStr">
        <is>
          <t>Module BD _ DFI</t>
        </is>
      </c>
      <c r="E111" s="23" t="n"/>
    </row>
    <row r="112" ht="48" customHeight="1">
      <c r="A112" s="4" t="inlineStr">
        <is>
          <t>조립</t>
        </is>
      </c>
      <c r="B112" s="4" t="inlineStr">
        <is>
          <t>보드</t>
        </is>
      </c>
      <c r="C112" s="3" t="inlineStr">
        <is>
          <t>ADX4000W</t>
        </is>
      </c>
      <c r="D112" s="3" t="inlineStr">
        <is>
          <t>USB 메모리 BD _ KONTRON</t>
        </is>
      </c>
      <c r="E112" s="23" t="n"/>
    </row>
    <row r="113" ht="48" customHeight="1">
      <c r="A113" s="4" t="inlineStr">
        <is>
          <t>조립</t>
        </is>
      </c>
      <c r="B113" s="4" t="inlineStr">
        <is>
          <t>보드</t>
        </is>
      </c>
      <c r="C113" s="3" t="inlineStr">
        <is>
          <t>ADX4000W</t>
        </is>
      </c>
      <c r="D113" s="3" t="inlineStr">
        <is>
          <t>USB 메모리 BD _ DFI</t>
        </is>
      </c>
      <c r="E113" s="23" t="n"/>
    </row>
    <row r="114" ht="48" customHeight="1">
      <c r="A114" s="4" t="inlineStr">
        <is>
          <t>조립</t>
        </is>
      </c>
      <c r="B114" s="4" t="inlineStr">
        <is>
          <t>보드</t>
        </is>
      </c>
      <c r="C114" s="3" t="inlineStr">
        <is>
          <t>ADX4000W ADX6000</t>
        </is>
      </c>
      <c r="D114" s="3" t="inlineStr">
        <is>
          <t>큰 페라이트 CAT-1730-0730</t>
        </is>
      </c>
      <c r="E114" s="23" t="n"/>
    </row>
    <row r="115" ht="48" customHeight="1">
      <c r="A115" s="4" t="inlineStr">
        <is>
          <t>조립</t>
        </is>
      </c>
      <c r="B115" s="4" t="inlineStr">
        <is>
          <t>보드</t>
        </is>
      </c>
      <c r="C115" s="3" t="inlineStr">
        <is>
          <t>ADX4000W</t>
        </is>
      </c>
      <c r="D115" s="3" t="inlineStr">
        <is>
          <t>작은 페라이트 ZCAT-1325-0530</t>
        </is>
      </c>
      <c r="E115" s="23" t="n"/>
    </row>
    <row r="116" ht="48" customHeight="1">
      <c r="A116" s="2" t="inlineStr">
        <is>
          <t>조립</t>
        </is>
      </c>
      <c r="B116" s="2" t="inlineStr">
        <is>
          <t>하네스</t>
        </is>
      </c>
      <c r="C116" s="3" t="inlineStr">
        <is>
          <t>ADX4000W ADX6000</t>
        </is>
      </c>
      <c r="D116" s="3" t="inlineStr">
        <is>
          <t>LCD Wire (LVDS) -30핀</t>
        </is>
      </c>
      <c r="E116" s="23" t="n"/>
    </row>
    <row r="117" ht="48" customHeight="1">
      <c r="A117" s="2" t="inlineStr">
        <is>
          <t>조립</t>
        </is>
      </c>
      <c r="B117" s="2" t="inlineStr">
        <is>
          <t>하네스</t>
        </is>
      </c>
      <c r="C117" s="3" t="inlineStr">
        <is>
          <t>ADX4000W</t>
        </is>
      </c>
      <c r="D117" s="3" t="inlineStr">
        <is>
          <t>전원 및 EXP Wire  -8핀</t>
        </is>
      </c>
      <c r="E117" s="23" t="n"/>
    </row>
    <row r="118" ht="48" customHeight="1">
      <c r="A118" s="2" t="inlineStr">
        <is>
          <t>조립</t>
        </is>
      </c>
      <c r="B118" s="2" t="inlineStr">
        <is>
          <t>하네스</t>
        </is>
      </c>
      <c r="C118" s="3" t="inlineStr">
        <is>
          <t>ADX4000W</t>
        </is>
      </c>
      <c r="D118" s="3" t="inlineStr">
        <is>
          <t>NAVIGATION KEY -6핀</t>
        </is>
      </c>
      <c r="E118" s="23" t="n"/>
    </row>
    <row r="119" ht="48" customHeight="1">
      <c r="A119" s="2" t="inlineStr">
        <is>
          <t>조립</t>
        </is>
      </c>
      <c r="B119" s="2" t="inlineStr">
        <is>
          <t>하네스</t>
        </is>
      </c>
      <c r="C119" s="3" t="inlineStr">
        <is>
          <t>ADX4000W</t>
        </is>
      </c>
      <c r="D119" s="3" t="inlineStr">
        <is>
          <t>리모콘 및 관전류 -4핀</t>
        </is>
      </c>
      <c r="E119" s="23" t="n"/>
    </row>
    <row r="120" ht="48" customHeight="1">
      <c r="A120" s="2" t="inlineStr">
        <is>
          <t>조립</t>
        </is>
      </c>
      <c r="B120" s="2" t="inlineStr">
        <is>
          <t>하네스</t>
        </is>
      </c>
      <c r="C120" s="3" t="inlineStr">
        <is>
          <t>ADX4000W</t>
        </is>
      </c>
      <c r="D120" s="3" t="inlineStr">
        <is>
          <t>RS422 통신 및 PC 전원 on/off  -7핀</t>
        </is>
      </c>
      <c r="E120" s="23" t="n"/>
    </row>
    <row r="121" ht="48" customHeight="1">
      <c r="A121" s="2" t="inlineStr">
        <is>
          <t>조립</t>
        </is>
      </c>
      <c r="B121" s="2" t="inlineStr">
        <is>
          <t>하네스</t>
        </is>
      </c>
      <c r="C121" s="3" t="inlineStr">
        <is>
          <t>ADX4000W ADX6000</t>
        </is>
      </c>
      <c r="D121" s="3" t="inlineStr">
        <is>
          <t>Embedded PC 전원 -2핀 (케리어+CTR B/D 연결)</t>
        </is>
      </c>
      <c r="E121" s="23" t="n"/>
    </row>
    <row r="122" ht="48" customHeight="1">
      <c r="A122" s="2" t="inlineStr">
        <is>
          <t>조립</t>
        </is>
      </c>
      <c r="B122" s="2" t="inlineStr">
        <is>
          <t>하네스</t>
        </is>
      </c>
      <c r="C122" s="3" t="inlineStr">
        <is>
          <t>ADX4000W COCOON ADX6000 공용</t>
        </is>
      </c>
      <c r="D122" s="3" t="inlineStr">
        <is>
          <t>12505HS-02+SORDER 200mm 스피커 2핀  (하네스 4-1번)</t>
        </is>
      </c>
      <c r="E122" s="23" t="n"/>
    </row>
    <row r="123" ht="48" customHeight="1">
      <c r="A123" s="2" t="inlineStr">
        <is>
          <t>조립</t>
        </is>
      </c>
      <c r="B123" s="2" t="inlineStr">
        <is>
          <t>하네스</t>
        </is>
      </c>
      <c r="C123" s="3" t="inlineStr">
        <is>
          <t>ADX4000W</t>
        </is>
      </c>
      <c r="D123" s="3" t="inlineStr">
        <is>
          <t>사파리용 NAVI FFC [UL2896-0.5mm*16P*80mm*C]</t>
        </is>
      </c>
      <c r="E123" s="23" t="n"/>
    </row>
    <row r="124" ht="48" customHeight="1">
      <c r="A124" s="2" t="inlineStr">
        <is>
          <t>조립</t>
        </is>
      </c>
      <c r="B124" s="2" t="inlineStr">
        <is>
          <t>하네스</t>
        </is>
      </c>
      <c r="C124" s="3" t="inlineStr">
        <is>
          <t>ADX4000W</t>
        </is>
      </c>
      <c r="D124" s="3" t="inlineStr">
        <is>
          <t>USB Wire -4핀 하네스</t>
        </is>
      </c>
      <c r="E124" s="23" t="n"/>
    </row>
    <row r="125" ht="48" customHeight="1">
      <c r="A125" s="12" t="inlineStr">
        <is>
          <t>조립</t>
        </is>
      </c>
      <c r="B125" s="12" t="inlineStr">
        <is>
          <t>사출 ASS'Y</t>
        </is>
      </c>
      <c r="C125" s="3" t="inlineStr">
        <is>
          <t>ADX4000W</t>
        </is>
      </c>
      <c r="D125" s="3" t="inlineStr">
        <is>
          <t>TOP BODY 사출 ASS'Y</t>
        </is>
      </c>
      <c r="E125" s="23" t="n"/>
    </row>
    <row r="126" ht="48" customHeight="1">
      <c r="A126" s="12" t="inlineStr">
        <is>
          <t>조립</t>
        </is>
      </c>
      <c r="B126" s="12" t="inlineStr">
        <is>
          <t>사출 ASS'Y</t>
        </is>
      </c>
      <c r="C126" s="3" t="inlineStr">
        <is>
          <t>ADX4000W</t>
        </is>
      </c>
      <c r="D126" s="3" t="inlineStr">
        <is>
          <t>BOTTOM BODY 사출 ASS'Y</t>
        </is>
      </c>
      <c r="E126" s="23" t="n"/>
    </row>
    <row r="127" ht="48" customHeight="1">
      <c r="A127" s="12" t="inlineStr">
        <is>
          <t>조립</t>
        </is>
      </c>
      <c r="B127" s="12" t="inlineStr">
        <is>
          <t>사출 ASS'Y</t>
        </is>
      </c>
      <c r="C127" s="3" t="inlineStr">
        <is>
          <t>ADX4000W</t>
        </is>
      </c>
      <c r="D127" s="3" t="inlineStr">
        <is>
          <t>기본 CONE ASS'Y</t>
        </is>
      </c>
      <c r="E127" s="23" t="n"/>
    </row>
    <row r="128" ht="48" customHeight="1">
      <c r="A128" s="12" t="inlineStr">
        <is>
          <t>조립</t>
        </is>
      </c>
      <c r="B128" s="12" t="inlineStr">
        <is>
          <t>사출 ASS'Y</t>
        </is>
      </c>
      <c r="C128" s="3" t="inlineStr">
        <is>
          <t>ADX4000W</t>
        </is>
      </c>
      <c r="D128" s="3" t="inlineStr">
        <is>
          <t>15cm CONE ASS'Y</t>
        </is>
      </c>
      <c r="E128" s="23" t="n"/>
    </row>
    <row r="129" ht="48" customHeight="1">
      <c r="A129" s="12" t="inlineStr">
        <is>
          <t>조립</t>
        </is>
      </c>
      <c r="B129" s="12" t="inlineStr">
        <is>
          <t>사출 ASS'Y</t>
        </is>
      </c>
      <c r="C129" s="3" t="inlineStr">
        <is>
          <t>ADX4000W</t>
        </is>
      </c>
      <c r="D129" s="3" t="inlineStr">
        <is>
          <t>20cm CONE ASS'Y</t>
        </is>
      </c>
      <c r="E129" s="23" t="n"/>
    </row>
    <row r="130" ht="48" customHeight="1">
      <c r="A130" s="11" t="inlineStr">
        <is>
          <t>조립</t>
        </is>
      </c>
      <c r="B130" s="11" t="inlineStr">
        <is>
          <t>모듈 ASS'Y</t>
        </is>
      </c>
      <c r="C130" s="3" t="inlineStr">
        <is>
          <t>ADX4000W</t>
        </is>
      </c>
      <c r="D130" s="3" t="inlineStr">
        <is>
          <t>4.8" LCD  BD  ASS'Y</t>
        </is>
      </c>
      <c r="E130" s="23" t="n"/>
    </row>
    <row r="131" ht="48" customHeight="1">
      <c r="A131" s="11" t="inlineStr">
        <is>
          <t>조립</t>
        </is>
      </c>
      <c r="B131" s="11" t="inlineStr">
        <is>
          <t>모듈 ASS'Y</t>
        </is>
      </c>
      <c r="C131" s="3" t="inlineStr">
        <is>
          <t>ADX4000W</t>
        </is>
      </c>
      <c r="D131" s="3" t="inlineStr">
        <is>
          <t>KONTRON_B/D ASS′Y  (carrier B/D+Module B/D+방열팬+USB B/D)</t>
        </is>
      </c>
      <c r="E131" s="23" t="n"/>
    </row>
    <row r="132" ht="48" customHeight="1">
      <c r="A132" s="11" t="inlineStr">
        <is>
          <t>조립</t>
        </is>
      </c>
      <c r="B132" s="11" t="inlineStr">
        <is>
          <t>모듈 ASS'Y</t>
        </is>
      </c>
      <c r="C132" s="3" t="inlineStr">
        <is>
          <t>ADX4000W</t>
        </is>
      </c>
      <c r="D132" s="3" t="inlineStr">
        <is>
          <t>DFI_B/D ASS′Y  (carrier B/D+Module B/D+방열팬+USB B/D)</t>
        </is>
      </c>
      <c r="E132" s="23" t="n"/>
    </row>
    <row r="133" ht="48" customHeight="1">
      <c r="A133" s="9" t="inlineStr">
        <is>
          <t>조립</t>
        </is>
      </c>
      <c r="B133" s="9" t="inlineStr">
        <is>
          <t>사출 및 자재</t>
        </is>
      </c>
      <c r="C133" s="3" t="inlineStr">
        <is>
          <t>ADX6000 공용</t>
        </is>
      </c>
      <c r="D133" s="3" t="inlineStr">
        <is>
          <t>컬리메이터 TOP 사출</t>
        </is>
      </c>
      <c r="E133" s="23" t="n"/>
    </row>
    <row r="134" ht="48" customHeight="1">
      <c r="A134" s="9" t="inlineStr">
        <is>
          <t>조립</t>
        </is>
      </c>
      <c r="B134" s="9" t="inlineStr">
        <is>
          <t>사출 및 자재</t>
        </is>
      </c>
      <c r="C134" s="3" t="inlineStr">
        <is>
          <t>ADX6000 공용</t>
        </is>
      </c>
      <c r="D134" s="3" t="inlineStr">
        <is>
          <t>컬리메이터 Bottom 사출</t>
        </is>
      </c>
      <c r="E134" s="23" t="n"/>
    </row>
    <row r="135" ht="48" customHeight="1">
      <c r="A135" s="9" t="inlineStr">
        <is>
          <t>조립</t>
        </is>
      </c>
      <c r="B135" s="9" t="inlineStr">
        <is>
          <t>사출 및 자재</t>
        </is>
      </c>
      <c r="C135" s="3" t="inlineStr">
        <is>
          <t>ADX6000 공용</t>
        </is>
      </c>
      <c r="D135" s="3" t="inlineStr">
        <is>
          <t>컬리메이터 콘 가이드</t>
        </is>
      </c>
      <c r="E135" s="23" t="n"/>
    </row>
    <row r="136" ht="48" customHeight="1">
      <c r="A136" s="9" t="inlineStr">
        <is>
          <t>조립</t>
        </is>
      </c>
      <c r="B136" s="9" t="inlineStr">
        <is>
          <t>사출 및 자재</t>
        </is>
      </c>
      <c r="C136" s="3" t="inlineStr">
        <is>
          <t>ADX6000 공용</t>
        </is>
      </c>
      <c r="D136" s="3" t="inlineStr">
        <is>
          <t>컬리메이터 내부하우징 사출</t>
        </is>
      </c>
      <c r="E136" s="23" t="n"/>
    </row>
    <row r="137" ht="48" customHeight="1">
      <c r="A137" s="9" t="inlineStr">
        <is>
          <t>조립</t>
        </is>
      </c>
      <c r="B137" s="9" t="inlineStr">
        <is>
          <t>사출 및 자재</t>
        </is>
      </c>
      <c r="C137" s="3" t="inlineStr">
        <is>
          <t>ADX6000 공용</t>
        </is>
      </c>
      <c r="D137" s="3" t="inlineStr">
        <is>
          <t>컬리메이터 내부브릿지 사출</t>
        </is>
      </c>
      <c r="E137" s="23" t="n"/>
    </row>
    <row r="138" ht="48" customHeight="1">
      <c r="A138" s="9" t="inlineStr">
        <is>
          <t>조립</t>
        </is>
      </c>
      <c r="B138" s="9" t="inlineStr">
        <is>
          <t>사출 및 자재</t>
        </is>
      </c>
      <c r="C138" s="3" t="inlineStr">
        <is>
          <t>ADX6000 공용</t>
        </is>
      </c>
      <c r="D138" s="3" t="inlineStr">
        <is>
          <t>컬리메이터 Mirror 거치대 사출</t>
        </is>
      </c>
      <c r="E138" s="23" t="n"/>
    </row>
    <row r="139" ht="48" customHeight="1">
      <c r="A139" s="9" t="inlineStr">
        <is>
          <t>조립</t>
        </is>
      </c>
      <c r="B139" s="9" t="inlineStr">
        <is>
          <t>사출 및 자재</t>
        </is>
      </c>
      <c r="C139" s="3" t="inlineStr">
        <is>
          <t>ADX6000 공용</t>
        </is>
      </c>
      <c r="D139" s="3" t="inlineStr">
        <is>
          <t>아크릴 은경</t>
        </is>
      </c>
      <c r="E139" s="23" t="n"/>
    </row>
    <row r="140" ht="48" customHeight="1">
      <c r="A140" s="9" t="inlineStr">
        <is>
          <t>조립</t>
        </is>
      </c>
      <c r="B140" s="9" t="inlineStr">
        <is>
          <t>사출 및 자재</t>
        </is>
      </c>
      <c r="C140" s="3" t="inlineStr">
        <is>
          <t>ADX6000 공용</t>
        </is>
      </c>
      <c r="D140" s="3" t="inlineStr">
        <is>
          <t>컬리메이터 LED 알루미늄 가이드</t>
        </is>
      </c>
      <c r="E140" s="23" t="n"/>
    </row>
    <row r="141" ht="48" customHeight="1">
      <c r="A141" s="9" t="inlineStr">
        <is>
          <t>조립</t>
        </is>
      </c>
      <c r="B141" s="9" t="inlineStr">
        <is>
          <t>사출 및 자재</t>
        </is>
      </c>
      <c r="C141" s="3" t="inlineStr">
        <is>
          <t>ADX6000 공용</t>
        </is>
      </c>
      <c r="D141" s="3" t="inlineStr">
        <is>
          <t>컬리메이터 FRONT 사출</t>
        </is>
      </c>
      <c r="E141" s="23" t="n"/>
    </row>
    <row r="142" ht="48" customHeight="1">
      <c r="A142" s="9" t="inlineStr">
        <is>
          <t>조립</t>
        </is>
      </c>
      <c r="B142" s="9" t="inlineStr">
        <is>
          <t>사출 및 자재</t>
        </is>
      </c>
      <c r="C142" s="3" t="inlineStr">
        <is>
          <t>ADX6000 공용</t>
        </is>
      </c>
      <c r="D142" s="3" t="inlineStr">
        <is>
          <t>Base Block</t>
        </is>
      </c>
      <c r="E142" s="23" t="n"/>
    </row>
    <row r="143" ht="48" customHeight="1">
      <c r="A143" s="9" t="inlineStr">
        <is>
          <t>조립</t>
        </is>
      </c>
      <c r="B143" s="9" t="inlineStr">
        <is>
          <t>사출 및 자재</t>
        </is>
      </c>
      <c r="C143" s="3" t="inlineStr">
        <is>
          <t>ADX6000 공용</t>
        </is>
      </c>
      <c r="D143" s="3" t="inlineStr">
        <is>
          <t>Top Block</t>
        </is>
      </c>
      <c r="E143" s="23" t="n"/>
    </row>
    <row r="144" ht="48" customHeight="1">
      <c r="A144" s="9" t="inlineStr">
        <is>
          <t>조립</t>
        </is>
      </c>
      <c r="B144" s="9" t="inlineStr">
        <is>
          <t>사출 및 자재</t>
        </is>
      </c>
      <c r="C144" s="3" t="inlineStr">
        <is>
          <t>ADX6000 공용</t>
        </is>
      </c>
      <c r="D144" s="3" t="inlineStr">
        <is>
          <t>Bottom Blcok</t>
        </is>
      </c>
      <c r="E144" s="23" t="n"/>
    </row>
    <row r="145" ht="48" customHeight="1">
      <c r="A145" s="9" t="inlineStr">
        <is>
          <t>조립</t>
        </is>
      </c>
      <c r="B145" s="9" t="inlineStr">
        <is>
          <t>사출 및 자재</t>
        </is>
      </c>
      <c r="C145" s="3" t="inlineStr">
        <is>
          <t>ADX6000 공용</t>
        </is>
      </c>
      <c r="D145" s="3" t="inlineStr">
        <is>
          <t>Skin Guard Frame</t>
        </is>
      </c>
      <c r="E145" s="23" t="n"/>
    </row>
    <row r="146" ht="48" customHeight="1">
      <c r="A146" s="9" t="inlineStr">
        <is>
          <t>조립</t>
        </is>
      </c>
      <c r="B146" s="9" t="inlineStr">
        <is>
          <t>사출 및 자재</t>
        </is>
      </c>
      <c r="C146" s="3" t="inlineStr">
        <is>
          <t>ADX6000 공용</t>
        </is>
      </c>
      <c r="D146" s="3" t="inlineStr">
        <is>
          <t>아크릴 투명 십자 panel (70 x70 mm)</t>
        </is>
      </c>
      <c r="E146" s="23" t="n"/>
    </row>
    <row r="147" ht="48" customHeight="1">
      <c r="A147" s="9" t="inlineStr">
        <is>
          <t>조립</t>
        </is>
      </c>
      <c r="B147" s="9" t="inlineStr">
        <is>
          <t>사출 및 자재</t>
        </is>
      </c>
      <c r="C147" s="3" t="inlineStr">
        <is>
          <t>ADX6000 공용</t>
        </is>
      </c>
      <c r="D147" s="3" t="inlineStr">
        <is>
          <t>LCD Cover 사출 (white)</t>
        </is>
      </c>
      <c r="E147" s="23" t="n"/>
    </row>
    <row r="148" ht="48" customHeight="1">
      <c r="A148" s="9" t="inlineStr">
        <is>
          <t>조립</t>
        </is>
      </c>
      <c r="B148" s="9" t="inlineStr">
        <is>
          <t>사출 및 자재</t>
        </is>
      </c>
      <c r="C148" s="3" t="inlineStr">
        <is>
          <t>ADX6000 공용</t>
        </is>
      </c>
      <c r="D148" s="3" t="inlineStr">
        <is>
          <t>LCD Inner Cover 사출</t>
        </is>
      </c>
      <c r="E148" s="23" t="n"/>
    </row>
    <row r="149" ht="48" customHeight="1">
      <c r="A149" s="9" t="inlineStr">
        <is>
          <t>조립</t>
        </is>
      </c>
      <c r="B149" s="9" t="inlineStr">
        <is>
          <t>사출 및 자재</t>
        </is>
      </c>
      <c r="C149" s="3" t="inlineStr">
        <is>
          <t>ADX6000 공용</t>
        </is>
      </c>
      <c r="D149" s="3" t="inlineStr">
        <is>
          <t>LCD 힌지 사출 커버 TOP</t>
        </is>
      </c>
      <c r="E149" s="23" t="n"/>
    </row>
    <row r="150" ht="48" customHeight="1">
      <c r="A150" s="9" t="inlineStr">
        <is>
          <t>조립</t>
        </is>
      </c>
      <c r="B150" s="9" t="inlineStr">
        <is>
          <t>사출 및 자재</t>
        </is>
      </c>
      <c r="C150" s="3" t="inlineStr">
        <is>
          <t>ADX6000 공용</t>
        </is>
      </c>
      <c r="D150" s="3" t="inlineStr">
        <is>
          <t>LCD 힌지 사출 커버 BOTTOM</t>
        </is>
      </c>
      <c r="E150" s="23" t="n"/>
    </row>
    <row r="151" ht="48" customHeight="1">
      <c r="A151" s="9" t="inlineStr">
        <is>
          <t>조립</t>
        </is>
      </c>
      <c r="B151" s="9" t="inlineStr">
        <is>
          <t>사출 및 자재</t>
        </is>
      </c>
      <c r="C151" s="3" t="inlineStr">
        <is>
          <t>ADX6000 공용</t>
        </is>
      </c>
      <c r="D151" s="3" t="inlineStr">
        <is>
          <t>LCD HINGE</t>
        </is>
      </c>
      <c r="E151" s="23" t="n"/>
    </row>
    <row r="152" ht="48" customHeight="1">
      <c r="A152" s="9" t="inlineStr">
        <is>
          <t>조립</t>
        </is>
      </c>
      <c r="B152" s="9" t="inlineStr">
        <is>
          <t>사출 및 자재</t>
        </is>
      </c>
      <c r="C152" s="3" t="inlineStr">
        <is>
          <t>ADX6000 공용</t>
        </is>
      </c>
      <c r="D152" s="3" t="inlineStr">
        <is>
          <t>LCD 힌지 가죽 커버</t>
        </is>
      </c>
      <c r="E152" s="23" t="n"/>
    </row>
    <row r="153" ht="48" customHeight="1">
      <c r="A153" s="9" t="inlineStr">
        <is>
          <t>조립</t>
        </is>
      </c>
      <c r="B153" s="9" t="inlineStr">
        <is>
          <t>사출 및 자재</t>
        </is>
      </c>
      <c r="C153" s="3" t="inlineStr">
        <is>
          <t>ADX6000FB ADX6000s</t>
        </is>
      </c>
      <c r="D153" s="3" t="inlineStr">
        <is>
          <t>LCD 아크릴 가이드</t>
        </is>
      </c>
      <c r="E153" s="23" t="n"/>
    </row>
    <row r="154" ht="48" customHeight="1">
      <c r="A154" s="9" t="inlineStr">
        <is>
          <t>조립</t>
        </is>
      </c>
      <c r="B154" s="9" t="inlineStr">
        <is>
          <t>사출 및 자재</t>
        </is>
      </c>
      <c r="C154" s="3" t="inlineStr">
        <is>
          <t>ADX6000FB ADX6000s</t>
        </is>
      </c>
      <c r="D154" s="3" t="inlineStr">
        <is>
          <t>LCD 배젤 스티커</t>
        </is>
      </c>
      <c r="E154" s="23" t="n"/>
    </row>
    <row r="155" ht="48" customHeight="1">
      <c r="A155" s="9" t="inlineStr">
        <is>
          <t>조립</t>
        </is>
      </c>
      <c r="B155" s="9" t="inlineStr">
        <is>
          <t>사출 및 자재</t>
        </is>
      </c>
      <c r="C155" s="3" t="inlineStr">
        <is>
          <t>ADX6000FB ADX6000s</t>
        </is>
      </c>
      <c r="D155" s="3" t="inlineStr">
        <is>
          <t>LCD 배젤 스티커 - 중앙 필름 제거</t>
        </is>
      </c>
      <c r="E155" s="23" t="n"/>
    </row>
    <row r="156" ht="48" customHeight="1">
      <c r="A156" s="9" t="inlineStr">
        <is>
          <t>조립</t>
        </is>
      </c>
      <c r="B156" s="9" t="inlineStr">
        <is>
          <t>사출 및 자재</t>
        </is>
      </c>
      <c r="C156" s="3" t="inlineStr">
        <is>
          <t>ADX6000 공용</t>
        </is>
      </c>
      <c r="D156" s="3" t="inlineStr">
        <is>
          <t>BODY LEFT 사출</t>
        </is>
      </c>
      <c r="E156" s="23" t="n"/>
    </row>
    <row r="157" ht="48" customHeight="1">
      <c r="A157" s="9" t="inlineStr">
        <is>
          <t>조립</t>
        </is>
      </c>
      <c r="B157" s="9" t="inlineStr">
        <is>
          <t>사출 및 자재</t>
        </is>
      </c>
      <c r="C157" s="3" t="inlineStr">
        <is>
          <t>ADX6000 공용</t>
        </is>
      </c>
      <c r="D157" s="3" t="inlineStr">
        <is>
          <t>BODY LEFT 사출 배터리 커버</t>
        </is>
      </c>
      <c r="E157" s="23" t="n"/>
    </row>
    <row r="158" ht="48" customHeight="1">
      <c r="A158" s="9" t="inlineStr">
        <is>
          <t>조립</t>
        </is>
      </c>
      <c r="B158" s="9" t="inlineStr">
        <is>
          <t>사출 및 자재</t>
        </is>
      </c>
      <c r="C158" s="3" t="inlineStr">
        <is>
          <t>ADX6000 공용</t>
        </is>
      </c>
      <c r="D158" s="3" t="inlineStr">
        <is>
          <t>Black Deco Guide</t>
        </is>
      </c>
      <c r="E158" s="23" t="n"/>
    </row>
    <row r="159" ht="48" customHeight="1">
      <c r="A159" s="9" t="inlineStr">
        <is>
          <t>조립</t>
        </is>
      </c>
      <c r="B159" s="9" t="inlineStr">
        <is>
          <t>사출 및 자재</t>
        </is>
      </c>
      <c r="C159" s="3" t="inlineStr">
        <is>
          <t>ADX6000 공용</t>
        </is>
      </c>
      <c r="D159" s="3" t="inlineStr">
        <is>
          <t>Power Button 사출</t>
        </is>
      </c>
      <c r="E159" s="23" t="n"/>
    </row>
    <row r="160" ht="48" customHeight="1">
      <c r="A160" s="9" t="inlineStr">
        <is>
          <t>조립</t>
        </is>
      </c>
      <c r="B160" s="9" t="inlineStr">
        <is>
          <t>사출 및 자재</t>
        </is>
      </c>
      <c r="C160" s="3" t="inlineStr">
        <is>
          <t>ADX6000 ADX6000U</t>
        </is>
      </c>
      <c r="D160" s="3" t="inlineStr">
        <is>
          <t>Micro USB 사출 가이드</t>
        </is>
      </c>
      <c r="E160" s="23" t="n"/>
    </row>
    <row r="161" ht="48" customHeight="1">
      <c r="A161" s="9" t="inlineStr">
        <is>
          <t>조립</t>
        </is>
      </c>
      <c r="B161" s="9" t="inlineStr">
        <is>
          <t>사출 및 자재</t>
        </is>
      </c>
      <c r="C161" s="3" t="inlineStr">
        <is>
          <t>ADX6000 공용</t>
        </is>
      </c>
      <c r="D161" s="3" t="inlineStr">
        <is>
          <t>Main PC 거치대 사출</t>
        </is>
      </c>
      <c r="E161" s="23" t="n"/>
    </row>
    <row r="162" ht="48" customHeight="1">
      <c r="A162" s="9" t="inlineStr">
        <is>
          <t>조립</t>
        </is>
      </c>
      <c r="B162" s="9" t="inlineStr">
        <is>
          <t>사출 및 자재</t>
        </is>
      </c>
      <c r="C162" s="3" t="inlineStr">
        <is>
          <t>ADX6000 공용</t>
        </is>
      </c>
      <c r="D162" s="3" t="inlineStr">
        <is>
          <t>손잡이 핀</t>
        </is>
      </c>
      <c r="E162" s="23" t="n"/>
    </row>
    <row r="163" ht="48" customHeight="1">
      <c r="A163" s="9" t="inlineStr">
        <is>
          <t>조립</t>
        </is>
      </c>
      <c r="B163" s="9" t="inlineStr">
        <is>
          <t>사출 및 자재</t>
        </is>
      </c>
      <c r="C163" s="3" t="inlineStr">
        <is>
          <t>ADX6000 ADX6000U</t>
        </is>
      </c>
      <c r="D163" s="3" t="inlineStr">
        <is>
          <t>Front Port Sticker (전면 포트 스티커)</t>
        </is>
      </c>
      <c r="E163" s="23" t="n"/>
    </row>
    <row r="164" ht="48" customHeight="1">
      <c r="A164" s="9" t="inlineStr">
        <is>
          <t>조립</t>
        </is>
      </c>
      <c r="B164" s="9" t="inlineStr">
        <is>
          <t>사출 및 자재</t>
        </is>
      </c>
      <c r="C164" s="3" t="inlineStr">
        <is>
          <t>ADX6000FB ADX6000s</t>
        </is>
      </c>
      <c r="D164" s="3" t="inlineStr">
        <is>
          <t>ETC FRONT BD  (리모콘 포트 수정 신형 얇은것)</t>
        </is>
      </c>
      <c r="E164" s="23" t="n"/>
    </row>
    <row r="165" ht="48" customHeight="1">
      <c r="A165" s="9" t="inlineStr">
        <is>
          <t>조립</t>
        </is>
      </c>
      <c r="B165" s="9" t="inlineStr">
        <is>
          <t>사출 및 자재</t>
        </is>
      </c>
      <c r="C165" s="3" t="inlineStr">
        <is>
          <t>ADX6000FB ADX6000s</t>
        </is>
      </c>
      <c r="D165" s="3" t="inlineStr">
        <is>
          <t>리모콘 포트 가이드</t>
        </is>
      </c>
      <c r="E165" s="23" t="n"/>
    </row>
    <row r="166" ht="48" customHeight="1">
      <c r="A166" s="9" t="inlineStr">
        <is>
          <t>조립</t>
        </is>
      </c>
      <c r="B166" s="9" t="inlineStr">
        <is>
          <t>사출 및 자재</t>
        </is>
      </c>
      <c r="C166" s="3" t="inlineStr">
        <is>
          <t>ADX6000FB ADX6000s</t>
        </is>
      </c>
      <c r="D166" s="3" t="inlineStr">
        <is>
          <t>Front Port Sticker  (리모콘 포트 수정 신형)</t>
        </is>
      </c>
      <c r="E166" s="23" t="n"/>
    </row>
    <row r="167" ht="48" customHeight="1">
      <c r="A167" s="9" t="inlineStr">
        <is>
          <t>조립</t>
        </is>
      </c>
      <c r="B167" s="9" t="inlineStr">
        <is>
          <t>사출 및 자재</t>
        </is>
      </c>
      <c r="C167" s="3" t="inlineStr">
        <is>
          <t>ADX6000FB ADX6000s</t>
        </is>
      </c>
      <c r="D167" s="3" t="inlineStr">
        <is>
          <t>Front Port Sticker  (USB 포트 제거형)</t>
        </is>
      </c>
      <c r="E167" s="23" t="n"/>
    </row>
    <row r="168" ht="48" customHeight="1">
      <c r="A168" s="9" t="inlineStr">
        <is>
          <t>조립</t>
        </is>
      </c>
      <c r="B168" s="9" t="inlineStr">
        <is>
          <t>사출 및 자재</t>
        </is>
      </c>
      <c r="C168" s="3" t="inlineStr">
        <is>
          <t>ADX6000 공용</t>
        </is>
      </c>
      <c r="D168" s="3" t="inlineStr">
        <is>
          <t>BODY RIGHT 사출</t>
        </is>
      </c>
      <c r="E168" s="23" t="n"/>
    </row>
    <row r="169" ht="48" customHeight="1">
      <c r="A169" s="9" t="inlineStr">
        <is>
          <t>조립</t>
        </is>
      </c>
      <c r="B169" s="9" t="inlineStr">
        <is>
          <t>사출 및 자재</t>
        </is>
      </c>
      <c r="C169" s="3" t="inlineStr">
        <is>
          <t>ADX6000 공용</t>
        </is>
      </c>
      <c r="D169" s="3" t="inlineStr">
        <is>
          <t>HANDLE RIGHT 사출</t>
        </is>
      </c>
      <c r="E169" s="23" t="n"/>
    </row>
    <row r="170" ht="48" customHeight="1">
      <c r="A170" s="9" t="inlineStr">
        <is>
          <t>조립</t>
        </is>
      </c>
      <c r="B170" s="9" t="inlineStr">
        <is>
          <t>사출 및 자재</t>
        </is>
      </c>
      <c r="C170" s="3" t="inlineStr">
        <is>
          <t>ADX6000 공용</t>
        </is>
      </c>
      <c r="D170" s="3" t="inlineStr">
        <is>
          <t>LCD 사출 나사 커버</t>
        </is>
      </c>
      <c r="E170" s="23" t="n"/>
    </row>
    <row r="171" ht="48" customHeight="1">
      <c r="A171" s="9" t="inlineStr">
        <is>
          <t>조립</t>
        </is>
      </c>
      <c r="B171" s="9" t="inlineStr">
        <is>
          <t>사출 및 자재</t>
        </is>
      </c>
      <c r="C171" s="3" t="inlineStr">
        <is>
          <t>ADX6000 공용</t>
        </is>
      </c>
      <c r="D171" s="3" t="inlineStr">
        <is>
          <t>HANDLE LEFT 사출</t>
        </is>
      </c>
      <c r="E171" s="23" t="n"/>
    </row>
    <row r="172" ht="48" customHeight="1">
      <c r="A172" s="9" t="inlineStr">
        <is>
          <t>조립</t>
        </is>
      </c>
      <c r="B172" s="9" t="inlineStr">
        <is>
          <t>사출 및 자재</t>
        </is>
      </c>
      <c r="C172" s="3" t="inlineStr">
        <is>
          <t>ADX6000 공용</t>
        </is>
      </c>
      <c r="D172" s="3" t="inlineStr">
        <is>
          <t>EX Button 사출</t>
        </is>
      </c>
      <c r="E172" s="23" t="n"/>
    </row>
    <row r="173" ht="48" customHeight="1">
      <c r="A173" s="9" t="inlineStr">
        <is>
          <t>조립</t>
        </is>
      </c>
      <c r="B173" s="9" t="inlineStr">
        <is>
          <t>사출 및 자재</t>
        </is>
      </c>
      <c r="C173" s="3" t="inlineStr">
        <is>
          <t>ADX6000 공용</t>
        </is>
      </c>
      <c r="D173" s="3" t="inlineStr">
        <is>
          <t>크래들 TOP 사출</t>
        </is>
      </c>
      <c r="E173" s="23" t="n"/>
    </row>
    <row r="174" ht="48" customHeight="1">
      <c r="A174" s="9" t="inlineStr">
        <is>
          <t>조립</t>
        </is>
      </c>
      <c r="B174" s="9" t="inlineStr">
        <is>
          <t>사출 및 자재</t>
        </is>
      </c>
      <c r="C174" s="3" t="inlineStr">
        <is>
          <t>ADX6000 공용</t>
        </is>
      </c>
      <c r="D174" s="3" t="inlineStr">
        <is>
          <t>크래들 BOTTOM 사출</t>
        </is>
      </c>
      <c r="E174" s="23" t="n"/>
    </row>
    <row r="175" ht="48" customHeight="1">
      <c r="A175" s="9" t="inlineStr">
        <is>
          <t>조립</t>
        </is>
      </c>
      <c r="B175" s="9" t="inlineStr">
        <is>
          <t>사출 및 자재</t>
        </is>
      </c>
      <c r="C175" s="3" t="inlineStr">
        <is>
          <t>ADX6000 공용</t>
        </is>
      </c>
      <c r="D175" s="3" t="inlineStr">
        <is>
          <t>크래들 LED Guide 사출</t>
        </is>
      </c>
      <c r="E175" s="23" t="n"/>
    </row>
    <row r="176" ht="48" customHeight="1">
      <c r="A176" s="9" t="inlineStr">
        <is>
          <t>조립</t>
        </is>
      </c>
      <c r="B176" s="9" t="inlineStr">
        <is>
          <t>사출 및 자재</t>
        </is>
      </c>
      <c r="C176" s="3" t="inlineStr">
        <is>
          <t>ADX6000 공용</t>
        </is>
      </c>
      <c r="D176" s="3" t="inlineStr">
        <is>
          <t>페라이트 코어 [ZCAT 1518-0730]</t>
        </is>
      </c>
      <c r="E176" s="23" t="n"/>
    </row>
    <row r="177" ht="48" customHeight="1">
      <c r="A177" s="9" t="inlineStr">
        <is>
          <t>조립</t>
        </is>
      </c>
      <c r="B177" s="9" t="inlineStr">
        <is>
          <t>사출 및 자재</t>
        </is>
      </c>
      <c r="C177" s="3" t="inlineStr">
        <is>
          <t>ADX6000 공용</t>
        </is>
      </c>
      <c r="D177" s="3" t="inlineStr">
        <is>
          <t>알루미늄 브라켓 6 hole</t>
        </is>
      </c>
      <c r="E177" s="23" t="n"/>
    </row>
    <row r="178" ht="48" customHeight="1">
      <c r="A178" s="9" t="inlineStr">
        <is>
          <t>조립</t>
        </is>
      </c>
      <c r="B178" s="9" t="inlineStr">
        <is>
          <t>사출 및 자재</t>
        </is>
      </c>
      <c r="C178" s="3" t="inlineStr">
        <is>
          <t>ADX6000 ADX6000U</t>
        </is>
      </c>
      <c r="D178" s="3" t="inlineStr">
        <is>
          <t>가죽 손잡이 탈착배터리용 터치펜 O</t>
        </is>
      </c>
      <c r="E178" s="23" t="n"/>
    </row>
    <row r="179" ht="48" customHeight="1">
      <c r="A179" s="9" t="inlineStr">
        <is>
          <t>조립</t>
        </is>
      </c>
      <c r="B179" s="9" t="inlineStr">
        <is>
          <t>사출 및 자재</t>
        </is>
      </c>
      <c r="C179" s="3" t="inlineStr">
        <is>
          <t>ADX6000FB</t>
        </is>
      </c>
      <c r="D179" s="3" t="inlineStr">
        <is>
          <t>가죽 손잡이 탈착배터리용 터치펜 X</t>
        </is>
      </c>
      <c r="E179" s="23" t="n"/>
    </row>
    <row r="180" ht="48" customHeight="1">
      <c r="A180" s="9" t="inlineStr">
        <is>
          <t>조립</t>
        </is>
      </c>
      <c r="B180" s="9" t="inlineStr">
        <is>
          <t>사출 및 자재</t>
        </is>
      </c>
      <c r="C180" s="3" t="inlineStr">
        <is>
          <t>ADX6000FB ADX6000s</t>
        </is>
      </c>
      <c r="D180" s="3" t="inlineStr">
        <is>
          <t>4.3" LCD 판넬 (IEC-266 &amp; IEC-1000 공용)</t>
        </is>
      </c>
      <c r="E180" s="23" t="n"/>
    </row>
    <row r="181" ht="48" customHeight="1">
      <c r="A181" s="4" t="inlineStr">
        <is>
          <t>조립</t>
        </is>
      </c>
      <c r="B181" s="4" t="inlineStr">
        <is>
          <t>보드</t>
        </is>
      </c>
      <c r="C181" s="3" t="inlineStr">
        <is>
          <t>ADX6000FB ADX6000s</t>
        </is>
      </c>
      <c r="D181" s="3" t="inlineStr">
        <is>
          <t>4.3" Module (IEC-266 구형)</t>
        </is>
      </c>
      <c r="E181" s="23" t="n"/>
    </row>
    <row r="182" ht="48" customHeight="1">
      <c r="A182" s="4" t="inlineStr">
        <is>
          <t>조립</t>
        </is>
      </c>
      <c r="B182" s="4" t="inlineStr">
        <is>
          <t>보드</t>
        </is>
      </c>
      <c r="C182" s="3" t="inlineStr">
        <is>
          <t>ADX6000FB ADX6000s</t>
        </is>
      </c>
      <c r="D182" s="3" t="inlineStr">
        <is>
          <t>4.3" Module (IEC-1000 신형)</t>
        </is>
      </c>
      <c r="E182" s="23" t="n"/>
    </row>
    <row r="183" ht="48" customHeight="1">
      <c r="A183" s="4" t="inlineStr">
        <is>
          <t>조립</t>
        </is>
      </c>
      <c r="B183" s="4" t="inlineStr">
        <is>
          <t>보드</t>
        </is>
      </c>
      <c r="C183" s="3" t="inlineStr">
        <is>
          <t>ADX6000FB ADX6000s</t>
        </is>
      </c>
      <c r="D183" s="3" t="inlineStr">
        <is>
          <t>LCD B/D</t>
        </is>
      </c>
      <c r="E183" s="23" t="n"/>
    </row>
    <row r="184" ht="48" customHeight="1">
      <c r="A184" s="4" t="inlineStr">
        <is>
          <t>조립</t>
        </is>
      </c>
      <c r="B184" s="4" t="inlineStr">
        <is>
          <t>보드</t>
        </is>
      </c>
      <c r="C184" s="3" t="inlineStr">
        <is>
          <t>ADX6000 ADX6000U</t>
        </is>
      </c>
      <c r="D184" s="3" t="inlineStr">
        <is>
          <t>LCD B/D</t>
        </is>
      </c>
      <c r="E184" s="23" t="n"/>
    </row>
    <row r="185" ht="48" customHeight="1">
      <c r="A185" s="4" t="inlineStr">
        <is>
          <t>조립</t>
        </is>
      </c>
      <c r="B185" s="4" t="inlineStr">
        <is>
          <t>보드</t>
        </is>
      </c>
      <c r="C185" s="3" t="inlineStr">
        <is>
          <t>ADX6000FB ADX6000s</t>
        </is>
      </c>
      <c r="D185" s="3" t="inlineStr">
        <is>
          <t>ETC CARRIER BD (IEC-1000)</t>
        </is>
      </c>
      <c r="E185" s="23" t="n"/>
    </row>
    <row r="186" ht="48" customHeight="1">
      <c r="A186" s="4" t="inlineStr">
        <is>
          <t>조립</t>
        </is>
      </c>
      <c r="B186" s="4" t="inlineStr">
        <is>
          <t>보드</t>
        </is>
      </c>
      <c r="C186" s="3" t="inlineStr">
        <is>
          <t>ADX6000FB ADX6000s</t>
        </is>
      </c>
      <c r="D186" s="3" t="inlineStr">
        <is>
          <t>ETC CARRIER BD (IEC-266)</t>
        </is>
      </c>
      <c r="E186" s="23" t="n"/>
    </row>
    <row r="187" ht="48" customHeight="1">
      <c r="A187" s="4" t="inlineStr">
        <is>
          <t>조립</t>
        </is>
      </c>
      <c r="B187" s="4" t="inlineStr">
        <is>
          <t>보드</t>
        </is>
      </c>
      <c r="C187" s="3" t="inlineStr">
        <is>
          <t>ADX6000FB ADX6000s</t>
        </is>
      </c>
      <c r="D187" s="3" t="inlineStr">
        <is>
          <t>ETC CARRIER MINI BD</t>
        </is>
      </c>
      <c r="E187" s="23" t="n"/>
    </row>
    <row r="188" ht="48" customHeight="1">
      <c r="A188" s="4" t="inlineStr">
        <is>
          <t>조립</t>
        </is>
      </c>
      <c r="B188" s="4" t="inlineStr">
        <is>
          <t>보드</t>
        </is>
      </c>
      <c r="C188" s="3" t="inlineStr">
        <is>
          <t>ADX6000 ADX6000U</t>
        </is>
      </c>
      <c r="D188" s="3" t="inlineStr">
        <is>
          <t>Carrier B/D (구형 KONTRON)</t>
        </is>
      </c>
      <c r="E188" s="23" t="n"/>
    </row>
    <row r="189" ht="48" customHeight="1">
      <c r="A189" s="4" t="inlineStr">
        <is>
          <t>조립</t>
        </is>
      </c>
      <c r="B189" s="4" t="inlineStr">
        <is>
          <t>보드</t>
        </is>
      </c>
      <c r="C189" s="3" t="inlineStr">
        <is>
          <t>ADX6000 ADX6000U</t>
        </is>
      </c>
      <c r="D189" s="3" t="inlineStr">
        <is>
          <t>Carrier B/D (신형 DFI)</t>
        </is>
      </c>
      <c r="E189" s="23" t="n"/>
    </row>
    <row r="190" ht="48" customHeight="1">
      <c r="A190" s="4" t="inlineStr">
        <is>
          <t>조립</t>
        </is>
      </c>
      <c r="B190" s="4" t="inlineStr">
        <is>
          <t>보드</t>
        </is>
      </c>
      <c r="C190" s="3" t="inlineStr">
        <is>
          <t>ADX6000 공용</t>
        </is>
      </c>
      <c r="D190" s="3" t="inlineStr">
        <is>
          <t>Power Switch B/D</t>
        </is>
      </c>
      <c r="E190" s="23" t="n"/>
    </row>
    <row r="191" ht="48" customHeight="1">
      <c r="A191" s="4" t="inlineStr">
        <is>
          <t>조립</t>
        </is>
      </c>
      <c r="B191" s="4" t="inlineStr">
        <is>
          <t>보드</t>
        </is>
      </c>
      <c r="C191" s="3" t="inlineStr">
        <is>
          <t>ADX6000 ADX6000U</t>
        </is>
      </c>
      <c r="D191" s="3" t="inlineStr">
        <is>
          <t>FRONT CONNECTOR B/D (ADX6000용)</t>
        </is>
      </c>
      <c r="E191" s="23" t="n"/>
    </row>
    <row r="192" ht="48" customHeight="1">
      <c r="A192" s="4" t="inlineStr">
        <is>
          <t>조립</t>
        </is>
      </c>
      <c r="B192" s="4" t="inlineStr">
        <is>
          <t>보드</t>
        </is>
      </c>
      <c r="C192" s="3" t="inlineStr">
        <is>
          <t>ADX6000 ADX6000U</t>
        </is>
      </c>
      <c r="D192" s="3" t="inlineStr">
        <is>
          <t>Front Micro B/D (ADX6000용)</t>
        </is>
      </c>
      <c r="E192" s="23" t="n"/>
    </row>
    <row r="193" ht="48" customHeight="1">
      <c r="A193" s="4" t="inlineStr">
        <is>
          <t>조립</t>
        </is>
      </c>
      <c r="B193" s="4" t="inlineStr">
        <is>
          <t>보드</t>
        </is>
      </c>
      <c r="C193" s="3" t="inlineStr">
        <is>
          <t>ADX6000 공용</t>
        </is>
      </c>
      <c r="D193" s="3" t="inlineStr">
        <is>
          <t>Battery Bridge B/D</t>
        </is>
      </c>
      <c r="E193" s="23" t="n"/>
    </row>
    <row r="194" ht="48" customHeight="1">
      <c r="A194" s="4" t="inlineStr">
        <is>
          <t>조립</t>
        </is>
      </c>
      <c r="B194" s="4" t="inlineStr">
        <is>
          <t>보드</t>
        </is>
      </c>
      <c r="C194" s="3" t="inlineStr">
        <is>
          <t>ADX6000 공용</t>
        </is>
      </c>
      <c r="D194" s="3" t="inlineStr">
        <is>
          <t>Battery Connect B/D</t>
        </is>
      </c>
      <c r="E194" s="23" t="n"/>
    </row>
    <row r="195" ht="48" customHeight="1">
      <c r="A195" s="4" t="inlineStr">
        <is>
          <t>조립</t>
        </is>
      </c>
      <c r="B195" s="4" t="inlineStr">
        <is>
          <t>보드</t>
        </is>
      </c>
      <c r="C195" s="3" t="inlineStr">
        <is>
          <t>ADX6000 공용</t>
        </is>
      </c>
      <c r="D195" s="3" t="inlineStr">
        <is>
          <t>관전류 B/D</t>
        </is>
      </c>
      <c r="E195" s="23" t="n"/>
    </row>
    <row r="196" ht="48" customHeight="1">
      <c r="A196" s="4" t="inlineStr">
        <is>
          <t>조립</t>
        </is>
      </c>
      <c r="B196" s="4" t="inlineStr">
        <is>
          <t>보드</t>
        </is>
      </c>
      <c r="C196" s="3" t="inlineStr">
        <is>
          <t>ADX6000 공용</t>
        </is>
      </c>
      <c r="D196" s="3" t="inlineStr">
        <is>
          <t>EX B/D</t>
        </is>
      </c>
      <c r="E196" s="23" t="n"/>
    </row>
    <row r="197" ht="48" customHeight="1">
      <c r="A197" s="4" t="inlineStr">
        <is>
          <t>조립</t>
        </is>
      </c>
      <c r="B197" s="4" t="inlineStr">
        <is>
          <t>보드</t>
        </is>
      </c>
      <c r="C197" s="3" t="inlineStr">
        <is>
          <t>ADX6000 공용</t>
        </is>
      </c>
      <c r="D197" s="3" t="inlineStr">
        <is>
          <t>Cradle B/D</t>
        </is>
      </c>
      <c r="E197" s="23" t="n"/>
    </row>
    <row r="198" ht="48" customHeight="1">
      <c r="A198" s="2" t="inlineStr">
        <is>
          <t>조립</t>
        </is>
      </c>
      <c r="B198" s="2" t="inlineStr">
        <is>
          <t>하네스</t>
        </is>
      </c>
      <c r="C198" s="3" t="inlineStr">
        <is>
          <t>ADX6000 공용</t>
        </is>
      </c>
      <c r="D198" s="3" t="inlineStr">
        <is>
          <t>컬리메이터 LED B/D (신형 LED 밝기 수정한 것)</t>
        </is>
      </c>
      <c r="E198" s="23" t="n"/>
    </row>
    <row r="199" ht="48" customHeight="1">
      <c r="A199" s="2" t="inlineStr">
        <is>
          <t>조립</t>
        </is>
      </c>
      <c r="B199" s="2" t="inlineStr">
        <is>
          <t>하네스</t>
        </is>
      </c>
      <c r="C199" s="3" t="inlineStr">
        <is>
          <t>ADX6000FB ADX6000s</t>
        </is>
      </c>
      <c r="D199" s="3" t="inlineStr">
        <is>
          <t>CTR, CURRENT, FRONT, PC BD연결 _ 하네스 1번  [ 12505HS-06, 12505HS-04, 12505HS-03, 12505HS-02 (250mm, 140mm, 200mm) ]</t>
        </is>
      </c>
      <c r="E199" s="23" t="n"/>
    </row>
    <row r="200" ht="48" customHeight="1">
      <c r="A200" s="2" t="inlineStr">
        <is>
          <t>조립</t>
        </is>
      </c>
      <c r="B200" s="2" t="inlineStr">
        <is>
          <t>하네스</t>
        </is>
      </c>
      <c r="C200" s="3" t="inlineStr">
        <is>
          <t>ADX6000FB ADX6000s</t>
        </is>
      </c>
      <c r="D200" s="3" t="inlineStr">
        <is>
          <t>CTR, CURRENT, FRONT, PC BD연결 _ 하네스 1-1번  [ 12505HS-06, 12505HS-04, 12505HS-03, 5264-02  (250mm, 140mm, 300mm) ]</t>
        </is>
      </c>
      <c r="E200" s="23" t="n"/>
    </row>
    <row r="201" ht="48" customHeight="1">
      <c r="A201" s="2" t="inlineStr">
        <is>
          <t>조립</t>
        </is>
      </c>
      <c r="B201" s="2" t="inlineStr">
        <is>
          <t>하네스</t>
        </is>
      </c>
      <c r="C201" s="3" t="inlineStr">
        <is>
          <t>ADX6000FB ADX6000s</t>
        </is>
      </c>
      <c r="D201" s="3" t="inlineStr">
        <is>
          <t>PC, FRONT BD 연결 _  하네스 2번 [ 12505HS-04, USB-105 (70mm) ]</t>
        </is>
      </c>
      <c r="E201" s="23" t="n"/>
    </row>
    <row r="202" ht="48" customHeight="1">
      <c r="A202" s="2" t="inlineStr">
        <is>
          <t>조립</t>
        </is>
      </c>
      <c r="B202" s="2" t="inlineStr">
        <is>
          <t>하네스</t>
        </is>
      </c>
      <c r="C202" s="3" t="inlineStr">
        <is>
          <t>ADX6000 공용</t>
        </is>
      </c>
      <c r="D202" s="3" t="inlineStr">
        <is>
          <t>Power&amp;Exp Connector Wire Harness 12pin [170mm,70mm] (하네스 3번)</t>
        </is>
      </c>
      <c r="E202" s="23" t="n"/>
    </row>
    <row r="203" ht="48" customHeight="1">
      <c r="A203" s="2" t="inlineStr">
        <is>
          <t>조립</t>
        </is>
      </c>
      <c r="B203" s="2" t="inlineStr">
        <is>
          <t>하네스</t>
        </is>
      </c>
      <c r="C203" s="3" t="inlineStr">
        <is>
          <t>ADX6000 공용</t>
        </is>
      </c>
      <c r="D203" s="3" t="inlineStr">
        <is>
          <t>컬리메이터 LED Wire Harness 2pin [300mm] (하네스 5번)</t>
        </is>
      </c>
      <c r="E203" s="23" t="n"/>
    </row>
    <row r="204" ht="48" customHeight="1">
      <c r="A204" s="2" t="inlineStr">
        <is>
          <t>조립</t>
        </is>
      </c>
      <c r="B204" s="2" t="inlineStr">
        <is>
          <t>하네스</t>
        </is>
      </c>
      <c r="C204" s="3" t="inlineStr">
        <is>
          <t>ADX6000FB ADX6000s</t>
        </is>
      </c>
      <c r="D204" s="3" t="inlineStr">
        <is>
          <t>PC 전원 케이블 [ SMH250-02 (130mm) ] _ 하네스 6번</t>
        </is>
      </c>
      <c r="E204" s="23" t="n"/>
    </row>
    <row r="205" ht="48" customHeight="1">
      <c r="A205" s="2" t="inlineStr">
        <is>
          <t>조립</t>
        </is>
      </c>
      <c r="B205" s="2" t="inlineStr">
        <is>
          <t>하네스</t>
        </is>
      </c>
      <c r="C205" s="3" t="inlineStr">
        <is>
          <t>ADX6000FB ADX6000s</t>
        </is>
      </c>
      <c r="D205" s="3" t="inlineStr">
        <is>
          <t>DF19G-20S-1C(0.5) (2EA) (160mm) (ADX6000s용) LVDS 케이블 (하네스 7번)</t>
        </is>
      </c>
      <c r="E205" s="23" t="n"/>
    </row>
    <row r="206" ht="48" customHeight="1">
      <c r="A206" s="2" t="inlineStr">
        <is>
          <t>조립</t>
        </is>
      </c>
      <c r="B206" s="2" t="inlineStr">
        <is>
          <t>하네스</t>
        </is>
      </c>
      <c r="C206" s="3" t="inlineStr">
        <is>
          <t>ADX6000FB ADX6000s</t>
        </is>
      </c>
      <c r="D206" s="3" t="inlineStr">
        <is>
          <t>Carrier Mini BD 케이블 _ 하네스 9번    [ 12505HS-03 (100mm) ]</t>
        </is>
      </c>
      <c r="E206" s="23" t="n"/>
    </row>
    <row r="207" ht="48" customHeight="1">
      <c r="A207" s="2" t="inlineStr">
        <is>
          <t>조립</t>
        </is>
      </c>
      <c r="B207" s="2" t="inlineStr">
        <is>
          <t>하네스</t>
        </is>
      </c>
      <c r="C207" s="3" t="inlineStr">
        <is>
          <t>ADX6000FB ADX6000s</t>
        </is>
      </c>
      <c r="D207" s="3" t="inlineStr">
        <is>
          <t>Carrier Mini BD 케이블 _ 하네스 9-1번    [ 12505HS-03 (100mm) ]</t>
        </is>
      </c>
      <c r="E207" s="23" t="n"/>
    </row>
    <row r="208" ht="48" customHeight="1">
      <c r="A208" s="2" t="inlineStr">
        <is>
          <t>조립</t>
        </is>
      </c>
      <c r="B208" s="2" t="inlineStr">
        <is>
          <t>하네스</t>
        </is>
      </c>
      <c r="C208" s="3" t="inlineStr">
        <is>
          <t>ADX6000FB ADX6000s</t>
        </is>
      </c>
      <c r="D208" s="3" t="inlineStr">
        <is>
          <t>PC, CTR BD 연결 _ 하네스 10번  [ CHW0640-03, 1205HS-03 (130mm) ]</t>
        </is>
      </c>
      <c r="E208" s="23" t="n"/>
    </row>
    <row r="209" ht="48" customHeight="1">
      <c r="A209" s="2" t="inlineStr">
        <is>
          <t>조립</t>
        </is>
      </c>
      <c r="B209" s="2" t="inlineStr">
        <is>
          <t>하네스</t>
        </is>
      </c>
      <c r="C209" s="3" t="inlineStr">
        <is>
          <t>ADX6000 공용</t>
        </is>
      </c>
      <c r="D209" s="3" t="inlineStr">
        <is>
          <t>Battery BD 02 Wire Harness [4pin,2pin,Dual] [90mm,80mm] 탈착, 외부 BAT BD 연결 (하네스 11번)</t>
        </is>
      </c>
      <c r="E209" s="23" t="n"/>
    </row>
    <row r="210" ht="48" customHeight="1">
      <c r="A210" s="2" t="inlineStr">
        <is>
          <t>조립</t>
        </is>
      </c>
      <c r="B210" s="2" t="inlineStr">
        <is>
          <t>하네스</t>
        </is>
      </c>
      <c r="C210" s="3" t="inlineStr">
        <is>
          <t>ADX6000 공용</t>
        </is>
      </c>
      <c r="D210" s="3" t="inlineStr">
        <is>
          <t>Battery BD 02 Wire Harness [12505HS-06] [80mm] 탈착 BAT BD 연결 (하네스 11-1번)</t>
        </is>
      </c>
      <c r="E210" s="23" t="n"/>
    </row>
    <row r="211" ht="48" customHeight="1">
      <c r="A211" s="2" t="inlineStr">
        <is>
          <t>조립</t>
        </is>
      </c>
      <c r="B211" s="2" t="inlineStr">
        <is>
          <t>하네스</t>
        </is>
      </c>
      <c r="C211" s="3" t="inlineStr">
        <is>
          <t>ADX6000FB ADX6000s</t>
        </is>
      </c>
      <c r="D211" s="3" t="inlineStr">
        <is>
          <t>40pin FFC Cable (50mm) _ 하네스 14번</t>
        </is>
      </c>
      <c r="E211" s="23" t="n"/>
    </row>
    <row r="212" ht="48" customHeight="1">
      <c r="A212" s="2" t="inlineStr">
        <is>
          <t>조립</t>
        </is>
      </c>
      <c r="B212" s="2" t="inlineStr">
        <is>
          <t>하네스</t>
        </is>
      </c>
      <c r="C212" s="3" t="inlineStr">
        <is>
          <t>ADX6000 공용</t>
        </is>
      </c>
      <c r="D212" s="3" t="inlineStr">
        <is>
          <t>Battery BD 01 Wire Harness 2pin [80mm]</t>
        </is>
      </c>
      <c r="E212" s="23" t="n"/>
    </row>
    <row r="213" ht="48" customHeight="1">
      <c r="A213" s="2" t="inlineStr">
        <is>
          <t>조립</t>
        </is>
      </c>
      <c r="B213" s="2" t="inlineStr">
        <is>
          <t>하네스</t>
        </is>
      </c>
      <c r="C213" s="3" t="inlineStr">
        <is>
          <t>ADX6000 ADX6000U</t>
        </is>
      </c>
      <c r="D213" s="3" t="inlineStr">
        <is>
          <t>PC Connector Wire Harness 7pin  [100mm,140mm,200mm]</t>
        </is>
      </c>
      <c r="E213" s="23" t="n"/>
    </row>
    <row r="214" ht="48" customHeight="1">
      <c r="A214" s="2" t="inlineStr">
        <is>
          <t>조립</t>
        </is>
      </c>
      <c r="B214" s="2" t="inlineStr">
        <is>
          <t>하네스</t>
        </is>
      </c>
      <c r="C214" s="3" t="inlineStr">
        <is>
          <t>ADX6000 ADX6000U</t>
        </is>
      </c>
      <c r="D214" s="3" t="inlineStr">
        <is>
          <t>RS422 통신 Wire Harness 6pin [120mm]</t>
        </is>
      </c>
      <c r="E214" s="23" t="n"/>
    </row>
    <row r="215" ht="48" customHeight="1">
      <c r="A215" s="2" t="inlineStr">
        <is>
          <t>조립</t>
        </is>
      </c>
      <c r="B215" s="2" t="inlineStr">
        <is>
          <t>하네스</t>
        </is>
      </c>
      <c r="C215" s="3" t="inlineStr">
        <is>
          <t>ADX6000 ADX6000U</t>
        </is>
      </c>
      <c r="D215" s="3" t="inlineStr">
        <is>
          <t>USB Connector Wire Harness 4pin [100mm]</t>
        </is>
      </c>
      <c r="E215" s="23" t="n"/>
    </row>
    <row r="216" ht="48" customHeight="1">
      <c r="A216" s="2" t="inlineStr">
        <is>
          <t>조립</t>
        </is>
      </c>
      <c r="B216" s="2" t="inlineStr">
        <is>
          <t>하네스</t>
        </is>
      </c>
      <c r="C216" s="3" t="inlineStr">
        <is>
          <t>ADX6000 ADX6000U</t>
        </is>
      </c>
      <c r="D216" s="3" t="inlineStr">
        <is>
          <t>FFC 16pin [82mm] (ADX6000용)</t>
        </is>
      </c>
      <c r="E216" s="23" t="n"/>
    </row>
    <row r="217" ht="48" customHeight="1">
      <c r="A217" s="2" t="inlineStr">
        <is>
          <t>조립</t>
        </is>
      </c>
      <c r="B217" s="2" t="inlineStr">
        <is>
          <t>하네스</t>
        </is>
      </c>
      <c r="C217" s="3" t="inlineStr">
        <is>
          <t>ADX6000 ADX6000U</t>
        </is>
      </c>
      <c r="D217" s="3" t="inlineStr">
        <is>
          <t>Front USB Wire Harness 4pin [80mm]</t>
        </is>
      </c>
      <c r="E217" s="23" t="n"/>
    </row>
    <row r="218" ht="48" customHeight="1">
      <c r="A218" s="2" t="inlineStr">
        <is>
          <t>조립</t>
        </is>
      </c>
      <c r="B218" s="2" t="inlineStr">
        <is>
          <t>하네스</t>
        </is>
      </c>
      <c r="C218" s="3" t="inlineStr">
        <is>
          <t>ADX6000 공용</t>
        </is>
      </c>
      <c r="D218" s="3" t="inlineStr">
        <is>
          <t>콘 납 부착 ASS'Y</t>
        </is>
      </c>
      <c r="E218" s="23" t="n"/>
    </row>
    <row r="219" ht="48" customHeight="1">
      <c r="A219" s="2" t="inlineStr">
        <is>
          <t>조립</t>
        </is>
      </c>
      <c r="B219" s="2" t="inlineStr">
        <is>
          <t>하네스</t>
        </is>
      </c>
      <c r="C219" s="3" t="inlineStr">
        <is>
          <t>ADX6000 공용</t>
        </is>
      </c>
      <c r="D219" s="3" t="inlineStr">
        <is>
          <t>콘 컬리메이터 ASS'Y</t>
        </is>
      </c>
      <c r="E219" s="23" t="n"/>
    </row>
    <row r="220" ht="48" customHeight="1">
      <c r="A220" s="2" t="inlineStr">
        <is>
          <t>조립</t>
        </is>
      </c>
      <c r="B220" s="2" t="inlineStr">
        <is>
          <t>하네스</t>
        </is>
      </c>
      <c r="C220" s="3" t="inlineStr">
        <is>
          <t>ADX6000 공용</t>
        </is>
      </c>
      <c r="D220" s="3" t="inlineStr">
        <is>
          <t>콘 컬리메이터 ASS'Y + BOTTOM Base block</t>
        </is>
      </c>
      <c r="E220" s="23" t="n"/>
    </row>
    <row r="221" ht="48" customHeight="1">
      <c r="A221" s="2" t="inlineStr">
        <is>
          <t>조립</t>
        </is>
      </c>
      <c r="B221" s="2" t="inlineStr">
        <is>
          <t>하네스</t>
        </is>
      </c>
      <c r="C221" s="3" t="inlineStr">
        <is>
          <t>ADX6000 공용</t>
        </is>
      </c>
      <c r="D221" s="3" t="inlineStr">
        <is>
          <t>컬리메이터 ASS'Y</t>
        </is>
      </c>
      <c r="E221" s="23" t="n"/>
    </row>
    <row r="222" ht="48" customHeight="1">
      <c r="A222" s="2" t="inlineStr">
        <is>
          <t>조립</t>
        </is>
      </c>
      <c r="B222" s="2" t="inlineStr">
        <is>
          <t>하네스</t>
        </is>
      </c>
      <c r="C222" s="3" t="inlineStr">
        <is>
          <t>ADX6000 공용</t>
        </is>
      </c>
      <c r="D222" s="3" t="inlineStr">
        <is>
          <t>컬리메이터 ASS'Y + BOTTOM Base block (더 밝게 수정)</t>
        </is>
      </c>
      <c r="E222" s="23" t="n"/>
    </row>
    <row r="223" ht="48" customHeight="1">
      <c r="A223" s="2" t="inlineStr">
        <is>
          <t>조립</t>
        </is>
      </c>
      <c r="B223" s="2" t="inlineStr">
        <is>
          <t>하네스</t>
        </is>
      </c>
      <c r="C223" s="3" t="inlineStr">
        <is>
          <t>ADX6000 공용</t>
        </is>
      </c>
      <c r="D223" s="3" t="inlineStr">
        <is>
          <t>컬리메이터 ASS'Y + BOTTOM Base block</t>
        </is>
      </c>
      <c r="E223" s="23" t="n"/>
    </row>
    <row r="224" ht="48" customHeight="1">
      <c r="A224" s="2" t="inlineStr">
        <is>
          <t>조립</t>
        </is>
      </c>
      <c r="B224" s="2" t="inlineStr">
        <is>
          <t>하네스</t>
        </is>
      </c>
      <c r="C224" s="3" t="inlineStr">
        <is>
          <t>ADX6000 공용</t>
        </is>
      </c>
      <c r="D224" s="3" t="inlineStr">
        <is>
          <t>컬리메이터 ASS'Y + TOP, BOTTOM Base block</t>
        </is>
      </c>
      <c r="E224" s="23" t="n"/>
    </row>
    <row r="225" ht="48" customHeight="1">
      <c r="A225" s="2" t="inlineStr">
        <is>
          <t>조립</t>
        </is>
      </c>
      <c r="B225" s="2" t="inlineStr">
        <is>
          <t>하네스</t>
        </is>
      </c>
      <c r="C225" s="3" t="inlineStr">
        <is>
          <t>ADX6000 공용</t>
        </is>
      </c>
      <c r="D225" s="3" t="inlineStr">
        <is>
          <t>[CR-ADX] 크래들 ASS'Y</t>
        </is>
      </c>
      <c r="E225" s="23" t="n"/>
    </row>
    <row r="226" ht="48" customHeight="1">
      <c r="A226" s="2" t="inlineStr">
        <is>
          <t>조립</t>
        </is>
      </c>
      <c r="B226" s="2" t="inlineStr">
        <is>
          <t>하네스</t>
        </is>
      </c>
      <c r="C226" s="3" t="inlineStr">
        <is>
          <t>ADX6000 ADX6000U</t>
        </is>
      </c>
      <c r="D226" s="3" t="inlineStr">
        <is>
          <t>LCD ASS'Y</t>
        </is>
      </c>
      <c r="E226" s="23" t="n"/>
    </row>
    <row r="227" ht="48" customHeight="1">
      <c r="A227" s="2" t="inlineStr">
        <is>
          <t>조립</t>
        </is>
      </c>
      <c r="B227" s="2" t="inlineStr">
        <is>
          <t>하네스</t>
        </is>
      </c>
      <c r="C227" s="3" t="inlineStr">
        <is>
          <t>ADX6000 ADX6000U</t>
        </is>
      </c>
      <c r="D227" s="3" t="inlineStr">
        <is>
          <t>Main PC ASS'Y</t>
        </is>
      </c>
      <c r="E227" s="23" t="n"/>
    </row>
    <row r="228" ht="48" customHeight="1">
      <c r="A228" s="2" t="inlineStr">
        <is>
          <t>조립</t>
        </is>
      </c>
      <c r="B228" s="2" t="inlineStr">
        <is>
          <t>하네스</t>
        </is>
      </c>
      <c r="C228" s="3" t="inlineStr">
        <is>
          <t>ADX6000 ADX6000U</t>
        </is>
      </c>
      <c r="D228" s="3" t="inlineStr">
        <is>
          <t>탈착형 BODY LEFT ASS'Y</t>
        </is>
      </c>
      <c r="E228" s="23" t="n"/>
    </row>
    <row r="229" ht="48" customHeight="1">
      <c r="A229" s="2" t="inlineStr">
        <is>
          <t>조립</t>
        </is>
      </c>
      <c r="B229" s="2" t="inlineStr">
        <is>
          <t>하네스</t>
        </is>
      </c>
      <c r="C229" s="3" t="inlineStr">
        <is>
          <t>ADX6000 ADX6000U</t>
        </is>
      </c>
      <c r="D229" s="3" t="inlineStr">
        <is>
          <t>외부형 BODY LEFT ASS'Y</t>
        </is>
      </c>
      <c r="E229" s="23" t="n"/>
    </row>
    <row r="230" ht="48" customHeight="1">
      <c r="A230" s="2" t="inlineStr">
        <is>
          <t>조립</t>
        </is>
      </c>
      <c r="B230" s="2" t="inlineStr">
        <is>
          <t>하네스</t>
        </is>
      </c>
      <c r="C230" s="3" t="inlineStr">
        <is>
          <t>ADX6000FB ADX6000s</t>
        </is>
      </c>
      <c r="D230" s="3" t="inlineStr">
        <is>
          <t>LCD ASS'Y</t>
        </is>
      </c>
      <c r="E230" s="23" t="n"/>
    </row>
    <row r="231" ht="48" customHeight="1">
      <c r="A231" s="2" t="inlineStr">
        <is>
          <t>조립</t>
        </is>
      </c>
      <c r="B231" s="2" t="inlineStr">
        <is>
          <t>하네스</t>
        </is>
      </c>
      <c r="C231" s="3" t="inlineStr">
        <is>
          <t>ADX6000FB ADX6000s</t>
        </is>
      </c>
      <c r="D231" s="3" t="inlineStr">
        <is>
          <t>Main PC ASS'Y (IEC-266 구형)</t>
        </is>
      </c>
      <c r="E231" s="23" t="n"/>
    </row>
    <row r="232" ht="48" customHeight="1">
      <c r="A232" s="2" t="inlineStr">
        <is>
          <t>조립</t>
        </is>
      </c>
      <c r="B232" s="2" t="inlineStr">
        <is>
          <t>하네스</t>
        </is>
      </c>
      <c r="C232" s="3" t="inlineStr">
        <is>
          <t>ADX6000FB ADX6000s</t>
        </is>
      </c>
      <c r="D232" s="3" t="inlineStr">
        <is>
          <t>Main PC ASS'Y (IEC-1000 신형)</t>
        </is>
      </c>
      <c r="E232" s="23" t="n"/>
    </row>
    <row r="233" ht="48" customHeight="1">
      <c r="A233" s="2" t="inlineStr">
        <is>
          <t>조립</t>
        </is>
      </c>
      <c r="B233" s="2" t="inlineStr">
        <is>
          <t>하네스</t>
        </is>
      </c>
      <c r="C233" s="3" t="inlineStr">
        <is>
          <t>ADX6000FB ADX6000s</t>
        </is>
      </c>
      <c r="D233" s="3" t="inlineStr">
        <is>
          <t>탈착형 BODY LEFT ASS'Y</t>
        </is>
      </c>
      <c r="E233" s="23" t="n"/>
    </row>
    <row r="234" ht="48" customHeight="1">
      <c r="A234" s="2" t="inlineStr">
        <is>
          <t>조립</t>
        </is>
      </c>
      <c r="B234" s="2" t="inlineStr">
        <is>
          <t>하네스</t>
        </is>
      </c>
      <c r="C234" s="3" t="inlineStr">
        <is>
          <t>ADX6000FB ADX6000s</t>
        </is>
      </c>
      <c r="D234" s="3" t="inlineStr">
        <is>
          <t>외부형 BODY LEFT ASS'Y</t>
        </is>
      </c>
      <c r="E234" s="23" t="n"/>
    </row>
    <row r="235" ht="48" customHeight="1">
      <c r="A235" s="2" t="inlineStr">
        <is>
          <t>조립</t>
        </is>
      </c>
      <c r="B235" s="2" t="inlineStr">
        <is>
          <t>하네스</t>
        </is>
      </c>
      <c r="C235" s="3" t="inlineStr">
        <is>
          <t>ADX6000 공용</t>
        </is>
      </c>
      <c r="D235" s="3" t="inlineStr">
        <is>
          <t>BODY RIGHT ASS'Y</t>
        </is>
      </c>
      <c r="E235" s="23" t="n"/>
    </row>
    <row r="236" ht="48" customHeight="1">
      <c r="A236" s="2" t="inlineStr">
        <is>
          <t>조립</t>
        </is>
      </c>
      <c r="B236" s="2" t="inlineStr">
        <is>
          <t>하네스</t>
        </is>
      </c>
      <c r="C236" s="3" t="inlineStr">
        <is>
          <t>ADX6000 공용</t>
        </is>
      </c>
      <c r="D236" s="3" t="inlineStr">
        <is>
          <t>BODY RIGHT ASS'Y (관전류 B/D 미포함)</t>
        </is>
      </c>
      <c r="E236" s="23" t="n"/>
    </row>
    <row r="237" ht="48" customHeight="1">
      <c r="A237" s="2" t="inlineStr">
        <is>
          <t>조립</t>
        </is>
      </c>
      <c r="B237" s="2" t="inlineStr">
        <is>
          <t>하네스</t>
        </is>
      </c>
      <c r="C237" s="3" t="inlineStr">
        <is>
          <t>ADX6000FB ADX6000s</t>
        </is>
      </c>
      <c r="D237" s="3" t="inlineStr">
        <is>
          <t>탈착형 BODY LEFT ASS'Y</t>
        </is>
      </c>
      <c r="E237" s="23" t="n"/>
    </row>
    <row r="238" ht="48" customHeight="1">
      <c r="A238" s="2" t="inlineStr">
        <is>
          <t>조립</t>
        </is>
      </c>
      <c r="B238" s="2" t="inlineStr">
        <is>
          <t>하네스</t>
        </is>
      </c>
      <c r="C238" s="3" t="inlineStr">
        <is>
          <t>ADX6000 공용</t>
        </is>
      </c>
      <c r="D238" s="3" t="inlineStr">
        <is>
          <t>컬리메이터 콘 가이드 ASS'Y (납 부착)</t>
        </is>
      </c>
      <c r="E238" s="23" t="n"/>
    </row>
    <row r="239" ht="48" customHeight="1">
      <c r="A239" s="10" t="inlineStr">
        <is>
          <t>조립</t>
        </is>
      </c>
      <c r="B239" s="10" t="inlineStr">
        <is>
          <t>스탠드</t>
        </is>
      </c>
      <c r="C239" s="3" t="inlineStr">
        <is>
          <t>ADX6000 공용</t>
        </is>
      </c>
      <c r="D239" s="3" t="inlineStr">
        <is>
          <t>국내용 스탠드 브라켓 1. BLOCK</t>
        </is>
      </c>
      <c r="E239" s="23" t="n"/>
    </row>
    <row r="240" ht="48" customHeight="1">
      <c r="A240" s="10" t="inlineStr">
        <is>
          <t>조립</t>
        </is>
      </c>
      <c r="B240" s="10" t="inlineStr">
        <is>
          <t>스탠드</t>
        </is>
      </c>
      <c r="C240" s="3" t="inlineStr">
        <is>
          <t>ADX6000 공용</t>
        </is>
      </c>
      <c r="D240" s="3" t="inlineStr">
        <is>
          <t>국내용 스탠드 브라켓 2. ARM</t>
        </is>
      </c>
      <c r="E240" s="23" t="n"/>
    </row>
    <row r="241" ht="48" customHeight="1">
      <c r="A241" s="10" t="inlineStr">
        <is>
          <t>조립</t>
        </is>
      </c>
      <c r="B241" s="10" t="inlineStr">
        <is>
          <t>스탠드</t>
        </is>
      </c>
      <c r="C241" s="3" t="inlineStr">
        <is>
          <t>ADX6000 공용</t>
        </is>
      </c>
      <c r="D241" s="3" t="inlineStr">
        <is>
          <t>국내용 스탠드 브라켓 3. TILT BODY</t>
        </is>
      </c>
      <c r="E241" s="23" t="n"/>
    </row>
    <row r="242" ht="48" customHeight="1">
      <c r="A242" s="10" t="inlineStr">
        <is>
          <t>조립</t>
        </is>
      </c>
      <c r="B242" s="10" t="inlineStr">
        <is>
          <t>스탠드</t>
        </is>
      </c>
      <c r="C242" s="3" t="inlineStr">
        <is>
          <t>ADX6000 공용</t>
        </is>
      </c>
      <c r="D242" s="3" t="inlineStr">
        <is>
          <t>국내용 스탠드 브라켓 4. BASE</t>
        </is>
      </c>
      <c r="E242" s="23" t="n"/>
    </row>
    <row r="243" ht="48" customHeight="1">
      <c r="A243" s="10" t="inlineStr">
        <is>
          <t>조립</t>
        </is>
      </c>
      <c r="B243" s="10" t="inlineStr">
        <is>
          <t>스탠드</t>
        </is>
      </c>
      <c r="C243" s="3" t="inlineStr">
        <is>
          <t>ADX6000 공용</t>
        </is>
      </c>
      <c r="D243" s="3" t="inlineStr">
        <is>
          <t>국내용 스탠드 브라켓 5. SHAFT</t>
        </is>
      </c>
      <c r="E243" s="23" t="n"/>
    </row>
    <row r="244" ht="48" customHeight="1">
      <c r="A244" s="10" t="inlineStr">
        <is>
          <t>조립</t>
        </is>
      </c>
      <c r="B244" s="10" t="inlineStr">
        <is>
          <t>스탠드</t>
        </is>
      </c>
      <c r="C244" s="3" t="inlineStr">
        <is>
          <t>ADX6000 공용</t>
        </is>
      </c>
      <c r="D244" s="3" t="inlineStr">
        <is>
          <t>국내용 스탠드 브라켓 6. PUSH PLATE</t>
        </is>
      </c>
      <c r="E244" s="23" t="n"/>
    </row>
    <row r="245" ht="48" customHeight="1">
      <c r="A245" s="10" t="inlineStr">
        <is>
          <t>조립</t>
        </is>
      </c>
      <c r="B245" s="10" t="inlineStr">
        <is>
          <t>스탠드</t>
        </is>
      </c>
      <c r="C245" s="3" t="inlineStr">
        <is>
          <t>ADX6000 공용</t>
        </is>
      </c>
      <c r="D245" s="3" t="inlineStr">
        <is>
          <t>국내용 스탠드 브라켓 7. EASY LOCK PLATE</t>
        </is>
      </c>
      <c r="E245" s="23" t="n"/>
    </row>
    <row r="246" ht="48" customHeight="1">
      <c r="A246" s="10" t="inlineStr">
        <is>
          <t>조립</t>
        </is>
      </c>
      <c r="B246" s="10" t="inlineStr">
        <is>
          <t>스탠드</t>
        </is>
      </c>
      <c r="C246" s="3" t="inlineStr">
        <is>
          <t>ADX6000 공용</t>
        </is>
      </c>
      <c r="D246" s="3" t="inlineStr">
        <is>
          <t>국내용 스탠드 브라켓 8. MOUNT</t>
        </is>
      </c>
      <c r="E246" s="23" t="n"/>
    </row>
    <row r="247" ht="48" customHeight="1">
      <c r="A247" s="10" t="inlineStr">
        <is>
          <t>조립</t>
        </is>
      </c>
      <c r="B247" s="10" t="inlineStr">
        <is>
          <t>스탠드</t>
        </is>
      </c>
      <c r="C247" s="3" t="inlineStr">
        <is>
          <t>ADX6000 공용</t>
        </is>
      </c>
      <c r="D247" s="3" t="inlineStr">
        <is>
          <t>국내용 스탠드 브라켓 9. 조임 손잡이</t>
        </is>
      </c>
      <c r="E247" s="23" t="n"/>
    </row>
    <row r="248" ht="48" customHeight="1">
      <c r="A248" s="10" t="inlineStr">
        <is>
          <t>조립</t>
        </is>
      </c>
      <c r="B248" s="10" t="inlineStr">
        <is>
          <t>스탠드</t>
        </is>
      </c>
      <c r="C248" s="3" t="inlineStr">
        <is>
          <t>ADX6000 공용</t>
        </is>
      </c>
      <c r="D248" s="3" t="inlineStr">
        <is>
          <t>스탠드 브라켓 조인트 셋트 (브라켓 1~9)</t>
        </is>
      </c>
      <c r="E248" s="23" t="n"/>
    </row>
    <row r="249" ht="48" customHeight="1">
      <c r="A249" s="10" t="inlineStr">
        <is>
          <t>조립</t>
        </is>
      </c>
      <c r="B249" s="10" t="inlineStr">
        <is>
          <t>스탠드</t>
        </is>
      </c>
      <c r="C249" s="3" t="inlineStr">
        <is>
          <t>공용</t>
        </is>
      </c>
      <c r="D249" s="3" t="inlineStr">
        <is>
          <t>AllMyT Stand Base</t>
        </is>
      </c>
      <c r="E249" s="23" t="n"/>
    </row>
    <row r="250" ht="48" customHeight="1">
      <c r="A250" s="10" t="inlineStr">
        <is>
          <t>조립</t>
        </is>
      </c>
      <c r="B250" s="10" t="inlineStr">
        <is>
          <t>스탠드</t>
        </is>
      </c>
      <c r="C250" s="3" t="inlineStr">
        <is>
          <t>공용</t>
        </is>
      </c>
      <c r="D250" s="3" t="inlineStr">
        <is>
          <t>AllMyT Stand Arm 및 Accessory</t>
        </is>
      </c>
      <c r="E250" s="23" t="n"/>
    </row>
    <row r="251" ht="48" customHeight="1">
      <c r="A251" s="10" t="inlineStr">
        <is>
          <t>조립</t>
        </is>
      </c>
      <c r="B251" s="10" t="inlineStr">
        <is>
          <t>스탠드</t>
        </is>
      </c>
      <c r="C251" s="3" t="inlineStr">
        <is>
          <t>ADX6000 공용</t>
        </is>
      </c>
      <c r="D251" s="3" t="inlineStr">
        <is>
          <t>체스트 &amp; 베드 STAND</t>
        </is>
      </c>
      <c r="E251" s="23" t="n"/>
    </row>
    <row r="252" ht="48" customHeight="1">
      <c r="A252" s="10" t="inlineStr">
        <is>
          <t>조립</t>
        </is>
      </c>
      <c r="B252" s="10" t="inlineStr">
        <is>
          <t>스탠드</t>
        </is>
      </c>
      <c r="C252" s="3" t="inlineStr">
        <is>
          <t>ADX6000 공용</t>
        </is>
      </c>
      <c r="D252" s="3" t="inlineStr">
        <is>
          <t>체스트 &amp; 베드 JOINT ARM</t>
        </is>
      </c>
      <c r="E252" s="23" t="n"/>
    </row>
    <row r="253" ht="48" customHeight="1">
      <c r="A253" s="10" t="inlineStr">
        <is>
          <t>조립</t>
        </is>
      </c>
      <c r="B253" s="10" t="inlineStr">
        <is>
          <t>스탠드</t>
        </is>
      </c>
      <c r="C253" s="3" t="inlineStr">
        <is>
          <t>ADX6000 공용</t>
        </is>
      </c>
      <c r="D253" s="3" t="inlineStr">
        <is>
          <t>체스트 &amp; 베드 ARM PIPE</t>
        </is>
      </c>
      <c r="E253" s="23" t="n"/>
    </row>
    <row r="254" ht="48" customHeight="1">
      <c r="A254" s="10" t="inlineStr">
        <is>
          <t>조립</t>
        </is>
      </c>
      <c r="B254" s="10" t="inlineStr">
        <is>
          <t>스탠드</t>
        </is>
      </c>
      <c r="C254" s="3" t="inlineStr">
        <is>
          <t>ADX6000 공용</t>
        </is>
      </c>
      <c r="D254" s="3" t="inlineStr">
        <is>
          <t>체스트 &amp; 베드 FIX BLOCK A, B</t>
        </is>
      </c>
      <c r="E254" s="23" t="n"/>
    </row>
    <row r="255" ht="48" customHeight="1">
      <c r="A255" s="10" t="inlineStr">
        <is>
          <t>조립</t>
        </is>
      </c>
      <c r="B255" s="10" t="inlineStr">
        <is>
          <t>스탠드</t>
        </is>
      </c>
      <c r="C255" s="3" t="inlineStr">
        <is>
          <t>ADX6000 공용</t>
        </is>
      </c>
      <c r="D255" s="3" t="inlineStr">
        <is>
          <t>체스트 &amp; 베드 스탠드 박스 내장재 상, 하판 [230 * 130 * 30T]</t>
        </is>
      </c>
      <c r="E255" s="23" t="n"/>
    </row>
    <row r="256" ht="48" customHeight="1">
      <c r="A256" s="10" t="inlineStr">
        <is>
          <t>조립</t>
        </is>
      </c>
      <c r="B256" s="10" t="inlineStr">
        <is>
          <t>스탠드</t>
        </is>
      </c>
      <c r="C256" s="3" t="inlineStr">
        <is>
          <t>ADX6000 공용</t>
        </is>
      </c>
      <c r="D256" s="3" t="inlineStr">
        <is>
          <t>체스트 &amp; 베드 스탠드 박스 내장재 좌, 우판 [130 * 980 * 30T]</t>
        </is>
      </c>
      <c r="E256" s="23" t="n"/>
    </row>
    <row r="257" ht="48" customHeight="1">
      <c r="A257" s="10" t="inlineStr">
        <is>
          <t>조립</t>
        </is>
      </c>
      <c r="B257" s="10" t="inlineStr">
        <is>
          <t>스탠드</t>
        </is>
      </c>
      <c r="C257" s="3" t="inlineStr">
        <is>
          <t>ADX6000 공용</t>
        </is>
      </c>
      <c r="D257" s="3" t="inlineStr">
        <is>
          <t>체스트 &amp; 베드 스탠드 박스 내장재 전, 후판 [230 * 920 * 30T]</t>
        </is>
      </c>
      <c r="E257" s="23" t="n"/>
    </row>
    <row r="258" ht="48" customHeight="1">
      <c r="A258" s="10" t="inlineStr">
        <is>
          <t>조립</t>
        </is>
      </c>
      <c r="B258" s="10" t="inlineStr">
        <is>
          <t>스탠드</t>
        </is>
      </c>
      <c r="C258" s="3" t="inlineStr">
        <is>
          <t>ADX6000 공용</t>
        </is>
      </c>
      <c r="D258" s="3" t="inlineStr">
        <is>
          <t>체스트 &amp; 베드 스탠드 박스 [1000 * 300 * 160]</t>
        </is>
      </c>
      <c r="E258" s="23" t="n"/>
    </row>
    <row r="259" ht="48" customHeight="1">
      <c r="A259" s="10" t="inlineStr">
        <is>
          <t>조립</t>
        </is>
      </c>
      <c r="B259" s="10" t="inlineStr">
        <is>
          <t>스탠드</t>
        </is>
      </c>
      <c r="C259" s="3" t="inlineStr">
        <is>
          <t>ADX6000 공용</t>
        </is>
      </c>
      <c r="D259" s="3" t="inlineStr">
        <is>
          <t>접이식 정형외과용 스탠드 세트</t>
        </is>
      </c>
      <c r="E259" s="23" t="n"/>
    </row>
    <row r="260" ht="48" customHeight="1">
      <c r="A260" s="7" t="inlineStr">
        <is>
          <t>조립</t>
        </is>
      </c>
      <c r="B260" s="7" t="inlineStr">
        <is>
          <t>홀드</t>
        </is>
      </c>
      <c r="C260" s="3" t="inlineStr">
        <is>
          <t>DX3000</t>
        </is>
      </c>
      <c r="D260" s="3" t="inlineStr">
        <is>
          <t>스탠드 홀드 (메탈)</t>
        </is>
      </c>
      <c r="E260" s="23" t="n"/>
    </row>
    <row r="261" ht="48" customHeight="1">
      <c r="A261" s="7" t="inlineStr">
        <is>
          <t>조립</t>
        </is>
      </c>
      <c r="B261" s="7" t="inlineStr">
        <is>
          <t>홀드</t>
        </is>
      </c>
      <c r="C261" s="3" t="inlineStr">
        <is>
          <t>ADX4000W</t>
        </is>
      </c>
      <c r="D261" s="3" t="inlineStr">
        <is>
          <t>스탠드 홀드 (메탈)</t>
        </is>
      </c>
      <c r="E261" s="23" t="n"/>
    </row>
    <row r="262" ht="48" customHeight="1">
      <c r="A262" s="7" t="inlineStr">
        <is>
          <t>조립</t>
        </is>
      </c>
      <c r="B262" s="7" t="inlineStr">
        <is>
          <t>홀드</t>
        </is>
      </c>
      <c r="C262" s="3" t="inlineStr">
        <is>
          <t>ADX4000W</t>
        </is>
      </c>
      <c r="D262" s="3" t="inlineStr">
        <is>
          <t>스탠드 홀드 브라켓 (흰색)</t>
        </is>
      </c>
      <c r="E262" s="23" t="n"/>
    </row>
    <row r="263" ht="48" customHeight="1">
      <c r="A263" s="14" t="inlineStr">
        <is>
          <t>조립</t>
        </is>
      </c>
      <c r="B263" s="14" t="inlineStr">
        <is>
          <t>판넬</t>
        </is>
      </c>
      <c r="C263" s="3" t="inlineStr">
        <is>
          <t>COCOON</t>
        </is>
      </c>
      <c r="D263" s="3" t="inlineStr">
        <is>
          <t>OLED PANEL</t>
        </is>
      </c>
      <c r="E263" s="23" t="n"/>
    </row>
    <row r="264" ht="48" customHeight="1">
      <c r="A264" s="14" t="inlineStr">
        <is>
          <t>조립</t>
        </is>
      </c>
      <c r="B264" s="14" t="inlineStr">
        <is>
          <t>판넬</t>
        </is>
      </c>
      <c r="C264" s="3" t="inlineStr">
        <is>
          <t>COCOON</t>
        </is>
      </c>
      <c r="D264" s="3" t="inlineStr">
        <is>
          <t>OLED GUIDE 사출</t>
        </is>
      </c>
      <c r="E264" s="23" t="n"/>
    </row>
    <row r="265" ht="48" customHeight="1">
      <c r="A265" s="8" t="inlineStr">
        <is>
          <t>조립</t>
        </is>
      </c>
      <c r="B265" s="8" t="inlineStr">
        <is>
          <t>사출</t>
        </is>
      </c>
      <c r="C265" s="3" t="inlineStr">
        <is>
          <t>COCOON  메탈 실버 유광</t>
        </is>
      </c>
      <c r="D265" s="3" t="inlineStr">
        <is>
          <t>TOP BODY 사출</t>
        </is>
      </c>
      <c r="E265" s="23" t="n"/>
    </row>
    <row r="266" ht="48" customHeight="1">
      <c r="A266" s="8" t="inlineStr">
        <is>
          <t>조립</t>
        </is>
      </c>
      <c r="B266" s="8" t="inlineStr">
        <is>
          <t>사출</t>
        </is>
      </c>
      <c r="C266" s="3" t="inlineStr">
        <is>
          <t>COCOON  메탈 실버 유광</t>
        </is>
      </c>
      <c r="D266" s="3" t="inlineStr">
        <is>
          <t>TOP BODY 사출 (cocoon로고 없음)</t>
        </is>
      </c>
      <c r="E266" s="23" t="n"/>
    </row>
    <row r="267" ht="48" customHeight="1">
      <c r="A267" s="8" t="inlineStr">
        <is>
          <t>조립</t>
        </is>
      </c>
      <c r="B267" s="8" t="inlineStr">
        <is>
          <t>사출</t>
        </is>
      </c>
      <c r="C267" s="3" t="inlineStr">
        <is>
          <t>COCOON 블랙 유광</t>
        </is>
      </c>
      <c r="D267" s="3" t="inlineStr">
        <is>
          <t>BOTTOM BODY 사출</t>
        </is>
      </c>
      <c r="E267" s="23" t="n"/>
    </row>
    <row r="268" ht="48" customHeight="1">
      <c r="A268" s="8" t="inlineStr">
        <is>
          <t>조립</t>
        </is>
      </c>
      <c r="B268" s="8" t="inlineStr">
        <is>
          <t>사출</t>
        </is>
      </c>
      <c r="C268" s="3" t="inlineStr">
        <is>
          <t>COCOON  메탈 실버 유광</t>
        </is>
      </c>
      <c r="D268" s="3" t="inlineStr">
        <is>
          <t>POWER BUTTON 사출</t>
        </is>
      </c>
      <c r="E268" s="23" t="n"/>
    </row>
    <row r="269" ht="48" customHeight="1">
      <c r="A269" s="8" t="inlineStr">
        <is>
          <t>조립</t>
        </is>
      </c>
      <c r="B269" s="8" t="inlineStr">
        <is>
          <t>사출</t>
        </is>
      </c>
      <c r="C269" s="3" t="inlineStr">
        <is>
          <t>COCOON</t>
        </is>
      </c>
      <c r="D269" s="3" t="inlineStr">
        <is>
          <t>BUTTON INDICATOR</t>
        </is>
      </c>
      <c r="E269" s="23" t="n"/>
    </row>
    <row r="270" ht="48" customHeight="1">
      <c r="A270" s="8" t="inlineStr">
        <is>
          <t>조립</t>
        </is>
      </c>
      <c r="B270" s="8" t="inlineStr">
        <is>
          <t>사출</t>
        </is>
      </c>
      <c r="C270" s="3" t="inlineStr">
        <is>
          <t>COCOON</t>
        </is>
      </c>
      <c r="D270" s="3" t="inlineStr">
        <is>
          <t>TOUCH DUMMY</t>
        </is>
      </c>
      <c r="E270" s="23" t="n"/>
    </row>
    <row r="271" ht="48" customHeight="1">
      <c r="A271" s="8" t="inlineStr">
        <is>
          <t>조립</t>
        </is>
      </c>
      <c r="B271" s="8" t="inlineStr">
        <is>
          <t>사출</t>
        </is>
      </c>
      <c r="C271" s="3" t="inlineStr">
        <is>
          <t>COCOON</t>
        </is>
      </c>
      <c r="D271" s="3" t="inlineStr">
        <is>
          <t>D링 고리</t>
        </is>
      </c>
      <c r="E271" s="23" t="n"/>
    </row>
    <row r="272" ht="48" customHeight="1">
      <c r="A272" s="8" t="inlineStr">
        <is>
          <t>조립</t>
        </is>
      </c>
      <c r="B272" s="8" t="inlineStr">
        <is>
          <t>사출</t>
        </is>
      </c>
      <c r="C272" s="3" t="inlineStr">
        <is>
          <t>COCOON  메탈 실버</t>
        </is>
      </c>
      <c r="D272" s="3" t="inlineStr">
        <is>
          <t>LOCK KNOB</t>
        </is>
      </c>
      <c r="E272" s="23" t="n"/>
    </row>
    <row r="273" ht="48" customHeight="1">
      <c r="A273" s="8" t="inlineStr">
        <is>
          <t>조립</t>
        </is>
      </c>
      <c r="B273" s="8" t="inlineStr">
        <is>
          <t>사출</t>
        </is>
      </c>
      <c r="C273" s="3" t="inlineStr">
        <is>
          <t>COCOON  메탈 실버</t>
        </is>
      </c>
      <c r="D273" s="3" t="inlineStr">
        <is>
          <t>LOCK INNER</t>
        </is>
      </c>
      <c r="E273" s="23" t="n"/>
    </row>
    <row r="274" ht="48" customHeight="1">
      <c r="A274" s="17" t="inlineStr">
        <is>
          <t>조립</t>
        </is>
      </c>
      <c r="B274" s="17" t="inlineStr">
        <is>
          <t>손잡이</t>
        </is>
      </c>
      <c r="C274" s="3" t="inlineStr">
        <is>
          <t>COCOON  메탈 실버 유광</t>
        </is>
      </c>
      <c r="D274" s="3" t="inlineStr">
        <is>
          <t>HAND BODY 사출</t>
        </is>
      </c>
      <c r="E274" s="23" t="n"/>
    </row>
    <row r="275" ht="48" customHeight="1">
      <c r="A275" s="17" t="inlineStr">
        <is>
          <t>조립</t>
        </is>
      </c>
      <c r="B275" s="17" t="inlineStr">
        <is>
          <t>손잡이</t>
        </is>
      </c>
      <c r="C275" s="3" t="inlineStr">
        <is>
          <t>COCOON  메탈 실버</t>
        </is>
      </c>
      <c r="D275" s="3" t="inlineStr">
        <is>
          <t>HAND TOP COVER 사출</t>
        </is>
      </c>
      <c r="E275" s="23" t="n"/>
    </row>
    <row r="276" ht="48" customHeight="1">
      <c r="A276" s="17" t="inlineStr">
        <is>
          <t>조립</t>
        </is>
      </c>
      <c r="B276" s="17" t="inlineStr">
        <is>
          <t>손잡이</t>
        </is>
      </c>
      <c r="C276" s="3" t="inlineStr">
        <is>
          <t>COCOON</t>
        </is>
      </c>
      <c r="D276" s="3" t="inlineStr">
        <is>
          <t>SHOT BUTTON 사출</t>
        </is>
      </c>
      <c r="E276" s="23" t="n"/>
    </row>
    <row r="277" ht="48" customHeight="1">
      <c r="A277" s="17" t="inlineStr">
        <is>
          <t>조립</t>
        </is>
      </c>
      <c r="B277" s="17" t="inlineStr">
        <is>
          <t>손잡이</t>
        </is>
      </c>
      <c r="C277" s="3" t="inlineStr">
        <is>
          <t>COCOON</t>
        </is>
      </c>
      <c r="D277" s="3" t="inlineStr">
        <is>
          <t>SHOT PCB GUIDE 사출</t>
        </is>
      </c>
      <c r="E277" s="23" t="n"/>
    </row>
    <row r="278" ht="48" customHeight="1">
      <c r="A278" s="17" t="inlineStr">
        <is>
          <t>조립</t>
        </is>
      </c>
      <c r="B278" s="17" t="inlineStr">
        <is>
          <t>손잡이</t>
        </is>
      </c>
      <c r="C278" s="3" t="inlineStr">
        <is>
          <t>COCOON 레드 유광</t>
        </is>
      </c>
      <c r="D278" s="3" t="inlineStr">
        <is>
          <t>SLIDE SWITCH 사출</t>
        </is>
      </c>
      <c r="E278" s="23" t="n"/>
    </row>
    <row r="279" ht="48" customHeight="1">
      <c r="A279" s="17" t="inlineStr">
        <is>
          <t>조립</t>
        </is>
      </c>
      <c r="B279" s="17" t="inlineStr">
        <is>
          <t>손잡이</t>
        </is>
      </c>
      <c r="C279" s="3" t="inlineStr">
        <is>
          <t>COCOON 레드 유광</t>
        </is>
      </c>
      <c r="D279" s="3" t="inlineStr">
        <is>
          <t>SLIDE CAP</t>
        </is>
      </c>
      <c r="E279" s="23" t="n"/>
    </row>
    <row r="280" ht="48" customHeight="1">
      <c r="A280" s="17" t="inlineStr">
        <is>
          <t>조립</t>
        </is>
      </c>
      <c r="B280" s="17" t="inlineStr">
        <is>
          <t>손잡이</t>
        </is>
      </c>
      <c r="C280" s="3" t="inlineStr">
        <is>
          <t>COCOON   블랙 유광</t>
        </is>
      </c>
      <c r="D280" s="3" t="inlineStr">
        <is>
          <t>BAT BOTTOM</t>
        </is>
      </c>
      <c r="E280" s="23" t="n"/>
    </row>
    <row r="281" ht="48" customHeight="1">
      <c r="A281" s="17" t="inlineStr">
        <is>
          <t>조립</t>
        </is>
      </c>
      <c r="B281" s="17" t="inlineStr">
        <is>
          <t>손잡이</t>
        </is>
      </c>
      <c r="C281" s="3" t="inlineStr">
        <is>
          <t>COCOON</t>
        </is>
      </c>
      <c r="D281" s="3" t="inlineStr">
        <is>
          <t>EXP BUTTON 스프링</t>
        </is>
      </c>
      <c r="E281" s="23" t="n"/>
    </row>
    <row r="282" ht="48" customHeight="1">
      <c r="A282" s="17" t="inlineStr">
        <is>
          <t>조립</t>
        </is>
      </c>
      <c r="B282" s="17" t="inlineStr">
        <is>
          <t>손잡이</t>
        </is>
      </c>
      <c r="C282" s="3" t="inlineStr">
        <is>
          <t>COCOON</t>
        </is>
      </c>
      <c r="D282" s="3" t="inlineStr">
        <is>
          <t>BAT BOTTOM RUBBER</t>
        </is>
      </c>
      <c r="E282" s="23" t="n"/>
    </row>
    <row r="283" ht="48" customHeight="1">
      <c r="A283" s="17" t="inlineStr">
        <is>
          <t>조립</t>
        </is>
      </c>
      <c r="B283" s="17" t="inlineStr">
        <is>
          <t>손잡이</t>
        </is>
      </c>
      <c r="C283" s="3" t="inlineStr">
        <is>
          <t>COCOON</t>
        </is>
      </c>
      <c r="D283" s="3" t="inlineStr">
        <is>
          <t>내부 배터리 [PF605060HP]</t>
        </is>
      </c>
      <c r="E283" s="23" t="n"/>
    </row>
    <row r="284" ht="48" customHeight="1">
      <c r="A284" s="16" t="inlineStr">
        <is>
          <t>조립</t>
        </is>
      </c>
      <c r="B284" s="16" t="inlineStr">
        <is>
          <t>크래들</t>
        </is>
      </c>
      <c r="C284" s="3" t="inlineStr">
        <is>
          <t>COCOON  블랙 유광</t>
        </is>
      </c>
      <c r="D284" s="3" t="inlineStr">
        <is>
          <t>CRADLE BODY 사출</t>
        </is>
      </c>
      <c r="E284" s="23" t="n"/>
    </row>
    <row r="285" ht="48" customHeight="1">
      <c r="A285" s="16" t="inlineStr">
        <is>
          <t>조립</t>
        </is>
      </c>
      <c r="B285" s="16" t="inlineStr">
        <is>
          <t>크래들</t>
        </is>
      </c>
      <c r="C285" s="3" t="inlineStr">
        <is>
          <t>COCOON  블랙 유광</t>
        </is>
      </c>
      <c r="D285" s="3" t="inlineStr">
        <is>
          <t>CRADLE BOTTOM 사출</t>
        </is>
      </c>
      <c r="E285" s="23" t="n"/>
    </row>
    <row r="286" ht="48" customHeight="1">
      <c r="A286" s="16" t="inlineStr">
        <is>
          <t>조립</t>
        </is>
      </c>
      <c r="B286" s="16" t="inlineStr">
        <is>
          <t>크래들</t>
        </is>
      </c>
      <c r="C286" s="3" t="inlineStr">
        <is>
          <t>COCOON</t>
        </is>
      </c>
      <c r="D286" s="3" t="inlineStr">
        <is>
          <t>CRADLE FRAME</t>
        </is>
      </c>
      <c r="E286" s="23" t="n"/>
    </row>
    <row r="287" ht="48" customHeight="1">
      <c r="A287" s="16" t="inlineStr">
        <is>
          <t>조립</t>
        </is>
      </c>
      <c r="B287" s="16" t="inlineStr">
        <is>
          <t>크래들</t>
        </is>
      </c>
      <c r="C287" s="3" t="inlineStr">
        <is>
          <t>COCOON</t>
        </is>
      </c>
      <c r="D287" s="3" t="inlineStr">
        <is>
          <t>신주 핀</t>
        </is>
      </c>
      <c r="E287" s="23" t="n"/>
    </row>
    <row r="288" ht="48" customHeight="1">
      <c r="A288" s="16" t="inlineStr">
        <is>
          <t>조립</t>
        </is>
      </c>
      <c r="B288" s="16" t="inlineStr">
        <is>
          <t>크래들</t>
        </is>
      </c>
      <c r="C288" s="3" t="inlineStr">
        <is>
          <t>COCOON</t>
        </is>
      </c>
      <c r="D288" s="3" t="inlineStr">
        <is>
          <t>크래들 충전단자 스프링</t>
        </is>
      </c>
      <c r="E288" s="23" t="n"/>
    </row>
    <row r="289" ht="48" customHeight="1">
      <c r="A289" s="16" t="inlineStr">
        <is>
          <t>조립</t>
        </is>
      </c>
      <c r="B289" s="16" t="inlineStr">
        <is>
          <t>크래들</t>
        </is>
      </c>
      <c r="C289" s="3" t="inlineStr">
        <is>
          <t>COCOON</t>
        </is>
      </c>
      <c r="D289" s="3" t="inlineStr">
        <is>
          <t>CRADLE FOOT RUBBER</t>
        </is>
      </c>
      <c r="E289" s="23" t="n"/>
    </row>
    <row r="290" ht="48" customHeight="1">
      <c r="A290" s="15" t="inlineStr">
        <is>
          <t>조립</t>
        </is>
      </c>
      <c r="B290" s="15" t="inlineStr">
        <is>
          <t>케어스트림</t>
        </is>
      </c>
      <c r="C290" s="3" t="inlineStr">
        <is>
          <t>COCOON  화이트 케어스트림</t>
        </is>
      </c>
      <c r="D290" s="3" t="inlineStr">
        <is>
          <t>TOP BODY 사출 (케어스트림)</t>
        </is>
      </c>
      <c r="E290" s="23" t="n"/>
    </row>
    <row r="291" ht="48" customHeight="1">
      <c r="A291" s="15" t="inlineStr">
        <is>
          <t>조립</t>
        </is>
      </c>
      <c r="B291" s="15" t="inlineStr">
        <is>
          <t>케어스트림</t>
        </is>
      </c>
      <c r="C291" s="3" t="inlineStr">
        <is>
          <t>COCOON 화이트 케어스트림</t>
        </is>
      </c>
      <c r="D291" s="3" t="inlineStr">
        <is>
          <t>POWER BUTTON 사출</t>
        </is>
      </c>
      <c r="E291" s="23" t="n"/>
    </row>
    <row r="292" ht="48" customHeight="1">
      <c r="A292" s="15" t="inlineStr">
        <is>
          <t>조립</t>
        </is>
      </c>
      <c r="B292" s="15" t="inlineStr">
        <is>
          <t>케어스트림</t>
        </is>
      </c>
      <c r="C292" s="3" t="inlineStr">
        <is>
          <t>COCOON 화이트 케어스트림</t>
        </is>
      </c>
      <c r="D292" s="3" t="inlineStr">
        <is>
          <t>BOTTOM BODY 사출</t>
        </is>
      </c>
      <c r="E292" s="23" t="n"/>
    </row>
    <row r="293" ht="48" customHeight="1">
      <c r="A293" s="15" t="inlineStr">
        <is>
          <t>조립</t>
        </is>
      </c>
      <c r="B293" s="15" t="inlineStr">
        <is>
          <t>케어스트림</t>
        </is>
      </c>
      <c r="C293" s="3" t="inlineStr">
        <is>
          <t>COCOON 화이트 케어스트림</t>
        </is>
      </c>
      <c r="D293" s="3" t="inlineStr">
        <is>
          <t>LOCK KNOB</t>
        </is>
      </c>
      <c r="E293" s="23" t="n"/>
    </row>
    <row r="294" ht="48" customHeight="1">
      <c r="A294" s="15" t="inlineStr">
        <is>
          <t>조립</t>
        </is>
      </c>
      <c r="B294" s="15" t="inlineStr">
        <is>
          <t>케어스트림</t>
        </is>
      </c>
      <c r="C294" s="3" t="inlineStr">
        <is>
          <t>COCOON 화이트 케어스트림</t>
        </is>
      </c>
      <c r="D294" s="3" t="inlineStr">
        <is>
          <t>LOCK INNER</t>
        </is>
      </c>
      <c r="E294" s="23" t="n"/>
    </row>
    <row r="295" ht="48" customHeight="1">
      <c r="A295" s="15" t="inlineStr">
        <is>
          <t>조립</t>
        </is>
      </c>
      <c r="B295" s="15" t="inlineStr">
        <is>
          <t>케어스트림</t>
        </is>
      </c>
      <c r="C295" s="3" t="inlineStr">
        <is>
          <t>COCOON 화이트 케어스트림</t>
        </is>
      </c>
      <c r="D295" s="3" t="inlineStr">
        <is>
          <t>HAND BODY 사출</t>
        </is>
      </c>
      <c r="E295" s="23" t="n"/>
    </row>
    <row r="296" ht="48" customHeight="1">
      <c r="A296" s="15" t="inlineStr">
        <is>
          <t>조립</t>
        </is>
      </c>
      <c r="B296" s="15" t="inlineStr">
        <is>
          <t>케어스트림</t>
        </is>
      </c>
      <c r="C296" s="3" t="inlineStr">
        <is>
          <t>COCOON 화이트 케어스트림</t>
        </is>
      </c>
      <c r="D296" s="3" t="inlineStr">
        <is>
          <t>HAND TOP COVER 사출</t>
        </is>
      </c>
      <c r="E296" s="23" t="n"/>
    </row>
    <row r="297" ht="48" customHeight="1">
      <c r="A297" s="15" t="inlineStr">
        <is>
          <t>조립</t>
        </is>
      </c>
      <c r="B297" s="15" t="inlineStr">
        <is>
          <t>케어스트림</t>
        </is>
      </c>
      <c r="C297" s="3" t="inlineStr">
        <is>
          <t>COCOON 화이트 케어스트림</t>
        </is>
      </c>
      <c r="D297" s="3" t="inlineStr">
        <is>
          <t>CRADLE FRAME</t>
        </is>
      </c>
      <c r="E297" s="23" t="n"/>
    </row>
    <row r="298" ht="48" customHeight="1">
      <c r="A298" s="15" t="inlineStr">
        <is>
          <t>조립</t>
        </is>
      </c>
      <c r="B298" s="15" t="inlineStr">
        <is>
          <t>케어스트림</t>
        </is>
      </c>
      <c r="C298" s="3" t="inlineStr">
        <is>
          <t>COCOON 화이트 케어스트림</t>
        </is>
      </c>
      <c r="D298" s="3" t="inlineStr">
        <is>
          <t>CRADLE FRAME 실리콘 커버</t>
        </is>
      </c>
      <c r="E298" s="23" t="n"/>
    </row>
    <row r="299" ht="48" customHeight="1">
      <c r="A299" s="14" t="inlineStr">
        <is>
          <t>조립</t>
        </is>
      </c>
      <c r="B299" s="14" t="inlineStr">
        <is>
          <t>조립</t>
        </is>
      </c>
      <c r="C299" s="3" t="inlineStr">
        <is>
          <t>COCOON</t>
        </is>
      </c>
      <c r="D299" s="3" t="inlineStr">
        <is>
          <t>GER GUIDE</t>
        </is>
      </c>
      <c r="E299" s="23" t="n"/>
    </row>
    <row r="300" ht="48" customHeight="1">
      <c r="A300" s="14" t="inlineStr">
        <is>
          <t>조립</t>
        </is>
      </c>
      <c r="B300" s="14" t="inlineStr">
        <is>
          <t>조립</t>
        </is>
      </c>
      <c r="C300" s="3" t="inlineStr">
        <is>
          <t>COCOON  블랙 유광</t>
        </is>
      </c>
      <c r="D300" s="3" t="inlineStr">
        <is>
          <t>FRONT_S (18cm)</t>
        </is>
      </c>
      <c r="E300" s="23" t="n"/>
    </row>
    <row r="301" ht="48" customHeight="1">
      <c r="A301" s="14" t="inlineStr">
        <is>
          <t>조립</t>
        </is>
      </c>
      <c r="B301" s="14" t="inlineStr">
        <is>
          <t>조립</t>
        </is>
      </c>
      <c r="C301" s="3" t="inlineStr">
        <is>
          <t>COCOON</t>
        </is>
      </c>
      <c r="D301" s="3" t="inlineStr">
        <is>
          <t>CONE GUIDE_S (18cm)</t>
        </is>
      </c>
      <c r="E301" s="23" t="n"/>
    </row>
    <row r="302" ht="48" customHeight="1">
      <c r="A302" s="14" t="inlineStr">
        <is>
          <t>조립</t>
        </is>
      </c>
      <c r="B302" s="14" t="inlineStr">
        <is>
          <t>조립</t>
        </is>
      </c>
      <c r="C302" s="3" t="inlineStr">
        <is>
          <t>COCOON</t>
        </is>
      </c>
      <c r="D302" s="3" t="inlineStr">
        <is>
          <t>CONE GUIDE_L (20cm)</t>
        </is>
      </c>
      <c r="E302" s="23" t="n"/>
    </row>
    <row r="303" ht="48" customHeight="1">
      <c r="A303" s="14" t="inlineStr">
        <is>
          <t>조립</t>
        </is>
      </c>
      <c r="B303" s="14" t="inlineStr">
        <is>
          <t>조립</t>
        </is>
      </c>
      <c r="C303" s="3" t="inlineStr">
        <is>
          <t>COCOON  블랙 유광</t>
        </is>
      </c>
      <c r="D303" s="3" t="inlineStr">
        <is>
          <t>FRONT_L (20cm)</t>
        </is>
      </c>
      <c r="E303" s="23" t="n"/>
    </row>
    <row r="304" ht="48" customHeight="1">
      <c r="A304" s="14" t="inlineStr">
        <is>
          <t>조립</t>
        </is>
      </c>
      <c r="B304" s="14" t="inlineStr">
        <is>
          <t>조립</t>
        </is>
      </c>
      <c r="C304" s="3" t="inlineStr">
        <is>
          <t>COCOON  블랙 유광</t>
        </is>
      </c>
      <c r="D304" s="3" t="inlineStr">
        <is>
          <t>FRONT_CAP</t>
        </is>
      </c>
      <c r="E304" s="23" t="n"/>
    </row>
    <row r="305" ht="48" customHeight="1">
      <c r="A305" s="14" t="inlineStr">
        <is>
          <t>조립</t>
        </is>
      </c>
      <c r="B305" s="14" t="inlineStr">
        <is>
          <t>조립</t>
        </is>
      </c>
      <c r="C305" s="3" t="inlineStr">
        <is>
          <t>COCOON</t>
        </is>
      </c>
      <c r="D305" s="3" t="inlineStr">
        <is>
          <t>WINDOW</t>
        </is>
      </c>
      <c r="E305" s="23" t="n"/>
    </row>
    <row r="306" ht="48" customHeight="1">
      <c r="A306" s="14" t="inlineStr">
        <is>
          <t>조립</t>
        </is>
      </c>
      <c r="B306" s="14" t="inlineStr">
        <is>
          <t>조립</t>
        </is>
      </c>
      <c r="C306" s="3" t="inlineStr">
        <is>
          <t>COCOON</t>
        </is>
      </c>
      <c r="D306" s="3" t="inlineStr">
        <is>
          <t>WINDOW (cocoon로고 없음)</t>
        </is>
      </c>
      <c r="E306" s="23" t="n"/>
    </row>
    <row r="307" ht="48" customHeight="1">
      <c r="A307" s="14" t="inlineStr">
        <is>
          <t>조립</t>
        </is>
      </c>
      <c r="B307" s="14" t="inlineStr">
        <is>
          <t>조립</t>
        </is>
      </c>
      <c r="C307" s="3" t="inlineStr">
        <is>
          <t>COCOON</t>
        </is>
      </c>
      <c r="D307" s="3" t="inlineStr">
        <is>
          <t>자석 (네오디움 마그넷)</t>
        </is>
      </c>
      <c r="E307" s="23" t="n"/>
    </row>
    <row r="308" ht="48" customHeight="1">
      <c r="A308" s="14" t="inlineStr">
        <is>
          <t>조립</t>
        </is>
      </c>
      <c r="B308" s="14" t="inlineStr">
        <is>
          <t>조립</t>
        </is>
      </c>
      <c r="C308" s="3" t="inlineStr">
        <is>
          <t>COCOON</t>
        </is>
      </c>
      <c r="D308" s="3" t="inlineStr">
        <is>
          <t>알루미늄 필터 [ 0.5T * Φ63 ]</t>
        </is>
      </c>
      <c r="E308" s="23" t="n"/>
    </row>
    <row r="309" ht="48" customHeight="1">
      <c r="A309" s="2" t="inlineStr">
        <is>
          <t>조립</t>
        </is>
      </c>
      <c r="B309" s="2" t="inlineStr">
        <is>
          <t>하네스</t>
        </is>
      </c>
      <c r="C309" s="3" t="inlineStr">
        <is>
          <t>COCOON</t>
        </is>
      </c>
      <c r="D309" s="3" t="inlineStr">
        <is>
          <t>CTR BD 외부단자 2핀 (TX30(FEMALE)+YH396-02100mm  (하네스 1번)</t>
        </is>
      </c>
      <c r="E309" s="23" t="n"/>
    </row>
    <row r="310" ht="48" customHeight="1">
      <c r="A310" s="2" t="inlineStr">
        <is>
          <t>조립</t>
        </is>
      </c>
      <c r="B310" s="2" t="inlineStr">
        <is>
          <t>하네스</t>
        </is>
      </c>
      <c r="C310" s="3" t="inlineStr">
        <is>
          <t>COCOON</t>
        </is>
      </c>
      <c r="D310" s="3" t="inlineStr">
        <is>
          <t>TX30(MALE)+DC022(2.5) 80mm 전원 외부단자 2핀  (하네스 2번)</t>
        </is>
      </c>
      <c r="E310" s="23" t="n"/>
    </row>
    <row r="311" ht="48" customHeight="1">
      <c r="A311" s="2" t="inlineStr">
        <is>
          <t>조립</t>
        </is>
      </c>
      <c r="B311" s="2" t="inlineStr">
        <is>
          <t>하네스</t>
        </is>
      </c>
      <c r="C311" s="3" t="inlineStr">
        <is>
          <t>COCOON</t>
        </is>
      </c>
      <c r="D311" s="3" t="inlineStr">
        <is>
          <t>30핀 FFC CABLE  (하네스 3번)</t>
        </is>
      </c>
      <c r="E311" s="23" t="n"/>
    </row>
    <row r="312" ht="48" customHeight="1">
      <c r="A312" s="2" t="inlineStr">
        <is>
          <t>조립</t>
        </is>
      </c>
      <c r="B312" s="2" t="inlineStr">
        <is>
          <t>하네스</t>
        </is>
      </c>
      <c r="C312" s="3" t="inlineStr">
        <is>
          <t>COCOON</t>
        </is>
      </c>
      <c r="D312" s="3" t="inlineStr">
        <is>
          <t>12505HS-02+SORDER 50mm 스피커 2핀  (하네스 4번)</t>
        </is>
      </c>
      <c r="E312" s="23" t="n"/>
    </row>
    <row r="313" ht="48" customHeight="1">
      <c r="A313" s="2" t="inlineStr">
        <is>
          <t>조립</t>
        </is>
      </c>
      <c r="B313" s="2" t="inlineStr">
        <is>
          <t>하네스</t>
        </is>
      </c>
      <c r="C313" s="3" t="inlineStr">
        <is>
          <t>COCOON</t>
        </is>
      </c>
      <c r="D313" s="3" t="inlineStr">
        <is>
          <t>BATTERY BRIDGE BD 4핀 (YH396-04*2EA 150mm  (하네스 5번)</t>
        </is>
      </c>
      <c r="E313" s="23" t="n"/>
    </row>
    <row r="314" ht="48" customHeight="1">
      <c r="A314" s="2" t="inlineStr">
        <is>
          <t>조립</t>
        </is>
      </c>
      <c r="B314" s="2" t="inlineStr">
        <is>
          <t>하네스</t>
        </is>
      </c>
      <c r="C314" s="3" t="inlineStr">
        <is>
          <t>COCOON</t>
        </is>
      </c>
      <c r="D314" s="3" t="inlineStr">
        <is>
          <t>12505HS-05 125mm POWER SWITCH BD 5핀  (하네스 7번)</t>
        </is>
      </c>
      <c r="E314" s="23" t="n"/>
    </row>
    <row r="315" ht="48" customHeight="1">
      <c r="A315" s="2" t="inlineStr">
        <is>
          <t>조립</t>
        </is>
      </c>
      <c r="B315" s="2" t="inlineStr">
        <is>
          <t>하네스</t>
        </is>
      </c>
      <c r="C315" s="3" t="inlineStr">
        <is>
          <t>COCOON</t>
        </is>
      </c>
      <c r="D315" s="3" t="inlineStr">
        <is>
          <t>YH396-02+SORDER 80mm CRADLE 신주 연결 2핀  (하네스 11번)</t>
        </is>
      </c>
      <c r="E315" s="23" t="n"/>
    </row>
    <row r="316" ht="48" customHeight="1">
      <c r="A316" s="4" t="inlineStr">
        <is>
          <t>조립</t>
        </is>
      </c>
      <c r="B316" s="4" t="inlineStr">
        <is>
          <t>보드</t>
        </is>
      </c>
      <c r="C316" s="3" t="inlineStr">
        <is>
          <t>COCOON</t>
        </is>
      </c>
      <c r="D316" s="3" t="inlineStr">
        <is>
          <t>POWER SWITCH BD</t>
        </is>
      </c>
      <c r="E316" s="23" t="n"/>
    </row>
    <row r="317" ht="48" customHeight="1">
      <c r="A317" s="4" t="inlineStr">
        <is>
          <t>조립</t>
        </is>
      </c>
      <c r="B317" s="4" t="inlineStr">
        <is>
          <t>보드</t>
        </is>
      </c>
      <c r="C317" s="3" t="inlineStr">
        <is>
          <t>COCOON</t>
        </is>
      </c>
      <c r="D317" s="3" t="inlineStr">
        <is>
          <t>CONNECTOR BD (신주 2핀)</t>
        </is>
      </c>
      <c r="E317" s="23" t="n"/>
    </row>
    <row r="318" ht="48" customHeight="1">
      <c r="A318" s="4" t="inlineStr">
        <is>
          <t>조립</t>
        </is>
      </c>
      <c r="B318" s="4" t="inlineStr">
        <is>
          <t>보드</t>
        </is>
      </c>
      <c r="C318" s="3" t="inlineStr">
        <is>
          <t>COCOON</t>
        </is>
      </c>
      <c r="D318" s="3" t="inlineStr">
        <is>
          <t>BATTERY BRIDGE BD</t>
        </is>
      </c>
      <c r="E318" s="23" t="n"/>
    </row>
    <row r="319" ht="48" customHeight="1">
      <c r="A319" s="4" t="inlineStr">
        <is>
          <t>조립</t>
        </is>
      </c>
      <c r="B319" s="4" t="inlineStr">
        <is>
          <t>보드</t>
        </is>
      </c>
      <c r="C319" s="3" t="inlineStr">
        <is>
          <t>COCOON</t>
        </is>
      </c>
      <c r="D319" s="3" t="inlineStr">
        <is>
          <t>CRADLE BD</t>
        </is>
      </c>
      <c r="E319" s="23" t="n"/>
    </row>
    <row r="320" ht="48" customHeight="1">
      <c r="A320" s="4" t="inlineStr">
        <is>
          <t>조립</t>
        </is>
      </c>
      <c r="B320" s="4" t="inlineStr">
        <is>
          <t>보드</t>
        </is>
      </c>
      <c r="C320" s="3" t="inlineStr">
        <is>
          <t>COCOON</t>
        </is>
      </c>
      <c r="D320" s="3" t="inlineStr">
        <is>
          <t>TOUCH BD (Atmega128)_FFC케이블 케넥트 수정 (신형)</t>
        </is>
      </c>
      <c r="E320" s="23" t="n"/>
    </row>
    <row r="321" ht="48" customHeight="1">
      <c r="A321" s="4" t="inlineStr">
        <is>
          <t>조립</t>
        </is>
      </c>
      <c r="B321" s="4" t="inlineStr">
        <is>
          <t>보드</t>
        </is>
      </c>
      <c r="C321" s="3" t="inlineStr">
        <is>
          <t>COCOON</t>
        </is>
      </c>
      <c r="D321" s="3" t="inlineStr">
        <is>
          <t>OP BD (Atmega128)_FFC케이블 케넥트 수정 (신형)</t>
        </is>
      </c>
      <c r="E321" s="23" t="n"/>
    </row>
    <row r="322" ht="48" customHeight="1">
      <c r="A322" s="4" t="inlineStr">
        <is>
          <t>조립</t>
        </is>
      </c>
      <c r="B322" s="4" t="inlineStr">
        <is>
          <t>보드</t>
        </is>
      </c>
      <c r="C322" s="3" t="inlineStr">
        <is>
          <t>COCOON</t>
        </is>
      </c>
      <c r="D322" s="3" t="inlineStr">
        <is>
          <t>OP BD+TOUCH BD_ Ass'y   (Atmega128)_FFC케이블 케넥트 수정 (신형)</t>
        </is>
      </c>
      <c r="E322" s="23" t="n"/>
    </row>
    <row r="323" ht="48" customHeight="1">
      <c r="A323" s="5" t="inlineStr">
        <is>
          <t>조립</t>
        </is>
      </c>
      <c r="B323" s="5" t="inlineStr">
        <is>
          <t>ASS'Y</t>
        </is>
      </c>
      <c r="C323" s="3" t="inlineStr">
        <is>
          <t>COCOON  메탈 실버 유광</t>
        </is>
      </c>
      <c r="D323" s="3" t="inlineStr">
        <is>
          <t>TOP BODY ASS'Y</t>
        </is>
      </c>
      <c r="E323" s="23" t="n"/>
    </row>
    <row r="324" ht="48" customHeight="1">
      <c r="A324" s="5" t="inlineStr">
        <is>
          <t>조립</t>
        </is>
      </c>
      <c r="B324" s="5" t="inlineStr">
        <is>
          <t>ASS'Y</t>
        </is>
      </c>
      <c r="C324" s="3" t="inlineStr">
        <is>
          <t>COCOON  메탈 실버 유광</t>
        </is>
      </c>
      <c r="D324" s="3" t="inlineStr">
        <is>
          <t>TOP BODY ASS'Y (cocoon 로고 없는것)</t>
        </is>
      </c>
      <c r="E324" s="23" t="n"/>
    </row>
    <row r="325" ht="48" customHeight="1">
      <c r="A325" s="5" t="inlineStr">
        <is>
          <t>조립</t>
        </is>
      </c>
      <c r="B325" s="5" t="inlineStr">
        <is>
          <t>ASS'Y</t>
        </is>
      </c>
      <c r="C325" s="3" t="inlineStr">
        <is>
          <t>COCOON 화이트 케어스트림</t>
        </is>
      </c>
      <c r="D325" s="3" t="inlineStr">
        <is>
          <t>TOP BODY ASS'Y</t>
        </is>
      </c>
      <c r="E325" s="23" t="n"/>
    </row>
    <row r="326" ht="48" customHeight="1">
      <c r="A326" s="5" t="inlineStr">
        <is>
          <t>조립</t>
        </is>
      </c>
      <c r="B326" s="5" t="inlineStr">
        <is>
          <t>ASS'Y</t>
        </is>
      </c>
      <c r="C326" s="3" t="inlineStr">
        <is>
          <t>COCOON  블랙 유광</t>
        </is>
      </c>
      <c r="D326" s="3" t="inlineStr">
        <is>
          <t>BOTTOM BODY ASS'Y</t>
        </is>
      </c>
      <c r="E326" s="23" t="n"/>
    </row>
    <row r="327" ht="48" customHeight="1">
      <c r="A327" s="5" t="inlineStr">
        <is>
          <t>조립</t>
        </is>
      </c>
      <c r="B327" s="5" t="inlineStr">
        <is>
          <t>ASS'Y</t>
        </is>
      </c>
      <c r="C327" s="3" t="inlineStr">
        <is>
          <t>COCOON 화이트 케어스트림</t>
        </is>
      </c>
      <c r="D327" s="3" t="inlineStr">
        <is>
          <t>BOTTOM BODY ASS'Y</t>
        </is>
      </c>
      <c r="E327" s="23" t="n"/>
    </row>
    <row r="328" ht="48" customHeight="1">
      <c r="A328" s="5" t="inlineStr">
        <is>
          <t>조립</t>
        </is>
      </c>
      <c r="B328" s="5" t="inlineStr">
        <is>
          <t>ASS'Y</t>
        </is>
      </c>
      <c r="C328" s="3" t="inlineStr">
        <is>
          <t>COCOON</t>
        </is>
      </c>
      <c r="D328" s="3" t="inlineStr">
        <is>
          <t>에이밍 TOP BODY ASS'Y</t>
        </is>
      </c>
      <c r="E328" s="23" t="n"/>
    </row>
    <row r="329" ht="48" customHeight="1">
      <c r="A329" s="5" t="inlineStr">
        <is>
          <t>조립</t>
        </is>
      </c>
      <c r="B329" s="5" t="inlineStr">
        <is>
          <t>ASS'Y</t>
        </is>
      </c>
      <c r="C329" s="3" t="inlineStr">
        <is>
          <t>COCOON  메탈 실버 유광</t>
        </is>
      </c>
      <c r="D329" s="3" t="inlineStr">
        <is>
          <t>HANDLE ASS'Y</t>
        </is>
      </c>
      <c r="E329" s="23" t="n"/>
    </row>
    <row r="330" ht="48" customHeight="1">
      <c r="A330" s="5" t="inlineStr">
        <is>
          <t>조립</t>
        </is>
      </c>
      <c r="B330" s="5" t="inlineStr">
        <is>
          <t>ASS'Y</t>
        </is>
      </c>
      <c r="C330" s="3" t="inlineStr">
        <is>
          <t>COCOON  메탈 실버 유광</t>
        </is>
      </c>
      <c r="D330" s="3" t="inlineStr">
        <is>
          <t>HANDLE ASS'Y (리모콘 적용 + BAT BOTTOM + 배터리 없는것)</t>
        </is>
      </c>
      <c r="E330" s="23" t="n"/>
    </row>
    <row r="331" ht="48" customHeight="1">
      <c r="A331" s="5" t="inlineStr">
        <is>
          <t>조립</t>
        </is>
      </c>
      <c r="B331" s="5" t="inlineStr">
        <is>
          <t>ASS'Y</t>
        </is>
      </c>
      <c r="C331" s="3" t="inlineStr">
        <is>
          <t>COCOON 화이트 케어스트림</t>
        </is>
      </c>
      <c r="D331" s="3" t="inlineStr">
        <is>
          <t>HANDLE ASS'Y</t>
        </is>
      </c>
      <c r="E331" s="23" t="n"/>
    </row>
    <row r="332" ht="48" customHeight="1">
      <c r="A332" s="5" t="inlineStr">
        <is>
          <t>조립</t>
        </is>
      </c>
      <c r="B332" s="5" t="inlineStr">
        <is>
          <t>ASS'Y</t>
        </is>
      </c>
      <c r="C332" s="3" t="inlineStr">
        <is>
          <t>COCOON  블랙 유광</t>
        </is>
      </c>
      <c r="D332" s="3" t="inlineStr">
        <is>
          <t>CRADLE ASS'Y</t>
        </is>
      </c>
      <c r="E332" s="23" t="n"/>
    </row>
    <row r="333" ht="48" customHeight="1">
      <c r="A333" s="5" t="inlineStr">
        <is>
          <t>조립</t>
        </is>
      </c>
      <c r="B333" s="5" t="inlineStr">
        <is>
          <t>ASS'Y</t>
        </is>
      </c>
      <c r="C333" s="3" t="inlineStr">
        <is>
          <t>COCOON 화이트 케어스트림</t>
        </is>
      </c>
      <c r="D333" s="3" t="inlineStr">
        <is>
          <t>CRADLE ASS'Y</t>
        </is>
      </c>
      <c r="E333" s="23" t="n"/>
    </row>
    <row r="334" ht="48" customHeight="1">
      <c r="A334" s="4" t="inlineStr">
        <is>
          <t>조립</t>
        </is>
      </c>
      <c r="B334" s="4" t="inlineStr">
        <is>
          <t>에이밍</t>
        </is>
      </c>
      <c r="C334" s="3" t="inlineStr">
        <is>
          <t>COCOON</t>
        </is>
      </c>
      <c r="D334" s="3" t="inlineStr">
        <is>
          <t>코쿤 에이밍 십자 아크릴 (사각 모양)</t>
        </is>
      </c>
      <c r="E334" s="23" t="n"/>
    </row>
    <row r="335" ht="48" customHeight="1">
      <c r="A335" s="4" t="inlineStr">
        <is>
          <t>조립</t>
        </is>
      </c>
      <c r="B335" s="4" t="inlineStr">
        <is>
          <t>에이밍</t>
        </is>
      </c>
      <c r="C335" s="3" t="inlineStr">
        <is>
          <t>COCOON</t>
        </is>
      </c>
      <c r="D335" s="3" t="inlineStr">
        <is>
          <t>원형 십자 아크릴 1 (테두리 두껍게 있는 것) 2.0T - 영국용</t>
        </is>
      </c>
      <c r="E335" s="23" t="n"/>
    </row>
    <row r="336" ht="48" customHeight="1">
      <c r="A336" s="4" t="inlineStr">
        <is>
          <t>조립</t>
        </is>
      </c>
      <c r="B336" s="4" t="inlineStr">
        <is>
          <t>에이밍</t>
        </is>
      </c>
      <c r="C336" s="3" t="inlineStr">
        <is>
          <t>COCOON</t>
        </is>
      </c>
      <c r="D336" s="3" t="inlineStr">
        <is>
          <t>원형 십자 아크릴 1 (테두리 얇게 있는 것) 2.0T</t>
        </is>
      </c>
      <c r="E336" s="23" t="n"/>
    </row>
    <row r="337" ht="48" customHeight="1">
      <c r="A337" s="4" t="inlineStr">
        <is>
          <t>조립</t>
        </is>
      </c>
      <c r="B337" s="4" t="inlineStr">
        <is>
          <t>에이밍</t>
        </is>
      </c>
      <c r="C337" s="3" t="inlineStr">
        <is>
          <t>COCOON</t>
        </is>
      </c>
      <c r="D337" s="3" t="inlineStr">
        <is>
          <t>원형 십자 아크릴 2 (테두리 없는 것) 2.0T - 사파리용</t>
        </is>
      </c>
      <c r="E337" s="23" t="n"/>
    </row>
    <row r="338" ht="48" customHeight="1">
      <c r="A338" s="4" t="inlineStr">
        <is>
          <t>조립</t>
        </is>
      </c>
      <c r="B338" s="4" t="inlineStr">
        <is>
          <t>에이밍</t>
        </is>
      </c>
      <c r="C338" s="3" t="inlineStr">
        <is>
          <t>COCOON 블랙 유광</t>
        </is>
      </c>
      <c r="D338" s="3" t="inlineStr">
        <is>
          <t>사각 앞사출</t>
        </is>
      </c>
      <c r="E338" s="23" t="n"/>
    </row>
    <row r="339" ht="48" customHeight="1">
      <c r="A339" s="4" t="inlineStr">
        <is>
          <t>조립</t>
        </is>
      </c>
      <c r="B339" s="4" t="inlineStr">
        <is>
          <t>에이밍</t>
        </is>
      </c>
      <c r="C339" s="3" t="inlineStr">
        <is>
          <t>COCOON</t>
        </is>
      </c>
      <c r="D339" s="3" t="inlineStr">
        <is>
          <t>에이밍 라이트 은경</t>
        </is>
      </c>
      <c r="E339" s="23" t="n"/>
    </row>
    <row r="340" ht="48" customHeight="1">
      <c r="A340" s="4" t="inlineStr">
        <is>
          <t>조립</t>
        </is>
      </c>
      <c r="B340" s="4" t="inlineStr">
        <is>
          <t>에이밍</t>
        </is>
      </c>
      <c r="C340" s="3" t="inlineStr">
        <is>
          <t>COCOON 블랙</t>
        </is>
      </c>
      <c r="D340" s="3" t="inlineStr">
        <is>
          <t>LED BODY A (블랙_원형)</t>
        </is>
      </c>
      <c r="E340" s="23" t="n"/>
    </row>
    <row r="341" ht="48" customHeight="1">
      <c r="A341" s="4" t="inlineStr">
        <is>
          <t>조립</t>
        </is>
      </c>
      <c r="B341" s="4" t="inlineStr">
        <is>
          <t>에이밍</t>
        </is>
      </c>
      <c r="C341" s="3" t="inlineStr">
        <is>
          <t>COCOON 블랙</t>
        </is>
      </c>
      <c r="D341" s="3" t="inlineStr">
        <is>
          <t>LED BODY B (블랙_사각형)</t>
        </is>
      </c>
      <c r="E341" s="23" t="n"/>
    </row>
    <row r="342" ht="48" customHeight="1">
      <c r="A342" s="4" t="inlineStr">
        <is>
          <t>조립</t>
        </is>
      </c>
      <c r="B342" s="4" t="inlineStr">
        <is>
          <t>에이밍</t>
        </is>
      </c>
      <c r="C342" s="3" t="inlineStr">
        <is>
          <t>COCOON</t>
        </is>
      </c>
      <c r="D342" s="3" t="inlineStr">
        <is>
          <t>에이밍 은경 + LED BD ASS'Y</t>
        </is>
      </c>
      <c r="E342" s="23" t="n"/>
    </row>
    <row r="343" ht="48" customHeight="1">
      <c r="A343" s="4" t="inlineStr">
        <is>
          <t>조립</t>
        </is>
      </c>
      <c r="B343" s="4" t="inlineStr">
        <is>
          <t>에이밍</t>
        </is>
      </c>
      <c r="C343" s="3" t="inlineStr">
        <is>
          <t>COCOON</t>
        </is>
      </c>
      <c r="D343" s="3" t="inlineStr">
        <is>
          <t>에이밍 젠더 (가공품)</t>
        </is>
      </c>
      <c r="E343" s="23" t="n"/>
    </row>
    <row r="344" ht="48" customHeight="1">
      <c r="A344" s="4" t="inlineStr">
        <is>
          <t>조립</t>
        </is>
      </c>
      <c r="B344" s="4" t="inlineStr">
        <is>
          <t>에이밍</t>
        </is>
      </c>
      <c r="C344" s="3" t="inlineStr">
        <is>
          <t>COCOON</t>
        </is>
      </c>
      <c r="D344" s="3" t="inlineStr">
        <is>
          <t>POWER SWITCH BD (에이밍용 V3.0.0)</t>
        </is>
      </c>
      <c r="E344" s="23" t="n"/>
    </row>
    <row r="345" ht="48" customHeight="1">
      <c r="A345" s="4" t="inlineStr">
        <is>
          <t>조립</t>
        </is>
      </c>
      <c r="B345" s="4" t="inlineStr">
        <is>
          <t>에이밍</t>
        </is>
      </c>
      <c r="C345" s="3" t="inlineStr">
        <is>
          <t>COCOON</t>
        </is>
      </c>
      <c r="D345" s="3" t="inlineStr">
        <is>
          <t>CTR+Power BD 2핀 (코쿤 에이밍라이트용 하네스 1번 ) YHM025-02R 210mm</t>
        </is>
      </c>
      <c r="E345" s="23" t="n"/>
    </row>
    <row r="346" ht="48" customHeight="1">
      <c r="A346" s="4" t="inlineStr">
        <is>
          <t>조립</t>
        </is>
      </c>
      <c r="B346" s="4" t="inlineStr">
        <is>
          <t>에이밍</t>
        </is>
      </c>
      <c r="C346" s="3" t="inlineStr">
        <is>
          <t>COCOON</t>
        </is>
      </c>
      <c r="D346" s="3" t="inlineStr">
        <is>
          <t>LED BD 2핀 (코쿤 에이밍라이트용 하네스 2번)  YHM025-02R 180mm</t>
        </is>
      </c>
      <c r="E346" s="23" t="n"/>
    </row>
    <row r="347" ht="48" customHeight="1">
      <c r="A347" s="4" t="inlineStr">
        <is>
          <t>조립</t>
        </is>
      </c>
      <c r="B347" s="4" t="inlineStr">
        <is>
          <t>에이밍</t>
        </is>
      </c>
      <c r="C347" s="3" t="inlineStr">
        <is>
          <t>COCOON</t>
        </is>
      </c>
      <c r="D347" s="3" t="inlineStr">
        <is>
          <t>락커스위치 2핀 ( YHM025-02R 100mm - Black 하네스 3번)</t>
        </is>
      </c>
      <c r="E347" s="23" t="n"/>
    </row>
    <row r="348" ht="48" customHeight="1">
      <c r="A348" s="4" t="inlineStr">
        <is>
          <t>조립</t>
        </is>
      </c>
      <c r="B348" s="4" t="inlineStr">
        <is>
          <t>에이밍</t>
        </is>
      </c>
      <c r="C348" s="3" t="inlineStr">
        <is>
          <t>COCOON</t>
        </is>
      </c>
      <c r="D348" s="3" t="inlineStr">
        <is>
          <t>코쿤 에이밍라이트 오링 [60∮ * 25]</t>
        </is>
      </c>
      <c r="E348" s="23" t="n"/>
    </row>
    <row r="349" ht="48" customHeight="1">
      <c r="A349" s="4" t="inlineStr">
        <is>
          <t>조립</t>
        </is>
      </c>
      <c r="B349" s="4" t="inlineStr">
        <is>
          <t>에이밍</t>
        </is>
      </c>
      <c r="C349" s="3" t="inlineStr">
        <is>
          <t>COCOON</t>
        </is>
      </c>
      <c r="D349" s="3" t="inlineStr">
        <is>
          <t>COCOON 18cm Cone Ass'y (검정 부직포)</t>
        </is>
      </c>
      <c r="E349" s="23" t="n"/>
    </row>
    <row r="350" ht="48" customHeight="1">
      <c r="A350" s="4" t="inlineStr">
        <is>
          <t>조립</t>
        </is>
      </c>
      <c r="B350" s="4" t="inlineStr">
        <is>
          <t>에이밍</t>
        </is>
      </c>
      <c r="C350" s="3" t="inlineStr">
        <is>
          <t>COCOON</t>
        </is>
      </c>
      <c r="D350" s="3" t="inlineStr">
        <is>
          <t>COCOON 20cm Cone Ass'y (검정 부직포)</t>
        </is>
      </c>
      <c r="E350" s="23" t="n"/>
    </row>
    <row r="351" ht="48" customHeight="1">
      <c r="A351" s="4" t="inlineStr">
        <is>
          <t>조립</t>
        </is>
      </c>
      <c r="B351" s="4" t="inlineStr">
        <is>
          <t>에이밍</t>
        </is>
      </c>
      <c r="C351" s="3" t="inlineStr">
        <is>
          <t>COCOON White</t>
        </is>
      </c>
      <c r="D351" s="3" t="inlineStr">
        <is>
          <t>락커스위치 2핀 ( YHM025-02R 100mm - White 하네스 3번)</t>
        </is>
      </c>
      <c r="E351" s="23" t="n"/>
    </row>
    <row r="352" ht="48" customHeight="1">
      <c r="A352" s="4" t="inlineStr">
        <is>
          <t>조립</t>
        </is>
      </c>
      <c r="B352" s="4" t="inlineStr">
        <is>
          <t>에이밍</t>
        </is>
      </c>
      <c r="C352" s="3" t="inlineStr">
        <is>
          <t>COCOON 블랙 무광</t>
        </is>
      </c>
      <c r="D352" s="3" t="inlineStr">
        <is>
          <t>BAT BOTTOM</t>
        </is>
      </c>
      <c r="E352" s="23" t="n"/>
    </row>
    <row r="353" ht="48" customHeight="1">
      <c r="A353" s="4" t="inlineStr">
        <is>
          <t>조립</t>
        </is>
      </c>
      <c r="B353" s="4" t="inlineStr">
        <is>
          <t>에이밍</t>
        </is>
      </c>
      <c r="C353" s="3" t="inlineStr">
        <is>
          <t>COCOON 블랙 무광</t>
        </is>
      </c>
      <c r="D353" s="3" t="inlineStr">
        <is>
          <t>FRONT_L</t>
        </is>
      </c>
      <c r="E353" s="23" t="n"/>
    </row>
    <row r="354" ht="48" customHeight="1">
      <c r="A354" s="4" t="inlineStr">
        <is>
          <t>조립</t>
        </is>
      </c>
      <c r="B354" s="4" t="inlineStr">
        <is>
          <t>에이밍</t>
        </is>
      </c>
      <c r="C354" s="3" t="inlineStr">
        <is>
          <t>COCOON 블랙 무광</t>
        </is>
      </c>
      <c r="D354" s="3" t="inlineStr">
        <is>
          <t>FRONT_CAP</t>
        </is>
      </c>
      <c r="E354" s="23" t="n"/>
    </row>
    <row r="355" ht="48" customHeight="1">
      <c r="A355" s="4" t="inlineStr">
        <is>
          <t>조립</t>
        </is>
      </c>
      <c r="B355" s="4" t="inlineStr">
        <is>
          <t>에이밍</t>
        </is>
      </c>
      <c r="C355" s="3" t="inlineStr">
        <is>
          <t>COCOON 블랙 무광</t>
        </is>
      </c>
      <c r="D355" s="3" t="inlineStr">
        <is>
          <t>사각 앞사출</t>
        </is>
      </c>
      <c r="E355" s="23" t="n"/>
    </row>
    <row r="356" ht="48" customHeight="1">
      <c r="A356" s="4" t="inlineStr">
        <is>
          <t>조립</t>
        </is>
      </c>
      <c r="B356" s="4" t="inlineStr">
        <is>
          <t>에이밍</t>
        </is>
      </c>
      <c r="C356" s="3" t="inlineStr">
        <is>
          <t>COCOON 블랙 유광</t>
        </is>
      </c>
      <c r="D356" s="3" t="inlineStr">
        <is>
          <t>사각 앞사출 ASS'Y (앞사출+십자아크릴+납)</t>
        </is>
      </c>
      <c r="E356" s="23" t="n"/>
    </row>
    <row r="357" ht="48" customHeight="1">
      <c r="A357" s="4" t="inlineStr">
        <is>
          <t>조립</t>
        </is>
      </c>
      <c r="B357" s="4" t="inlineStr">
        <is>
          <t>에이밍</t>
        </is>
      </c>
      <c r="C357" s="3" t="inlineStr">
        <is>
          <t>COCOON 블랙 무광</t>
        </is>
      </c>
      <c r="D357" s="3" t="inlineStr">
        <is>
          <t>사각 앞사출 ASS'Y (앞사출+십자아크릴+납)</t>
        </is>
      </c>
      <c r="E357" s="23" t="n"/>
    </row>
    <row r="358" ht="48" customHeight="1">
      <c r="A358" s="4" t="inlineStr">
        <is>
          <t>조립</t>
        </is>
      </c>
      <c r="B358" s="4" t="inlineStr">
        <is>
          <t>에이밍</t>
        </is>
      </c>
      <c r="C358" s="3" t="inlineStr">
        <is>
          <t>COCOON 케어스트림</t>
        </is>
      </c>
      <c r="D358" s="3" t="inlineStr">
        <is>
          <t>크래들 실리콘 커버</t>
        </is>
      </c>
      <c r="E358" s="23" t="n"/>
    </row>
    <row r="359" ht="48" customHeight="1">
      <c r="A359" s="2" t="inlineStr">
        <is>
          <t>조립</t>
        </is>
      </c>
      <c r="B359" s="2" t="inlineStr">
        <is>
          <t>화이트 사출 아세이</t>
        </is>
      </c>
      <c r="C359" s="3" t="inlineStr">
        <is>
          <t>COCOON  화이트 유광</t>
        </is>
      </c>
      <c r="D359" s="3" t="inlineStr">
        <is>
          <t>TOP BODY ASS'Y (에이밍)</t>
        </is>
      </c>
      <c r="E359" s="23" t="n"/>
    </row>
    <row r="360" ht="48" customHeight="1">
      <c r="A360" s="2" t="inlineStr">
        <is>
          <t>조립</t>
        </is>
      </c>
      <c r="B360" s="2" t="inlineStr">
        <is>
          <t>화이트 사출 아세이</t>
        </is>
      </c>
      <c r="C360" s="3" t="inlineStr">
        <is>
          <t>COCOON  블랙 무광</t>
        </is>
      </c>
      <c r="D360" s="3" t="inlineStr">
        <is>
          <t>BOTTOM BODY ASS'Y</t>
        </is>
      </c>
      <c r="E360" s="23" t="n"/>
    </row>
    <row r="361" ht="48" customHeight="1">
      <c r="A361" s="2" t="inlineStr">
        <is>
          <t>조립</t>
        </is>
      </c>
      <c r="B361" s="2" t="inlineStr">
        <is>
          <t>화이트 사출 아세이</t>
        </is>
      </c>
      <c r="C361" s="3" t="inlineStr">
        <is>
          <t>COCOON  화이트 유광</t>
        </is>
      </c>
      <c r="D361" s="3" t="inlineStr">
        <is>
          <t>HANDLE ASS'Y (BAT BOTTOM + 배터리 없는것)</t>
        </is>
      </c>
      <c r="E361" s="23" t="n"/>
    </row>
    <row r="362" ht="48" customHeight="1">
      <c r="A362" s="2" t="inlineStr">
        <is>
          <t>조립</t>
        </is>
      </c>
      <c r="B362" s="2" t="inlineStr">
        <is>
          <t>화이트 사출 아세이</t>
        </is>
      </c>
      <c r="C362" s="3" t="inlineStr">
        <is>
          <t>COCOON  화이트 유광</t>
        </is>
      </c>
      <c r="D362" s="3" t="inlineStr">
        <is>
          <t>HANDLE ASS'Y (리모콘 적용 + BAT BOTTOM + 배터리 없는것)</t>
        </is>
      </c>
      <c r="E362" s="23" t="n"/>
    </row>
    <row r="363" ht="48" customHeight="1">
      <c r="A363" s="2" t="inlineStr">
        <is>
          <t>조립</t>
        </is>
      </c>
      <c r="B363" s="2" t="inlineStr">
        <is>
          <t>화이트 사출 아세이</t>
        </is>
      </c>
      <c r="C363" s="3" t="inlineStr">
        <is>
          <t>COCOON  화이트 유광</t>
        </is>
      </c>
      <c r="D363" s="3" t="inlineStr">
        <is>
          <t>CRADLE ASS'Y (프레임 X)</t>
        </is>
      </c>
      <c r="E363" s="23" t="n"/>
    </row>
    <row r="364" ht="48" customHeight="1">
      <c r="A364" s="5" t="inlineStr">
        <is>
          <t>조립</t>
        </is>
      </c>
      <c r="B364" s="5" t="inlineStr">
        <is>
          <t>배터리</t>
        </is>
      </c>
      <c r="C364" s="3" t="inlineStr">
        <is>
          <t>공용</t>
        </is>
      </c>
      <c r="D364" s="3" t="inlineStr">
        <is>
          <t>배터리 [PF435060HP]_DX3000,ADX4000W공용</t>
        </is>
      </c>
      <c r="E364" s="23" t="n"/>
    </row>
    <row r="365" ht="48" customHeight="1">
      <c r="A365" s="5" t="inlineStr">
        <is>
          <t>조립</t>
        </is>
      </c>
      <c r="B365" s="5" t="inlineStr">
        <is>
          <t>배터리</t>
        </is>
      </c>
      <c r="C365" s="3" t="inlineStr">
        <is>
          <t>ADX6000 공용</t>
        </is>
      </c>
      <c r="D365" s="3" t="inlineStr">
        <is>
          <t>배터리_ 21.0V (5셀)</t>
        </is>
      </c>
      <c r="E365" s="23" t="n"/>
    </row>
    <row r="366" ht="48" customHeight="1">
      <c r="A366" s="5" t="inlineStr">
        <is>
          <t>조립</t>
        </is>
      </c>
      <c r="B366" s="5" t="inlineStr">
        <is>
          <t>배터리</t>
        </is>
      </c>
      <c r="C366" s="3" t="inlineStr">
        <is>
          <t>공용</t>
        </is>
      </c>
      <c r="D366" s="3" t="inlineStr">
        <is>
          <t>소형 외부배터리 [PF435060HP]</t>
        </is>
      </c>
      <c r="E366" s="23" t="n"/>
    </row>
    <row r="367" ht="48" customHeight="1">
      <c r="A367" s="13" t="inlineStr">
        <is>
          <t>조립</t>
        </is>
      </c>
      <c r="B367" s="13" t="inlineStr">
        <is>
          <t>충전기</t>
        </is>
      </c>
      <c r="C367" s="3" t="inlineStr">
        <is>
          <t>공용</t>
        </is>
      </c>
      <c r="D367" s="3" t="inlineStr">
        <is>
          <t>2구 충전기 [JBL910A1602K00]-220V</t>
        </is>
      </c>
      <c r="E367" s="23" t="n"/>
    </row>
    <row r="368" ht="48" customHeight="1">
      <c r="A368" s="13" t="inlineStr">
        <is>
          <t>조립</t>
        </is>
      </c>
      <c r="B368" s="13" t="inlineStr">
        <is>
          <t>충전기</t>
        </is>
      </c>
      <c r="C368" s="3" t="inlineStr">
        <is>
          <t>공용</t>
        </is>
      </c>
      <c r="D368" s="3" t="inlineStr">
        <is>
          <t>3구 충전기 [미국,호주 공용]</t>
        </is>
      </c>
      <c r="E368" s="23" t="n"/>
    </row>
    <row r="369" ht="48" customHeight="1">
      <c r="A369" s="13" t="inlineStr">
        <is>
          <t>조립</t>
        </is>
      </c>
      <c r="B369" s="13" t="inlineStr">
        <is>
          <t>충전기</t>
        </is>
      </c>
      <c r="C369" s="3" t="inlineStr">
        <is>
          <t>ADX6000 공용</t>
        </is>
      </c>
      <c r="D369" s="3" t="inlineStr">
        <is>
          <t>20V 2A 충전기</t>
        </is>
      </c>
      <c r="E369" s="23" t="n"/>
    </row>
    <row r="370" ht="48" customHeight="1">
      <c r="A370" s="9" t="inlineStr">
        <is>
          <t>조립</t>
        </is>
      </c>
      <c r="B370" s="9" t="inlineStr">
        <is>
          <t>AC코드</t>
        </is>
      </c>
      <c r="C370" s="3" t="inlineStr">
        <is>
          <t>공용</t>
        </is>
      </c>
      <c r="D370" s="3" t="inlineStr">
        <is>
          <t>2구 AC코드 _ C 타입 [ 220V ]</t>
        </is>
      </c>
      <c r="E370" s="23" t="n"/>
    </row>
    <row r="371" ht="48" customHeight="1">
      <c r="A371" s="9" t="inlineStr">
        <is>
          <t>조립</t>
        </is>
      </c>
      <c r="B371" s="9" t="inlineStr">
        <is>
          <t>AC코드</t>
        </is>
      </c>
      <c r="C371" s="3" t="inlineStr">
        <is>
          <t>공용</t>
        </is>
      </c>
      <c r="D371" s="3" t="inlineStr">
        <is>
          <t>2구 AC코드 _ A 타입 [ 110V ]-일본향</t>
        </is>
      </c>
      <c r="E371" s="23" t="n"/>
    </row>
    <row r="372" ht="48" customHeight="1">
      <c r="A372" s="9" t="inlineStr">
        <is>
          <t>조립</t>
        </is>
      </c>
      <c r="B372" s="9" t="inlineStr">
        <is>
          <t>AC코드</t>
        </is>
      </c>
      <c r="C372" s="3" t="inlineStr">
        <is>
          <t>공용</t>
        </is>
      </c>
      <c r="D372" s="3" t="inlineStr">
        <is>
          <t>3구 접지 AC 코드_ B 타입 [ 미국용 ]</t>
        </is>
      </c>
      <c r="E372" s="23" t="n"/>
    </row>
    <row r="373" ht="48" customHeight="1">
      <c r="A373" s="9" t="inlineStr">
        <is>
          <t>조립</t>
        </is>
      </c>
      <c r="B373" s="9" t="inlineStr">
        <is>
          <t>AC코드</t>
        </is>
      </c>
      <c r="C373" s="3" t="inlineStr">
        <is>
          <t>공용</t>
        </is>
      </c>
      <c r="D373" s="3" t="inlineStr">
        <is>
          <t>3구 접지 AC 코드_ I 타입 [ 호주,중국 공용 ]</t>
        </is>
      </c>
      <c r="E373" s="23" t="n"/>
    </row>
    <row r="374" ht="48" customHeight="1">
      <c r="A374" s="9" t="inlineStr">
        <is>
          <t>조립</t>
        </is>
      </c>
      <c r="B374" s="9" t="inlineStr">
        <is>
          <t>AC코드</t>
        </is>
      </c>
      <c r="C374" s="3" t="inlineStr">
        <is>
          <t>공용</t>
        </is>
      </c>
      <c r="D374" s="3" t="inlineStr">
        <is>
          <t>3구 접지 AC 코드_ G 타입 [ 영국용 ]</t>
        </is>
      </c>
      <c r="E374" s="23" t="n"/>
    </row>
    <row r="375" ht="48" customHeight="1">
      <c r="A375" s="9" t="inlineStr">
        <is>
          <t>조립</t>
        </is>
      </c>
      <c r="B375" s="9" t="inlineStr">
        <is>
          <t>AC코드</t>
        </is>
      </c>
      <c r="C375" s="3" t="inlineStr">
        <is>
          <t>공용</t>
        </is>
      </c>
      <c r="D375" s="3" t="inlineStr">
        <is>
          <t>3구 접지 AC 코드_ F 타입 [ 220V 유럽용 ]</t>
        </is>
      </c>
      <c r="E375" s="23" t="n"/>
    </row>
    <row r="376" ht="48" customHeight="1">
      <c r="A376" s="9" t="inlineStr">
        <is>
          <t>조립</t>
        </is>
      </c>
      <c r="B376" s="9" t="inlineStr">
        <is>
          <t>AC코드</t>
        </is>
      </c>
      <c r="C376" s="3" t="inlineStr">
        <is>
          <t>공용</t>
        </is>
      </c>
      <c r="D376" s="3" t="inlineStr">
        <is>
          <t>3구 접지 AC코드 _ A 타입 [ 110V ]</t>
        </is>
      </c>
      <c r="E376" s="23" t="n"/>
    </row>
    <row r="377" ht="48" customHeight="1">
      <c r="A377" s="4" t="inlineStr">
        <is>
          <t>조립</t>
        </is>
      </c>
      <c r="B377" s="4" t="inlineStr">
        <is>
          <t>거치대</t>
        </is>
      </c>
      <c r="C377" s="3" t="inlineStr">
        <is>
          <t>DX3000 ADX4000W 공용</t>
        </is>
      </c>
      <c r="D377" s="3" t="inlineStr">
        <is>
          <t>거치대 [ D-910 ]</t>
        </is>
      </c>
      <c r="E377" s="23" t="n"/>
    </row>
    <row r="378" ht="48" customHeight="1">
      <c r="A378" s="12" t="inlineStr">
        <is>
          <t>조립</t>
        </is>
      </c>
      <c r="B378" s="12" t="inlineStr">
        <is>
          <t>연 아크릴</t>
        </is>
      </c>
      <c r="C378" s="3" t="inlineStr">
        <is>
          <t>COCOON</t>
        </is>
      </c>
      <c r="D378" s="3" t="inlineStr">
        <is>
          <t>연아크릴 [65∮] - 8T</t>
        </is>
      </c>
      <c r="E378" s="23" t="n"/>
    </row>
    <row r="379" ht="48" customHeight="1">
      <c r="A379" s="12" t="inlineStr">
        <is>
          <t>조립</t>
        </is>
      </c>
      <c r="B379" s="12" t="inlineStr">
        <is>
          <t>연 아크릴</t>
        </is>
      </c>
      <c r="C379" s="3" t="inlineStr">
        <is>
          <t>DX3000 ADX4000W</t>
        </is>
      </c>
      <c r="D379" s="3" t="inlineStr">
        <is>
          <t>연아크릴 [60∮] - 12T</t>
        </is>
      </c>
      <c r="E379" s="23" t="n"/>
    </row>
    <row r="380" ht="48" customHeight="1">
      <c r="A380" s="12" t="inlineStr">
        <is>
          <t>조립</t>
        </is>
      </c>
      <c r="B380" s="12" t="inlineStr">
        <is>
          <t>연 아크릴</t>
        </is>
      </c>
      <c r="C380" s="3" t="inlineStr">
        <is>
          <t>공용</t>
        </is>
      </c>
      <c r="D380" s="3" t="inlineStr">
        <is>
          <t>연아크릴 [65∮] - 12T</t>
        </is>
      </c>
      <c r="E380" s="23" t="n"/>
    </row>
    <row r="381" ht="48" customHeight="1">
      <c r="A381" s="12" t="inlineStr">
        <is>
          <t>조립</t>
        </is>
      </c>
      <c r="B381" s="12" t="inlineStr">
        <is>
          <t>연 아크릴</t>
        </is>
      </c>
      <c r="C381" s="3" t="inlineStr">
        <is>
          <t>공용</t>
        </is>
      </c>
      <c r="D381" s="3" t="inlineStr">
        <is>
          <t>연아크릴 [65∮] - 12T (선일 쉴드텍 - 일본만 사용)</t>
        </is>
      </c>
      <c r="E381" s="23" t="n"/>
    </row>
    <row r="382" ht="48" customHeight="1">
      <c r="A382" s="12" t="inlineStr">
        <is>
          <t>조립</t>
        </is>
      </c>
      <c r="B382" s="12" t="inlineStr">
        <is>
          <t>연 아크릴</t>
        </is>
      </c>
      <c r="C382" s="3" t="inlineStr">
        <is>
          <t>공용</t>
        </is>
      </c>
      <c r="D382" s="3" t="inlineStr">
        <is>
          <t>연아크릴 [65∮] - 12T (8T 대용)</t>
        </is>
      </c>
      <c r="E382" s="23" t="n"/>
    </row>
    <row r="383" ht="48" customHeight="1">
      <c r="A383" s="12" t="inlineStr">
        <is>
          <t>조립</t>
        </is>
      </c>
      <c r="B383" s="12" t="inlineStr">
        <is>
          <t>연 아크릴</t>
        </is>
      </c>
      <c r="C383" s="3" t="inlineStr">
        <is>
          <t>ADX6000 공용</t>
        </is>
      </c>
      <c r="D383" s="3" t="inlineStr">
        <is>
          <t>ADX6000_연아크릴 [직사각형 215*195mm] - 8T _하단 가공된 것</t>
        </is>
      </c>
      <c r="E383" s="23" t="n"/>
    </row>
    <row r="384" ht="48" customHeight="1">
      <c r="A384" s="12" t="inlineStr">
        <is>
          <t>조립</t>
        </is>
      </c>
      <c r="B384" s="12" t="inlineStr">
        <is>
          <t>연 아크릴</t>
        </is>
      </c>
      <c r="C384" s="3" t="inlineStr">
        <is>
          <t>ADX6000 공용</t>
        </is>
      </c>
      <c r="D384" s="3" t="inlineStr">
        <is>
          <t>ADX6000_연아크릴 [직사각형 215*195mm] - 8T</t>
        </is>
      </c>
      <c r="E384" s="23" t="n"/>
    </row>
    <row r="385" ht="48" customHeight="1">
      <c r="A385" s="11" t="inlineStr">
        <is>
          <t>조립</t>
        </is>
      </c>
      <c r="B385" s="11" t="inlineStr">
        <is>
          <t>실리콘</t>
        </is>
      </c>
      <c r="C385" s="3" t="inlineStr">
        <is>
          <t>공용</t>
        </is>
      </c>
      <c r="D385" s="3" t="inlineStr">
        <is>
          <t>실드 오링[60∮] _ AN-036</t>
        </is>
      </c>
      <c r="E385" s="23" t="n"/>
    </row>
    <row r="386" ht="48" customHeight="1">
      <c r="A386" s="11" t="inlineStr">
        <is>
          <t>조립</t>
        </is>
      </c>
      <c r="B386" s="11" t="inlineStr">
        <is>
          <t>실리콘</t>
        </is>
      </c>
      <c r="C386" s="3" t="inlineStr">
        <is>
          <t>공용</t>
        </is>
      </c>
      <c r="D386" s="3" t="inlineStr">
        <is>
          <t>실드 오링[60∮] _ AN-2.5     에이밍 사용</t>
        </is>
      </c>
      <c r="E386" s="23" t="n"/>
    </row>
    <row r="387" ht="48" customHeight="1">
      <c r="A387" s="11" t="inlineStr">
        <is>
          <t>조립</t>
        </is>
      </c>
      <c r="B387" s="11" t="inlineStr">
        <is>
          <t>실리콘</t>
        </is>
      </c>
      <c r="C387" s="3" t="inlineStr">
        <is>
          <t>DX3000</t>
        </is>
      </c>
      <c r="D387" s="3" t="inlineStr">
        <is>
          <t>DX3000용 연아크릴 실리콘 오링 3030</t>
        </is>
      </c>
      <c r="E387" s="23" t="n"/>
    </row>
    <row r="388" ht="48" customHeight="1">
      <c r="A388" s="11" t="inlineStr">
        <is>
          <t>조립</t>
        </is>
      </c>
      <c r="B388" s="11" t="inlineStr">
        <is>
          <t>실리콘</t>
        </is>
      </c>
      <c r="C388" s="3" t="inlineStr">
        <is>
          <t>ADX4000W</t>
        </is>
      </c>
      <c r="D388" s="3" t="inlineStr">
        <is>
          <t>ADX4000용 연아크릴 실리콘 오링 4040</t>
        </is>
      </c>
      <c r="E388" s="23" t="n"/>
    </row>
    <row r="389" ht="48" customHeight="1">
      <c r="A389" s="11" t="inlineStr">
        <is>
          <t>조립</t>
        </is>
      </c>
      <c r="B389" s="11" t="inlineStr">
        <is>
          <t>실리콘</t>
        </is>
      </c>
      <c r="C389" s="3" t="inlineStr">
        <is>
          <t>ADX6000 공용</t>
        </is>
      </c>
      <c r="D389" s="3" t="inlineStr">
        <is>
          <t>ADX6000_연아크릴 실리콘 오링</t>
        </is>
      </c>
      <c r="E389" s="23" t="n"/>
    </row>
    <row r="390" ht="48" customHeight="1">
      <c r="A390" s="11" t="inlineStr">
        <is>
          <t>조립</t>
        </is>
      </c>
      <c r="B390" s="11" t="inlineStr">
        <is>
          <t>실리콘</t>
        </is>
      </c>
      <c r="C390" s="3" t="inlineStr">
        <is>
          <t>공용</t>
        </is>
      </c>
      <c r="D390" s="3" t="inlineStr">
        <is>
          <t>SCREW CAP</t>
        </is>
      </c>
      <c r="E390" s="23" t="n"/>
    </row>
    <row r="391" ht="48" customHeight="1">
      <c r="A391" s="11" t="inlineStr">
        <is>
          <t>조립</t>
        </is>
      </c>
      <c r="B391" s="11" t="inlineStr">
        <is>
          <t>실리콘</t>
        </is>
      </c>
      <c r="C391" s="3" t="inlineStr">
        <is>
          <t>공용</t>
        </is>
      </c>
      <c r="D391" s="3" t="inlineStr">
        <is>
          <t>FOOT RUBBER</t>
        </is>
      </c>
      <c r="E391" s="23" t="n"/>
    </row>
    <row r="392" ht="48" customHeight="1">
      <c r="A392" s="11" t="inlineStr">
        <is>
          <t>조립</t>
        </is>
      </c>
      <c r="B392" s="11" t="inlineStr">
        <is>
          <t>실리콘</t>
        </is>
      </c>
      <c r="C392" s="3" t="inlineStr">
        <is>
          <t>DX3000</t>
        </is>
      </c>
      <c r="D392" s="3" t="inlineStr">
        <is>
          <t>실리콘 켑</t>
        </is>
      </c>
      <c r="E392" s="23" t="n"/>
    </row>
    <row r="393" ht="48" customHeight="1">
      <c r="A393" s="10" t="inlineStr">
        <is>
          <t>조립</t>
        </is>
      </c>
      <c r="B393" s="10" t="inlineStr">
        <is>
          <t>네임 플레이트</t>
        </is>
      </c>
      <c r="C393" s="3" t="inlineStr">
        <is>
          <t>DX3000</t>
        </is>
      </c>
      <c r="D393" s="3" t="inlineStr">
        <is>
          <t>DX3000 NAME PLATE</t>
        </is>
      </c>
      <c r="E393" s="23" t="n"/>
    </row>
    <row r="394" ht="48" customHeight="1">
      <c r="A394" s="10" t="inlineStr">
        <is>
          <t>조립</t>
        </is>
      </c>
      <c r="B394" s="10" t="inlineStr">
        <is>
          <t>네임 플레이트</t>
        </is>
      </c>
      <c r="C394" s="3" t="inlineStr">
        <is>
          <t>DX3000</t>
        </is>
      </c>
      <c r="D394" s="3" t="inlineStr">
        <is>
          <t>iRay D3 NAME PLATE</t>
        </is>
      </c>
      <c r="E394" s="23" t="n"/>
    </row>
    <row r="395" ht="48" customHeight="1">
      <c r="A395" s="10" t="inlineStr">
        <is>
          <t>조립</t>
        </is>
      </c>
      <c r="B395" s="10" t="inlineStr">
        <is>
          <t>네임 플레이트</t>
        </is>
      </c>
      <c r="C395" s="3" t="inlineStr">
        <is>
          <t>DX3000</t>
        </is>
      </c>
      <c r="D395" s="3" t="inlineStr">
        <is>
          <t>우루과이 네임 플레이트</t>
        </is>
      </c>
      <c r="E395" s="23" t="n"/>
    </row>
    <row r="396" ht="48" customHeight="1">
      <c r="A396" s="10" t="inlineStr">
        <is>
          <t>조립</t>
        </is>
      </c>
      <c r="B396" s="10" t="inlineStr">
        <is>
          <t>네임 플레이트</t>
        </is>
      </c>
      <c r="C396" s="3" t="inlineStr">
        <is>
          <t>ADX4000W</t>
        </is>
      </c>
      <c r="D396" s="3" t="inlineStr">
        <is>
          <t>ADX4000 NAME PLATE</t>
        </is>
      </c>
      <c r="E396" s="23" t="n"/>
    </row>
    <row r="397" ht="48" customHeight="1">
      <c r="A397" s="7" t="inlineStr">
        <is>
          <t>조립</t>
        </is>
      </c>
      <c r="B397" s="7" t="inlineStr">
        <is>
          <t>포장 자재</t>
        </is>
      </c>
      <c r="C397" s="3" t="inlineStr">
        <is>
          <t>공용</t>
        </is>
      </c>
      <c r="D397" s="3" t="inlineStr">
        <is>
          <t>알루미늄 필터 [1.5T * Φ63] (일본 동물용)</t>
        </is>
      </c>
      <c r="E397" s="23" t="n"/>
    </row>
    <row r="398" ht="48" customHeight="1">
      <c r="A398" s="7" t="inlineStr">
        <is>
          <t>조립</t>
        </is>
      </c>
      <c r="B398" s="7" t="inlineStr">
        <is>
          <t>포장 자재</t>
        </is>
      </c>
      <c r="C398" s="3" t="inlineStr">
        <is>
          <t>ADX4000W ADX6000</t>
        </is>
      </c>
      <c r="D398" s="3" t="inlineStr">
        <is>
          <t>OS라이센서 라벨</t>
        </is>
      </c>
      <c r="E398" s="23" t="n"/>
    </row>
    <row r="399" ht="48" customHeight="1">
      <c r="A399" s="7" t="inlineStr">
        <is>
          <t>조립</t>
        </is>
      </c>
      <c r="B399" s="7" t="inlineStr">
        <is>
          <t>포장 자재</t>
        </is>
      </c>
      <c r="C399" s="3" t="inlineStr">
        <is>
          <t>ADX4000W ADX6000</t>
        </is>
      </c>
      <c r="D399" s="3" t="inlineStr">
        <is>
          <t>터치 팬</t>
        </is>
      </c>
      <c r="E399" s="23" t="n"/>
    </row>
    <row r="400" ht="48" customHeight="1">
      <c r="A400" s="7" t="inlineStr">
        <is>
          <t>조립</t>
        </is>
      </c>
      <c r="B400" s="7" t="inlineStr">
        <is>
          <t>포장 자재</t>
        </is>
      </c>
      <c r="C400" s="3" t="inlineStr">
        <is>
          <t>DX3000 COCOON</t>
        </is>
      </c>
      <c r="D400" s="3" t="inlineStr">
        <is>
          <t>넥스트랩(포켓)</t>
        </is>
      </c>
      <c r="E400" s="23" t="n"/>
    </row>
    <row r="401" ht="48" customHeight="1">
      <c r="A401" s="7" t="inlineStr">
        <is>
          <t>조립</t>
        </is>
      </c>
      <c r="B401" s="7" t="inlineStr">
        <is>
          <t>포장 자재</t>
        </is>
      </c>
      <c r="C401" s="3" t="inlineStr">
        <is>
          <t>공용</t>
        </is>
      </c>
      <c r="D401" s="3" t="inlineStr">
        <is>
          <t>실리카겔 [부직포 20g]</t>
        </is>
      </c>
      <c r="E401" s="23" t="n"/>
    </row>
    <row r="402" ht="48" customHeight="1">
      <c r="A402" s="7" t="inlineStr">
        <is>
          <t>조립</t>
        </is>
      </c>
      <c r="B402" s="7" t="inlineStr">
        <is>
          <t>포장 자재</t>
        </is>
      </c>
      <c r="C402" s="3" t="inlineStr">
        <is>
          <t>공용</t>
        </is>
      </c>
      <c r="D402" s="3" t="inlineStr">
        <is>
          <t>가방끈(일본에 적용)</t>
        </is>
      </c>
      <c r="E402" s="23" t="n"/>
    </row>
    <row r="403" ht="48" customHeight="1">
      <c r="A403" s="7" t="inlineStr">
        <is>
          <t>조립</t>
        </is>
      </c>
      <c r="B403" s="7" t="inlineStr">
        <is>
          <t>포장 자재</t>
        </is>
      </c>
      <c r="C403" s="3" t="inlineStr">
        <is>
          <t>공용</t>
        </is>
      </c>
      <c r="D403" s="3" t="inlineStr">
        <is>
          <t>제품 스트랩 (호주에 적용)</t>
        </is>
      </c>
      <c r="E403" s="23" t="n"/>
    </row>
    <row r="404" ht="48" customHeight="1">
      <c r="A404" s="7" t="inlineStr">
        <is>
          <t>조립</t>
        </is>
      </c>
      <c r="B404" s="7" t="inlineStr">
        <is>
          <t>포장 자재</t>
        </is>
      </c>
      <c r="C404" s="3" t="inlineStr">
        <is>
          <t>공용</t>
        </is>
      </c>
      <c r="D404" s="3" t="inlineStr">
        <is>
          <t>USB2.0 CABLE [PMM369-0200]-3M</t>
        </is>
      </c>
      <c r="E404" s="23" t="n"/>
    </row>
    <row r="405" ht="48" customHeight="1">
      <c r="A405" s="7" t="inlineStr">
        <is>
          <t>조립</t>
        </is>
      </c>
      <c r="B405" s="7" t="inlineStr">
        <is>
          <t>포장 자재</t>
        </is>
      </c>
      <c r="C405" s="3" t="inlineStr">
        <is>
          <t>공용</t>
        </is>
      </c>
      <c r="D405" s="3" t="inlineStr">
        <is>
          <t>변환 젠더 _ 외부배터리 충전용(공용)</t>
        </is>
      </c>
      <c r="E405" s="23" t="n"/>
    </row>
    <row r="406" ht="48" customHeight="1">
      <c r="A406" s="7" t="inlineStr">
        <is>
          <t>조립</t>
        </is>
      </c>
      <c r="B406" s="7" t="inlineStr">
        <is>
          <t>포장 자재</t>
        </is>
      </c>
      <c r="C406" s="3" t="inlineStr">
        <is>
          <t>공용</t>
        </is>
      </c>
      <c r="D406" s="3" t="inlineStr">
        <is>
          <t>REMOTE CONTROL [RW20]- 3M</t>
        </is>
      </c>
      <c r="E406" s="23" t="n"/>
    </row>
    <row r="407" ht="48" customHeight="1">
      <c r="A407" s="7" t="inlineStr">
        <is>
          <t>조립</t>
        </is>
      </c>
      <c r="B407" s="7" t="inlineStr">
        <is>
          <t>포장 자재</t>
        </is>
      </c>
      <c r="C407" s="3" t="inlineStr">
        <is>
          <t>ADX6000 공용</t>
        </is>
      </c>
      <c r="D407" s="3" t="inlineStr">
        <is>
          <t>ADX6000 name plate</t>
        </is>
      </c>
      <c r="E407" s="23" t="n"/>
    </row>
    <row r="408" ht="48" customHeight="1">
      <c r="A408" s="7" t="inlineStr">
        <is>
          <t>조립</t>
        </is>
      </c>
      <c r="B408" s="7" t="inlineStr">
        <is>
          <t>포장 자재</t>
        </is>
      </c>
      <c r="C408" s="3" t="inlineStr">
        <is>
          <t>ADX6000 공용</t>
        </is>
      </c>
      <c r="D408" s="3" t="inlineStr">
        <is>
          <t>IRay A6 name plate</t>
        </is>
      </c>
      <c r="E408" s="23" t="n"/>
    </row>
    <row r="409" ht="48" customHeight="1">
      <c r="A409" s="7" t="inlineStr">
        <is>
          <t>조립</t>
        </is>
      </c>
      <c r="B409" s="7" t="inlineStr">
        <is>
          <t>포장 자재</t>
        </is>
      </c>
      <c r="C409" s="3" t="inlineStr">
        <is>
          <t>ADX6000 공용</t>
        </is>
      </c>
      <c r="D409" s="3" t="inlineStr">
        <is>
          <t>사각 줄자 (White)</t>
        </is>
      </c>
      <c r="E409" s="23" t="n"/>
    </row>
    <row r="410" ht="48" customHeight="1">
      <c r="A410" s="7" t="inlineStr">
        <is>
          <t>조립</t>
        </is>
      </c>
      <c r="B410" s="7" t="inlineStr">
        <is>
          <t>포장 자재</t>
        </is>
      </c>
      <c r="C410" s="3" t="inlineStr">
        <is>
          <t>ADX6000 공용</t>
        </is>
      </c>
      <c r="D410" s="3" t="inlineStr">
        <is>
          <t>사각 줄자 가이드</t>
        </is>
      </c>
      <c r="E410" s="23" t="n"/>
    </row>
    <row r="411" ht="48" customHeight="1">
      <c r="A411" s="7" t="inlineStr">
        <is>
          <t>조립</t>
        </is>
      </c>
      <c r="B411" s="7" t="inlineStr">
        <is>
          <t>포장 자재</t>
        </is>
      </c>
      <c r="C411" s="3" t="inlineStr">
        <is>
          <t>ADX6000</t>
        </is>
      </c>
      <c r="D411" s="3" t="inlineStr">
        <is>
          <t>PC Link Cable</t>
        </is>
      </c>
      <c r="E411" s="23" t="n"/>
    </row>
    <row r="412" ht="48" customHeight="1">
      <c r="A412" s="7" t="inlineStr">
        <is>
          <t>조립</t>
        </is>
      </c>
      <c r="B412" s="7" t="inlineStr">
        <is>
          <t>포장 자재</t>
        </is>
      </c>
      <c r="C412" s="3" t="inlineStr">
        <is>
          <t>ADX6000 공용</t>
        </is>
      </c>
      <c r="D412" s="3" t="inlineStr">
        <is>
          <t>스킨가드(밸크로)</t>
        </is>
      </c>
      <c r="E412" s="23" t="n"/>
    </row>
    <row r="413" ht="48" customHeight="1">
      <c r="A413" s="7" t="inlineStr">
        <is>
          <t>조립</t>
        </is>
      </c>
      <c r="B413" s="7" t="inlineStr">
        <is>
          <t>포장 자재</t>
        </is>
      </c>
      <c r="C413" s="3" t="inlineStr">
        <is>
          <t>ADX6000 공용</t>
        </is>
      </c>
      <c r="D413" s="3" t="inlineStr">
        <is>
          <t>전자 각도기</t>
        </is>
      </c>
      <c r="E413" s="23" t="n"/>
    </row>
    <row r="414" ht="48" customHeight="1">
      <c r="A414" s="7" t="inlineStr">
        <is>
          <t>조립</t>
        </is>
      </c>
      <c r="B414" s="7" t="inlineStr">
        <is>
          <t>포장 자재</t>
        </is>
      </c>
      <c r="C414" s="3" t="inlineStr">
        <is>
          <t>ADX6000 공용</t>
        </is>
      </c>
      <c r="D414" s="3" t="inlineStr">
        <is>
          <t>각도기 거치대</t>
        </is>
      </c>
      <c r="E414" s="23" t="n"/>
    </row>
    <row r="415" ht="48" customHeight="1">
      <c r="A415" s="7" t="inlineStr">
        <is>
          <t>조립</t>
        </is>
      </c>
      <c r="B415" s="7" t="inlineStr">
        <is>
          <t>포장 자재</t>
        </is>
      </c>
      <c r="C415" s="3" t="inlineStr">
        <is>
          <t>ADX6000 공용</t>
        </is>
      </c>
      <c r="D415" s="3" t="inlineStr">
        <is>
          <t>각도기 내부 철판</t>
        </is>
      </c>
      <c r="E415" s="23" t="n"/>
    </row>
    <row r="416" ht="48" customHeight="1">
      <c r="A416" s="8" t="inlineStr">
        <is>
          <t>조립</t>
        </is>
      </c>
      <c r="B416" s="8" t="inlineStr">
        <is>
          <t>박스</t>
        </is>
      </c>
      <c r="C416" s="3" t="inlineStr">
        <is>
          <t>공용</t>
        </is>
      </c>
      <c r="D416" s="3" t="inlineStr">
        <is>
          <t>i cam 구강 카메라 박스</t>
        </is>
      </c>
      <c r="E416" s="23" t="n"/>
    </row>
    <row r="417" ht="48" customHeight="1">
      <c r="A417" s="8" t="inlineStr">
        <is>
          <t>조립</t>
        </is>
      </c>
      <c r="B417" s="8" t="inlineStr">
        <is>
          <t>박스</t>
        </is>
      </c>
      <c r="C417" s="3" t="inlineStr">
        <is>
          <t>공용</t>
        </is>
      </c>
      <c r="D417" s="3" t="inlineStr">
        <is>
          <t>REX2 센서박스</t>
        </is>
      </c>
      <c r="E417" s="23" t="n"/>
    </row>
    <row r="418" ht="48" customHeight="1">
      <c r="A418" s="17" t="inlineStr">
        <is>
          <t>조립</t>
        </is>
      </c>
      <c r="B418" s="17" t="inlineStr">
        <is>
          <t>센서</t>
        </is>
      </c>
      <c r="C418" s="3" t="inlineStr">
        <is>
          <t>공용</t>
        </is>
      </c>
      <c r="D418" s="3" t="inlineStr">
        <is>
          <t>i cam 구강 카메라</t>
        </is>
      </c>
      <c r="E418" s="23" t="n"/>
    </row>
    <row r="419" ht="48" customHeight="1">
      <c r="A419" s="17" t="inlineStr">
        <is>
          <t>조립</t>
        </is>
      </c>
      <c r="B419" s="17" t="inlineStr">
        <is>
          <t>센서</t>
        </is>
      </c>
      <c r="C419" s="3" t="inlineStr">
        <is>
          <t>공용</t>
        </is>
      </c>
      <c r="D419" s="3" t="inlineStr">
        <is>
          <t>330N DRTECH 센서</t>
        </is>
      </c>
      <c r="E419" s="23" t="n"/>
    </row>
    <row r="420" ht="48" customHeight="1">
      <c r="A420" s="17" t="inlineStr">
        <is>
          <t>조립</t>
        </is>
      </c>
      <c r="B420" s="17" t="inlineStr">
        <is>
          <t>센서</t>
        </is>
      </c>
      <c r="C420" s="3" t="inlineStr">
        <is>
          <t>공용</t>
        </is>
      </c>
      <c r="D420" s="3" t="inlineStr">
        <is>
          <t>Rex2 Elite [XVS2530] Size 1.5</t>
        </is>
      </c>
      <c r="E420" s="23" t="n"/>
    </row>
    <row r="421" ht="48" customHeight="1">
      <c r="A421" s="17" t="inlineStr">
        <is>
          <t>조립</t>
        </is>
      </c>
      <c r="B421" s="17" t="inlineStr">
        <is>
          <t>센서</t>
        </is>
      </c>
      <c r="C421" s="3" t="inlineStr">
        <is>
          <t>공용</t>
        </is>
      </c>
      <c r="D421" s="3" t="inlineStr">
        <is>
          <t>Rex2 Elite [iRay] Size 2.0</t>
        </is>
      </c>
      <c r="E421" s="23" t="n"/>
    </row>
    <row r="422" ht="48" customHeight="1">
      <c r="A422" s="17" t="inlineStr">
        <is>
          <t>조립</t>
        </is>
      </c>
      <c r="B422" s="17" t="inlineStr">
        <is>
          <t>센서</t>
        </is>
      </c>
      <c r="C422" s="3" t="inlineStr">
        <is>
          <t>공용</t>
        </is>
      </c>
      <c r="D422" s="3" t="inlineStr">
        <is>
          <t>HDI 2000 [Rex2 Premium/1.5]</t>
        </is>
      </c>
      <c r="E422" s="23" t="n"/>
    </row>
    <row r="423" ht="48" customHeight="1">
      <c r="A423" s="17" t="inlineStr">
        <is>
          <t>조립</t>
        </is>
      </c>
      <c r="B423" s="17" t="inlineStr">
        <is>
          <t>센서</t>
        </is>
      </c>
      <c r="C423" s="3" t="inlineStr">
        <is>
          <t>공용</t>
        </is>
      </c>
      <c r="D423" s="3" t="inlineStr">
        <is>
          <t>HDI 2000 [Rex2 Premium/2.0]</t>
        </is>
      </c>
      <c r="E423" s="23" t="n"/>
    </row>
    <row r="424" ht="48" customHeight="1">
      <c r="A424" s="17" t="inlineStr">
        <is>
          <t>조립</t>
        </is>
      </c>
      <c r="B424" s="17" t="inlineStr">
        <is>
          <t>센서</t>
        </is>
      </c>
      <c r="C424" s="3" t="inlineStr">
        <is>
          <t>공용</t>
        </is>
      </c>
      <c r="D424" s="3" t="inlineStr">
        <is>
          <t>HDI-S [Rex2 Premium/1.0]</t>
        </is>
      </c>
      <c r="E424" s="23" t="n"/>
    </row>
    <row r="425" ht="48" customHeight="1">
      <c r="A425" s="17" t="inlineStr">
        <is>
          <t>조립</t>
        </is>
      </c>
      <c r="B425" s="17" t="inlineStr">
        <is>
          <t>센서</t>
        </is>
      </c>
      <c r="C425" s="3" t="inlineStr">
        <is>
          <t>공용</t>
        </is>
      </c>
      <c r="D425" s="3" t="inlineStr">
        <is>
          <t>HDI-S [Rex2 Premium/1.5]</t>
        </is>
      </c>
      <c r="E425" s="23" t="n"/>
    </row>
    <row r="426" ht="48" customHeight="1">
      <c r="A426" s="17" t="inlineStr">
        <is>
          <t>조립</t>
        </is>
      </c>
      <c r="B426" s="17" t="inlineStr">
        <is>
          <t>센서</t>
        </is>
      </c>
      <c r="C426" s="3" t="inlineStr">
        <is>
          <t>공용</t>
        </is>
      </c>
      <c r="D426" s="3" t="inlineStr">
        <is>
          <t>HDI-S [Rex2 Premium/2.0]</t>
        </is>
      </c>
      <c r="E426" s="23" t="n"/>
    </row>
    <row r="427" ht="48" customHeight="1">
      <c r="A427" s="17" t="inlineStr">
        <is>
          <t>조립</t>
        </is>
      </c>
      <c r="B427" s="17" t="inlineStr">
        <is>
          <t>센서</t>
        </is>
      </c>
      <c r="C427" s="3" t="inlineStr">
        <is>
          <t>공용</t>
        </is>
      </c>
      <c r="D427" s="3" t="inlineStr">
        <is>
          <t>CMOS 센서-EV71JU215A-C-00B1(#1)</t>
        </is>
      </c>
      <c r="E427" s="23" t="n"/>
    </row>
    <row r="428" ht="48" customHeight="1">
      <c r="A428" s="17" t="inlineStr">
        <is>
          <t>조립</t>
        </is>
      </c>
      <c r="B428" s="17" t="inlineStr">
        <is>
          <t>센서</t>
        </is>
      </c>
      <c r="C428" s="3" t="inlineStr">
        <is>
          <t>공용</t>
        </is>
      </c>
      <c r="D428" s="3" t="inlineStr">
        <is>
          <t>CMOS 센서-EV71JU213A-C-00B1(#2)</t>
        </is>
      </c>
      <c r="E428" s="23" t="n"/>
    </row>
    <row r="429" ht="48" customHeight="1">
      <c r="A429" s="17" t="inlineStr">
        <is>
          <t>조립</t>
        </is>
      </c>
      <c r="B429" s="17" t="inlineStr">
        <is>
          <t>센서</t>
        </is>
      </c>
      <c r="C429" s="3" t="inlineStr">
        <is>
          <t>공용</t>
        </is>
      </c>
      <c r="D429" s="3" t="inlineStr">
        <is>
          <t>PIXXGEN_ PIXX1717W (Size 17"x17")</t>
        </is>
      </c>
      <c r="E429" s="23" t="n"/>
    </row>
    <row r="430" ht="48" customHeight="1">
      <c r="A430" s="17" t="inlineStr">
        <is>
          <t>조립</t>
        </is>
      </c>
      <c r="B430" s="17" t="inlineStr">
        <is>
          <t>센서</t>
        </is>
      </c>
      <c r="C430" s="3" t="inlineStr">
        <is>
          <t>공용</t>
        </is>
      </c>
      <c r="D430" s="3" t="inlineStr">
        <is>
          <t>CareRay_ CareView1800Cwe (Size 17"x17")</t>
        </is>
      </c>
      <c r="E430" s="23" t="n"/>
    </row>
    <row r="431" ht="48" customHeight="1">
      <c r="A431" s="16" t="inlineStr">
        <is>
          <t>조립</t>
        </is>
      </c>
      <c r="B431" s="16" t="inlineStr">
        <is>
          <t>가방</t>
        </is>
      </c>
      <c r="C431" s="3" t="inlineStr">
        <is>
          <t>DX3000 ADX4000W</t>
        </is>
      </c>
      <c r="D431" s="3" t="inlineStr">
        <is>
          <t>가방+내부FOAM(계란판)  공용</t>
        </is>
      </c>
      <c r="E431" s="23" t="n"/>
    </row>
    <row r="432" ht="48" customHeight="1">
      <c r="A432" s="16" t="inlineStr">
        <is>
          <t>조립</t>
        </is>
      </c>
      <c r="B432" s="16" t="inlineStr">
        <is>
          <t>가방</t>
        </is>
      </c>
      <c r="C432" s="3" t="inlineStr">
        <is>
          <t>COCOON 공용</t>
        </is>
      </c>
      <c r="D432" s="3" t="inlineStr">
        <is>
          <t>가방+내부FOAM(계란판) 공용</t>
        </is>
      </c>
      <c r="E432" s="23" t="n"/>
    </row>
    <row r="433" ht="48" customHeight="1">
      <c r="A433" s="16" t="inlineStr">
        <is>
          <t>조립</t>
        </is>
      </c>
      <c r="B433" s="16" t="inlineStr">
        <is>
          <t>가방</t>
        </is>
      </c>
      <c r="C433" s="3" t="inlineStr">
        <is>
          <t>COCOON 케어스트림</t>
        </is>
      </c>
      <c r="D433" s="3" t="inlineStr">
        <is>
          <t>가방+내부FOAM(계란판) 공용</t>
        </is>
      </c>
      <c r="E433" s="23" t="n"/>
    </row>
    <row r="434" ht="48" customHeight="1">
      <c r="A434" s="16" t="inlineStr">
        <is>
          <t>조립</t>
        </is>
      </c>
      <c r="B434" s="16" t="inlineStr">
        <is>
          <t>가방</t>
        </is>
      </c>
      <c r="C434" s="3" t="inlineStr">
        <is>
          <t>ADX6000 공용</t>
        </is>
      </c>
      <c r="D434" s="3" t="inlineStr">
        <is>
          <t>가방+내부FOAM(계란판)  공용</t>
        </is>
      </c>
      <c r="E434" s="23" t="n"/>
    </row>
    <row r="435" ht="48" customHeight="1">
      <c r="A435" s="16" t="inlineStr">
        <is>
          <t>조립</t>
        </is>
      </c>
      <c r="B435" s="16" t="inlineStr">
        <is>
          <t>가방</t>
        </is>
      </c>
      <c r="C435" s="3" t="inlineStr">
        <is>
          <t>DX3000 ADX4000W</t>
        </is>
      </c>
      <c r="D435" s="3" t="inlineStr">
        <is>
          <t>가방(로고 없는것 )+내부FOAM(계란판)</t>
        </is>
      </c>
      <c r="E435" s="23" t="n"/>
    </row>
    <row r="436" ht="48" customHeight="1">
      <c r="A436" s="16" t="inlineStr">
        <is>
          <t>조립</t>
        </is>
      </c>
      <c r="B436" s="16" t="inlineStr">
        <is>
          <t>가방</t>
        </is>
      </c>
      <c r="C436" s="3" t="inlineStr">
        <is>
          <t>COCOON 공용</t>
        </is>
      </c>
      <c r="D436" s="3" t="inlineStr">
        <is>
          <t>가방(로고 없는것 )+내부FOAM(계란판)</t>
        </is>
      </c>
      <c r="E436" s="23" t="n"/>
    </row>
    <row r="437" ht="48" customHeight="1">
      <c r="A437" s="16" t="inlineStr">
        <is>
          <t>조립</t>
        </is>
      </c>
      <c r="B437" s="16" t="inlineStr">
        <is>
          <t>가방</t>
        </is>
      </c>
      <c r="C437" s="3" t="inlineStr">
        <is>
          <t>공용</t>
        </is>
      </c>
      <c r="D437" s="3" t="inlineStr">
        <is>
          <t>디텍터 가방</t>
        </is>
      </c>
      <c r="E437" s="23" t="n"/>
    </row>
    <row r="438" ht="48" customHeight="1">
      <c r="A438" s="15" t="inlineStr">
        <is>
          <t>조립</t>
        </is>
      </c>
      <c r="B438" s="15" t="inlineStr">
        <is>
          <t>내부 폼</t>
        </is>
      </c>
      <c r="C438" s="3" t="inlineStr">
        <is>
          <t>DX3000</t>
        </is>
      </c>
      <c r="D438" s="3" t="inlineStr">
        <is>
          <t>DX3000 _ [15cm cone용] 내부 FOAM (상판 ,하판,계란판)</t>
        </is>
      </c>
      <c r="E438" s="23" t="n"/>
    </row>
    <row r="439" ht="48" customHeight="1">
      <c r="A439" s="15" t="inlineStr">
        <is>
          <t>조립</t>
        </is>
      </c>
      <c r="B439" s="15" t="inlineStr">
        <is>
          <t>내부 폼</t>
        </is>
      </c>
      <c r="C439" s="3" t="inlineStr">
        <is>
          <t>DX3000</t>
        </is>
      </c>
      <c r="D439" s="3" t="inlineStr">
        <is>
          <t>DX3000 _ [20cm cone용] 내부 FOAM (상판 ,하판,계란판)</t>
        </is>
      </c>
      <c r="E439" s="23" t="n"/>
    </row>
    <row r="440" ht="48" customHeight="1">
      <c r="A440" s="15" t="inlineStr">
        <is>
          <t>조립</t>
        </is>
      </c>
      <c r="B440" s="15" t="inlineStr">
        <is>
          <t>내부 폼</t>
        </is>
      </c>
      <c r="C440" s="3" t="inlineStr">
        <is>
          <t>ADX4000W</t>
        </is>
      </c>
      <c r="D440" s="3" t="inlineStr">
        <is>
          <t>ADX4000W _ [15cm cone용] 내부 FOAM (상판 ,하판,계란판)</t>
        </is>
      </c>
      <c r="E440" s="23" t="n"/>
    </row>
    <row r="441" ht="48" customHeight="1">
      <c r="A441" s="15" t="inlineStr">
        <is>
          <t>조립</t>
        </is>
      </c>
      <c r="B441" s="15" t="inlineStr">
        <is>
          <t>내부 폼</t>
        </is>
      </c>
      <c r="C441" s="3" t="inlineStr">
        <is>
          <t>ADX4000W</t>
        </is>
      </c>
      <c r="D441" s="3" t="inlineStr">
        <is>
          <t>ADX4000W _ [20cm cone용] 내부 FOAM (상판 ,하판,계란판)</t>
        </is>
      </c>
      <c r="E441" s="23" t="n"/>
    </row>
    <row r="442" ht="48" customHeight="1">
      <c r="A442" s="15" t="inlineStr">
        <is>
          <t>조립</t>
        </is>
      </c>
      <c r="B442" s="15" t="inlineStr">
        <is>
          <t>내부 폼</t>
        </is>
      </c>
      <c r="C442" s="3" t="inlineStr">
        <is>
          <t>COCOON</t>
        </is>
      </c>
      <c r="D442" s="3" t="inlineStr">
        <is>
          <t>COCOON _ [18cm cone용] 내부 FOAM (상판 ,하판,계란판)</t>
        </is>
      </c>
      <c r="E442" s="23" t="n"/>
    </row>
    <row r="443" ht="48" customHeight="1">
      <c r="A443" s="15" t="inlineStr">
        <is>
          <t>조립</t>
        </is>
      </c>
      <c r="B443" s="15" t="inlineStr">
        <is>
          <t>내부 폼</t>
        </is>
      </c>
      <c r="C443" s="3" t="inlineStr">
        <is>
          <t>COCOON</t>
        </is>
      </c>
      <c r="D443" s="3" t="inlineStr">
        <is>
          <t>COCOON _ [20cm cone용] 내부 FOAM (상판 ,하판,계란판)</t>
        </is>
      </c>
      <c r="E443" s="23" t="n"/>
    </row>
    <row r="444" ht="48" customHeight="1">
      <c r="A444" s="15" t="inlineStr">
        <is>
          <t>조립</t>
        </is>
      </c>
      <c r="B444" s="15" t="inlineStr">
        <is>
          <t>내부 폼</t>
        </is>
      </c>
      <c r="C444" s="3" t="inlineStr">
        <is>
          <t>ADX6000 공용</t>
        </is>
      </c>
      <c r="D444" s="3" t="inlineStr">
        <is>
          <t>ADX6000 _ 내부 FOAM (상판 ,하판,계란판)</t>
        </is>
      </c>
      <c r="E444" s="23" t="n"/>
    </row>
    <row r="445" ht="48" customHeight="1">
      <c r="A445" s="15" t="inlineStr">
        <is>
          <t>조립</t>
        </is>
      </c>
      <c r="B445" s="15" t="inlineStr">
        <is>
          <t>내부 폼</t>
        </is>
      </c>
      <c r="C445" s="3" t="inlineStr">
        <is>
          <t>SOLO</t>
        </is>
      </c>
      <c r="D445" s="3" t="inlineStr">
        <is>
          <t>SOLO _ [18cm cone용] 내부 FOAM (상판, 하판) Forensic용 손잡이 분리형</t>
        </is>
      </c>
      <c r="E445" s="23" t="n"/>
    </row>
    <row r="446" ht="48" customHeight="1">
      <c r="A446" s="15" t="inlineStr">
        <is>
          <t>조립</t>
        </is>
      </c>
      <c r="B446" s="15" t="inlineStr">
        <is>
          <t>내부 폼</t>
        </is>
      </c>
      <c r="C446" s="3" t="inlineStr">
        <is>
          <t>SOLO</t>
        </is>
      </c>
      <c r="D446" s="3" t="inlineStr">
        <is>
          <t>SOLO _ 제품 박스 Forensic용 [530*300*190]</t>
        </is>
      </c>
      <c r="E446" s="23" t="n"/>
    </row>
    <row r="447" ht="48" customHeight="1">
      <c r="A447" s="15" t="inlineStr">
        <is>
          <t>조립</t>
        </is>
      </c>
      <c r="B447" s="15" t="inlineStr">
        <is>
          <t>내부 폼</t>
        </is>
      </c>
      <c r="C447" s="3" t="inlineStr">
        <is>
          <t>SOLO</t>
        </is>
      </c>
      <c r="D447" s="3" t="inlineStr">
        <is>
          <t>SOLO _ 카톤 박스 Forensic용 [550*400*330]</t>
        </is>
      </c>
      <c r="E447" s="23" t="n"/>
    </row>
    <row r="448" ht="48" customHeight="1">
      <c r="A448" s="15" t="inlineStr">
        <is>
          <t>조립</t>
        </is>
      </c>
      <c r="B448" s="15" t="inlineStr">
        <is>
          <t>내부 폼</t>
        </is>
      </c>
      <c r="C448" s="3" t="inlineStr">
        <is>
          <t>SOLO</t>
        </is>
      </c>
      <c r="D448" s="3" t="inlineStr">
        <is>
          <t>SOLO _ [20cm cone용] 내부 FOAM (상판, 하판) 손잡이 체결형</t>
        </is>
      </c>
      <c r="E448" s="23" t="n"/>
    </row>
    <row r="449" ht="48" customHeight="1">
      <c r="A449" s="15" t="inlineStr">
        <is>
          <t>조립</t>
        </is>
      </c>
      <c r="B449" s="15" t="inlineStr">
        <is>
          <t>내부 폼</t>
        </is>
      </c>
      <c r="C449" s="3" t="inlineStr">
        <is>
          <t>SOLO</t>
        </is>
      </c>
      <c r="D449" s="3" t="inlineStr">
        <is>
          <t>SOLO _ 제품 박스 [420*400*180]</t>
        </is>
      </c>
      <c r="E449" s="23" t="n"/>
    </row>
    <row r="450" ht="48" customHeight="1">
      <c r="A450" s="15" t="inlineStr">
        <is>
          <t>조립</t>
        </is>
      </c>
      <c r="B450" s="15" t="inlineStr">
        <is>
          <t>내부 폼</t>
        </is>
      </c>
      <c r="C450" s="3" t="inlineStr">
        <is>
          <t>SOLO</t>
        </is>
      </c>
      <c r="D450" s="3" t="inlineStr">
        <is>
          <t>SOLO _ 카톤 박스 [440*390*420]</t>
        </is>
      </c>
      <c r="E450" s="23" t="n"/>
    </row>
    <row r="451" ht="48" customHeight="1">
      <c r="A451" s="14" t="inlineStr">
        <is>
          <t>조립</t>
        </is>
      </c>
      <c r="B451" s="14" t="inlineStr">
        <is>
          <t>제품 박스</t>
        </is>
      </c>
      <c r="C451" s="3" t="inlineStr">
        <is>
          <t>DX3000 ADX4000W</t>
        </is>
      </c>
      <c r="D451" s="3" t="inlineStr">
        <is>
          <t>DX3000,ADX4000W _ 제품 박스 [450*240*360] 공용</t>
        </is>
      </c>
      <c r="E451" s="23" t="n"/>
    </row>
    <row r="452" ht="48" customHeight="1">
      <c r="A452" s="14" t="inlineStr">
        <is>
          <t>조립</t>
        </is>
      </c>
      <c r="B452" s="14" t="inlineStr">
        <is>
          <t>제품 박스</t>
        </is>
      </c>
      <c r="C452" s="3" t="inlineStr">
        <is>
          <t>COCOON</t>
        </is>
      </c>
      <c r="D452" s="3" t="inlineStr">
        <is>
          <t>COCOON _ 제품 박스 [450*240*490]</t>
        </is>
      </c>
      <c r="E452" s="23" t="n"/>
    </row>
    <row r="453" ht="48" customHeight="1">
      <c r="A453" s="14" t="inlineStr">
        <is>
          <t>조립</t>
        </is>
      </c>
      <c r="B453" s="14" t="inlineStr">
        <is>
          <t>제품 박스</t>
        </is>
      </c>
      <c r="C453" s="3" t="inlineStr">
        <is>
          <t>ADX6000 공용</t>
        </is>
      </c>
      <c r="D453" s="3" t="inlineStr">
        <is>
          <t>ADX6000s _ 제품 박스 [450*240*490]</t>
        </is>
      </c>
      <c r="E453" s="23" t="n"/>
    </row>
    <row r="454" ht="48" customHeight="1">
      <c r="A454" s="14" t="inlineStr">
        <is>
          <t>조립</t>
        </is>
      </c>
      <c r="B454" s="14" t="inlineStr">
        <is>
          <t>제품 박스</t>
        </is>
      </c>
      <c r="C454" s="3" t="inlineStr">
        <is>
          <t>DX3000 ADX4000W</t>
        </is>
      </c>
      <c r="D454" s="3" t="inlineStr">
        <is>
          <t>DX3000,ADX4000W _ 카톤 박스 [490*460*370]</t>
        </is>
      </c>
      <c r="E454" s="23" t="n"/>
    </row>
    <row r="455" ht="48" customHeight="1">
      <c r="A455" s="14" t="inlineStr">
        <is>
          <t>조립</t>
        </is>
      </c>
      <c r="B455" s="14" t="inlineStr">
        <is>
          <t>제품 박스</t>
        </is>
      </c>
      <c r="C455" s="3" t="inlineStr">
        <is>
          <t>COCOON</t>
        </is>
      </c>
      <c r="D455" s="3" t="inlineStr">
        <is>
          <t>COCOON _ 카톤 박스 [500*460*520]</t>
        </is>
      </c>
      <c r="E455" s="23" t="n"/>
    </row>
    <row r="456" ht="48" customHeight="1">
      <c r="A456" s="14" t="inlineStr">
        <is>
          <t>조립</t>
        </is>
      </c>
      <c r="B456" s="14" t="inlineStr">
        <is>
          <t>제품 박스</t>
        </is>
      </c>
      <c r="C456" s="3" t="inlineStr">
        <is>
          <t>ADX6000 공용</t>
        </is>
      </c>
      <c r="D456" s="3" t="inlineStr">
        <is>
          <t>ADX6000s _ 카톤 박스 [500*460*520]</t>
        </is>
      </c>
      <c r="E456" s="23" t="n"/>
    </row>
    <row r="457" ht="48" customHeight="1">
      <c r="A457" s="14" t="inlineStr">
        <is>
          <t>조립</t>
        </is>
      </c>
      <c r="B457" s="14" t="inlineStr">
        <is>
          <t>제품 박스</t>
        </is>
      </c>
      <c r="C457" s="3" t="inlineStr">
        <is>
          <t>DX3000</t>
        </is>
      </c>
      <c r="D457" s="3" t="inlineStr">
        <is>
          <t>저가 제품 박스(小)</t>
        </is>
      </c>
      <c r="E457" s="23" t="n"/>
    </row>
    <row r="458" ht="48" customHeight="1">
      <c r="A458" s="4" t="inlineStr">
        <is>
          <t>조립</t>
        </is>
      </c>
      <c r="B458" s="4" t="inlineStr">
        <is>
          <t>에어셀</t>
        </is>
      </c>
      <c r="C458" s="3" t="inlineStr">
        <is>
          <t>에어셀</t>
        </is>
      </c>
      <c r="D458" s="3" t="inlineStr">
        <is>
          <t>저가 박스 에어셀_Main (JD010411-01)</t>
        </is>
      </c>
      <c r="E458" s="23" t="n"/>
    </row>
    <row r="459" ht="48" customHeight="1">
      <c r="A459" s="2" t="inlineStr">
        <is>
          <t>조립</t>
        </is>
      </c>
      <c r="B459" s="2" t="inlineStr">
        <is>
          <t>사출_ 샌딩</t>
        </is>
      </c>
      <c r="C459" s="3" t="inlineStr">
        <is>
          <t>SOLO</t>
        </is>
      </c>
      <c r="D459" s="3" t="inlineStr">
        <is>
          <t>Top_body _ 블랙 샌딩</t>
        </is>
      </c>
      <c r="E459" s="23" t="n"/>
    </row>
    <row r="460" ht="48" customHeight="1">
      <c r="A460" s="2" t="inlineStr">
        <is>
          <t>조립</t>
        </is>
      </c>
      <c r="B460" s="2" t="inlineStr">
        <is>
          <t>사출_ 샌딩</t>
        </is>
      </c>
      <c r="C460" s="3" t="inlineStr">
        <is>
          <t>SOLO</t>
        </is>
      </c>
      <c r="D460" s="3" t="inlineStr">
        <is>
          <t>Bottom Body _ 블랙 샌딩</t>
        </is>
      </c>
      <c r="E460" s="23" t="n"/>
    </row>
    <row r="461" ht="48" customHeight="1">
      <c r="A461" s="2" t="inlineStr">
        <is>
          <t>조립</t>
        </is>
      </c>
      <c r="B461" s="2" t="inlineStr">
        <is>
          <t>사출_ 샌딩</t>
        </is>
      </c>
      <c r="C461" s="3" t="inlineStr">
        <is>
          <t>SOLO</t>
        </is>
      </c>
      <c r="D461" s="3" t="inlineStr">
        <is>
          <t>Hand_Body _ 블랙 샌딩</t>
        </is>
      </c>
      <c r="E461" s="23" t="n"/>
    </row>
    <row r="462" ht="48" customHeight="1">
      <c r="A462" s="2" t="inlineStr">
        <is>
          <t>조립</t>
        </is>
      </c>
      <c r="B462" s="2" t="inlineStr">
        <is>
          <t>사출_ 샌딩</t>
        </is>
      </c>
      <c r="C462" s="3" t="inlineStr">
        <is>
          <t>SOLO</t>
        </is>
      </c>
      <c r="D462" s="3" t="inlineStr">
        <is>
          <t>Bat_Bottom _ 블랙 샌딩</t>
        </is>
      </c>
      <c r="E462" s="23" t="n"/>
    </row>
    <row r="463" ht="48" customHeight="1">
      <c r="A463" s="2" t="inlineStr">
        <is>
          <t>조립</t>
        </is>
      </c>
      <c r="B463" s="2" t="inlineStr">
        <is>
          <t>사출_ 샌딩</t>
        </is>
      </c>
      <c r="C463" s="3" t="inlineStr">
        <is>
          <t>SOLO</t>
        </is>
      </c>
      <c r="D463" s="3" t="inlineStr">
        <is>
          <t>Bat_Bottom_Cover _ 블랙 샌딩</t>
        </is>
      </c>
      <c r="E463" s="23" t="n"/>
    </row>
    <row r="464" ht="48" customHeight="1">
      <c r="A464" s="2" t="inlineStr">
        <is>
          <t>조립</t>
        </is>
      </c>
      <c r="B464" s="2" t="inlineStr">
        <is>
          <t>사출_ 샌딩</t>
        </is>
      </c>
      <c r="C464" s="3" t="inlineStr">
        <is>
          <t>SOLO</t>
        </is>
      </c>
      <c r="D464" s="3" t="inlineStr">
        <is>
          <t>Power Button _ 블랙 샌딩</t>
        </is>
      </c>
      <c r="E464" s="23" t="n"/>
    </row>
    <row r="465" ht="48" customHeight="1">
      <c r="A465" s="2" t="inlineStr">
        <is>
          <t>조립</t>
        </is>
      </c>
      <c r="B465" s="2" t="inlineStr">
        <is>
          <t>사출_ 샌딩</t>
        </is>
      </c>
      <c r="C465" s="3" t="inlineStr">
        <is>
          <t>SOLO</t>
        </is>
      </c>
      <c r="D465" s="3" t="inlineStr">
        <is>
          <t>Lock Knob _ 블랙 샌딩</t>
        </is>
      </c>
      <c r="E465" s="23" t="n"/>
    </row>
    <row r="466" ht="48" customHeight="1">
      <c r="A466" s="5" t="inlineStr">
        <is>
          <t>조립</t>
        </is>
      </c>
      <c r="B466" s="5" t="inlineStr">
        <is>
          <t>사출_ 도색</t>
        </is>
      </c>
      <c r="C466" s="3" t="inlineStr">
        <is>
          <t>SOLO</t>
        </is>
      </c>
      <c r="D466" s="3" t="inlineStr">
        <is>
          <t>Front_CAP _ 메탈릭 다크 그레이 도색</t>
        </is>
      </c>
      <c r="E466" s="23" t="n"/>
    </row>
    <row r="467" ht="48" customHeight="1">
      <c r="A467" s="5" t="inlineStr">
        <is>
          <t>조립</t>
        </is>
      </c>
      <c r="B467" s="5" t="inlineStr">
        <is>
          <t>사출_ 도색</t>
        </is>
      </c>
      <c r="C467" s="3" t="inlineStr">
        <is>
          <t>SOLO</t>
        </is>
      </c>
      <c r="D467" s="3" t="inlineStr">
        <is>
          <t>연장 Cone  _ 메탈릭 다크 그레이 도색</t>
        </is>
      </c>
      <c r="E467" s="23" t="n"/>
    </row>
    <row r="468" ht="48" customHeight="1">
      <c r="A468" s="5" t="inlineStr">
        <is>
          <t>조립</t>
        </is>
      </c>
      <c r="B468" s="5" t="inlineStr">
        <is>
          <t>사출_ 도색</t>
        </is>
      </c>
      <c r="C468" s="3" t="inlineStr">
        <is>
          <t>SOLO</t>
        </is>
      </c>
      <c r="D468" s="3" t="inlineStr">
        <is>
          <t>Main_Cone _ 메탈릭 다크 그레이 도색</t>
        </is>
      </c>
      <c r="E468" s="23" t="n"/>
    </row>
    <row r="469" ht="48" customHeight="1">
      <c r="A469" s="5" t="inlineStr">
        <is>
          <t>조립</t>
        </is>
      </c>
      <c r="B469" s="5" t="inlineStr">
        <is>
          <t>사출_ 도색</t>
        </is>
      </c>
      <c r="C469" s="3" t="inlineStr">
        <is>
          <t>SOLO</t>
        </is>
      </c>
      <c r="D469" s="3" t="inlineStr">
        <is>
          <t>45cm_Cone _ 메탈릭 다크 그레이 도색</t>
        </is>
      </c>
      <c r="E469" s="23" t="n"/>
    </row>
    <row r="470" ht="48" customHeight="1">
      <c r="A470" s="5" t="inlineStr">
        <is>
          <t>조립</t>
        </is>
      </c>
      <c r="B470" s="5" t="inlineStr">
        <is>
          <t>사출_ 도색</t>
        </is>
      </c>
      <c r="C470" s="3" t="inlineStr">
        <is>
          <t>SOLO</t>
        </is>
      </c>
      <c r="D470" s="3" t="inlineStr">
        <is>
          <t>Short_Button _ 메탈릭 다크 그레이 도색</t>
        </is>
      </c>
      <c r="E470" s="23" t="n"/>
    </row>
    <row r="471" ht="48" customHeight="1">
      <c r="A471" s="5" t="inlineStr">
        <is>
          <t>조립</t>
        </is>
      </c>
      <c r="B471" s="5" t="inlineStr">
        <is>
          <t>사출_ 도색</t>
        </is>
      </c>
      <c r="C471" s="3" t="inlineStr">
        <is>
          <t>SOLO</t>
        </is>
      </c>
      <c r="D471" s="3" t="inlineStr">
        <is>
          <t>Slide Switch _ SKY BLUE 무광 도색</t>
        </is>
      </c>
      <c r="E471" s="23" t="n"/>
    </row>
    <row r="472" ht="48" customHeight="1">
      <c r="A472" s="5" t="inlineStr">
        <is>
          <t>조립</t>
        </is>
      </c>
      <c r="B472" s="5" t="inlineStr">
        <is>
          <t>사출_ 도색</t>
        </is>
      </c>
      <c r="C472" s="3" t="inlineStr">
        <is>
          <t>SOLO</t>
        </is>
      </c>
      <c r="D472" s="3" t="inlineStr">
        <is>
          <t>Slide Switch Cap _ 레드무광 도색</t>
        </is>
      </c>
      <c r="E472" s="23" t="n"/>
    </row>
    <row r="473" ht="48" customHeight="1">
      <c r="A473" s="8" t="inlineStr">
        <is>
          <t>조립</t>
        </is>
      </c>
      <c r="B473" s="8" t="inlineStr">
        <is>
          <t>사출</t>
        </is>
      </c>
      <c r="C473" s="3" t="inlineStr">
        <is>
          <t>SOLO</t>
        </is>
      </c>
      <c r="D473" s="3" t="inlineStr">
        <is>
          <t>Lock Inner _ 블랙</t>
        </is>
      </c>
      <c r="E473" s="23" t="n"/>
    </row>
    <row r="474" ht="48" customHeight="1">
      <c r="A474" s="8" t="inlineStr">
        <is>
          <t>조립</t>
        </is>
      </c>
      <c r="B474" s="8" t="inlineStr">
        <is>
          <t>사출</t>
        </is>
      </c>
      <c r="C474" s="3" t="inlineStr">
        <is>
          <t>SOLO</t>
        </is>
      </c>
      <c r="D474" s="3" t="inlineStr">
        <is>
          <t>Hand_Topr Cover_ 블랙</t>
        </is>
      </c>
      <c r="E474" s="23" t="n"/>
    </row>
    <row r="475" ht="48" customHeight="1">
      <c r="A475" s="8" t="inlineStr">
        <is>
          <t>조립</t>
        </is>
      </c>
      <c r="B475" s="8" t="inlineStr">
        <is>
          <t>사출</t>
        </is>
      </c>
      <c r="C475" s="3" t="inlineStr">
        <is>
          <t>SOLO</t>
        </is>
      </c>
      <c r="D475" s="3" t="inlineStr">
        <is>
          <t>Short PCB Guider _ 블랙</t>
        </is>
      </c>
      <c r="E475" s="23" t="n"/>
    </row>
    <row r="476" ht="48" customHeight="1">
      <c r="A476" s="8" t="inlineStr">
        <is>
          <t>조립</t>
        </is>
      </c>
      <c r="B476" s="8" t="inlineStr">
        <is>
          <t>사출</t>
        </is>
      </c>
      <c r="C476" s="3" t="inlineStr">
        <is>
          <t>SOLO</t>
        </is>
      </c>
      <c r="D476" s="3" t="inlineStr">
        <is>
          <t>발생부 Guide _ 블랙</t>
        </is>
      </c>
      <c r="E476" s="23" t="n"/>
    </row>
    <row r="477" ht="48" customHeight="1">
      <c r="A477" s="8" t="inlineStr">
        <is>
          <t>조립</t>
        </is>
      </c>
      <c r="B477" s="8" t="inlineStr">
        <is>
          <t>사출</t>
        </is>
      </c>
      <c r="C477" s="3" t="inlineStr">
        <is>
          <t>SOLO</t>
        </is>
      </c>
      <c r="D477" s="3" t="inlineStr">
        <is>
          <t>LCD 가이드 _ 블랙</t>
        </is>
      </c>
      <c r="E477" s="23" t="n"/>
    </row>
    <row r="478" ht="48" customHeight="1">
      <c r="A478" s="13" t="inlineStr">
        <is>
          <t>조립</t>
        </is>
      </c>
      <c r="B478" s="13" t="inlineStr">
        <is>
          <t>SOLO- 확산 아크릴</t>
        </is>
      </c>
      <c r="C478" s="3" t="inlineStr">
        <is>
          <t>SOLO</t>
        </is>
      </c>
      <c r="D478" s="3" t="inlineStr">
        <is>
          <t>Aiming_Light _LED 확산 아크릴</t>
        </is>
      </c>
      <c r="E478" s="23" t="n"/>
    </row>
    <row r="479" ht="48" customHeight="1">
      <c r="A479" s="13" t="inlineStr">
        <is>
          <t>조립</t>
        </is>
      </c>
      <c r="B479" s="13" t="inlineStr">
        <is>
          <t>SOLO- 확산 아크릴</t>
        </is>
      </c>
      <c r="C479" s="3" t="inlineStr">
        <is>
          <t>SOLO</t>
        </is>
      </c>
      <c r="D479" s="3" t="inlineStr">
        <is>
          <t>BAT_LED 확산 아크릴</t>
        </is>
      </c>
      <c r="E479" s="23" t="n"/>
    </row>
    <row r="480" ht="48" customHeight="1">
      <c r="A480" s="13" t="inlineStr">
        <is>
          <t>조립</t>
        </is>
      </c>
      <c r="B480" s="13" t="inlineStr">
        <is>
          <t>SOLO- 확산 아크릴</t>
        </is>
      </c>
      <c r="C480" s="3" t="inlineStr">
        <is>
          <t>SOLO</t>
        </is>
      </c>
      <c r="D480" s="3" t="inlineStr">
        <is>
          <t>LCD_LED 확산 아크릴</t>
        </is>
      </c>
      <c r="E480" s="23" t="n"/>
    </row>
    <row r="481" ht="48" customHeight="1">
      <c r="A481" s="13" t="inlineStr">
        <is>
          <t>조립</t>
        </is>
      </c>
      <c r="B481" s="13" t="inlineStr">
        <is>
          <t>SOLO- 확산 아크릴</t>
        </is>
      </c>
      <c r="C481" s="3" t="inlineStr">
        <is>
          <t>SOLO</t>
        </is>
      </c>
      <c r="D481" s="3" t="inlineStr">
        <is>
          <t>LCD_창 (PC / 투명 )</t>
        </is>
      </c>
      <c r="E481" s="23" t="n"/>
    </row>
    <row r="482" ht="48" customHeight="1">
      <c r="A482" s="13" t="inlineStr">
        <is>
          <t>조립</t>
        </is>
      </c>
      <c r="B482" s="13" t="inlineStr">
        <is>
          <t>SOLO- 확산 아크릴</t>
        </is>
      </c>
      <c r="C482" s="3" t="inlineStr">
        <is>
          <t>SOLO</t>
        </is>
      </c>
      <c r="D482" s="3" t="inlineStr">
        <is>
          <t>광센서_유색_창 (PC/스모그/퍼플)</t>
        </is>
      </c>
      <c r="E482" s="23" t="n"/>
    </row>
    <row r="483" ht="48" customHeight="1">
      <c r="A483" s="9" t="inlineStr">
        <is>
          <t>조립</t>
        </is>
      </c>
      <c r="B483" s="9" t="inlineStr">
        <is>
          <t>알루미늄</t>
        </is>
      </c>
      <c r="C483" s="3" t="inlineStr">
        <is>
          <t>SOLO</t>
        </is>
      </c>
      <c r="D483" s="3" t="inlineStr">
        <is>
          <t>마운트 ( 알루미늄_1/4 PT 탭 x 12mm)</t>
        </is>
      </c>
      <c r="E483" s="23" t="n"/>
    </row>
    <row r="484" ht="48" customHeight="1">
      <c r="A484" s="4" t="inlineStr">
        <is>
          <t>조립</t>
        </is>
      </c>
      <c r="B484" s="4" t="inlineStr">
        <is>
          <t>경첩</t>
        </is>
      </c>
      <c r="C484" s="3" t="inlineStr">
        <is>
          <t>SOLO</t>
        </is>
      </c>
      <c r="D484" s="3" t="inlineStr">
        <is>
          <t>Bat_경첩 ( 2Ø, 26.2mm )</t>
        </is>
      </c>
      <c r="E484" s="23" t="n"/>
    </row>
    <row r="485" ht="48" customHeight="1">
      <c r="A485" s="11" t="inlineStr">
        <is>
          <t>조립</t>
        </is>
      </c>
      <c r="B485" s="11" t="inlineStr">
        <is>
          <t>실리콘</t>
        </is>
      </c>
      <c r="C485" s="3" t="inlineStr">
        <is>
          <t>SOLO</t>
        </is>
      </c>
      <c r="D485" s="3" t="inlineStr">
        <is>
          <t>Bat_Rubber (실리콘/ 양면테잎 적용)</t>
        </is>
      </c>
      <c r="E485" s="23" t="n"/>
    </row>
    <row r="486" ht="48" customHeight="1">
      <c r="A486" s="12" t="inlineStr">
        <is>
          <t>조립</t>
        </is>
      </c>
      <c r="B486" s="12" t="inlineStr">
        <is>
          <t>가스켓</t>
        </is>
      </c>
      <c r="C486" s="3" t="inlineStr">
        <is>
          <t>SOLO</t>
        </is>
      </c>
      <c r="D486" s="3" t="inlineStr">
        <is>
          <t>LCD 터치 가스켓 ( 8x8x7mm)</t>
        </is>
      </c>
      <c r="E486" s="23" t="n"/>
    </row>
    <row r="487" ht="48" customHeight="1">
      <c r="A487" s="11" t="inlineStr">
        <is>
          <t>조립</t>
        </is>
      </c>
      <c r="B487" s="11" t="inlineStr">
        <is>
          <t>황동</t>
        </is>
      </c>
      <c r="C487" s="3" t="inlineStr">
        <is>
          <t>SOLO</t>
        </is>
      </c>
      <c r="D487" s="3" t="inlineStr">
        <is>
          <t>배터리_단자대</t>
        </is>
      </c>
      <c r="E487" s="23" t="n"/>
    </row>
    <row r="488" ht="48" customHeight="1">
      <c r="A488" s="10" t="inlineStr">
        <is>
          <t>조립</t>
        </is>
      </c>
      <c r="B488" s="10" t="inlineStr">
        <is>
          <t>은경</t>
        </is>
      </c>
      <c r="C488" s="3" t="inlineStr">
        <is>
          <t>SOLO</t>
        </is>
      </c>
      <c r="D488" s="3" t="inlineStr">
        <is>
          <t>에이밍 라이트 은경</t>
        </is>
      </c>
      <c r="E488" s="23" t="n"/>
    </row>
    <row r="489" ht="48" customHeight="1">
      <c r="A489" s="9" t="inlineStr">
        <is>
          <t>조립</t>
        </is>
      </c>
      <c r="B489" s="9" t="inlineStr">
        <is>
          <t>알루미늄</t>
        </is>
      </c>
      <c r="C489" s="3" t="inlineStr">
        <is>
          <t>SOLO</t>
        </is>
      </c>
      <c r="D489" s="3" t="inlineStr">
        <is>
          <t>LED PCB 방열 가이드 _ 블랙</t>
        </is>
      </c>
      <c r="E489" s="23" t="n"/>
    </row>
    <row r="490" ht="48" customHeight="1">
      <c r="A490" s="8" t="inlineStr">
        <is>
          <t>조립</t>
        </is>
      </c>
      <c r="B490" s="8" t="inlineStr">
        <is>
          <t>사출</t>
        </is>
      </c>
      <c r="C490" s="3" t="inlineStr">
        <is>
          <t>SOLO</t>
        </is>
      </c>
      <c r="D490" s="3" t="inlineStr">
        <is>
          <t>에이밍  BODY뭉치 _ 블랙</t>
        </is>
      </c>
      <c r="E490" s="23" t="n"/>
    </row>
    <row r="491" ht="48" customHeight="1">
      <c r="A491" s="7" t="inlineStr">
        <is>
          <t>조립</t>
        </is>
      </c>
      <c r="B491" s="7" t="inlineStr">
        <is>
          <t>PCB BD</t>
        </is>
      </c>
      <c r="C491" s="3" t="inlineStr">
        <is>
          <t>SOLO</t>
        </is>
      </c>
      <c r="D491" s="3" t="inlineStr">
        <is>
          <t>에이밍 라이트 PCB 보드</t>
        </is>
      </c>
      <c r="E491" s="23" t="n"/>
    </row>
    <row r="492" ht="48" customHeight="1">
      <c r="A492" s="7" t="inlineStr">
        <is>
          <t>조립</t>
        </is>
      </c>
      <c r="B492" s="7" t="inlineStr">
        <is>
          <t>PCB BD</t>
        </is>
      </c>
      <c r="C492" s="3" t="inlineStr">
        <is>
          <t>SOLO</t>
        </is>
      </c>
      <c r="D492" s="3" t="inlineStr">
        <is>
          <t>POWER_BD</t>
        </is>
      </c>
      <c r="E492" s="23" t="n"/>
    </row>
    <row r="493" ht="48" customHeight="1">
      <c r="A493" s="7" t="inlineStr">
        <is>
          <t>조립</t>
        </is>
      </c>
      <c r="B493" s="7" t="inlineStr">
        <is>
          <t>PCB BD</t>
        </is>
      </c>
      <c r="C493" s="3" t="inlineStr">
        <is>
          <t>SOLO</t>
        </is>
      </c>
      <c r="D493" s="3" t="inlineStr">
        <is>
          <t>OP_BD</t>
        </is>
      </c>
      <c r="E493" s="23" t="n"/>
    </row>
    <row r="494" ht="48" customHeight="1">
      <c r="A494" s="7" t="inlineStr">
        <is>
          <t>조립</t>
        </is>
      </c>
      <c r="B494" s="7" t="inlineStr">
        <is>
          <t>PCB BD</t>
        </is>
      </c>
      <c r="C494" s="3" t="inlineStr">
        <is>
          <t>SOLO</t>
        </is>
      </c>
      <c r="D494" s="3" t="inlineStr">
        <is>
          <t>CTR _BD</t>
        </is>
      </c>
      <c r="E494" s="23" t="n"/>
    </row>
    <row r="495" ht="48" customHeight="1">
      <c r="A495" s="7" t="inlineStr">
        <is>
          <t>조립</t>
        </is>
      </c>
      <c r="B495" s="7" t="inlineStr">
        <is>
          <t>PCB BD</t>
        </is>
      </c>
      <c r="C495" s="3" t="inlineStr">
        <is>
          <t>SOLO</t>
        </is>
      </c>
      <c r="D495" s="3" t="inlineStr">
        <is>
          <t>MAIN_BD</t>
        </is>
      </c>
      <c r="E495" s="23" t="n"/>
    </row>
    <row r="496" ht="48" customHeight="1">
      <c r="A496" s="7" t="inlineStr">
        <is>
          <t>조립</t>
        </is>
      </c>
      <c r="B496" s="7" t="inlineStr">
        <is>
          <t>PCB BD</t>
        </is>
      </c>
      <c r="C496" s="3" t="inlineStr">
        <is>
          <t>SOLO</t>
        </is>
      </c>
      <c r="D496" s="3" t="inlineStr">
        <is>
          <t>리모콘_BD</t>
        </is>
      </c>
      <c r="E496" s="23" t="n"/>
    </row>
    <row r="497" ht="48" customHeight="1">
      <c r="A497" s="7" t="inlineStr">
        <is>
          <t>조립</t>
        </is>
      </c>
      <c r="B497" s="7" t="inlineStr">
        <is>
          <t>PCB BD</t>
        </is>
      </c>
      <c r="C497" s="3" t="inlineStr">
        <is>
          <t>SOLO</t>
        </is>
      </c>
      <c r="D497" s="3" t="inlineStr">
        <is>
          <t>EXP_BD</t>
        </is>
      </c>
      <c r="E497" s="23" t="n"/>
    </row>
    <row r="498" ht="48" customHeight="1">
      <c r="A498" s="7" t="inlineStr">
        <is>
          <t>조립</t>
        </is>
      </c>
      <c r="B498" s="7" t="inlineStr">
        <is>
          <t>PCB BD</t>
        </is>
      </c>
      <c r="C498" s="3" t="inlineStr">
        <is>
          <t>SOLO</t>
        </is>
      </c>
      <c r="D498" s="3" t="inlineStr">
        <is>
          <t>BATCON_BD</t>
        </is>
      </c>
      <c r="E498" s="23" t="n"/>
    </row>
    <row r="499" ht="48" customHeight="1">
      <c r="A499" s="2" t="inlineStr">
        <is>
          <t>조립</t>
        </is>
      </c>
      <c r="B499" s="2" t="inlineStr">
        <is>
          <t>하네스</t>
        </is>
      </c>
      <c r="C499" s="3" t="inlineStr">
        <is>
          <t>SOLO</t>
        </is>
      </c>
      <c r="D499" s="3" t="inlineStr">
        <is>
          <t>Harness-01 - COCOON과 공용 ( BATCON BD+EXP BD 연결 _16AWG 실리콘 / 150mm)</t>
        </is>
      </c>
      <c r="E499" s="23" t="n"/>
    </row>
    <row r="500" ht="48" customHeight="1">
      <c r="A500" s="2" t="inlineStr">
        <is>
          <t>조립</t>
        </is>
      </c>
      <c r="B500" s="2" t="inlineStr">
        <is>
          <t>하네스</t>
        </is>
      </c>
      <c r="C500" s="3" t="inlineStr">
        <is>
          <t>SOLO</t>
        </is>
      </c>
      <c r="D500" s="3" t="inlineStr">
        <is>
          <t>Harness-02  ( BATCON BD + EXP BD 연결 _26AWG / 190mm )</t>
        </is>
      </c>
      <c r="E500" s="23" t="n"/>
    </row>
    <row r="501" ht="48" customHeight="1">
      <c r="A501" s="2" t="inlineStr">
        <is>
          <t>조립</t>
        </is>
      </c>
      <c r="B501" s="2" t="inlineStr">
        <is>
          <t>하네스</t>
        </is>
      </c>
      <c r="C501" s="3" t="inlineStr">
        <is>
          <t>SOLO</t>
        </is>
      </c>
      <c r="D501" s="3" t="inlineStr">
        <is>
          <t>Harness-03  ( OP BD+POWER BD 연결_26AWG / 125mm(6번 제외) )</t>
        </is>
      </c>
      <c r="E501" s="23" t="n"/>
    </row>
    <row r="502" ht="48" customHeight="1">
      <c r="A502" s="2" t="inlineStr">
        <is>
          <t>조립</t>
        </is>
      </c>
      <c r="B502" s="2" t="inlineStr">
        <is>
          <t>하네스</t>
        </is>
      </c>
      <c r="C502" s="3" t="inlineStr">
        <is>
          <t>SOLO</t>
        </is>
      </c>
      <c r="D502" s="3" t="inlineStr">
        <is>
          <t>Harness-04  ( OP BD + CTR BD 연결 _0.5mm FFC / 100mm )</t>
        </is>
      </c>
      <c r="E502" s="23" t="n"/>
    </row>
    <row r="503" ht="48" customHeight="1">
      <c r="A503" s="2" t="inlineStr">
        <is>
          <t>조립</t>
        </is>
      </c>
      <c r="B503" s="2" t="inlineStr">
        <is>
          <t>하네스</t>
        </is>
      </c>
      <c r="C503" s="3" t="inlineStr">
        <is>
          <t>SOLO</t>
        </is>
      </c>
      <c r="D503" s="3" t="inlineStr">
        <is>
          <t>Harness-05  ( Main PCB + 리모콘 BD 연결 3핀 )</t>
        </is>
      </c>
      <c r="E503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6"/>
  <sheetViews>
    <sheetView topLeftCell="A1" zoomScale="100" zoomScaleNormal="100" workbookViewId="0">
      <pane ySplit="1" topLeftCell="A2" activePane="bottomLeft" state="frozen"/>
      <selection activeCell="A1" sqref="A1"/>
    </sheetView>
  </sheetViews>
  <sheetFormatPr baseColWidth="8" defaultRowHeight="16.5"/>
  <cols>
    <col width="8" customWidth="1" min="1" max="1"/>
    <col width="14" customWidth="1" min="2" max="2"/>
    <col width="22" customWidth="1" min="3" max="3"/>
    <col width="52" customWidth="1" min="4" max="4"/>
    <col width="14" customWidth="1" min="5" max="5"/>
    <col width="3.25" customWidth="1" min="6" max="6"/>
    <col width="55" customWidth="1" min="7" max="7"/>
    <col hidden="1" width="13" customWidth="1" min="8" max="8"/>
  </cols>
  <sheetData>
    <row r="1" ht="24" customHeight="1">
      <c r="A1" s="1" t="inlineStr">
        <is>
          <t>부서</t>
        </is>
      </c>
      <c r="B1" s="1" t="inlineStr">
        <is>
          <t>분류</t>
        </is>
      </c>
      <c r="C1" s="1" t="inlineStr">
        <is>
          <t>모델</t>
        </is>
      </c>
      <c r="D1" s="1" t="inlineStr">
        <is>
          <t>품목</t>
        </is>
      </c>
      <c r="E1" s="1" t="inlineStr">
        <is>
          <t>공급처</t>
        </is>
      </c>
      <c r="G1" s="24" t="inlineStr">
        <is>
          <t>생산부 품명 (자동 표시)</t>
        </is>
      </c>
      <c r="H1" t="inlineStr">
        <is>
          <t>매칭순번</t>
        </is>
      </c>
    </row>
    <row r="2" ht="48" customHeight="1">
      <c r="A2" s="48" t="inlineStr">
        <is>
          <t>창고</t>
        </is>
      </c>
      <c r="B2" s="28" t="inlineStr">
        <is>
          <t>전극</t>
        </is>
      </c>
      <c r="C2" s="28" t="inlineStr">
        <is>
          <t>DXDR-070</t>
        </is>
      </c>
      <c r="D2" s="29" t="inlineStr">
        <is>
          <t>전극(70kV) (순철 도금)
[DXDR-070]</t>
        </is>
      </c>
      <c r="E2" s="28" t="n"/>
      <c r="F2" s="30" t="n"/>
      <c r="G2" s="29">
        <f>IFERROR("["&amp;INDEX(고압진공_재고현황!$A:$A,MATCH($D2,고압진공_재고현황!$E:$E,0))&amp;"] "&amp;INDEX(고압진공_재고현황!$D:$D,MATCH($D2,고압진공_재고현황!$E:$E,0)),IFERROR("[조립] "&amp;INDEX(조립자재_재고현황!$D:$D,MATCH($D2,조립자재_재고현황!$E:$E,0)),""))</f>
        <v/>
      </c>
      <c r="H2" s="31">
        <f>IF(G2="","",COUNTIF($G$2:G2,"?*"))</f>
        <v/>
      </c>
    </row>
    <row r="3" ht="48" customHeight="1">
      <c r="A3" s="48" t="inlineStr">
        <is>
          <t>창고</t>
        </is>
      </c>
      <c r="B3" s="28" t="inlineStr">
        <is>
          <t>필라멘트</t>
        </is>
      </c>
      <c r="C3" s="28" t="inlineStr">
        <is>
          <t>DXDR-070</t>
        </is>
      </c>
      <c r="D3" s="29" t="inlineStr">
        <is>
          <t>텅스텐 필라멘트
[DXDR-070]</t>
        </is>
      </c>
      <c r="E3" s="28" t="n"/>
      <c r="F3" s="30" t="n"/>
      <c r="G3" s="29">
        <f>IFERROR("["&amp;INDEX(고압진공_재고현황!$A:$A,MATCH($D3,고압진공_재고현황!$E:$E,0))&amp;"] "&amp;INDEX(고압진공_재고현황!$D:$D,MATCH($D3,고압진공_재고현황!$E:$E,0)),IFERROR("[조립] "&amp;INDEX(조립자재_재고현황!$D:$D,MATCH($D3,조립자재_재고현황!$E:$E,0)),""))</f>
        <v/>
      </c>
      <c r="H3" s="31">
        <f>IF(G3="","",COUNTIF($G$2:G3,"?*"))</f>
        <v/>
      </c>
    </row>
    <row r="4" ht="48" customHeight="1">
      <c r="A4" s="48" t="inlineStr">
        <is>
          <t>창고</t>
        </is>
      </c>
      <c r="B4" s="28" t="inlineStr">
        <is>
          <t>게터</t>
        </is>
      </c>
      <c r="C4" s="28" t="inlineStr">
        <is>
          <t>DXDR-070,DXDR-100</t>
        </is>
      </c>
      <c r="D4" s="29" t="inlineStr">
        <is>
          <t>게터
[DXDR-070,DXDR-100]</t>
        </is>
      </c>
      <c r="E4" s="28" t="n"/>
      <c r="F4" s="30" t="n"/>
      <c r="G4" s="29">
        <f>IFERROR("["&amp;INDEX(고압진공_재고현황!$A:$A,MATCH($D4,고압진공_재고현황!$E:$E,0))&amp;"] "&amp;INDEX(고압진공_재고현황!$D:$D,MATCH($D4,고압진공_재고현황!$E:$E,0)),IFERROR("[조립] "&amp;INDEX(조립자재_재고현황!$D:$D,MATCH($D4,조립자재_재고현황!$E:$E,0)),""))</f>
        <v/>
      </c>
      <c r="H4" s="31">
        <f>IF(G4="","",COUNTIF($G$2:G4,"?*"))</f>
        <v/>
      </c>
    </row>
    <row r="5" ht="48" customHeight="1">
      <c r="A5" s="48" t="inlineStr">
        <is>
          <t>창고</t>
        </is>
      </c>
      <c r="B5" s="28" t="inlineStr">
        <is>
          <t>코바</t>
        </is>
      </c>
      <c r="C5" s="28" t="inlineStr">
        <is>
          <t>DXDR-070</t>
        </is>
      </c>
      <c r="D5" s="29" t="inlineStr">
        <is>
          <t>에노드
[DXDR-070]</t>
        </is>
      </c>
      <c r="E5" s="28" t="n"/>
      <c r="F5" s="30" t="n"/>
      <c r="G5" s="29">
        <f>IFERROR("["&amp;INDEX(고압진공_재고현황!$A:$A,MATCH($D5,고압진공_재고현황!$E:$E,0))&amp;"] "&amp;INDEX(고압진공_재고현황!$D:$D,MATCH($D5,고압진공_재고현황!$E:$E,0)),IFERROR("[조립] "&amp;INDEX(조립자재_재고현황!$D:$D,MATCH($D5,조립자재_재고현황!$E:$E,0)),""))</f>
        <v/>
      </c>
      <c r="H5" s="31">
        <f>IF(G5="","",COUNTIF($G$2:G5,"?*"))</f>
        <v/>
      </c>
    </row>
    <row r="6" ht="48" customHeight="1">
      <c r="A6" s="48" t="inlineStr">
        <is>
          <t>창고</t>
        </is>
      </c>
      <c r="B6" s="28" t="inlineStr">
        <is>
          <t>코바</t>
        </is>
      </c>
      <c r="C6" s="28" t="inlineStr">
        <is>
          <t>DXDR-070</t>
        </is>
      </c>
      <c r="D6" s="29" t="inlineStr">
        <is>
          <t>포커서
[DXDR-070]</t>
        </is>
      </c>
      <c r="E6" s="28" t="n"/>
      <c r="F6" s="30" t="n"/>
      <c r="G6" s="29">
        <f>IFERROR("["&amp;INDEX(고압진공_재고현황!$A:$A,MATCH($D6,고압진공_재고현황!$E:$E,0))&amp;"] "&amp;INDEX(고압진공_재고현황!$D:$D,MATCH($D6,고압진공_재고현황!$E:$E,0)),IFERROR("[조립] "&amp;INDEX(조립자재_재고현황!$D:$D,MATCH($D6,조립자재_재고현황!$E:$E,0)),""))</f>
        <v/>
      </c>
      <c r="H6" s="31">
        <f>IF(G6="","",COUNTIF($G$2:G6,"?*"))</f>
        <v/>
      </c>
    </row>
    <row r="7" ht="48" customHeight="1">
      <c r="A7" s="48" t="inlineStr">
        <is>
          <t>창고</t>
        </is>
      </c>
      <c r="B7" s="28" t="inlineStr">
        <is>
          <t>세라믹</t>
        </is>
      </c>
      <c r="C7" s="28" t="inlineStr">
        <is>
          <t>DXDR-070</t>
        </is>
      </c>
      <c r="D7" s="29" t="inlineStr">
        <is>
          <t>세라믹 바디
[DXDR-070]</t>
        </is>
      </c>
      <c r="E7" s="28" t="n"/>
      <c r="F7" s="30" t="n"/>
      <c r="G7" s="29">
        <f>IFERROR("["&amp;INDEX(고압진공_재고현황!$A:$A,MATCH($D7,고압진공_재고현황!$E:$E,0))&amp;"] "&amp;INDEX(고압진공_재고현황!$D:$D,MATCH($D7,고압진공_재고현황!$E:$E,0)),IFERROR("[조립] "&amp;INDEX(조립자재_재고현황!$D:$D,MATCH($D7,조립자재_재고현황!$E:$E,0)),""))</f>
        <v/>
      </c>
      <c r="H7" s="31">
        <f>IF(G7="","",COUNTIF($G$2:G7,"?*"))</f>
        <v/>
      </c>
    </row>
    <row r="8" ht="48" customHeight="1">
      <c r="A8" s="48" t="inlineStr">
        <is>
          <t>창고</t>
        </is>
      </c>
      <c r="B8" s="28" t="inlineStr">
        <is>
          <t>세라믹</t>
        </is>
      </c>
      <c r="C8" s="28" t="inlineStr">
        <is>
          <t>DXDR-070</t>
        </is>
      </c>
      <c r="D8" s="29" t="inlineStr">
        <is>
          <t>세라믹 스템
[DXDR-070]</t>
        </is>
      </c>
      <c r="E8" s="28" t="n"/>
      <c r="F8" s="30" t="n"/>
      <c r="G8" s="29">
        <f>IFERROR("["&amp;INDEX(고압진공_재고현황!$A:$A,MATCH($D8,고압진공_재고현황!$E:$E,0))&amp;"] "&amp;INDEX(고압진공_재고현황!$D:$D,MATCH($D8,고압진공_재고현황!$E:$E,0)),IFERROR("[조립] "&amp;INDEX(조립자재_재고현황!$D:$D,MATCH($D8,조립자재_재고현황!$E:$E,0)),""))</f>
        <v/>
      </c>
      <c r="H8" s="31">
        <f>IF(G8="","",COUNTIF($G$2:G8,"?*"))</f>
        <v/>
      </c>
    </row>
    <row r="9" ht="48" customHeight="1">
      <c r="A9" s="48" t="inlineStr">
        <is>
          <t>창고</t>
        </is>
      </c>
      <c r="B9" s="28" t="inlineStr">
        <is>
          <t>필러</t>
        </is>
      </c>
      <c r="C9" s="28" t="inlineStr">
        <is>
          <t>DXDR-070</t>
        </is>
      </c>
      <c r="D9" s="29" t="inlineStr">
        <is>
          <t>필러
[DXDR-070]</t>
        </is>
      </c>
      <c r="E9" s="28" t="n"/>
      <c r="F9" s="30" t="n"/>
      <c r="G9" s="29">
        <f>IFERROR("["&amp;INDEX(고압진공_재고현황!$A:$A,MATCH($D9,고압진공_재고현황!$E:$E,0))&amp;"] "&amp;INDEX(고압진공_재고현황!$D:$D,MATCH($D9,고압진공_재고현황!$E:$E,0)),IFERROR("[조립] "&amp;INDEX(조립자재_재고현황!$D:$D,MATCH($D9,조립자재_재고현황!$E:$E,0)),""))</f>
        <v/>
      </c>
      <c r="H9" s="31">
        <f>IF(G9="","",COUNTIF($G$2:G9,"?*"))</f>
        <v/>
      </c>
    </row>
    <row r="10" ht="48" customHeight="1">
      <c r="A10" s="48" t="inlineStr">
        <is>
          <t>창고</t>
        </is>
      </c>
      <c r="B10" s="28" t="inlineStr">
        <is>
          <t>필러</t>
        </is>
      </c>
      <c r="C10" s="28" t="inlineStr">
        <is>
          <t>DXDR-070</t>
        </is>
      </c>
      <c r="D10" s="29" t="inlineStr">
        <is>
          <t>전극 필러
[DXDR-070]</t>
        </is>
      </c>
      <c r="E10" s="28" t="n"/>
      <c r="F10" s="30" t="n"/>
      <c r="G10" s="29">
        <f>IFERROR("["&amp;INDEX(고압진공_재고현황!$A:$A,MATCH($D10,고압진공_재고현황!$E:$E,0))&amp;"] "&amp;INDEX(고압진공_재고현황!$D:$D,MATCH($D10,고압진공_재고현황!$E:$E,0)),IFERROR("[조립] "&amp;INDEX(조립자재_재고현황!$D:$D,MATCH($D10,조립자재_재고현황!$E:$E,0)),""))</f>
        <v/>
      </c>
      <c r="H10" s="31">
        <f>IF(G10="","",COUNTIF($G$2:G10,"?*"))</f>
        <v/>
      </c>
    </row>
    <row r="11" ht="48" customHeight="1">
      <c r="A11" s="48" t="inlineStr">
        <is>
          <t>창고</t>
        </is>
      </c>
      <c r="B11" s="28" t="inlineStr">
        <is>
          <t>전극</t>
        </is>
      </c>
      <c r="C11" s="28" t="inlineStr">
        <is>
          <t>DXDR-100</t>
        </is>
      </c>
      <c r="D11" s="29" t="inlineStr">
        <is>
          <t>전극(100kV) (순철 도금)
[DXDR-100]</t>
        </is>
      </c>
      <c r="E11" s="28" t="n"/>
      <c r="F11" s="30" t="n"/>
      <c r="G11" s="29">
        <f>IFERROR("["&amp;INDEX(고압진공_재고현황!$A:$A,MATCH($D11,고압진공_재고현황!$E:$E,0))&amp;"] "&amp;INDEX(고압진공_재고현황!$D:$D,MATCH($D11,고압진공_재고현황!$E:$E,0)),IFERROR("[조립] "&amp;INDEX(조립자재_재고현황!$D:$D,MATCH($D11,조립자재_재고현황!$E:$E,0)),""))</f>
        <v/>
      </c>
      <c r="H11" s="31">
        <f>IF(G11="","",COUNTIF($G$2:G11,"?*"))</f>
        <v/>
      </c>
    </row>
    <row r="12" ht="48" customHeight="1">
      <c r="A12" s="48" t="inlineStr">
        <is>
          <t>창고</t>
        </is>
      </c>
      <c r="B12" s="28" t="inlineStr">
        <is>
          <t>필라멘트</t>
        </is>
      </c>
      <c r="C12" s="28" t="inlineStr">
        <is>
          <t>DXDR-100</t>
        </is>
      </c>
      <c r="D12" s="29" t="inlineStr">
        <is>
          <t>텅스텐 필라멘트
[DXDR-100]</t>
        </is>
      </c>
      <c r="E12" s="28" t="n"/>
      <c r="F12" s="30" t="n"/>
      <c r="G12" s="29">
        <f>IFERROR("["&amp;INDEX(고압진공_재고현황!$A:$A,MATCH($D12,고압진공_재고현황!$E:$E,0))&amp;"] "&amp;INDEX(고압진공_재고현황!$D:$D,MATCH($D12,고압진공_재고현황!$E:$E,0)),IFERROR("[조립] "&amp;INDEX(조립자재_재고현황!$D:$D,MATCH($D12,조립자재_재고현황!$E:$E,0)),""))</f>
        <v/>
      </c>
      <c r="H12" s="31">
        <f>IF(G12="","",COUNTIF($G$2:G12,"?*"))</f>
        <v/>
      </c>
    </row>
    <row r="13" ht="48" customHeight="1">
      <c r="A13" s="48" t="inlineStr">
        <is>
          <t>창고</t>
        </is>
      </c>
      <c r="B13" s="28" t="inlineStr">
        <is>
          <t>코바</t>
        </is>
      </c>
      <c r="C13" s="28" t="inlineStr">
        <is>
          <t>DXDR-100</t>
        </is>
      </c>
      <c r="D13" s="29" t="inlineStr">
        <is>
          <t>에노드
[DXDR-100]</t>
        </is>
      </c>
      <c r="E13" s="28" t="n"/>
      <c r="F13" s="30" t="n"/>
      <c r="G13" s="29">
        <f>IFERROR("["&amp;INDEX(고압진공_재고현황!$A:$A,MATCH($D13,고압진공_재고현황!$E:$E,0))&amp;"] "&amp;INDEX(고압진공_재고현황!$D:$D,MATCH($D13,고압진공_재고현황!$E:$E,0)),IFERROR("[조립] "&amp;INDEX(조립자재_재고현황!$D:$D,MATCH($D13,조립자재_재고현황!$E:$E,0)),""))</f>
        <v/>
      </c>
      <c r="H13" s="31">
        <f>IF(G13="","",COUNTIF($G$2:G13,"?*"))</f>
        <v/>
      </c>
    </row>
    <row r="14" ht="48" customHeight="1">
      <c r="A14" s="48" t="inlineStr">
        <is>
          <t>창고</t>
        </is>
      </c>
      <c r="B14" s="28" t="inlineStr">
        <is>
          <t>코바</t>
        </is>
      </c>
      <c r="C14" s="28" t="inlineStr">
        <is>
          <t>DXDR-100</t>
        </is>
      </c>
      <c r="D14" s="29" t="inlineStr">
        <is>
          <t>에노드 링
[DXDR-100]</t>
        </is>
      </c>
      <c r="E14" s="28" t="n"/>
      <c r="F14" s="30" t="n"/>
      <c r="G14" s="29">
        <f>IFERROR("["&amp;INDEX(고압진공_재고현황!$A:$A,MATCH($D14,고압진공_재고현황!$E:$E,0))&amp;"] "&amp;INDEX(고압진공_재고현황!$D:$D,MATCH($D14,고압진공_재고현황!$E:$E,0)),IFERROR("[조립] "&amp;INDEX(조립자재_재고현황!$D:$D,MATCH($D14,조립자재_재고현황!$E:$E,0)),""))</f>
        <v/>
      </c>
      <c r="H14" s="31">
        <f>IF(G14="","",COUNTIF($G$2:G14,"?*"))</f>
        <v/>
      </c>
    </row>
    <row r="15" ht="48" customHeight="1">
      <c r="A15" s="48" t="inlineStr">
        <is>
          <t>창고</t>
        </is>
      </c>
      <c r="B15" s="28" t="inlineStr">
        <is>
          <t>코바</t>
        </is>
      </c>
      <c r="C15" s="28" t="inlineStr">
        <is>
          <t>DXDR-100</t>
        </is>
      </c>
      <c r="D15" s="29" t="inlineStr">
        <is>
          <t>포커서
[DXDR-100]</t>
        </is>
      </c>
      <c r="E15" s="28" t="n"/>
      <c r="F15" s="30" t="n"/>
      <c r="G15" s="29">
        <f>IFERROR("["&amp;INDEX(고압진공_재고현황!$A:$A,MATCH($D15,고압진공_재고현황!$E:$E,0))&amp;"] "&amp;INDEX(고압진공_재고현황!$D:$D,MATCH($D15,고압진공_재고현황!$E:$E,0)),IFERROR("[조립] "&amp;INDEX(조립자재_재고현황!$D:$D,MATCH($D15,조립자재_재고현황!$E:$E,0)),""))</f>
        <v/>
      </c>
      <c r="H15" s="31">
        <f>IF(G15="","",COUNTIF($G$2:G15,"?*"))</f>
        <v/>
      </c>
    </row>
    <row r="16" ht="48" customHeight="1">
      <c r="A16" s="48" t="inlineStr">
        <is>
          <t>창고</t>
        </is>
      </c>
      <c r="B16" s="28" t="inlineStr">
        <is>
          <t>세라믹</t>
        </is>
      </c>
      <c r="C16" s="28" t="inlineStr">
        <is>
          <t>DXDR-100</t>
        </is>
      </c>
      <c r="D16" s="29" t="inlineStr">
        <is>
          <t>세라믹 바디
[DXDR-100]</t>
        </is>
      </c>
      <c r="E16" s="28" t="n"/>
      <c r="F16" s="30" t="n"/>
      <c r="G16" s="29">
        <f>IFERROR("["&amp;INDEX(고압진공_재고현황!$A:$A,MATCH($D16,고압진공_재고현황!$E:$E,0))&amp;"] "&amp;INDEX(고압진공_재고현황!$D:$D,MATCH($D16,고압진공_재고현황!$E:$E,0)),IFERROR("[조립] "&amp;INDEX(조립자재_재고현황!$D:$D,MATCH($D16,조립자재_재고현황!$E:$E,0)),""))</f>
        <v/>
      </c>
      <c r="H16" s="31">
        <f>IF(G16="","",COUNTIF($G$2:G16,"?*"))</f>
        <v/>
      </c>
    </row>
    <row r="17" ht="48" customHeight="1">
      <c r="A17" s="48" t="inlineStr">
        <is>
          <t>창고</t>
        </is>
      </c>
      <c r="B17" s="28" t="inlineStr">
        <is>
          <t>세라믹</t>
        </is>
      </c>
      <c r="C17" s="28" t="inlineStr">
        <is>
          <t>DXDR-100</t>
        </is>
      </c>
      <c r="D17" s="29" t="inlineStr">
        <is>
          <t>세라믹 슬리브
[DXDR-100]</t>
        </is>
      </c>
      <c r="E17" s="28" t="n"/>
      <c r="F17" s="30" t="n"/>
      <c r="G17" s="29">
        <f>IFERROR("["&amp;INDEX(고압진공_재고현황!$A:$A,MATCH($D17,고압진공_재고현황!$E:$E,0))&amp;"] "&amp;INDEX(고압진공_재고현황!$D:$D,MATCH($D17,고압진공_재고현황!$E:$E,0)),IFERROR("[조립] "&amp;INDEX(조립자재_재고현황!$D:$D,MATCH($D17,조립자재_재고현황!$E:$E,0)),""))</f>
        <v/>
      </c>
      <c r="H17" s="31">
        <f>IF(G17="","",COUNTIF($G$2:G17,"?*"))</f>
        <v/>
      </c>
    </row>
    <row r="18" ht="48" customHeight="1">
      <c r="A18" s="48" t="inlineStr">
        <is>
          <t>창고</t>
        </is>
      </c>
      <c r="B18" s="28" t="inlineStr">
        <is>
          <t>필러</t>
        </is>
      </c>
      <c r="C18" s="28" t="inlineStr">
        <is>
          <t>DXDR-100</t>
        </is>
      </c>
      <c r="D18" s="29" t="inlineStr">
        <is>
          <t>필러
[DXDR-100]</t>
        </is>
      </c>
      <c r="E18" s="28" t="n"/>
      <c r="F18" s="30" t="n"/>
      <c r="G18" s="29">
        <f>IFERROR("["&amp;INDEX(고압진공_재고현황!$A:$A,MATCH($D18,고압진공_재고현황!$E:$E,0))&amp;"] "&amp;INDEX(고압진공_재고현황!$D:$D,MATCH($D18,고압진공_재고현황!$E:$E,0)),IFERROR("[조립] "&amp;INDEX(조립자재_재고현황!$D:$D,MATCH($D18,조립자재_재고현황!$E:$E,0)),""))</f>
        <v/>
      </c>
      <c r="H18" s="31">
        <f>IF(G18="","",COUNTIF($G$2:G18,"?*"))</f>
        <v/>
      </c>
    </row>
    <row r="19" ht="48" customHeight="1">
      <c r="A19" s="48" t="inlineStr">
        <is>
          <t>창고</t>
        </is>
      </c>
      <c r="B19" s="28" t="inlineStr">
        <is>
          <t>필러</t>
        </is>
      </c>
      <c r="C19" s="28" t="inlineStr">
        <is>
          <t>DXDR-100</t>
        </is>
      </c>
      <c r="D19" s="29" t="inlineStr">
        <is>
          <t>전극 필러
[DXDR-100]</t>
        </is>
      </c>
      <c r="E19" s="28" t="n"/>
      <c r="F19" s="30" t="n"/>
      <c r="G19" s="29">
        <f>IFERROR("["&amp;INDEX(고압진공_재고현황!$A:$A,MATCH($D19,고압진공_재고현황!$E:$E,0))&amp;"] "&amp;INDEX(고압진공_재고현황!$D:$D,MATCH($D19,고압진공_재고현황!$E:$E,0)),IFERROR("[조립] "&amp;INDEX(조립자재_재고현황!$D:$D,MATCH($D19,조립자재_재고현황!$E:$E,0)),""))</f>
        <v/>
      </c>
      <c r="H19" s="31">
        <f>IF(G19="","",COUNTIF($G$2:G19,"?*"))</f>
        <v/>
      </c>
    </row>
    <row r="20" ht="48" customHeight="1">
      <c r="A20" s="48" t="inlineStr">
        <is>
          <t>창고</t>
        </is>
      </c>
      <c r="B20" s="28" t="inlineStr">
        <is>
          <t>X-ray Tube</t>
        </is>
      </c>
      <c r="C20" s="28" t="inlineStr">
        <is>
          <t>DX3000, ADX4000W</t>
        </is>
      </c>
      <c r="D20" s="29" t="inlineStr">
        <is>
          <t>TUBE (60KV D-081B)
[DX3000, ADX4000W]</t>
        </is>
      </c>
      <c r="E20" s="28" t="inlineStr">
        <is>
          <t>신광포토레이</t>
        </is>
      </c>
      <c r="F20" s="30" t="n"/>
      <c r="G20" s="29">
        <f>IFERROR("["&amp;INDEX(고압진공_재고현황!$A:$A,MATCH($D20,고압진공_재고현황!$E:$E,0))&amp;"] "&amp;INDEX(고압진공_재고현황!$D:$D,MATCH($D20,고압진공_재고현황!$E:$E,0)),IFERROR("[조립] "&amp;INDEX(조립자재_재고현황!$D:$D,MATCH($D20,조립자재_재고현황!$E:$E,0)),""))</f>
        <v/>
      </c>
      <c r="H20" s="31">
        <f>IF(G20="","",COUNTIF($G$2:G20,"?*"))</f>
        <v/>
      </c>
    </row>
    <row r="21" ht="48" customHeight="1">
      <c r="A21" s="48" t="inlineStr">
        <is>
          <t>창고</t>
        </is>
      </c>
      <c r="B21" s="28" t="inlineStr">
        <is>
          <t>X-ray Tube</t>
        </is>
      </c>
      <c r="C21" s="28" t="inlineStr">
        <is>
          <t>COCOON</t>
        </is>
      </c>
      <c r="D21" s="29" t="inlineStr">
        <is>
          <t>TUBE (70KV D-041)
[COCOON]</t>
        </is>
      </c>
      <c r="E21" s="28" t="inlineStr">
        <is>
          <t>신광포토레이</t>
        </is>
      </c>
      <c r="F21" s="30" t="n"/>
      <c r="G21" s="29">
        <f>IFERROR("["&amp;INDEX(고압진공_재고현황!$A:$A,MATCH($D21,고압진공_재고현황!$E:$E,0))&amp;"] "&amp;INDEX(고압진공_재고현황!$D:$D,MATCH($D21,고압진공_재고현황!$E:$E,0)),IFERROR("[조립] "&amp;INDEX(조립자재_재고현황!$D:$D,MATCH($D21,조립자재_재고현황!$E:$E,0)),""))</f>
        <v/>
      </c>
      <c r="H21" s="31">
        <f>IF(G21="","",COUNTIF($G$2:G21,"?*"))</f>
        <v/>
      </c>
    </row>
    <row r="22" ht="48" customHeight="1">
      <c r="A22" s="48" t="inlineStr">
        <is>
          <t>창고</t>
        </is>
      </c>
      <c r="B22" s="28" t="inlineStr">
        <is>
          <t>X-ray Tube</t>
        </is>
      </c>
      <c r="C22" s="28" t="inlineStr">
        <is>
          <t>SOLO</t>
        </is>
      </c>
      <c r="D22" s="29" t="inlineStr">
        <is>
          <t>TUBE (70KV DXDR-070)
[SOLO]</t>
        </is>
      </c>
      <c r="E22" s="28" t="n"/>
      <c r="F22" s="30" t="n"/>
      <c r="G22" s="29">
        <f>IFERROR("["&amp;INDEX(고압진공_재고현황!$A:$A,MATCH($D22,고압진공_재고현황!$E:$E,0))&amp;"] "&amp;INDEX(고압진공_재고현황!$D:$D,MATCH($D22,고압진공_재고현황!$E:$E,0)),IFERROR("[조립] "&amp;INDEX(조립자재_재고현황!$D:$D,MATCH($D22,조립자재_재고현황!$E:$E,0)),""))</f>
        <v/>
      </c>
      <c r="H22" s="31">
        <f>IF(G22="","",COUNTIF($G$2:G22,"?*"))</f>
        <v/>
      </c>
    </row>
    <row r="23" ht="48" customHeight="1">
      <c r="A23" s="48" t="inlineStr">
        <is>
          <t>창고</t>
        </is>
      </c>
      <c r="B23" s="28" t="inlineStr">
        <is>
          <t>X-ray Tube</t>
        </is>
      </c>
      <c r="C23" s="28" t="inlineStr">
        <is>
          <t>ADX6000</t>
        </is>
      </c>
      <c r="D23" s="29" t="inlineStr">
        <is>
          <t>TUBE (80KV D-0813)
[ADX6000]</t>
        </is>
      </c>
      <c r="E23" s="28" t="inlineStr">
        <is>
          <t>신광포토레이</t>
        </is>
      </c>
      <c r="F23" s="30" t="n"/>
      <c r="G23" s="29">
        <f>IFERROR("["&amp;INDEX(고압진공_재고현황!$A:$A,MATCH($D23,고압진공_재고현황!$E:$E,0))&amp;"] "&amp;INDEX(고압진공_재고현황!$D:$D,MATCH($D23,고압진공_재고현황!$E:$E,0)),IFERROR("[조립] "&amp;INDEX(조립자재_재고현황!$D:$D,MATCH($D23,조립자재_재고현황!$E:$E,0)),""))</f>
        <v/>
      </c>
      <c r="H23" s="31">
        <f>IF(G23="","",COUNTIF($G$2:G23,"?*"))</f>
        <v/>
      </c>
    </row>
    <row r="24" ht="48" customHeight="1">
      <c r="A24" s="48" t="inlineStr">
        <is>
          <t>창고</t>
        </is>
      </c>
      <c r="B24" s="28" t="inlineStr">
        <is>
          <t>X-ray Tube</t>
        </is>
      </c>
      <c r="C24" s="28" t="inlineStr">
        <is>
          <t>ADX6000</t>
        </is>
      </c>
      <c r="D24" s="29" t="inlineStr">
        <is>
          <t>TUBE (90kV OX / 70-1.0)
[ADX6000]</t>
        </is>
      </c>
      <c r="E24" s="28" t="inlineStr">
        <is>
          <t>CEI</t>
        </is>
      </c>
      <c r="F24" s="30" t="n"/>
      <c r="G24" s="29">
        <f>IFERROR("["&amp;INDEX(고압진공_재고현황!$A:$A,MATCH($D24,고압진공_재고현황!$E:$E,0))&amp;"] "&amp;INDEX(고압진공_재고현황!$D:$D,MATCH($D24,고압진공_재고현황!$E:$E,0)),IFERROR("[조립] "&amp;INDEX(조립자재_재고현황!$D:$D,MATCH($D24,조립자재_재고현황!$E:$E,0)),""))</f>
        <v/>
      </c>
      <c r="H24" s="31">
        <f>IF(G24="","",COUNTIF($G$2:G24,"?*"))</f>
        <v/>
      </c>
    </row>
    <row r="25" ht="48" customHeight="1">
      <c r="A25" s="48" t="inlineStr">
        <is>
          <t>창고</t>
        </is>
      </c>
      <c r="B25" s="28" t="inlineStr">
        <is>
          <t>X-ray Tube</t>
        </is>
      </c>
      <c r="C25" s="28" t="inlineStr">
        <is>
          <t>100kV</t>
        </is>
      </c>
      <c r="D25" s="29" t="inlineStr">
        <is>
          <t>TUBE (100Kv DXDR-100)
[100kV]</t>
        </is>
      </c>
      <c r="E25" s="28" t="n"/>
      <c r="F25" s="30" t="n"/>
      <c r="G25" s="29">
        <f>IFERROR("["&amp;INDEX(고압진공_재고현황!$A:$A,MATCH($D25,고압진공_재고현황!$E:$E,0))&amp;"] "&amp;INDEX(고압진공_재고현황!$D:$D,MATCH($D25,고압진공_재고현황!$E:$E,0)),IFERROR("[조립] "&amp;INDEX(조립자재_재고현황!$D:$D,MATCH($D25,조립자재_재고현황!$E:$E,0)),""))</f>
        <v/>
      </c>
      <c r="H25" s="31">
        <f>IF(G25="","",COUNTIF($G$2:G25,"?*"))</f>
        <v/>
      </c>
    </row>
    <row r="26" ht="48" customHeight="1">
      <c r="A26" s="48" t="inlineStr">
        <is>
          <t>창고</t>
        </is>
      </c>
      <c r="B26" s="28" t="inlineStr">
        <is>
          <t>베이클라이트</t>
        </is>
      </c>
      <c r="C26" s="28" t="inlineStr">
        <is>
          <t>DX3000, ADX4000W ADX6000</t>
        </is>
      </c>
      <c r="D26" s="29" t="inlineStr">
        <is>
          <t>튜브 하우징 파이프 (베이클라이트)
[DX3000, ADX4000W ADX6000]</t>
        </is>
      </c>
      <c r="E26" s="28" t="inlineStr">
        <is>
          <t>용봉화학</t>
        </is>
      </c>
      <c r="F26" s="30" t="n"/>
      <c r="G26" s="29">
        <f>IFERROR("["&amp;INDEX(고압진공_재고현황!$A:$A,MATCH($D26,고압진공_재고현황!$E:$E,0))&amp;"] "&amp;INDEX(고압진공_재고현황!$D:$D,MATCH($D26,고압진공_재고현황!$E:$E,0)),IFERROR("[조립] "&amp;INDEX(조립자재_재고현황!$D:$D,MATCH($D26,조립자재_재고현황!$E:$E,0)),""))</f>
        <v/>
      </c>
      <c r="H26" s="31">
        <f>IF(G26="","",COUNTIF($G$2:G26,"?*"))</f>
        <v/>
      </c>
    </row>
    <row r="27" ht="48" customHeight="1">
      <c r="A27" s="48" t="inlineStr">
        <is>
          <t>창고</t>
        </is>
      </c>
      <c r="B27" s="28" t="inlineStr">
        <is>
          <t>HDPE</t>
        </is>
      </c>
      <c r="C27" s="28" t="inlineStr">
        <is>
          <t>COCOON</t>
        </is>
      </c>
      <c r="D27" s="29" t="inlineStr">
        <is>
          <t>튜브 하우징 파이프 (HDPE)
[COCOON]</t>
        </is>
      </c>
      <c r="E27" s="28" t="inlineStr">
        <is>
          <t>용봉화학</t>
        </is>
      </c>
      <c r="F27" s="30" t="n"/>
      <c r="G27" s="29">
        <f>IFERROR("["&amp;INDEX(고압진공_재고현황!$A:$A,MATCH($D27,고압진공_재고현황!$E:$E,0))&amp;"] "&amp;INDEX(고압진공_재고현황!$D:$D,MATCH($D27,고압진공_재고현황!$E:$E,0)),IFERROR("[조립] "&amp;INDEX(조립자재_재고현황!$D:$D,MATCH($D27,조립자재_재고현황!$E:$E,0)),""))</f>
        <v/>
      </c>
      <c r="H27" s="31">
        <f>IF(G27="","",COUNTIF($G$2:G27,"?*"))</f>
        <v/>
      </c>
    </row>
    <row r="28" ht="48" customHeight="1">
      <c r="A28" s="48" t="inlineStr">
        <is>
          <t>창고</t>
        </is>
      </c>
      <c r="B28" s="28" t="inlineStr">
        <is>
          <t>HDPE</t>
        </is>
      </c>
      <c r="C28" s="28" t="inlineStr">
        <is>
          <t>SOLO</t>
        </is>
      </c>
      <c r="D28" s="29" t="inlineStr">
        <is>
          <t>튜브 하우징 파이프 (HDPE)
[SOLO]</t>
        </is>
      </c>
      <c r="E28" s="28" t="inlineStr">
        <is>
          <t>용봉화학</t>
        </is>
      </c>
      <c r="F28" s="30" t="n"/>
      <c r="G28" s="29">
        <f>IFERROR("["&amp;INDEX(고압진공_재고현황!$A:$A,MATCH($D28,고압진공_재고현황!$E:$E,0))&amp;"] "&amp;INDEX(고압진공_재고현황!$D:$D,MATCH($D28,고압진공_재고현황!$E:$E,0)),IFERROR("[조립] "&amp;INDEX(조립자재_재고현황!$D:$D,MATCH($D28,조립자재_재고현황!$E:$E,0)),""))</f>
        <v/>
      </c>
      <c r="H28" s="31">
        <f>IF(G28="","",COUNTIF($G$2:G28,"?*"))</f>
        <v/>
      </c>
    </row>
    <row r="29" ht="48" customHeight="1">
      <c r="A29" s="48" t="inlineStr">
        <is>
          <t>창고</t>
        </is>
      </c>
      <c r="B29" s="28" t="inlineStr">
        <is>
          <t>램프</t>
        </is>
      </c>
      <c r="C29" s="28" t="inlineStr">
        <is>
          <t>DX3000, ADX4000W COCOON</t>
        </is>
      </c>
      <c r="D29" s="29" t="inlineStr">
        <is>
          <t>네온램프 (NEON-5T.5*13 red)
[DX3000, ADX4000W COCOON]</t>
        </is>
      </c>
      <c r="E29" s="28" t="inlineStr">
        <is>
          <t>HLP</t>
        </is>
      </c>
      <c r="F29" s="30" t="n"/>
      <c r="G29" s="29">
        <f>IFERROR("["&amp;INDEX(고압진공_재고현황!$A:$A,MATCH($D29,고압진공_재고현황!$E:$E,0))&amp;"] "&amp;INDEX(고압진공_재고현황!$D:$D,MATCH($D29,고압진공_재고현황!$E:$E,0)),IFERROR("[조립] "&amp;INDEX(조립자재_재고현황!$D:$D,MATCH($D29,조립자재_재고현황!$E:$E,0)),""))</f>
        <v/>
      </c>
      <c r="H29" s="31">
        <f>IF(G29="","",COUNTIF($G$2:G29,"?*"))</f>
        <v/>
      </c>
    </row>
    <row r="30" ht="48" customHeight="1">
      <c r="A30" s="48" t="inlineStr">
        <is>
          <t>창고</t>
        </is>
      </c>
      <c r="B30" s="28" t="inlineStr">
        <is>
          <t>다이오드</t>
        </is>
      </c>
      <c r="C30" s="28" t="inlineStr">
        <is>
          <t>DX3000, ADX4000W</t>
        </is>
      </c>
      <c r="D30" s="29" t="inlineStr">
        <is>
          <t>고압 다이오드 (2CL77 (20KV, 5mA))
[DX3000, ADX4000W]</t>
        </is>
      </c>
      <c r="E30" s="28" t="inlineStr">
        <is>
          <t>비지티</t>
        </is>
      </c>
      <c r="F30" s="30" t="n"/>
      <c r="G30" s="29">
        <f>IFERROR("["&amp;INDEX(고압진공_재고현황!$A:$A,MATCH($D30,고압진공_재고현황!$E:$E,0))&amp;"] "&amp;INDEX(고압진공_재고현황!$D:$D,MATCH($D30,고압진공_재고현황!$E:$E,0)),IFERROR("[조립] "&amp;INDEX(조립자재_재고현황!$D:$D,MATCH($D30,조립자재_재고현황!$E:$E,0)),""))</f>
        <v/>
      </c>
      <c r="H30" s="31">
        <f>IF(G30="","",COUNTIF($G$2:G30,"?*"))</f>
        <v/>
      </c>
    </row>
    <row r="31" ht="48" customHeight="1">
      <c r="A31" s="48" t="inlineStr">
        <is>
          <t>창고</t>
        </is>
      </c>
      <c r="B31" s="28" t="inlineStr">
        <is>
          <t>다이오드</t>
        </is>
      </c>
      <c r="C31" s="28" t="inlineStr">
        <is>
          <t>DX3000, ADX4000W ADX6000</t>
        </is>
      </c>
      <c r="D31" s="29" t="inlineStr">
        <is>
          <t>고압 다이오드 (DL1500)
[DX3000, ADX4000W ADX6000]</t>
        </is>
      </c>
      <c r="E31" s="28" t="inlineStr">
        <is>
          <t>비지티</t>
        </is>
      </c>
      <c r="F31" s="30" t="n"/>
      <c r="G31" s="29">
        <f>IFERROR("["&amp;INDEX(고압진공_재고현황!$A:$A,MATCH($D31,고압진공_재고현황!$E:$E,0))&amp;"] "&amp;INDEX(고압진공_재고현황!$D:$D,MATCH($D31,고압진공_재고현황!$E:$E,0)),IFERROR("[조립] "&amp;INDEX(조립자재_재고현황!$D:$D,MATCH($D31,조립자재_재고현황!$E:$E,0)),""))</f>
        <v/>
      </c>
      <c r="H31" s="31">
        <f>IF(G31="","",COUNTIF($G$2:G31,"?*"))</f>
        <v/>
      </c>
    </row>
    <row r="32" ht="48" customHeight="1">
      <c r="A32" s="48" t="inlineStr">
        <is>
          <t>창고</t>
        </is>
      </c>
      <c r="B32" s="28" t="inlineStr">
        <is>
          <t>다이오드</t>
        </is>
      </c>
      <c r="C32" s="28" t="inlineStr">
        <is>
          <t>COCOON</t>
        </is>
      </c>
      <c r="D32" s="29" t="inlineStr">
        <is>
          <t>고압 다이오드 (DD1800)
[COCOON]</t>
        </is>
      </c>
      <c r="E32" s="28" t="inlineStr">
        <is>
          <t>비지티</t>
        </is>
      </c>
      <c r="F32" s="30" t="n"/>
      <c r="G32" s="29">
        <f>IFERROR("["&amp;INDEX(고압진공_재고현황!$A:$A,MATCH($D32,고압진공_재고현황!$E:$E,0))&amp;"] "&amp;INDEX(고압진공_재고현황!$D:$D,MATCH($D32,고압진공_재고현황!$E:$E,0)),IFERROR("[조립] "&amp;INDEX(조립자재_재고현황!$D:$D,MATCH($D32,조립자재_재고현황!$E:$E,0)),""))</f>
        <v/>
      </c>
      <c r="H32" s="31">
        <f>IF(G32="","",COUNTIF($G$2:G32,"?*"))</f>
        <v/>
      </c>
    </row>
    <row r="33" ht="48" customHeight="1">
      <c r="A33" s="48" t="inlineStr">
        <is>
          <t>창고</t>
        </is>
      </c>
      <c r="B33" s="28" t="inlineStr">
        <is>
          <t>저항</t>
        </is>
      </c>
      <c r="C33" s="28" t="inlineStr">
        <is>
          <t>DX3000, ADX4000W</t>
        </is>
      </c>
      <c r="D33" s="29" t="inlineStr">
        <is>
          <t>15㏀ 고압용 저항 (15㏀±1％, DIP-1/4W)
[DX3000, ADX4000W]</t>
        </is>
      </c>
      <c r="E33" s="28" t="inlineStr">
        <is>
          <t>HLP</t>
        </is>
      </c>
      <c r="F33" s="30" t="n"/>
      <c r="G33" s="29">
        <f>IFERROR("["&amp;INDEX(고압진공_재고현황!$A:$A,MATCH($D33,고압진공_재고현황!$E:$E,0))&amp;"] "&amp;INDEX(고압진공_재고현황!$D:$D,MATCH($D33,고압진공_재고현황!$E:$E,0)),IFERROR("[조립] "&amp;INDEX(조립자재_재고현황!$D:$D,MATCH($D33,조립자재_재고현황!$E:$E,0)),""))</f>
        <v/>
      </c>
      <c r="H33" s="31">
        <f>IF(G33="","",COUNTIF($G$2:G33,"?*"))</f>
        <v/>
      </c>
    </row>
    <row r="34" ht="48" customHeight="1">
      <c r="A34" s="48" t="inlineStr">
        <is>
          <t>창고</t>
        </is>
      </c>
      <c r="B34" s="28" t="inlineStr">
        <is>
          <t>저항</t>
        </is>
      </c>
      <c r="C34" s="28" t="inlineStr">
        <is>
          <t>DX3000, ADX4000W ADX6000</t>
        </is>
      </c>
      <c r="D34" s="29" t="inlineStr">
        <is>
          <t>30㏀ 고압용 저항 (30㏀±1％, DIP-1/4W)
[DX3000, ADX4000W ADX6000]</t>
        </is>
      </c>
      <c r="E34" s="28" t="inlineStr">
        <is>
          <t>HLP</t>
        </is>
      </c>
      <c r="F34" s="30" t="n"/>
      <c r="G34" s="29">
        <f>IFERROR("["&amp;INDEX(고압진공_재고현황!$A:$A,MATCH($D34,고압진공_재고현황!$E:$E,0))&amp;"] "&amp;INDEX(고압진공_재고현황!$D:$D,MATCH($D34,고압진공_재고현황!$E:$E,0)),IFERROR("[조립] "&amp;INDEX(조립자재_재고현황!$D:$D,MATCH($D34,조립자재_재고현황!$E:$E,0)),""))</f>
        <v/>
      </c>
      <c r="H34" s="31">
        <f>IF(G34="","",COUNTIF($G$2:G34,"?*"))</f>
        <v/>
      </c>
    </row>
    <row r="35" ht="48" customHeight="1">
      <c r="A35" s="48" t="inlineStr">
        <is>
          <t>창고</t>
        </is>
      </c>
      <c r="B35" s="28" t="inlineStr">
        <is>
          <t>저항</t>
        </is>
      </c>
      <c r="C35" s="28" t="inlineStr">
        <is>
          <t>ADX6000</t>
        </is>
      </c>
      <c r="D35" s="29" t="inlineStr">
        <is>
          <t>500Ω 고압용 저항 (500Ω±1％, DIP-1/4W)
[ADX6000]</t>
        </is>
      </c>
      <c r="E35" s="28" t="inlineStr">
        <is>
          <t>HLP</t>
        </is>
      </c>
      <c r="F35" s="30" t="n"/>
      <c r="G35" s="29">
        <f>IFERROR("["&amp;INDEX(고압진공_재고현황!$A:$A,MATCH($D35,고압진공_재고현황!$E:$E,0))&amp;"] "&amp;INDEX(고압진공_재고현황!$D:$D,MATCH($D35,고압진공_재고현황!$E:$E,0)),IFERROR("[조립] "&amp;INDEX(조립자재_재고현황!$D:$D,MATCH($D35,조립자재_재고현황!$E:$E,0)),""))</f>
        <v/>
      </c>
      <c r="H35" s="31">
        <f>IF(G35="","",COUNTIF($G$2:G35,"?*"))</f>
        <v/>
      </c>
    </row>
    <row r="36" ht="48" customHeight="1">
      <c r="A36" s="48" t="inlineStr">
        <is>
          <t>창고</t>
        </is>
      </c>
      <c r="B36" s="28" t="inlineStr">
        <is>
          <t>저항</t>
        </is>
      </c>
      <c r="C36" s="28" t="inlineStr">
        <is>
          <t>DX3000, ADX4000W</t>
        </is>
      </c>
      <c r="D36" s="29" t="inlineStr">
        <is>
          <t>1.7W,10kV 시멘트저항 짧은 것 (RK92-11XD 307J (1.7W,10kV,±5%,300ppm,Flat))
[DX3000, ADX4000W]</t>
        </is>
      </c>
      <c r="E36" s="28" t="inlineStr">
        <is>
          <t>비지티</t>
        </is>
      </c>
      <c r="F36" s="30" t="n"/>
      <c r="G36" s="29">
        <f>IFERROR("["&amp;INDEX(고압진공_재고현황!$A:$A,MATCH($D36,고압진공_재고현황!$E:$E,0))&amp;"] "&amp;INDEX(고압진공_재고현황!$D:$D,MATCH($D36,고압진공_재고현황!$E:$E,0)),IFERROR("[조립] "&amp;INDEX(조립자재_재고현황!$D:$D,MATCH($D36,조립자재_재고현황!$E:$E,0)),""))</f>
        <v/>
      </c>
      <c r="H36" s="31">
        <f>IF(G36="","",COUNTIF($G$2:G36,"?*"))</f>
        <v/>
      </c>
    </row>
    <row r="37" ht="48" customHeight="1">
      <c r="A37" s="48" t="inlineStr">
        <is>
          <t>창고</t>
        </is>
      </c>
      <c r="B37" s="28" t="inlineStr">
        <is>
          <t>저항</t>
        </is>
      </c>
      <c r="C37" s="28" t="inlineStr">
        <is>
          <t>COCOON</t>
        </is>
      </c>
      <c r="D37" s="29" t="inlineStr">
        <is>
          <t>2.7W,15kV 시멘트저항 긴 것 (RK92-18XD 307J (2.7W,15kV,±5%,300ppm,Flat))
[COCOON]</t>
        </is>
      </c>
      <c r="E37" s="28" t="inlineStr">
        <is>
          <t>비지티</t>
        </is>
      </c>
      <c r="F37" s="30" t="n"/>
      <c r="G37" s="29">
        <f>IFERROR("["&amp;INDEX(고압진공_재고현황!$A:$A,MATCH($D37,고압진공_재고현황!$E:$E,0))&amp;"] "&amp;INDEX(고압진공_재고현황!$D:$D,MATCH($D37,고압진공_재고현황!$E:$E,0)),IFERROR("[조립] "&amp;INDEX(조립자재_재고현황!$D:$D,MATCH($D37,조립자재_재고현황!$E:$E,0)),""))</f>
        <v/>
      </c>
      <c r="H37" s="31">
        <f>IF(G37="","",COUNTIF($G$2:G37,"?*"))</f>
        <v/>
      </c>
    </row>
    <row r="38" ht="48" customHeight="1">
      <c r="A38" s="48" t="inlineStr">
        <is>
          <t>창고</t>
        </is>
      </c>
      <c r="B38" s="28" t="inlineStr">
        <is>
          <t>저항</t>
        </is>
      </c>
      <c r="C38" s="28" t="inlineStr">
        <is>
          <t>DX3000, ADX4000W ADX6000</t>
        </is>
      </c>
      <c r="D38" s="29" t="inlineStr">
        <is>
          <t>47k Surge 저항 (HPC-2C 47k/Surge)
[DX3000, ADX4000W ADX6000]</t>
        </is>
      </c>
      <c r="E38" s="28" t="inlineStr">
        <is>
          <t>비지티</t>
        </is>
      </c>
      <c r="F38" s="30" t="n"/>
      <c r="G38" s="29">
        <f>IFERROR("["&amp;INDEX(고압진공_재고현황!$A:$A,MATCH($D38,고압진공_재고현황!$E:$E,0))&amp;"] "&amp;INDEX(고압진공_재고현황!$D:$D,MATCH($D38,고압진공_재고현황!$E:$E,0)),IFERROR("[조립] "&amp;INDEX(조립자재_재고현황!$D:$D,MATCH($D38,조립자재_재고현황!$E:$E,0)),""))</f>
        <v/>
      </c>
      <c r="H38" s="31">
        <f>IF(G38="","",COUNTIF($G$2:G38,"?*"))</f>
        <v/>
      </c>
    </row>
    <row r="39" ht="48" customHeight="1">
      <c r="A39" s="48" t="inlineStr">
        <is>
          <t>창고</t>
        </is>
      </c>
      <c r="B39" s="28" t="inlineStr">
        <is>
          <t>세라믹</t>
        </is>
      </c>
      <c r="C39" s="28" t="inlineStr">
        <is>
          <t>DX3000, ADX4000W ADX6000</t>
        </is>
      </c>
      <c r="D39" s="29" t="inlineStr">
        <is>
          <t>100nF 칩세라믹 콘덴서 (3216B 100nF)
[DX3000, ADX4000W ADX6000]</t>
        </is>
      </c>
      <c r="E39" s="28" t="inlineStr">
        <is>
          <t>HLP</t>
        </is>
      </c>
      <c r="F39" s="30" t="n"/>
      <c r="G39" s="29">
        <f>IFERROR("["&amp;INDEX(고압진공_재고현황!$A:$A,MATCH($D39,고압진공_재고현황!$E:$E,0))&amp;"] "&amp;INDEX(고압진공_재고현황!$D:$D,MATCH($D39,고압진공_재고현황!$E:$E,0)),IFERROR("[조립] "&amp;INDEX(조립자재_재고현황!$D:$D,MATCH($D39,조립자재_재고현황!$E:$E,0)),""))</f>
        <v/>
      </c>
      <c r="H39" s="31">
        <f>IF(G39="","",COUNTIF($G$2:G39,"?*"))</f>
        <v/>
      </c>
    </row>
    <row r="40" ht="48" customHeight="1">
      <c r="A40" s="48" t="inlineStr">
        <is>
          <t>창고</t>
        </is>
      </c>
      <c r="B40" s="28" t="inlineStr">
        <is>
          <t>세라믹</t>
        </is>
      </c>
      <c r="C40" s="28" t="inlineStr">
        <is>
          <t>DX3000, ADX4000W ADX6000</t>
        </is>
      </c>
      <c r="D40" s="29" t="inlineStr">
        <is>
          <t>103Z 고압용 세라믹 콘덴서 (50V F103Z)
[DX3000, ADX4000W ADX6000]</t>
        </is>
      </c>
      <c r="E40" s="28" t="inlineStr">
        <is>
          <t>HLP</t>
        </is>
      </c>
      <c r="F40" s="30" t="n"/>
      <c r="G40" s="29">
        <f>IFERROR("["&amp;INDEX(고압진공_재고현황!$A:$A,MATCH($D40,고압진공_재고현황!$E:$E,0))&amp;"] "&amp;INDEX(고압진공_재고현황!$D:$D,MATCH($D40,고압진공_재고현황!$E:$E,0)),IFERROR("[조립] "&amp;INDEX(조립자재_재고현황!$D:$D,MATCH($D40,조립자재_재고현황!$E:$E,0)),""))</f>
        <v/>
      </c>
      <c r="H40" s="31">
        <f>IF(G40="","",COUNTIF($G$2:G40,"?*"))</f>
        <v/>
      </c>
    </row>
    <row r="41" ht="48" customHeight="1">
      <c r="A41" s="48" t="inlineStr">
        <is>
          <t>창고</t>
        </is>
      </c>
      <c r="B41" s="28" t="inlineStr">
        <is>
          <t>세라믹</t>
        </is>
      </c>
      <c r="C41" s="28" t="inlineStr">
        <is>
          <t>DX3000, ADX4000W</t>
        </is>
      </c>
      <c r="D41" s="29" t="inlineStr">
        <is>
          <t>세라믹 큰 콘덴서 (DHR4E4C102K2FB)
[DX3000, ADX4000W]</t>
        </is>
      </c>
      <c r="E41" s="28" t="inlineStr">
        <is>
          <t>비지티, HLP</t>
        </is>
      </c>
      <c r="F41" s="30" t="n"/>
      <c r="G41" s="29">
        <f>IFERROR("["&amp;INDEX(고압진공_재고현황!$A:$A,MATCH($D41,고압진공_재고현황!$E:$E,0))&amp;"] "&amp;INDEX(고압진공_재고현황!$D:$D,MATCH($D41,고압진공_재고현황!$E:$E,0)),IFERROR("[조립] "&amp;INDEX(조립자재_재고현황!$D:$D,MATCH($D41,조립자재_재고현황!$E:$E,0)),""))</f>
        <v/>
      </c>
      <c r="H41" s="31">
        <f>IF(G41="","",COUNTIF($G$2:G41,"?*"))</f>
        <v/>
      </c>
    </row>
    <row r="42" ht="48" customHeight="1">
      <c r="A42" s="48" t="inlineStr">
        <is>
          <t>창고</t>
        </is>
      </c>
      <c r="B42" s="28" t="inlineStr">
        <is>
          <t>세라믹</t>
        </is>
      </c>
      <c r="C42" s="28" t="inlineStr">
        <is>
          <t>COCOON, ADX6000</t>
        </is>
      </c>
      <c r="D42" s="29" t="inlineStr">
        <is>
          <t>세라믹 작은 콘덴서 Murata (680pF DHR4E4C681K2BB)
[COCOON, ADX6000]</t>
        </is>
      </c>
      <c r="E42" s="28" t="inlineStr">
        <is>
          <t>비지티, HLP</t>
        </is>
      </c>
      <c r="F42" s="30" t="n"/>
      <c r="G42" s="29">
        <f>IFERROR("["&amp;INDEX(고압진공_재고현황!$A:$A,MATCH($D42,고압진공_재고현황!$E:$E,0))&amp;"] "&amp;INDEX(고압진공_재고현황!$D:$D,MATCH($D42,고압진공_재고현황!$E:$E,0)),IFERROR("[조립] "&amp;INDEX(조립자재_재고현황!$D:$D,MATCH($D42,조립자재_재고현황!$E:$E,0)),""))</f>
        <v/>
      </c>
      <c r="H42" s="31">
        <f>IF(G42="","",COUNTIF($G$2:G42,"?*"))</f>
        <v/>
      </c>
    </row>
    <row r="43" ht="48" customHeight="1">
      <c r="A43" s="48" t="inlineStr">
        <is>
          <t>창고</t>
        </is>
      </c>
      <c r="B43" s="28" t="inlineStr">
        <is>
          <t>세라믹</t>
        </is>
      </c>
      <c r="C43" s="28" t="inlineStr">
        <is>
          <t>COCOON, ADX6000</t>
        </is>
      </c>
      <c r="D43" s="29" t="inlineStr">
        <is>
          <t>세라믹 작은 콘덴서 Vishay (HVCC203Y6P681MCAX)
[COCOON, ADX6000]</t>
        </is>
      </c>
      <c r="E43" s="28" t="inlineStr">
        <is>
          <t>HLP</t>
        </is>
      </c>
      <c r="F43" s="30" t="n"/>
      <c r="G43" s="29">
        <f>IFERROR("["&amp;INDEX(고압진공_재고현황!$A:$A,MATCH($D43,고압진공_재고현황!$E:$E,0))&amp;"] "&amp;INDEX(고압진공_재고현황!$D:$D,MATCH($D43,고압진공_재고현황!$E:$E,0)),IFERROR("[조립] "&amp;INDEX(조립자재_재고현황!$D:$D,MATCH($D43,조립자재_재고현황!$E:$E,0)),""))</f>
        <v/>
      </c>
      <c r="H43" s="31">
        <f>IF(G43="","",COUNTIF($G$2:G43,"?*"))</f>
        <v/>
      </c>
    </row>
    <row r="44" ht="48" customHeight="1">
      <c r="A44" s="48" t="inlineStr">
        <is>
          <t>창고</t>
        </is>
      </c>
      <c r="B44" s="28" t="inlineStr">
        <is>
          <t>센서</t>
        </is>
      </c>
      <c r="C44" s="28" t="inlineStr">
        <is>
          <t>COCOON</t>
        </is>
      </c>
      <c r="D44" s="29" t="inlineStr">
        <is>
          <t>온도센서 (LNTK103FW)
[COCOON]</t>
        </is>
      </c>
      <c r="E44" s="28" t="inlineStr">
        <is>
          <t>HLP</t>
        </is>
      </c>
      <c r="F44" s="30" t="n"/>
      <c r="G44" s="29">
        <f>IFERROR("["&amp;INDEX(고압진공_재고현황!$A:$A,MATCH($D44,고압진공_재고현황!$E:$E,0))&amp;"] "&amp;INDEX(고압진공_재고현황!$D:$D,MATCH($D44,고압진공_재고현황!$E:$E,0)),IFERROR("[조립] "&amp;INDEX(조립자재_재고현황!$D:$D,MATCH($D44,조립자재_재고현황!$E:$E,0)),""))</f>
        <v/>
      </c>
      <c r="H44" s="31">
        <f>IF(G44="","",COUNTIF($G$2:G44,"?*"))</f>
        <v/>
      </c>
    </row>
    <row r="45" ht="48" customHeight="1">
      <c r="A45" s="48" t="inlineStr">
        <is>
          <t>창고</t>
        </is>
      </c>
      <c r="B45" s="28" t="inlineStr">
        <is>
          <t>트랜스</t>
        </is>
      </c>
      <c r="C45" s="28" t="inlineStr">
        <is>
          <t>DX3000, ADX4000W</t>
        </is>
      </c>
      <c r="D45" s="29" t="inlineStr">
        <is>
          <t>트랜스포머 (60kV)
[DX3000, ADX4000W]</t>
        </is>
      </c>
      <c r="E45" s="28" t="inlineStr">
        <is>
          <t>미래메디칼</t>
        </is>
      </c>
      <c r="F45" s="30" t="n"/>
      <c r="G45" s="29">
        <f>IFERROR("["&amp;INDEX(고압진공_재고현황!$A:$A,MATCH($D45,고압진공_재고현황!$E:$E,0))&amp;"] "&amp;INDEX(고압진공_재고현황!$D:$D,MATCH($D45,고압진공_재고현황!$E:$E,0)),IFERROR("[조립] "&amp;INDEX(조립자재_재고현황!$D:$D,MATCH($D45,조립자재_재고현황!$E:$E,0)),""))</f>
        <v/>
      </c>
      <c r="H45" s="31">
        <f>IF(G45="","",COUNTIF($G$2:G45,"?*"))</f>
        <v/>
      </c>
    </row>
    <row r="46" ht="48" customHeight="1">
      <c r="A46" s="48" t="inlineStr">
        <is>
          <t>창고</t>
        </is>
      </c>
      <c r="B46" s="28" t="inlineStr">
        <is>
          <t>트랜스</t>
        </is>
      </c>
      <c r="C46" s="28" t="inlineStr">
        <is>
          <t>COCOON</t>
        </is>
      </c>
      <c r="D46" s="29" t="inlineStr">
        <is>
          <t>트랜스포머 (70kV)
[COCOON]</t>
        </is>
      </c>
      <c r="E46" s="28" t="inlineStr">
        <is>
          <t>미래메디칼</t>
        </is>
      </c>
      <c r="F46" s="30" t="n"/>
      <c r="G46" s="29">
        <f>IFERROR("["&amp;INDEX(고압진공_재고현황!$A:$A,MATCH($D46,고압진공_재고현황!$E:$E,0))&amp;"] "&amp;INDEX(고압진공_재고현황!$D:$D,MATCH($D46,고압진공_재고현황!$E:$E,0)),IFERROR("[조립] "&amp;INDEX(조립자재_재고현황!$D:$D,MATCH($D46,조립자재_재고현황!$E:$E,0)),""))</f>
        <v/>
      </c>
      <c r="H46" s="31">
        <f>IF(G46="","",COUNTIF($G$2:G46,"?*"))</f>
        <v/>
      </c>
    </row>
    <row r="47" ht="48" customHeight="1">
      <c r="A47" s="48" t="inlineStr">
        <is>
          <t>창고</t>
        </is>
      </c>
      <c r="B47" s="28" t="inlineStr">
        <is>
          <t>트랜스</t>
        </is>
      </c>
      <c r="C47" s="28" t="inlineStr">
        <is>
          <t>ADX6000</t>
        </is>
      </c>
      <c r="D47" s="29" t="inlineStr">
        <is>
          <t>트랜스포머 (800턴) (80kV)
[ADX6000]</t>
        </is>
      </c>
      <c r="E47" s="28" t="inlineStr">
        <is>
          <t>미래메디칼</t>
        </is>
      </c>
      <c r="F47" s="30" t="n"/>
      <c r="G47" s="29">
        <f>IFERROR("["&amp;INDEX(고압진공_재고현황!$A:$A,MATCH($D47,고압진공_재고현황!$E:$E,0))&amp;"] "&amp;INDEX(고압진공_재고현황!$D:$D,MATCH($D47,고압진공_재고현황!$E:$E,0)),IFERROR("[조립] "&amp;INDEX(조립자재_재고현황!$D:$D,MATCH($D47,조립자재_재고현황!$E:$E,0)),""))</f>
        <v/>
      </c>
      <c r="H47" s="31">
        <f>IF(G47="","",COUNTIF($G$2:G47,"?*"))</f>
        <v/>
      </c>
    </row>
    <row r="48" ht="48" customHeight="1">
      <c r="A48" s="48" t="inlineStr">
        <is>
          <t>창고</t>
        </is>
      </c>
      <c r="B48" s="28" t="inlineStr">
        <is>
          <t>CORE</t>
        </is>
      </c>
      <c r="C48" s="28" t="inlineStr">
        <is>
          <t>DX3000, ADX4000W ADX6000</t>
        </is>
      </c>
      <c r="D48" s="29" t="inlineStr">
        <is>
          <t>T 코어 (히터트랜스용) (T31 X 8 X 19E)
[DX3000, ADX4000W ADX6000]</t>
        </is>
      </c>
      <c r="E48" s="28" t="inlineStr">
        <is>
          <t>대영파츠넷</t>
        </is>
      </c>
      <c r="F48" s="30" t="n"/>
      <c r="G48" s="29">
        <f>IFERROR("["&amp;INDEX(고압진공_재고현황!$A:$A,MATCH($D48,고압진공_재고현황!$E:$E,0))&amp;"] "&amp;INDEX(고압진공_재고현황!$D:$D,MATCH($D48,고압진공_재고현황!$E:$E,0)),IFERROR("[조립] "&amp;INDEX(조립자재_재고현황!$D:$D,MATCH($D48,조립자재_재고현황!$E:$E,0)),""))</f>
        <v/>
      </c>
      <c r="H48" s="31">
        <f>IF(G48="","",COUNTIF($G$2:G48,"?*"))</f>
        <v/>
      </c>
    </row>
    <row r="49" ht="48" customHeight="1">
      <c r="A49" s="48" t="inlineStr">
        <is>
          <t>창고</t>
        </is>
      </c>
      <c r="B49" s="28" t="inlineStr">
        <is>
          <t>CORE</t>
        </is>
      </c>
      <c r="C49" s="28" t="inlineStr">
        <is>
          <t>SOLO</t>
        </is>
      </c>
      <c r="D49" s="29" t="inlineStr">
        <is>
          <t>T 코어 (히터트랜스용) (TR22-14-6.5)
[SOLO]</t>
        </is>
      </c>
      <c r="E49" s="28" t="inlineStr">
        <is>
          <t>DCT,HLP</t>
        </is>
      </c>
      <c r="F49" s="30" t="n"/>
      <c r="G49" s="29">
        <f>IFERROR("["&amp;INDEX(고압진공_재고현황!$A:$A,MATCH($D49,고압진공_재고현황!$E:$E,0))&amp;"] "&amp;INDEX(고압진공_재고현황!$D:$D,MATCH($D49,고압진공_재고현황!$E:$E,0)),IFERROR("[조립] "&amp;INDEX(조립자재_재고현황!$D:$D,MATCH($D49,조립자재_재고현황!$E:$E,0)),""))</f>
        <v/>
      </c>
      <c r="H49" s="31">
        <f>IF(G49="","",COUNTIF($G$2:G49,"?*"))</f>
        <v/>
      </c>
    </row>
    <row r="50" ht="48" customHeight="1">
      <c r="A50" s="48" t="inlineStr">
        <is>
          <t>창고</t>
        </is>
      </c>
      <c r="B50" s="28" t="inlineStr">
        <is>
          <t>CORE</t>
        </is>
      </c>
      <c r="C50" s="28" t="inlineStr">
        <is>
          <t>ADX6000</t>
        </is>
      </c>
      <c r="D50" s="29" t="inlineStr">
        <is>
          <t>센더스트 코어 (CS234060)
[ADX6000]</t>
        </is>
      </c>
      <c r="E50" s="28" t="inlineStr">
        <is>
          <t>도일코리아</t>
        </is>
      </c>
      <c r="F50" s="30" t="n"/>
      <c r="G50" s="29">
        <f>IFERROR("["&amp;INDEX(고압진공_재고현황!$A:$A,MATCH($D50,고압진공_재고현황!$E:$E,0))&amp;"] "&amp;INDEX(고압진공_재고현황!$D:$D,MATCH($D50,고압진공_재고현황!$E:$E,0)),IFERROR("[조립] "&amp;INDEX(조립자재_재고현황!$D:$D,MATCH($D50,조립자재_재고현황!$E:$E,0)),""))</f>
        <v/>
      </c>
      <c r="H50" s="31">
        <f>IF(G50="","",COUNTIF($G$2:G50,"?*"))</f>
        <v/>
      </c>
    </row>
    <row r="51" ht="48" customHeight="1">
      <c r="A51" s="48" t="inlineStr">
        <is>
          <t>창고</t>
        </is>
      </c>
      <c r="B51" s="28" t="inlineStr">
        <is>
          <t>CABLE</t>
        </is>
      </c>
      <c r="C51" s="28" t="inlineStr">
        <is>
          <t>DX3000, ADX4000W ADX6000</t>
        </is>
      </c>
      <c r="D51" s="29" t="inlineStr">
        <is>
          <t>TIW 권선 (히터트랜스용 선) ((외경)0.7mm (내경)0.5mm, 4000m)
[DX3000, ADX4000W ADX6000]</t>
        </is>
      </c>
      <c r="E51" s="28" t="inlineStr">
        <is>
          <t>승리케이블</t>
        </is>
      </c>
      <c r="F51" s="30" t="n"/>
      <c r="G51" s="29">
        <f>IFERROR("["&amp;INDEX(고압진공_재고현황!$A:$A,MATCH($D51,고압진공_재고현황!$E:$E,0))&amp;"] "&amp;INDEX(고압진공_재고현황!$D:$D,MATCH($D51,고압진공_재고현황!$E:$E,0)),IFERROR("[조립] "&amp;INDEX(조립자재_재고현황!$D:$D,MATCH($D51,조립자재_재고현황!$E:$E,0)),""))</f>
        <v/>
      </c>
      <c r="H51" s="31">
        <f>IF(G51="","",COUNTIF($G$2:G51,"?*"))</f>
        <v/>
      </c>
    </row>
    <row r="52" ht="48" customHeight="1">
      <c r="A52" s="48" t="inlineStr">
        <is>
          <t>창고</t>
        </is>
      </c>
      <c r="B52" s="28" t="inlineStr">
        <is>
          <t>CABLE</t>
        </is>
      </c>
      <c r="C52" s="28" t="inlineStr">
        <is>
          <t>DX3000, ADX4000W ADX6000</t>
        </is>
      </c>
      <c r="D52" s="29" t="inlineStr">
        <is>
          <t>히터트랜스용 고압선(적색) (40KVDC 22AWG)
[DX3000, ADX4000W ADX6000]</t>
        </is>
      </c>
      <c r="E52" s="28" t="inlineStr">
        <is>
          <t>HLP</t>
        </is>
      </c>
      <c r="F52" s="30" t="n"/>
      <c r="G52" s="29">
        <f>IFERROR("["&amp;INDEX(고압진공_재고현황!$A:$A,MATCH($D52,고압진공_재고현황!$E:$E,0))&amp;"] "&amp;INDEX(고압진공_재고현황!$D:$D,MATCH($D52,고압진공_재고현황!$E:$E,0)),IFERROR("[조립] "&amp;INDEX(조립자재_재고현황!$D:$D,MATCH($D52,조립자재_재고현황!$E:$E,0)),""))</f>
        <v/>
      </c>
      <c r="H52" s="31">
        <f>IF(G52="","",COUNTIF($G$2:G52,"?*"))</f>
        <v/>
      </c>
    </row>
    <row r="53" ht="48" customHeight="1">
      <c r="A53" s="48" t="inlineStr">
        <is>
          <t>창고</t>
        </is>
      </c>
      <c r="B53" s="28" t="inlineStr">
        <is>
          <t>CABLE</t>
        </is>
      </c>
      <c r="C53" s="28" t="inlineStr">
        <is>
          <t>SOLO</t>
        </is>
      </c>
      <c r="D53" s="29" t="inlineStr">
        <is>
          <t>히터트랜스용 고압선(흰색) (DSI HV CABLE 2178)
[SOLO]</t>
        </is>
      </c>
      <c r="E53" s="28" t="inlineStr">
        <is>
          <t>BGT</t>
        </is>
      </c>
      <c r="F53" s="30" t="n"/>
      <c r="G53" s="29">
        <f>IFERROR("["&amp;INDEX(고압진공_재고현황!$A:$A,MATCH($D53,고압진공_재고현황!$E:$E,0))&amp;"] "&amp;INDEX(고압진공_재고현황!$D:$D,MATCH($D53,고압진공_재고현황!$E:$E,0)),IFERROR("[조립] "&amp;INDEX(조립자재_재고현황!$D:$D,MATCH($D53,조립자재_재고현황!$E:$E,0)),""))</f>
        <v/>
      </c>
      <c r="H53" s="31">
        <f>IF(G53="","",COUNTIF($G$2:G53,"?*"))</f>
        <v/>
      </c>
    </row>
    <row r="54" ht="48" customHeight="1">
      <c r="A54" s="48" t="inlineStr">
        <is>
          <t>창고</t>
        </is>
      </c>
      <c r="B54" s="28" t="inlineStr">
        <is>
          <t>BOARD</t>
        </is>
      </c>
      <c r="C54" s="28" t="inlineStr">
        <is>
          <t>DX3000, ADX4000W</t>
        </is>
      </c>
      <c r="D54" s="29" t="inlineStr">
        <is>
          <t>고압베어 B/D
[DX3000, ADX4000W]</t>
        </is>
      </c>
      <c r="E54" s="28" t="inlineStr">
        <is>
          <t>한샘디지텍</t>
        </is>
      </c>
      <c r="F54" s="30" t="n"/>
      <c r="G54" s="29">
        <f>IFERROR("["&amp;INDEX(고압진공_재고현황!$A:$A,MATCH($D54,고압진공_재고현황!$E:$E,0))&amp;"] "&amp;INDEX(고압진공_재고현황!$D:$D,MATCH($D54,고압진공_재고현황!$E:$E,0)),IFERROR("[조립] "&amp;INDEX(조립자재_재고현황!$D:$D,MATCH($D54,조립자재_재고현황!$E:$E,0)),""))</f>
        <v/>
      </c>
      <c r="H54" s="31">
        <f>IF(G54="","",COUNTIF($G$2:G54,"?*"))</f>
        <v/>
      </c>
    </row>
    <row r="55" ht="48" customHeight="1">
      <c r="A55" s="48" t="inlineStr">
        <is>
          <t>창고</t>
        </is>
      </c>
      <c r="B55" s="28" t="inlineStr">
        <is>
          <t>BOARD</t>
        </is>
      </c>
      <c r="C55" s="28" t="inlineStr">
        <is>
          <t>DX3000</t>
        </is>
      </c>
      <c r="D55" s="29" t="inlineStr">
        <is>
          <t>고압베어 B/D - TFT (70kV, 3mA)
[DX3000]</t>
        </is>
      </c>
      <c r="E55" s="28" t="inlineStr">
        <is>
          <t>HLP</t>
        </is>
      </c>
      <c r="F55" s="30" t="n"/>
      <c r="G55" s="29">
        <f>IFERROR("["&amp;INDEX(고압진공_재고현황!$A:$A,MATCH($D55,고압진공_재고현황!$E:$E,0))&amp;"] "&amp;INDEX(고압진공_재고현황!$D:$D,MATCH($D55,고압진공_재고현황!$E:$E,0)),IFERROR("[조립] "&amp;INDEX(조립자재_재고현황!$D:$D,MATCH($D55,조립자재_재고현황!$E:$E,0)),""))</f>
        <v/>
      </c>
      <c r="H55" s="31">
        <f>IF(G55="","",COUNTIF($G$2:G55,"?*"))</f>
        <v/>
      </c>
    </row>
    <row r="56" ht="48" customHeight="1">
      <c r="A56" s="48" t="inlineStr">
        <is>
          <t>창고</t>
        </is>
      </c>
      <c r="B56" s="28" t="inlineStr">
        <is>
          <t>BOARD</t>
        </is>
      </c>
      <c r="C56" s="28" t="inlineStr">
        <is>
          <t>COCOON</t>
        </is>
      </c>
      <c r="D56" s="29" t="inlineStr">
        <is>
          <t>고압베어 B/D (구형)
[COCOON]</t>
        </is>
      </c>
      <c r="E56" s="28" t="inlineStr">
        <is>
          <t>한샘디지텍</t>
        </is>
      </c>
      <c r="F56" s="30" t="n"/>
      <c r="G56" s="29">
        <f>IFERROR("["&amp;INDEX(고압진공_재고현황!$A:$A,MATCH($D56,고압진공_재고현황!$E:$E,0))&amp;"] "&amp;INDEX(고압진공_재고현황!$D:$D,MATCH($D56,고압진공_재고현황!$E:$E,0)),IFERROR("[조립] "&amp;INDEX(조립자재_재고현황!$D:$D,MATCH($D56,조립자재_재고현황!$E:$E,0)),""))</f>
        <v/>
      </c>
      <c r="H56" s="31">
        <f>IF(G56="","",COUNTIF($G$2:G56,"?*"))</f>
        <v/>
      </c>
    </row>
    <row r="57" ht="48" customHeight="1">
      <c r="A57" s="48" t="inlineStr">
        <is>
          <t>창고</t>
        </is>
      </c>
      <c r="B57" s="28" t="inlineStr">
        <is>
          <t>BOARD</t>
        </is>
      </c>
      <c r="C57" s="28" t="inlineStr">
        <is>
          <t>COCOON</t>
        </is>
      </c>
      <c r="D57" s="29" t="inlineStr">
        <is>
          <t>고압베어 B/D (신형)
[COCOON]</t>
        </is>
      </c>
      <c r="E57" s="28" t="inlineStr">
        <is>
          <t>한샘디지텍</t>
        </is>
      </c>
      <c r="F57" s="30" t="n"/>
      <c r="G57" s="29">
        <f>IFERROR("["&amp;INDEX(고압진공_재고현황!$A:$A,MATCH($D57,고압진공_재고현황!$E:$E,0))&amp;"] "&amp;INDEX(고압진공_재고현황!$D:$D,MATCH($D57,고압진공_재고현황!$E:$E,0)),IFERROR("[조립] "&amp;INDEX(조립자재_재고현황!$D:$D,MATCH($D57,조립자재_재고현황!$E:$E,0)),""))</f>
        <v/>
      </c>
      <c r="H57" s="31">
        <f>IF(G57="","",COUNTIF($G$2:G57,"?*"))</f>
        <v/>
      </c>
    </row>
    <row r="58" ht="48" customHeight="1">
      <c r="A58" s="48" t="inlineStr">
        <is>
          <t>창고</t>
        </is>
      </c>
      <c r="B58" s="28" t="inlineStr">
        <is>
          <t>BOARD</t>
        </is>
      </c>
      <c r="C58" s="28" t="inlineStr">
        <is>
          <t>SOLO</t>
        </is>
      </c>
      <c r="D58" s="29" t="inlineStr">
        <is>
          <t>고압베어 B/D
[SOLO]</t>
        </is>
      </c>
      <c r="E58" s="28" t="inlineStr">
        <is>
          <t>HLP</t>
        </is>
      </c>
      <c r="F58" s="30" t="n"/>
      <c r="G58" s="29">
        <f>IFERROR("["&amp;INDEX(고압진공_재고현황!$A:$A,MATCH($D58,고압진공_재고현황!$E:$E,0))&amp;"] "&amp;INDEX(고압진공_재고현황!$D:$D,MATCH($D58,고압진공_재고현황!$E:$E,0)),IFERROR("[조립] "&amp;INDEX(조립자재_재고현황!$D:$D,MATCH($D58,조립자재_재고현황!$E:$E,0)),""))</f>
        <v/>
      </c>
      <c r="H58" s="31">
        <f>IF(G58="","",COUNTIF($G$2:G58,"?*"))</f>
        <v/>
      </c>
    </row>
    <row r="59" ht="48" customHeight="1">
      <c r="A59" s="48" t="inlineStr">
        <is>
          <t>창고</t>
        </is>
      </c>
      <c r="B59" s="28" t="inlineStr">
        <is>
          <t>BOARD</t>
        </is>
      </c>
      <c r="C59" s="28" t="inlineStr">
        <is>
          <t>ADX6000</t>
        </is>
      </c>
      <c r="D59" s="29" t="inlineStr">
        <is>
          <t>고압베어 B/D (구형)
[ADX6000]</t>
        </is>
      </c>
      <c r="E59" s="28" t="inlineStr">
        <is>
          <t>한샘디지텍</t>
        </is>
      </c>
      <c r="F59" s="30" t="n"/>
      <c r="G59" s="29">
        <f>IFERROR("["&amp;INDEX(고압진공_재고현황!$A:$A,MATCH($D59,고압진공_재고현황!$E:$E,0))&amp;"] "&amp;INDEX(고압진공_재고현황!$D:$D,MATCH($D59,고압진공_재고현황!$E:$E,0)),IFERROR("[조립] "&amp;INDEX(조립자재_재고현황!$D:$D,MATCH($D59,조립자재_재고현황!$E:$E,0)),""))</f>
        <v/>
      </c>
      <c r="H59" s="31">
        <f>IF(G59="","",COUNTIF($G$2:G59,"?*"))</f>
        <v/>
      </c>
    </row>
    <row r="60" ht="48" customHeight="1">
      <c r="A60" s="48" t="inlineStr">
        <is>
          <t>창고</t>
        </is>
      </c>
      <c r="B60" s="28" t="inlineStr">
        <is>
          <t>BOARD</t>
        </is>
      </c>
      <c r="C60" s="28" t="inlineStr">
        <is>
          <t>ADX6000</t>
        </is>
      </c>
      <c r="D60" s="29" t="inlineStr">
        <is>
          <t>고압베어 B/D (신형)
[ADX6000]</t>
        </is>
      </c>
      <c r="E60" s="28" t="inlineStr">
        <is>
          <t>한샘디지텍</t>
        </is>
      </c>
      <c r="F60" s="30" t="n"/>
      <c r="G60" s="29">
        <f>IFERROR("["&amp;INDEX(고압진공_재고현황!$A:$A,MATCH($D60,고압진공_재고현황!$E:$E,0))&amp;"] "&amp;INDEX(고압진공_재고현황!$D:$D,MATCH($D60,고압진공_재고현황!$E:$E,0)),IFERROR("[조립] "&amp;INDEX(조립자재_재고현황!$D:$D,MATCH($D60,조립자재_재고현황!$E:$E,0)),""))</f>
        <v/>
      </c>
      <c r="H60" s="31">
        <f>IF(G60="","",COUNTIF($G$2:G60,"?*"))</f>
        <v/>
      </c>
    </row>
    <row r="61" ht="48" customHeight="1">
      <c r="A61" s="48" t="inlineStr">
        <is>
          <t>창고</t>
        </is>
      </c>
      <c r="B61" s="28" t="inlineStr">
        <is>
          <t>BOARD</t>
        </is>
      </c>
      <c r="C61" s="28" t="inlineStr">
        <is>
          <t>DX3000, ADX4000W</t>
        </is>
      </c>
      <c r="D61" s="29" t="inlineStr">
        <is>
          <t>튜브 고정 보드 에노드 (나사)
[DX3000, ADX4000W]</t>
        </is>
      </c>
      <c r="E61" s="28" t="inlineStr">
        <is>
          <t>한샘디지텍</t>
        </is>
      </c>
      <c r="F61" s="30" t="n"/>
      <c r="G61" s="29">
        <f>IFERROR("["&amp;INDEX(고압진공_재고현황!$A:$A,MATCH($D61,고압진공_재고현황!$E:$E,0))&amp;"] "&amp;INDEX(고압진공_재고현황!$D:$D,MATCH($D61,고압진공_재고현황!$E:$E,0)),IFERROR("[조립] "&amp;INDEX(조립자재_재고현황!$D:$D,MATCH($D61,조립자재_재고현황!$E:$E,0)),""))</f>
        <v/>
      </c>
      <c r="H61" s="31">
        <f>IF(G61="","",COUNTIF($G$2:G61,"?*"))</f>
        <v/>
      </c>
    </row>
    <row r="62" ht="48" customHeight="1">
      <c r="A62" s="48" t="inlineStr">
        <is>
          <t>창고</t>
        </is>
      </c>
      <c r="B62" s="28" t="inlineStr">
        <is>
          <t>BOARD</t>
        </is>
      </c>
      <c r="C62" s="28" t="inlineStr">
        <is>
          <t>DX3000</t>
        </is>
      </c>
      <c r="D62" s="29" t="inlineStr">
        <is>
          <t>튜브 고정 보드 케소드 (필라멘트)
[DX3000]</t>
        </is>
      </c>
      <c r="E62" s="28" t="inlineStr">
        <is>
          <t>한샘디지텍</t>
        </is>
      </c>
      <c r="F62" s="30" t="n"/>
      <c r="G62" s="29">
        <f>IFERROR("["&amp;INDEX(고압진공_재고현황!$A:$A,MATCH($D62,고압진공_재고현황!$E:$E,0))&amp;"] "&amp;INDEX(고압진공_재고현황!$D:$D,MATCH($D62,고압진공_재고현황!$E:$E,0)),IFERROR("[조립] "&amp;INDEX(조립자재_재고현황!$D:$D,MATCH($D62,조립자재_재고현황!$E:$E,0)),""))</f>
        <v/>
      </c>
      <c r="H62" s="31">
        <f>IF(G62="","",COUNTIF($G$2:G62,"?*"))</f>
        <v/>
      </c>
    </row>
    <row r="63" ht="48" customHeight="1">
      <c r="A63" s="48" t="inlineStr">
        <is>
          <t>창고</t>
        </is>
      </c>
      <c r="B63" s="28" t="inlineStr">
        <is>
          <t>BOARD</t>
        </is>
      </c>
      <c r="C63" s="28" t="inlineStr">
        <is>
          <t>ADX4000W</t>
        </is>
      </c>
      <c r="D63" s="29" t="inlineStr">
        <is>
          <t>튜브 고정 보드 케소드 (필라멘트)
[ADX4000W]</t>
        </is>
      </c>
      <c r="E63" s="28" t="inlineStr">
        <is>
          <t>한샘디지텍</t>
        </is>
      </c>
      <c r="F63" s="30" t="n"/>
      <c r="G63" s="29">
        <f>IFERROR("["&amp;INDEX(고압진공_재고현황!$A:$A,MATCH($D63,고압진공_재고현황!$E:$E,0))&amp;"] "&amp;INDEX(고압진공_재고현황!$D:$D,MATCH($D63,고압진공_재고현황!$E:$E,0)),IFERROR("[조립] "&amp;INDEX(조립자재_재고현황!$D:$D,MATCH($D63,조립자재_재고현황!$E:$E,0)),""))</f>
        <v/>
      </c>
      <c r="H63" s="31">
        <f>IF(G63="","",COUNTIF($G$2:G63,"?*"))</f>
        <v/>
      </c>
    </row>
    <row r="64" ht="48" customHeight="1">
      <c r="A64" s="48" t="inlineStr">
        <is>
          <t>창고</t>
        </is>
      </c>
      <c r="B64" s="28" t="inlineStr">
        <is>
          <t>BOARD</t>
        </is>
      </c>
      <c r="C64" s="28" t="inlineStr">
        <is>
          <t>COCOON</t>
        </is>
      </c>
      <c r="D64" s="29" t="inlineStr">
        <is>
          <t>튜브 고정 보드 에노드 (나사)
[COCOON]</t>
        </is>
      </c>
      <c r="E64" s="28" t="inlineStr">
        <is>
          <t>한샘디지텍</t>
        </is>
      </c>
      <c r="F64" s="30" t="n"/>
      <c r="G64" s="29">
        <f>IFERROR("["&amp;INDEX(고압진공_재고현황!$A:$A,MATCH($D64,고압진공_재고현황!$E:$E,0))&amp;"] "&amp;INDEX(고압진공_재고현황!$D:$D,MATCH($D64,고압진공_재고현황!$E:$E,0)),IFERROR("[조립] "&amp;INDEX(조립자재_재고현황!$D:$D,MATCH($D64,조립자재_재고현황!$E:$E,0)),""))</f>
        <v/>
      </c>
      <c r="H64" s="31">
        <f>IF(G64="","",COUNTIF($G$2:G64,"?*"))</f>
        <v/>
      </c>
    </row>
    <row r="65" ht="48" customHeight="1">
      <c r="A65" s="48" t="inlineStr">
        <is>
          <t>창고</t>
        </is>
      </c>
      <c r="B65" s="28" t="inlineStr">
        <is>
          <t>BOARD</t>
        </is>
      </c>
      <c r="C65" s="28" t="inlineStr">
        <is>
          <t>ADX6000</t>
        </is>
      </c>
      <c r="D65" s="29" t="inlineStr">
        <is>
          <t>튜브 고정 보드 에노드 (나사)
[ADX6000]</t>
        </is>
      </c>
      <c r="E65" s="28" t="inlineStr">
        <is>
          <t>한샘디지텍</t>
        </is>
      </c>
      <c r="F65" s="30" t="n"/>
      <c r="G65" s="29">
        <f>IFERROR("["&amp;INDEX(고압진공_재고현황!$A:$A,MATCH($D65,고압진공_재고현황!$E:$E,0))&amp;"] "&amp;INDEX(고압진공_재고현황!$D:$D,MATCH($D65,고압진공_재고현황!$E:$E,0)),IFERROR("[조립] "&amp;INDEX(조립자재_재고현황!$D:$D,MATCH($D65,조립자재_재고현황!$E:$E,0)),""))</f>
        <v/>
      </c>
      <c r="H65" s="31">
        <f>IF(G65="","",COUNTIF($G$2:G65,"?*"))</f>
        <v/>
      </c>
    </row>
    <row r="66" ht="48" customHeight="1">
      <c r="A66" s="48" t="inlineStr">
        <is>
          <t>창고</t>
        </is>
      </c>
      <c r="B66" s="28" t="inlineStr">
        <is>
          <t>BOARD</t>
        </is>
      </c>
      <c r="C66" s="28" t="inlineStr">
        <is>
          <t>ADX6000</t>
        </is>
      </c>
      <c r="D66" s="29" t="inlineStr">
        <is>
          <t>튜브 고정 보드 케소드 (필라멘트)
[ADX6000]</t>
        </is>
      </c>
      <c r="E66" s="28" t="inlineStr">
        <is>
          <t>한샘디지텍</t>
        </is>
      </c>
      <c r="F66" s="30" t="n"/>
      <c r="G66" s="29">
        <f>IFERROR("["&amp;INDEX(고압진공_재고현황!$A:$A,MATCH($D66,고압진공_재고현황!$E:$E,0))&amp;"] "&amp;INDEX(고압진공_재고현황!$D:$D,MATCH($D66,고압진공_재고현황!$E:$E,0)),IFERROR("[조립] "&amp;INDEX(조립자재_재고현황!$D:$D,MATCH($D66,조립자재_재고현황!$E:$E,0)),""))</f>
        <v/>
      </c>
      <c r="H66" s="31">
        <f>IF(G66="","",COUNTIF($G$2:G66,"?*"))</f>
        <v/>
      </c>
    </row>
    <row r="67" ht="48" customHeight="1">
      <c r="A67" s="48" t="inlineStr">
        <is>
          <t>창고</t>
        </is>
      </c>
      <c r="B67" s="28" t="inlineStr">
        <is>
          <t>베이클라이트</t>
        </is>
      </c>
      <c r="C67" s="28" t="inlineStr">
        <is>
          <t>DX3000, ADX4000W ADX6000</t>
        </is>
      </c>
      <c r="D67" s="29" t="inlineStr">
        <is>
          <t>베이클라이트 케이스 (베이클라이트)
[DX3000, ADX4000W ADX6000]</t>
        </is>
      </c>
      <c r="E67" s="28" t="inlineStr">
        <is>
          <t>용봉화학</t>
        </is>
      </c>
      <c r="F67" s="30" t="n"/>
      <c r="G67" s="29">
        <f>IFERROR("["&amp;INDEX(고압진공_재고현황!$A:$A,MATCH($D67,고압진공_재고현황!$E:$E,0))&amp;"] "&amp;INDEX(고압진공_재고현황!$D:$D,MATCH($D67,고압진공_재고현황!$E:$E,0)),IFERROR("[조립] "&amp;INDEX(조립자재_재고현황!$D:$D,MATCH($D67,조립자재_재고현황!$E:$E,0)),""))</f>
        <v/>
      </c>
      <c r="H67" s="31">
        <f>IF(G67="","",COUNTIF($G$2:G67,"?*"))</f>
        <v/>
      </c>
    </row>
    <row r="68" ht="48" customHeight="1">
      <c r="A68" s="48" t="inlineStr">
        <is>
          <t>창고</t>
        </is>
      </c>
      <c r="B68" s="28" t="inlineStr">
        <is>
          <t>HDPE</t>
        </is>
      </c>
      <c r="C68" s="28" t="inlineStr">
        <is>
          <t>COCOON</t>
        </is>
      </c>
      <c r="D68" s="29" t="inlineStr">
        <is>
          <t>NC 케이스 (HDPE)
[COCOON]</t>
        </is>
      </c>
      <c r="E68" s="28" t="inlineStr">
        <is>
          <t>용봉화학</t>
        </is>
      </c>
      <c r="F68" s="30" t="n"/>
      <c r="G68" s="29">
        <f>IFERROR("["&amp;INDEX(고압진공_재고현황!$A:$A,MATCH($D68,고압진공_재고현황!$E:$E,0))&amp;"] "&amp;INDEX(고압진공_재고현황!$D:$D,MATCH($D68,고압진공_재고현황!$E:$E,0)),IFERROR("[조립] "&amp;INDEX(조립자재_재고현황!$D:$D,MATCH($D68,조립자재_재고현황!$E:$E,0)),""))</f>
        <v/>
      </c>
      <c r="H68" s="31">
        <f>IF(G68="","",COUNTIF($G$2:G68,"?*"))</f>
        <v/>
      </c>
    </row>
    <row r="69" ht="48" customHeight="1">
      <c r="A69" s="48" t="inlineStr">
        <is>
          <t>창고</t>
        </is>
      </c>
      <c r="B69" s="28" t="inlineStr">
        <is>
          <t>HDPE</t>
        </is>
      </c>
      <c r="C69" s="28" t="inlineStr">
        <is>
          <t>SOLO</t>
        </is>
      </c>
      <c r="D69" s="29" t="inlineStr">
        <is>
          <t>NC 케이스 (HDPE)
[SOLO]</t>
        </is>
      </c>
      <c r="E69" s="28" t="inlineStr">
        <is>
          <t>용봉화학</t>
        </is>
      </c>
      <c r="F69" s="30" t="n"/>
      <c r="G69" s="29">
        <f>IFERROR("["&amp;INDEX(고압진공_재고현황!$A:$A,MATCH($D69,고압진공_재고현황!$E:$E,0))&amp;"] "&amp;INDEX(고압진공_재고현황!$D:$D,MATCH($D69,고압진공_재고현황!$E:$E,0)),IFERROR("[조립] "&amp;INDEX(조립자재_재고현황!$D:$D,MATCH($D69,조립자재_재고현황!$E:$E,0)),""))</f>
        <v/>
      </c>
      <c r="H69" s="31">
        <f>IF(G69="","",COUNTIF($G$2:G69,"?*"))</f>
        <v/>
      </c>
    </row>
    <row r="70" ht="48" customHeight="1">
      <c r="A70" s="48" t="inlineStr">
        <is>
          <t>창고</t>
        </is>
      </c>
      <c r="B70" s="28" t="inlineStr">
        <is>
          <t>HDPE</t>
        </is>
      </c>
      <c r="C70" s="28" t="inlineStr">
        <is>
          <t>COCOON</t>
        </is>
      </c>
      <c r="D70" s="29" t="inlineStr">
        <is>
          <t>PE케이스 거치대 (HDPE)
[COCOON]</t>
        </is>
      </c>
      <c r="E70" s="28" t="inlineStr">
        <is>
          <t>용봉화학</t>
        </is>
      </c>
      <c r="F70" s="30" t="n"/>
      <c r="G70" s="29">
        <f>IFERROR("["&amp;INDEX(고압진공_재고현황!$A:$A,MATCH($D70,고압진공_재고현황!$E:$E,0))&amp;"] "&amp;INDEX(고압진공_재고현황!$D:$D,MATCH($D70,고압진공_재고현황!$E:$E,0)),IFERROR("[조립] "&amp;INDEX(조립자재_재고현황!$D:$D,MATCH($D70,조립자재_재고현황!$E:$E,0)),""))</f>
        <v/>
      </c>
      <c r="H70" s="31">
        <f>IF(G70="","",COUNTIF($G$2:G70,"?*"))</f>
        <v/>
      </c>
    </row>
    <row r="71" ht="48" customHeight="1">
      <c r="A71" s="48" t="inlineStr">
        <is>
          <t>창고</t>
        </is>
      </c>
      <c r="B71" s="28" t="inlineStr">
        <is>
          <t>황동</t>
        </is>
      </c>
      <c r="C71" s="28" t="inlineStr">
        <is>
          <t>DX3000</t>
        </is>
      </c>
      <c r="D71" s="29" t="inlineStr">
        <is>
          <t>신주 케이스 (0.6T)
[DX3000]</t>
        </is>
      </c>
      <c r="E71" s="28" t="inlineStr">
        <is>
          <t>해진정밀</t>
        </is>
      </c>
      <c r="F71" s="30" t="n"/>
      <c r="G71" s="29">
        <f>IFERROR("["&amp;INDEX(고압진공_재고현황!$A:$A,MATCH($D71,고압진공_재고현황!$E:$E,0))&amp;"] "&amp;INDEX(고압진공_재고현황!$D:$D,MATCH($D71,고압진공_재고현황!$E:$E,0)),IFERROR("[조립] "&amp;INDEX(조립자재_재고현황!$D:$D,MATCH($D71,조립자재_재고현황!$E:$E,0)),""))</f>
        <v/>
      </c>
      <c r="H71" s="31">
        <f>IF(G71="","",COUNTIF($G$2:G71,"?*"))</f>
        <v/>
      </c>
    </row>
    <row r="72" ht="48" customHeight="1">
      <c r="A72" s="48" t="inlineStr">
        <is>
          <t>창고</t>
        </is>
      </c>
      <c r="B72" s="28" t="inlineStr">
        <is>
          <t>황동</t>
        </is>
      </c>
      <c r="C72" s="28" t="inlineStr">
        <is>
          <t>COCOON</t>
        </is>
      </c>
      <c r="D72" s="29" t="inlineStr">
        <is>
          <t>신주 케이스 (0.6T)
[COCOON]</t>
        </is>
      </c>
      <c r="E72" s="28" t="inlineStr">
        <is>
          <t>디지아이</t>
        </is>
      </c>
      <c r="F72" s="30" t="n"/>
      <c r="G72" s="29">
        <f>IFERROR("["&amp;INDEX(고압진공_재고현황!$A:$A,MATCH($D72,고압진공_재고현황!$E:$E,0))&amp;"] "&amp;INDEX(고압진공_재고현황!$D:$D,MATCH($D72,고압진공_재고현황!$E:$E,0)),IFERROR("[조립] "&amp;INDEX(조립자재_재고현황!$D:$D,MATCH($D72,조립자재_재고현황!$E:$E,0)),""))</f>
        <v/>
      </c>
      <c r="H72" s="31">
        <f>IF(G72="","",COUNTIF($G$2:G72,"?*"))</f>
        <v/>
      </c>
    </row>
    <row r="73" ht="48" customHeight="1">
      <c r="A73" s="48" t="inlineStr">
        <is>
          <t>창고</t>
        </is>
      </c>
      <c r="B73" s="28" t="inlineStr">
        <is>
          <t>황동</t>
        </is>
      </c>
      <c r="C73" s="28" t="inlineStr">
        <is>
          <t>SOLO</t>
        </is>
      </c>
      <c r="D73" s="29" t="inlineStr">
        <is>
          <t>신주 케이스 (0.6T)
[SOLO]</t>
        </is>
      </c>
      <c r="E73" s="28" t="inlineStr">
        <is>
          <t>디지아이</t>
        </is>
      </c>
      <c r="F73" s="30" t="n"/>
      <c r="G73" s="29">
        <f>IFERROR("["&amp;INDEX(고압진공_재고현황!$A:$A,MATCH($D73,고압진공_재고현황!$E:$E,0))&amp;"] "&amp;INDEX(고압진공_재고현황!$D:$D,MATCH($D73,고압진공_재고현황!$E:$E,0)),IFERROR("[조립] "&amp;INDEX(조립자재_재고현황!$D:$D,MATCH($D73,조립자재_재고현황!$E:$E,0)),""))</f>
        <v/>
      </c>
      <c r="H73" s="31">
        <f>IF(G73="","",COUNTIF($G$2:G73,"?*"))</f>
        <v/>
      </c>
    </row>
    <row r="74" ht="48" customHeight="1">
      <c r="A74" s="48" t="inlineStr">
        <is>
          <t>창고</t>
        </is>
      </c>
      <c r="B74" s="28" t="inlineStr">
        <is>
          <t>황동</t>
        </is>
      </c>
      <c r="C74" s="28" t="inlineStr">
        <is>
          <t>ADX4000W</t>
        </is>
      </c>
      <c r="D74" s="29" t="inlineStr">
        <is>
          <t>신주 케이스 (0.6T)
[ADX4000W]</t>
        </is>
      </c>
      <c r="E74" s="28" t="inlineStr">
        <is>
          <t>해진정밀</t>
        </is>
      </c>
      <c r="F74" s="30" t="n"/>
      <c r="G74" s="29">
        <f>IFERROR("["&amp;INDEX(고압진공_재고현황!$A:$A,MATCH($D74,고압진공_재고현황!$E:$E,0))&amp;"] "&amp;INDEX(고압진공_재고현황!$D:$D,MATCH($D74,고압진공_재고현황!$E:$E,0)),IFERROR("[조립] "&amp;INDEX(조립자재_재고현황!$D:$D,MATCH($D74,조립자재_재고현황!$E:$E,0)),""))</f>
        <v/>
      </c>
      <c r="H74" s="31">
        <f>IF(G74="","",COUNTIF($G$2:G74,"?*"))</f>
        <v/>
      </c>
    </row>
    <row r="75" ht="48" customHeight="1">
      <c r="A75" s="48" t="inlineStr">
        <is>
          <t>창고</t>
        </is>
      </c>
      <c r="B75" s="28" t="inlineStr">
        <is>
          <t>황동</t>
        </is>
      </c>
      <c r="C75" s="28" t="inlineStr">
        <is>
          <t>ADX6000</t>
        </is>
      </c>
      <c r="D75" s="29" t="inlineStr">
        <is>
          <t>신주 케이스 (0.6T + 193 (커팅전))
[ADX6000]</t>
        </is>
      </c>
      <c r="E75" s="28" t="inlineStr">
        <is>
          <t>해진정밀</t>
        </is>
      </c>
      <c r="F75" s="30" t="n"/>
      <c r="G75" s="29">
        <f>IFERROR("["&amp;INDEX(고압진공_재고현황!$A:$A,MATCH($D75,고압진공_재고현황!$E:$E,0))&amp;"] "&amp;INDEX(고압진공_재고현황!$D:$D,MATCH($D75,고압진공_재고현황!$E:$E,0)),IFERROR("[조립] "&amp;INDEX(조립자재_재고현황!$D:$D,MATCH($D75,조립자재_재고현황!$E:$E,0)),""))</f>
        <v/>
      </c>
      <c r="H75" s="31">
        <f>IF(G75="","",COUNTIF($G$2:G75,"?*"))</f>
        <v/>
      </c>
    </row>
    <row r="76" ht="48" customHeight="1">
      <c r="A76" s="48" t="inlineStr">
        <is>
          <t>창고</t>
        </is>
      </c>
      <c r="B76" s="28" t="inlineStr">
        <is>
          <t>황동</t>
        </is>
      </c>
      <c r="C76" s="28" t="inlineStr">
        <is>
          <t>DX3000, ADX4000W ADX6000</t>
        </is>
      </c>
      <c r="D76" s="29" t="inlineStr">
        <is>
          <t>신주 케이스 뚜껑 (0.6T)
[DX3000, ADX4000W ADX6000]</t>
        </is>
      </c>
      <c r="E76" s="28" t="inlineStr">
        <is>
          <t>해진정밀</t>
        </is>
      </c>
      <c r="F76" s="30" t="n"/>
      <c r="G76" s="29">
        <f>IFERROR("["&amp;INDEX(고압진공_재고현황!$A:$A,MATCH($D76,고압진공_재고현황!$E:$E,0))&amp;"] "&amp;INDEX(고압진공_재고현황!$D:$D,MATCH($D76,고압진공_재고현황!$E:$E,0)),IFERROR("[조립] "&amp;INDEX(조립자재_재고현황!$D:$D,MATCH($D76,조립자재_재고현황!$E:$E,0)),""))</f>
        <v/>
      </c>
      <c r="H76" s="31">
        <f>IF(G76="","",COUNTIF($G$2:G76,"?*"))</f>
        <v/>
      </c>
    </row>
    <row r="77" ht="48" customHeight="1">
      <c r="A77" s="48" t="inlineStr">
        <is>
          <t>창고</t>
        </is>
      </c>
      <c r="B77" s="28" t="inlineStr">
        <is>
          <t>황동</t>
        </is>
      </c>
      <c r="C77" s="28" t="inlineStr">
        <is>
          <t>COCOON</t>
        </is>
      </c>
      <c r="D77" s="29" t="inlineStr">
        <is>
          <t>신주 케이스 뚜껑 (0.6T)
[COCOON]</t>
        </is>
      </c>
      <c r="E77" s="28" t="inlineStr">
        <is>
          <t>디지아이</t>
        </is>
      </c>
      <c r="F77" s="30" t="n"/>
      <c r="G77" s="29">
        <f>IFERROR("["&amp;INDEX(고압진공_재고현황!$A:$A,MATCH($D77,고압진공_재고현황!$E:$E,0))&amp;"] "&amp;INDEX(고압진공_재고현황!$D:$D,MATCH($D77,고압진공_재고현황!$E:$E,0)),IFERROR("[조립] "&amp;INDEX(조립자재_재고현황!$D:$D,MATCH($D77,조립자재_재고현황!$E:$E,0)),""))</f>
        <v/>
      </c>
      <c r="H77" s="31">
        <f>IF(G77="","",COUNTIF($G$2:G77,"?*"))</f>
        <v/>
      </c>
    </row>
    <row r="78" ht="48" customHeight="1">
      <c r="A78" s="48" t="inlineStr">
        <is>
          <t>창고</t>
        </is>
      </c>
      <c r="B78" s="28" t="inlineStr">
        <is>
          <t>황동</t>
        </is>
      </c>
      <c r="C78" s="28" t="inlineStr">
        <is>
          <t>SOLO</t>
        </is>
      </c>
      <c r="D78" s="29" t="inlineStr">
        <is>
          <t>신주 케이스 뚜껑 (0.6T)
[SOLO]</t>
        </is>
      </c>
      <c r="E78" s="28" t="inlineStr">
        <is>
          <t>디지아이</t>
        </is>
      </c>
      <c r="F78" s="30" t="n"/>
      <c r="G78" s="29">
        <f>IFERROR("["&amp;INDEX(고압진공_재고현황!$A:$A,MATCH($D78,고압진공_재고현황!$E:$E,0))&amp;"] "&amp;INDEX(고압진공_재고현황!$D:$D,MATCH($D78,고압진공_재고현황!$E:$E,0)),IFERROR("[조립] "&amp;INDEX(조립자재_재고현황!$D:$D,MATCH($D78,조립자재_재고현황!$E:$E,0)),""))</f>
        <v/>
      </c>
      <c r="H78" s="31">
        <f>IF(G78="","",COUNTIF($G$2:G78,"?*"))</f>
        <v/>
      </c>
    </row>
    <row r="79" ht="48" customHeight="1">
      <c r="A79" s="48" t="inlineStr">
        <is>
          <t>창고</t>
        </is>
      </c>
      <c r="B79" s="28" t="inlineStr">
        <is>
          <t>황동</t>
        </is>
      </c>
      <c r="C79" s="28" t="inlineStr">
        <is>
          <t>공용</t>
        </is>
      </c>
      <c r="D79" s="29" t="inlineStr">
        <is>
          <t>방사구
[공용]</t>
        </is>
      </c>
      <c r="E79" s="28" t="inlineStr">
        <is>
          <t>해진정밀</t>
        </is>
      </c>
      <c r="F79" s="30" t="n"/>
      <c r="G79" s="29">
        <f>IFERROR("["&amp;INDEX(고압진공_재고현황!$A:$A,MATCH($D79,고압진공_재고현황!$E:$E,0))&amp;"] "&amp;INDEX(고압진공_재고현황!$D:$D,MATCH($D79,고압진공_재고현황!$E:$E,0)),IFERROR("[조립] "&amp;INDEX(조립자재_재고현황!$D:$D,MATCH($D79,조립자재_재고현황!$E:$E,0)),""))</f>
        <v/>
      </c>
      <c r="H79" s="31">
        <f>IF(G79="","",COUNTIF($G$2:G79,"?*"))</f>
        <v/>
      </c>
    </row>
    <row r="80" ht="48" customHeight="1">
      <c r="A80" s="48" t="inlineStr">
        <is>
          <t>창고</t>
        </is>
      </c>
      <c r="B80" s="28" t="inlineStr">
        <is>
          <t>황동</t>
        </is>
      </c>
      <c r="C80" s="28" t="inlineStr">
        <is>
          <t>공용</t>
        </is>
      </c>
      <c r="D80" s="29" t="inlineStr">
        <is>
          <t>방사구 (외경 탭 추가)
[공용]</t>
        </is>
      </c>
      <c r="E80" s="28" t="inlineStr">
        <is>
          <t>해진정밀</t>
        </is>
      </c>
      <c r="F80" s="30" t="n"/>
      <c r="G80" s="29">
        <f>IFERROR("["&amp;INDEX(고압진공_재고현황!$A:$A,MATCH($D80,고압진공_재고현황!$E:$E,0))&amp;"] "&amp;INDEX(고압진공_재고현황!$D:$D,MATCH($D80,고압진공_재고현황!$E:$E,0)),IFERROR("[조립] "&amp;INDEX(조립자재_재고현황!$D:$D,MATCH($D80,조립자재_재고현황!$E:$E,0)),""))</f>
        <v/>
      </c>
      <c r="H80" s="31">
        <f>IF(G80="","",COUNTIF($G$2:G80,"?*"))</f>
        <v/>
      </c>
    </row>
    <row r="81" ht="48" customHeight="1">
      <c r="A81" s="48" t="inlineStr">
        <is>
          <t>창고</t>
        </is>
      </c>
      <c r="B81" s="28" t="inlineStr">
        <is>
          <t>황동</t>
        </is>
      </c>
      <c r="C81" s="28" t="inlineStr">
        <is>
          <t>공용</t>
        </is>
      </c>
      <c r="D81" s="29" t="inlineStr">
        <is>
          <t>방사구 너트
[공용]</t>
        </is>
      </c>
      <c r="E81" s="28" t="inlineStr">
        <is>
          <t>해진정밀</t>
        </is>
      </c>
      <c r="F81" s="30" t="n"/>
      <c r="G81" s="29">
        <f>IFERROR("["&amp;INDEX(고압진공_재고현황!$A:$A,MATCH($D81,고압진공_재고현황!$E:$E,0))&amp;"] "&amp;INDEX(고압진공_재고현황!$D:$D,MATCH($D81,고압진공_재고현황!$E:$E,0)),IFERROR("[조립] "&amp;INDEX(조립자재_재고현황!$D:$D,MATCH($D81,조립자재_재고현황!$E:$E,0)),""))</f>
        <v/>
      </c>
      <c r="H81" s="31">
        <f>IF(G81="","",COUNTIF($G$2:G81,"?*"))</f>
        <v/>
      </c>
    </row>
    <row r="82" ht="48" customHeight="1">
      <c r="A82" s="48" t="inlineStr">
        <is>
          <t>창고</t>
        </is>
      </c>
      <c r="B82" s="28" t="inlineStr">
        <is>
          <t>AL</t>
        </is>
      </c>
      <c r="C82" s="28" t="inlineStr">
        <is>
          <t>DX3000, ADX4000W ADX6000</t>
        </is>
      </c>
      <c r="D82" s="29" t="inlineStr">
        <is>
          <t>알루미늄 필터 (0.8T * Φ24)
[DX3000, ADX4000W ADX6000]</t>
        </is>
      </c>
      <c r="E82" s="28" t="inlineStr">
        <is>
          <t>광전레이저</t>
        </is>
      </c>
      <c r="F82" s="30" t="n"/>
      <c r="G82" s="29">
        <f>IFERROR("["&amp;INDEX(고압진공_재고현황!$A:$A,MATCH($D82,고압진공_재고현황!$E:$E,0))&amp;"] "&amp;INDEX(고압진공_재고현황!$D:$D,MATCH($D82,고압진공_재고현황!$E:$E,0)),IFERROR("[조립] "&amp;INDEX(조립자재_재고현황!$D:$D,MATCH($D82,조립자재_재고현황!$E:$E,0)),""))</f>
        <v/>
      </c>
      <c r="H82" s="31">
        <f>IF(G82="","",COUNTIF($G$2:G82,"?*"))</f>
        <v/>
      </c>
    </row>
    <row r="83" ht="48" customHeight="1">
      <c r="A83" s="48" t="inlineStr">
        <is>
          <t>창고</t>
        </is>
      </c>
      <c r="B83" s="28" t="inlineStr">
        <is>
          <t>AL</t>
        </is>
      </c>
      <c r="C83" s="28" t="inlineStr">
        <is>
          <t>COCOON</t>
        </is>
      </c>
      <c r="D83" s="29" t="inlineStr">
        <is>
          <t>알루미늄 필터 (1.2T * Φ24)
[COCOON]</t>
        </is>
      </c>
      <c r="E83" s="28" t="inlineStr">
        <is>
          <t>광전레이저</t>
        </is>
      </c>
      <c r="F83" s="30" t="n"/>
      <c r="G83" s="29">
        <f>IFERROR("["&amp;INDEX(고압진공_재고현황!$A:$A,MATCH($D83,고압진공_재고현황!$E:$E,0))&amp;"] "&amp;INDEX(고압진공_재고현황!$D:$D,MATCH($D83,고압진공_재고현황!$E:$E,0)),IFERROR("[조립] "&amp;INDEX(조립자재_재고현황!$D:$D,MATCH($D83,조립자재_재고현황!$E:$E,0)),""))</f>
        <v/>
      </c>
      <c r="H83" s="31">
        <f>IF(G83="","",COUNTIF($G$2:G83,"?*"))</f>
        <v/>
      </c>
    </row>
    <row r="84" ht="48" customHeight="1">
      <c r="A84" s="48" t="inlineStr">
        <is>
          <t>창고</t>
        </is>
      </c>
      <c r="B84" s="28" t="inlineStr">
        <is>
          <t>AL</t>
        </is>
      </c>
      <c r="C84" s="28" t="inlineStr">
        <is>
          <t>ADX6000</t>
        </is>
      </c>
      <c r="D84" s="29" t="inlineStr">
        <is>
          <t>알루미늄 필터 (2T * Φ24)
[ADX6000]</t>
        </is>
      </c>
      <c r="E84" s="28" t="inlineStr">
        <is>
          <t>광전레이저</t>
        </is>
      </c>
      <c r="F84" s="30" t="n"/>
      <c r="G84" s="29">
        <f>IFERROR("["&amp;INDEX(고압진공_재고현황!$A:$A,MATCH($D84,고압진공_재고현황!$E:$E,0))&amp;"] "&amp;INDEX(고압진공_재고현황!$D:$D,MATCH($D84,고압진공_재고현황!$E:$E,0)),IFERROR("[조립] "&amp;INDEX(조립자재_재고현황!$D:$D,MATCH($D84,조립자재_재고현황!$E:$E,0)),""))</f>
        <v/>
      </c>
      <c r="H84" s="31">
        <f>IF(G84="","",COUNTIF($G$2:G84,"?*"))</f>
        <v/>
      </c>
    </row>
    <row r="85" ht="48" customHeight="1">
      <c r="A85" s="48" t="inlineStr">
        <is>
          <t>창고</t>
        </is>
      </c>
      <c r="B85" s="28" t="inlineStr">
        <is>
          <t>오링</t>
        </is>
      </c>
      <c r="C85" s="28" t="inlineStr">
        <is>
          <t>공용</t>
        </is>
      </c>
      <c r="D85" s="29" t="inlineStr">
        <is>
          <t>방사구 오링 (2*18)
[공용]</t>
        </is>
      </c>
      <c r="E85" s="28" t="n"/>
      <c r="F85" s="30" t="n"/>
      <c r="G85" s="29">
        <f>IFERROR("["&amp;INDEX(고압진공_재고현황!$A:$A,MATCH($D85,고압진공_재고현황!$E:$E,0))&amp;"] "&amp;INDEX(고압진공_재고현황!$D:$D,MATCH($D85,고압진공_재고현황!$E:$E,0)),IFERROR("[조립] "&amp;INDEX(조립자재_재고현황!$D:$D,MATCH($D85,조립자재_재고현황!$E:$E,0)),""))</f>
        <v/>
      </c>
      <c r="H85" s="31">
        <f>IF(G85="","",COUNTIF($G$2:G85,"?*"))</f>
        <v/>
      </c>
    </row>
    <row r="86" ht="48" customHeight="1">
      <c r="A86" s="48" t="inlineStr">
        <is>
          <t>창고</t>
        </is>
      </c>
      <c r="B86" s="28" t="inlineStr">
        <is>
          <t>BOARD</t>
        </is>
      </c>
      <c r="C86" s="28" t="inlineStr">
        <is>
          <t>DX3000, ADX4000W</t>
        </is>
      </c>
      <c r="D86" s="29" t="inlineStr">
        <is>
          <t>3 PIN 커넥터
[DX3000, ADX4000W]</t>
        </is>
      </c>
      <c r="E86" s="28" t="n"/>
      <c r="F86" s="30" t="n"/>
      <c r="G86" s="29">
        <f>IFERROR("["&amp;INDEX(고압진공_재고현황!$A:$A,MATCH($D86,고압진공_재고현황!$E:$E,0))&amp;"] "&amp;INDEX(고압진공_재고현황!$D:$D,MATCH($D86,고압진공_재고현황!$E:$E,0)),IFERROR("[조립] "&amp;INDEX(조립자재_재고현황!$D:$D,MATCH($D86,조립자재_재고현황!$E:$E,0)),""))</f>
        <v/>
      </c>
      <c r="H86" s="31">
        <f>IF(G86="","",COUNTIF($G$2:G86,"?*"))</f>
        <v/>
      </c>
    </row>
    <row r="87" ht="48" customHeight="1">
      <c r="A87" s="48" t="inlineStr">
        <is>
          <t>창고</t>
        </is>
      </c>
      <c r="B87" s="28" t="inlineStr">
        <is>
          <t>BOARD</t>
        </is>
      </c>
      <c r="C87" s="28" t="inlineStr">
        <is>
          <t>DX3000,ADX4000W COCOON,ADX6000</t>
        </is>
      </c>
      <c r="D87" s="29" t="inlineStr">
        <is>
          <t>4 PIN 커넥터
[DX3000,ADX4000W COCOON,ADX6000]</t>
        </is>
      </c>
      <c r="E87" s="28" t="n"/>
      <c r="F87" s="30" t="n"/>
      <c r="G87" s="29">
        <f>IFERROR("["&amp;INDEX(고압진공_재고현황!$A:$A,MATCH($D87,고압진공_재고현황!$E:$E,0))&amp;"] "&amp;INDEX(고압진공_재고현황!$D:$D,MATCH($D87,고압진공_재고현황!$E:$E,0)),IFERROR("[조립] "&amp;INDEX(조립자재_재고현황!$D:$D,MATCH($D87,조립자재_재고현황!$E:$E,0)),""))</f>
        <v/>
      </c>
      <c r="H87" s="31">
        <f>IF(G87="","",COUNTIF($G$2:G87,"?*"))</f>
        <v/>
      </c>
    </row>
    <row r="88" ht="48" customHeight="1">
      <c r="A88" s="48" t="inlineStr">
        <is>
          <t>창고</t>
        </is>
      </c>
      <c r="B88" s="28" t="inlineStr">
        <is>
          <t>BOARD</t>
        </is>
      </c>
      <c r="C88" s="28" t="inlineStr">
        <is>
          <t>DX3000, ADX4000W</t>
        </is>
      </c>
      <c r="D88" s="29" t="inlineStr">
        <is>
          <t>7핀 B/D
[DX3000, ADX4000W]</t>
        </is>
      </c>
      <c r="E88" s="28" t="inlineStr">
        <is>
          <t>한샘디지텍</t>
        </is>
      </c>
      <c r="F88" s="30" t="n"/>
      <c r="G88" s="29">
        <f>IFERROR("["&amp;INDEX(고압진공_재고현황!$A:$A,MATCH($D88,고압진공_재고현황!$E:$E,0))&amp;"] "&amp;INDEX(고압진공_재고현황!$D:$D,MATCH($D88,고압진공_재고현황!$E:$E,0)),IFERROR("[조립] "&amp;INDEX(조립자재_재고현황!$D:$D,MATCH($D88,조립자재_재고현황!$E:$E,0)),""))</f>
        <v/>
      </c>
      <c r="H88" s="31">
        <f>IF(G88="","",COUNTIF($G$2:G88,"?*"))</f>
        <v/>
      </c>
    </row>
    <row r="89" ht="48" customHeight="1">
      <c r="A89" s="48" t="inlineStr">
        <is>
          <t>창고</t>
        </is>
      </c>
      <c r="B89" s="28" t="inlineStr">
        <is>
          <t>BOARD</t>
        </is>
      </c>
      <c r="C89" s="28" t="inlineStr">
        <is>
          <t>DX3000</t>
        </is>
      </c>
      <c r="D89" s="29" t="inlineStr">
        <is>
          <t>9핀 B/D - TFT
[DX3000]</t>
        </is>
      </c>
      <c r="E89" s="28" t="inlineStr">
        <is>
          <t>HLP</t>
        </is>
      </c>
      <c r="F89" s="30" t="n"/>
      <c r="G89" s="29">
        <f>IFERROR("["&amp;INDEX(고압진공_재고현황!$A:$A,MATCH($D89,고압진공_재고현황!$E:$E,0))&amp;"] "&amp;INDEX(고압진공_재고현황!$D:$D,MATCH($D89,고압진공_재고현황!$E:$E,0)),IFERROR("[조립] "&amp;INDEX(조립자재_재고현황!$D:$D,MATCH($D89,조립자재_재고현황!$E:$E,0)),""))</f>
        <v/>
      </c>
      <c r="H89" s="31">
        <f>IF(G89="","",COUNTIF($G$2:G89,"?*"))</f>
        <v/>
      </c>
    </row>
    <row r="90" ht="48" customHeight="1">
      <c r="A90" s="48" t="inlineStr">
        <is>
          <t>창고</t>
        </is>
      </c>
      <c r="B90" s="28" t="inlineStr">
        <is>
          <t>BOARD</t>
        </is>
      </c>
      <c r="C90" s="28" t="inlineStr">
        <is>
          <t>COCOON</t>
        </is>
      </c>
      <c r="D90" s="29" t="inlineStr">
        <is>
          <t>8핀 B/D
[COCOON]</t>
        </is>
      </c>
      <c r="E90" s="28" t="inlineStr">
        <is>
          <t>한샘디지텍</t>
        </is>
      </c>
      <c r="F90" s="30" t="n"/>
      <c r="G90" s="29">
        <f>IFERROR("["&amp;INDEX(고압진공_재고현황!$A:$A,MATCH($D90,고압진공_재고현황!$E:$E,0))&amp;"] "&amp;INDEX(고압진공_재고현황!$D:$D,MATCH($D90,고압진공_재고현황!$E:$E,0)),IFERROR("[조립] "&amp;INDEX(조립자재_재고현황!$D:$D,MATCH($D90,조립자재_재고현황!$E:$E,0)),""))</f>
        <v/>
      </c>
      <c r="H90" s="31">
        <f>IF(G90="","",COUNTIF($G$2:G90,"?*"))</f>
        <v/>
      </c>
    </row>
    <row r="91" ht="48" customHeight="1">
      <c r="A91" s="48" t="inlineStr">
        <is>
          <t>창고</t>
        </is>
      </c>
      <c r="B91" s="28" t="inlineStr">
        <is>
          <t>BOARD</t>
        </is>
      </c>
      <c r="C91" s="28" t="inlineStr">
        <is>
          <t>SOLO</t>
        </is>
      </c>
      <c r="D91" s="29" t="inlineStr">
        <is>
          <t>9핀 B/D
[SOLO]</t>
        </is>
      </c>
      <c r="E91" s="28" t="inlineStr">
        <is>
          <t>한샘디지텍</t>
        </is>
      </c>
      <c r="F91" s="30" t="n"/>
      <c r="G91" s="29">
        <f>IFERROR("["&amp;INDEX(고압진공_재고현황!$A:$A,MATCH($D91,고압진공_재고현황!$E:$E,0))&amp;"] "&amp;INDEX(고압진공_재고현황!$D:$D,MATCH($D91,고압진공_재고현황!$E:$E,0)),IFERROR("[조립] "&amp;INDEX(조립자재_재고현황!$D:$D,MATCH($D91,조립자재_재고현황!$E:$E,0)),""))</f>
        <v/>
      </c>
      <c r="H91" s="31">
        <f>IF(G91="","",COUNTIF($G$2:G91,"?*"))</f>
        <v/>
      </c>
    </row>
    <row r="92" ht="48" customHeight="1">
      <c r="A92" s="48" t="inlineStr">
        <is>
          <t>창고</t>
        </is>
      </c>
      <c r="B92" s="28" t="inlineStr">
        <is>
          <t>BOARD</t>
        </is>
      </c>
      <c r="C92" s="28" t="inlineStr">
        <is>
          <t>ADX6000</t>
        </is>
      </c>
      <c r="D92" s="29" t="inlineStr">
        <is>
          <t>10핀 B/D
[ADX6000]</t>
        </is>
      </c>
      <c r="E92" s="28" t="inlineStr">
        <is>
          <t>한샘디지텍</t>
        </is>
      </c>
      <c r="F92" s="30" t="n"/>
      <c r="G92" s="29">
        <f>IFERROR("["&amp;INDEX(고압진공_재고현황!$A:$A,MATCH($D92,고압진공_재고현황!$E:$E,0))&amp;"] "&amp;INDEX(고압진공_재고현황!$D:$D,MATCH($D92,고압진공_재고현황!$E:$E,0)),IFERROR("[조립] "&amp;INDEX(조립자재_재고현황!$D:$D,MATCH($D92,조립자재_재고현황!$E:$E,0)),""))</f>
        <v/>
      </c>
      <c r="H92" s="31">
        <f>IF(G92="","",COUNTIF($G$2:G92,"?*"))</f>
        <v/>
      </c>
    </row>
    <row r="93" ht="48" customHeight="1">
      <c r="A93" s="48" t="inlineStr">
        <is>
          <t>창고</t>
        </is>
      </c>
      <c r="B93" s="28" t="inlineStr">
        <is>
          <t>PCB</t>
        </is>
      </c>
      <c r="C93" s="28" t="inlineStr">
        <is>
          <t>DX3000</t>
        </is>
      </c>
      <c r="D93" s="29" t="inlineStr">
        <is>
          <t>CTR B/D (유럽용)
[DX3000]</t>
        </is>
      </c>
      <c r="E93" s="28" t="inlineStr">
        <is>
          <t>HLP</t>
        </is>
      </c>
      <c r="F93" s="30" t="n"/>
      <c r="G93" s="29">
        <f>IFERROR("["&amp;INDEX(고압진공_재고현황!$A:$A,MATCH($D93,고압진공_재고현황!$E:$E,0))&amp;"] "&amp;INDEX(고압진공_재고현황!$D:$D,MATCH($D93,고압진공_재고현황!$E:$E,0)),IFERROR("[조립] "&amp;INDEX(조립자재_재고현황!$D:$D,MATCH($D93,조립자재_재고현황!$E:$E,0)),""))</f>
        <v/>
      </c>
      <c r="H93" s="31">
        <f>IF(G93="","",COUNTIF($G$2:G93,"?*"))</f>
        <v/>
      </c>
    </row>
    <row r="94" ht="48" customHeight="1">
      <c r="A94" s="48" t="inlineStr">
        <is>
          <t>창고</t>
        </is>
      </c>
      <c r="B94" s="28" t="inlineStr">
        <is>
          <t>PCB</t>
        </is>
      </c>
      <c r="C94" s="28" t="inlineStr">
        <is>
          <t>DX3000</t>
        </is>
      </c>
      <c r="D94" s="29" t="inlineStr">
        <is>
          <t>CTR B/D (미국용)
[DX3000]</t>
        </is>
      </c>
      <c r="E94" s="28" t="inlineStr">
        <is>
          <t>HLP</t>
        </is>
      </c>
      <c r="F94" s="30" t="n"/>
      <c r="G94" s="29">
        <f>IFERROR("["&amp;INDEX(고압진공_재고현황!$A:$A,MATCH($D94,고압진공_재고현황!$E:$E,0))&amp;"] "&amp;INDEX(고압진공_재고현황!$D:$D,MATCH($D94,고압진공_재고현황!$E:$E,0)),IFERROR("[조립] "&amp;INDEX(조립자재_재고현황!$D:$D,MATCH($D94,조립자재_재고현황!$E:$E,0)),""))</f>
        <v/>
      </c>
      <c r="H94" s="31">
        <f>IF(G94="","",COUNTIF($G$2:G94,"?*"))</f>
        <v/>
      </c>
    </row>
    <row r="95" ht="48" customHeight="1">
      <c r="A95" s="48" t="inlineStr">
        <is>
          <t>창고</t>
        </is>
      </c>
      <c r="B95" s="28" t="inlineStr">
        <is>
          <t>PCB</t>
        </is>
      </c>
      <c r="C95" s="28" t="inlineStr">
        <is>
          <t>DX3000</t>
        </is>
      </c>
      <c r="D95" s="29" t="inlineStr">
        <is>
          <t>CTR B/D (TFT용) (V3.1.1)
[DX3000]</t>
        </is>
      </c>
      <c r="E95" s="28" t="inlineStr">
        <is>
          <t>HLP</t>
        </is>
      </c>
      <c r="F95" s="30" t="n"/>
      <c r="G95" s="29">
        <f>IFERROR("["&amp;INDEX(고압진공_재고현황!$A:$A,MATCH($D95,고압진공_재고현황!$E:$E,0))&amp;"] "&amp;INDEX(고압진공_재고현황!$D:$D,MATCH($D95,고압진공_재고현황!$E:$E,0)),IFERROR("[조립] "&amp;INDEX(조립자재_재고현황!$D:$D,MATCH($D95,조립자재_재고현황!$E:$E,0)),""))</f>
        <v/>
      </c>
      <c r="H95" s="31">
        <f>IF(G95="","",COUNTIF($G$2:G95,"?*"))</f>
        <v/>
      </c>
    </row>
    <row r="96" ht="48" customHeight="1">
      <c r="A96" s="48" t="inlineStr">
        <is>
          <t>창고</t>
        </is>
      </c>
      <c r="B96" s="28" t="inlineStr">
        <is>
          <t>PCB</t>
        </is>
      </c>
      <c r="C96" s="28" t="inlineStr">
        <is>
          <t>DX3000</t>
        </is>
      </c>
      <c r="D96" s="29" t="inlineStr">
        <is>
          <t>LCD B/D (듀얼 슬라이드)
[DX3000]</t>
        </is>
      </c>
      <c r="E96" s="28" t="inlineStr">
        <is>
          <t>HLP</t>
        </is>
      </c>
      <c r="F96" s="30" t="n"/>
      <c r="G96" s="29">
        <f>IFERROR("["&amp;INDEX(고압진공_재고현황!$A:$A,MATCH($D96,고압진공_재고현황!$E:$E,0))&amp;"] "&amp;INDEX(고압진공_재고현황!$D:$D,MATCH($D96,고압진공_재고현황!$E:$E,0)),IFERROR("[조립] "&amp;INDEX(조립자재_재고현황!$D:$D,MATCH($D96,조립자재_재고현황!$E:$E,0)),""))</f>
        <v/>
      </c>
      <c r="H96" s="31">
        <f>IF(G96="","",COUNTIF($G$2:G96,"?*"))</f>
        <v/>
      </c>
    </row>
    <row r="97" ht="48" customHeight="1">
      <c r="A97" s="48" t="inlineStr">
        <is>
          <t>창고</t>
        </is>
      </c>
      <c r="B97" s="28" t="inlineStr">
        <is>
          <t>PCB</t>
        </is>
      </c>
      <c r="C97" s="28" t="inlineStr">
        <is>
          <t>DX3000</t>
        </is>
      </c>
      <c r="D97" s="29" t="inlineStr">
        <is>
          <t>TFT LCD B/D (듀얼 슬라이드) (V3.0.1)
[DX3000]</t>
        </is>
      </c>
      <c r="E97" s="28" t="inlineStr">
        <is>
          <t>HLP</t>
        </is>
      </c>
      <c r="F97" s="30" t="n"/>
      <c r="G97" s="29">
        <f>IFERROR("["&amp;INDEX(고압진공_재고현황!$A:$A,MATCH($D97,고압진공_재고현황!$E:$E,0))&amp;"] "&amp;INDEX(고압진공_재고현황!$D:$D,MATCH($D97,고압진공_재고현황!$E:$E,0)),IFERROR("[조립] "&amp;INDEX(조립자재_재고현황!$D:$D,MATCH($D97,조립자재_재고현황!$E:$E,0)),""))</f>
        <v/>
      </c>
      <c r="H97" s="31">
        <f>IF(G97="","",COUNTIF($G$2:G97,"?*"))</f>
        <v/>
      </c>
    </row>
    <row r="98" ht="48" customHeight="1">
      <c r="A98" s="48" t="inlineStr">
        <is>
          <t>창고</t>
        </is>
      </c>
      <c r="B98" s="28" t="inlineStr">
        <is>
          <t>PCB</t>
        </is>
      </c>
      <c r="C98" s="28" t="inlineStr">
        <is>
          <t>DX3000</t>
        </is>
      </c>
      <c r="D98" s="29" t="inlineStr">
        <is>
          <t>LCD B/D (사파리) -원버턴타입
[DX3000]</t>
        </is>
      </c>
      <c r="E98" s="28" t="inlineStr">
        <is>
          <t>HLP</t>
        </is>
      </c>
      <c r="F98" s="30" t="n"/>
      <c r="G98" s="29">
        <f>IFERROR("["&amp;INDEX(고압진공_재고현황!$A:$A,MATCH($D98,고압진공_재고현황!$E:$E,0))&amp;"] "&amp;INDEX(고압진공_재고현황!$D:$D,MATCH($D98,고압진공_재고현황!$E:$E,0)),IFERROR("[조립] "&amp;INDEX(조립자재_재고현황!$D:$D,MATCH($D98,조립자재_재고현황!$E:$E,0)),""))</f>
        <v/>
      </c>
      <c r="H98" s="31">
        <f>IF(G98="","",COUNTIF($G$2:G98,"?*"))</f>
        <v/>
      </c>
    </row>
    <row r="99" ht="48" customHeight="1">
      <c r="A99" s="48" t="inlineStr">
        <is>
          <t>창고</t>
        </is>
      </c>
      <c r="B99" s="28" t="inlineStr">
        <is>
          <t>PCB</t>
        </is>
      </c>
      <c r="C99" s="28" t="inlineStr">
        <is>
          <t>DX3000</t>
        </is>
      </c>
      <c r="D99" s="29" t="inlineStr">
        <is>
          <t>OLED B/D (듀얼)
[DX3000]</t>
        </is>
      </c>
      <c r="E99" s="28" t="inlineStr">
        <is>
          <t>HLP</t>
        </is>
      </c>
      <c r="F99" s="30" t="n"/>
      <c r="G99" s="29">
        <f>IFERROR("["&amp;INDEX(고압진공_재고현황!$A:$A,MATCH($D99,고압진공_재고현황!$E:$E,0))&amp;"] "&amp;INDEX(고압진공_재고현황!$D:$D,MATCH($D99,고압진공_재고현황!$E:$E,0)),IFERROR("[조립] "&amp;INDEX(조립자재_재고현황!$D:$D,MATCH($D99,조립자재_재고현황!$E:$E,0)),""))</f>
        <v/>
      </c>
      <c r="H99" s="31">
        <f>IF(G99="","",COUNTIF($G$2:G99,"?*"))</f>
        <v/>
      </c>
    </row>
    <row r="100" ht="48" customHeight="1">
      <c r="A100" s="48" t="inlineStr">
        <is>
          <t>창고</t>
        </is>
      </c>
      <c r="B100" s="28" t="inlineStr">
        <is>
          <t>PCB</t>
        </is>
      </c>
      <c r="C100" s="28" t="inlineStr">
        <is>
          <t>DX3000</t>
        </is>
      </c>
      <c r="D100" s="29" t="inlineStr">
        <is>
          <t>EX B/D (듀얼) (좌)
[DX3000]</t>
        </is>
      </c>
      <c r="E100" s="28" t="inlineStr">
        <is>
          <t>HLP</t>
        </is>
      </c>
      <c r="F100" s="30" t="n"/>
      <c r="G100" s="29">
        <f>IFERROR("["&amp;INDEX(고압진공_재고현황!$A:$A,MATCH($D100,고압진공_재고현황!$E:$E,0))&amp;"] "&amp;INDEX(고압진공_재고현황!$D:$D,MATCH($D100,고압진공_재고현황!$E:$E,0)),IFERROR("[조립] "&amp;INDEX(조립자재_재고현황!$D:$D,MATCH($D100,조립자재_재고현황!$E:$E,0)),""))</f>
        <v/>
      </c>
      <c r="H100" s="31">
        <f>IF(G100="","",COUNTIF($G$2:G100,"?*"))</f>
        <v/>
      </c>
    </row>
    <row r="101" ht="48" customHeight="1">
      <c r="A101" s="48" t="inlineStr">
        <is>
          <t>창고</t>
        </is>
      </c>
      <c r="B101" s="28" t="inlineStr">
        <is>
          <t>PCB</t>
        </is>
      </c>
      <c r="C101" s="28" t="inlineStr">
        <is>
          <t>DX3000</t>
        </is>
      </c>
      <c r="D101" s="29" t="inlineStr">
        <is>
          <t>EX B/D (듀얼) (우)
[DX3000]</t>
        </is>
      </c>
      <c r="E101" s="28" t="inlineStr">
        <is>
          <t>HLP</t>
        </is>
      </c>
      <c r="F101" s="30" t="n"/>
      <c r="G101" s="29">
        <f>IFERROR("["&amp;INDEX(고압진공_재고현황!$A:$A,MATCH($D101,고압진공_재고현황!$E:$E,0))&amp;"] "&amp;INDEX(고압진공_재고현황!$D:$D,MATCH($D101,고압진공_재고현황!$E:$E,0)),IFERROR("[조립] "&amp;INDEX(조립자재_재고현황!$D:$D,MATCH($D101,조립자재_재고현황!$E:$E,0)),""))</f>
        <v/>
      </c>
      <c r="H101" s="31">
        <f>IF(G101="","",COUNTIF($G$2:G101,"?*"))</f>
        <v/>
      </c>
    </row>
    <row r="102" ht="48" customHeight="1">
      <c r="A102" s="48" t="inlineStr">
        <is>
          <t>창고</t>
        </is>
      </c>
      <c r="B102" s="28" t="inlineStr">
        <is>
          <t>PCB</t>
        </is>
      </c>
      <c r="C102" s="28" t="inlineStr">
        <is>
          <t>DX3000</t>
        </is>
      </c>
      <c r="D102" s="29" t="inlineStr">
        <is>
          <t>EX B/D 사파리 (원버턴)
[DX3000]</t>
        </is>
      </c>
      <c r="E102" s="28" t="inlineStr">
        <is>
          <t>HLP</t>
        </is>
      </c>
      <c r="F102" s="30" t="n"/>
      <c r="G102" s="29">
        <f>IFERROR("["&amp;INDEX(고압진공_재고현황!$A:$A,MATCH($D102,고압진공_재고현황!$E:$E,0))&amp;"] "&amp;INDEX(고압진공_재고현황!$D:$D,MATCH($D102,고압진공_재고현황!$E:$E,0)),IFERROR("[조립] "&amp;INDEX(조립자재_재고현황!$D:$D,MATCH($D102,조립자재_재고현황!$E:$E,0)),""))</f>
        <v/>
      </c>
      <c r="H102" s="31">
        <f>IF(G102="","",COUNTIF($G$2:G102,"?*"))</f>
        <v/>
      </c>
    </row>
    <row r="103" ht="48" customHeight="1">
      <c r="A103" s="48" t="inlineStr">
        <is>
          <t>창고</t>
        </is>
      </c>
      <c r="B103" s="28" t="inlineStr">
        <is>
          <t>PCB</t>
        </is>
      </c>
      <c r="C103" s="28" t="inlineStr">
        <is>
          <t>DX3000</t>
        </is>
      </c>
      <c r="D103" s="29" t="inlineStr">
        <is>
          <t>RELAY 쪽 보드
[DX3000]</t>
        </is>
      </c>
      <c r="E103" s="28" t="inlineStr">
        <is>
          <t>HLP</t>
        </is>
      </c>
      <c r="F103" s="30" t="n"/>
      <c r="G103" s="29">
        <f>IFERROR("["&amp;INDEX(고압진공_재고현황!$A:$A,MATCH($D103,고압진공_재고현황!$E:$E,0))&amp;"] "&amp;INDEX(고압진공_재고현황!$D:$D,MATCH($D103,고압진공_재고현황!$E:$E,0)),IFERROR("[조립] "&amp;INDEX(조립자재_재고현황!$D:$D,MATCH($D103,조립자재_재고현황!$E:$E,0)),""))</f>
        <v/>
      </c>
      <c r="H103" s="31">
        <f>IF(G103="","",COUNTIF($G$2:G103,"?*"))</f>
        <v/>
      </c>
    </row>
    <row r="104" ht="48" customHeight="1">
      <c r="A104" s="48" t="inlineStr">
        <is>
          <t>창고</t>
        </is>
      </c>
      <c r="B104" s="28" t="inlineStr">
        <is>
          <t>PCB</t>
        </is>
      </c>
      <c r="C104" s="28" t="inlineStr">
        <is>
          <t>DX3000</t>
        </is>
      </c>
      <c r="D104" s="29" t="inlineStr">
        <is>
          <t>AIM LED 쪽 보드 (V3.0.1)
[DX3000]</t>
        </is>
      </c>
      <c r="E104" s="28" t="inlineStr">
        <is>
          <t>HLP</t>
        </is>
      </c>
      <c r="F104" s="30" t="n"/>
      <c r="G104" s="29">
        <f>IFERROR("["&amp;INDEX(고압진공_재고현황!$A:$A,MATCH($D104,고압진공_재고현황!$E:$E,0))&amp;"] "&amp;INDEX(고압진공_재고현황!$D:$D,MATCH($D104,고압진공_재고현황!$E:$E,0)),IFERROR("[조립] "&amp;INDEX(조립자재_재고현황!$D:$D,MATCH($D104,조립자재_재고현황!$E:$E,0)),""))</f>
        <v/>
      </c>
      <c r="H104" s="31">
        <f>IF(G104="","",COUNTIF($G$2:G104,"?*"))</f>
        <v/>
      </c>
    </row>
    <row r="105" ht="48" customHeight="1">
      <c r="A105" s="48" t="inlineStr">
        <is>
          <t>창고</t>
        </is>
      </c>
      <c r="B105" s="28" t="inlineStr">
        <is>
          <t>PANEL</t>
        </is>
      </c>
      <c r="C105" s="28" t="inlineStr">
        <is>
          <t>DX3000</t>
        </is>
      </c>
      <c r="D105" s="29" t="inlineStr">
        <is>
          <t>LCD PANEL (2.35"LCD)
[DX3000]</t>
        </is>
      </c>
      <c r="E105" s="28" t="inlineStr">
        <is>
          <t>HLP</t>
        </is>
      </c>
      <c r="F105" s="30" t="n"/>
      <c r="G105" s="29">
        <f>IFERROR("["&amp;INDEX(고압진공_재고현황!$A:$A,MATCH($D105,고압진공_재고현황!$E:$E,0))&amp;"] "&amp;INDEX(고압진공_재고현황!$D:$D,MATCH($D105,고압진공_재고현황!$E:$E,0)),IFERROR("[조립] "&amp;INDEX(조립자재_재고현황!$D:$D,MATCH($D105,조립자재_재고현황!$E:$E,0)),""))</f>
        <v/>
      </c>
      <c r="H105" s="31">
        <f>IF(G105="","",COUNTIF($G$2:G105,"?*"))</f>
        <v/>
      </c>
    </row>
    <row r="106" ht="48" customHeight="1">
      <c r="A106" s="48" t="inlineStr">
        <is>
          <t>창고</t>
        </is>
      </c>
      <c r="B106" s="28" t="inlineStr">
        <is>
          <t>PANEL</t>
        </is>
      </c>
      <c r="C106" s="28" t="inlineStr">
        <is>
          <t>DX3000, SOLO</t>
        </is>
      </c>
      <c r="D106" s="29" t="inlineStr">
        <is>
          <t>TFT LCD PANEL (2.4"LCD - CT1715N241A)
[DX3000, SOLO]</t>
        </is>
      </c>
      <c r="E106" s="28" t="inlineStr">
        <is>
          <t>클리어디스플레이</t>
        </is>
      </c>
      <c r="F106" s="30" t="n"/>
      <c r="G106" s="29">
        <f>IFERROR("["&amp;INDEX(고압진공_재고현황!$A:$A,MATCH($D106,고압진공_재고현황!$E:$E,0))&amp;"] "&amp;INDEX(고압진공_재고현황!$D:$D,MATCH($D106,고압진공_재고현황!$E:$E,0)),IFERROR("[조립] "&amp;INDEX(조립자재_재고현황!$D:$D,MATCH($D106,조립자재_재고현황!$E:$E,0)),""))</f>
        <v/>
      </c>
      <c r="H106" s="31">
        <f>IF(G106="","",COUNTIF($G$2:G106,"?*"))</f>
        <v/>
      </c>
    </row>
    <row r="107" ht="48" customHeight="1">
      <c r="A107" s="48" t="inlineStr">
        <is>
          <t>창고</t>
        </is>
      </c>
      <c r="B107" s="28" t="inlineStr">
        <is>
          <t>CABLE</t>
        </is>
      </c>
      <c r="C107" s="28" t="inlineStr">
        <is>
          <t>DX3000</t>
        </is>
      </c>
      <c r="D107" s="29" t="inlineStr">
        <is>
          <t>하네스 1번 (FFC 20핀)
[DX3000]</t>
        </is>
      </c>
      <c r="E107" s="28" t="inlineStr">
        <is>
          <t>HLP</t>
        </is>
      </c>
      <c r="F107" s="30" t="n"/>
      <c r="G107" s="29">
        <f>IFERROR("["&amp;INDEX(고압진공_재고현황!$A:$A,MATCH($D107,고압진공_재고현황!$E:$E,0))&amp;"] "&amp;INDEX(고압진공_재고현황!$D:$D,MATCH($D107,고압진공_재고현황!$E:$E,0)),IFERROR("[조립] "&amp;INDEX(조립자재_재고현황!$D:$D,MATCH($D107,조립자재_재고현황!$E:$E,0)),""))</f>
        <v/>
      </c>
      <c r="H107" s="31">
        <f>IF(G107="","",COUNTIF($G$2:G107,"?*"))</f>
        <v/>
      </c>
    </row>
    <row r="108" ht="48" customHeight="1">
      <c r="A108" s="48" t="inlineStr">
        <is>
          <t>창고</t>
        </is>
      </c>
      <c r="B108" s="28" t="inlineStr">
        <is>
          <t>CABLE</t>
        </is>
      </c>
      <c r="C108" s="28" t="inlineStr">
        <is>
          <t>DX3000</t>
        </is>
      </c>
      <c r="D108" s="29" t="inlineStr">
        <is>
          <t>하네스 4번 (후면 전원 Wire - DC 잭)
[DX3000]</t>
        </is>
      </c>
      <c r="E108" s="28" t="inlineStr">
        <is>
          <t>HLP</t>
        </is>
      </c>
      <c r="F108" s="30" t="n"/>
      <c r="G108" s="29">
        <f>IFERROR("["&amp;INDEX(고압진공_재고현황!$A:$A,MATCH($D108,고압진공_재고현황!$E:$E,0))&amp;"] "&amp;INDEX(고압진공_재고현황!$D:$D,MATCH($D108,고압진공_재고현황!$E:$E,0)),IFERROR("[조립] "&amp;INDEX(조립자재_재고현황!$D:$D,MATCH($D108,조립자재_재고현황!$E:$E,0)),""))</f>
        <v/>
      </c>
      <c r="H108" s="31">
        <f>IF(G108="","",COUNTIF($G$2:G108,"?*"))</f>
        <v/>
      </c>
    </row>
    <row r="109" ht="48" customHeight="1">
      <c r="A109" s="48" t="inlineStr">
        <is>
          <t>창고</t>
        </is>
      </c>
      <c r="B109" s="28" t="inlineStr">
        <is>
          <t>CABLE</t>
        </is>
      </c>
      <c r="C109" s="28" t="inlineStr">
        <is>
          <t>DX3000</t>
        </is>
      </c>
      <c r="D109" s="29" t="inlineStr">
        <is>
          <t>하네스 5번 (EXP KEY 4핀 케이블)
[DX3000]</t>
        </is>
      </c>
      <c r="E109" s="28" t="inlineStr">
        <is>
          <t>HLP</t>
        </is>
      </c>
      <c r="F109" s="30" t="n"/>
      <c r="G109" s="29">
        <f>IFERROR("["&amp;INDEX(고압진공_재고현황!$A:$A,MATCH($D109,고압진공_재고현황!$E:$E,0))&amp;"] "&amp;INDEX(고압진공_재고현황!$D:$D,MATCH($D109,고압진공_재고현황!$E:$E,0)),IFERROR("[조립] "&amp;INDEX(조립자재_재고현황!$D:$D,MATCH($D109,조립자재_재고현황!$E:$E,0)),""))</f>
        <v/>
      </c>
      <c r="H109" s="31">
        <f>IF(G109="","",COUNTIF($G$2:G109,"?*"))</f>
        <v/>
      </c>
    </row>
    <row r="110" ht="48" customHeight="1">
      <c r="A110" s="48" t="inlineStr">
        <is>
          <t>창고</t>
        </is>
      </c>
      <c r="B110" s="28" t="inlineStr">
        <is>
          <t>CABLE</t>
        </is>
      </c>
      <c r="C110" s="28" t="inlineStr">
        <is>
          <t>DX3000</t>
        </is>
      </c>
      <c r="D110" s="29" t="inlineStr">
        <is>
          <t>하네스 7번 (마그네틱보드 연결 4핀)
[DX3000]</t>
        </is>
      </c>
      <c r="E110" s="28" t="inlineStr">
        <is>
          <t>HLP</t>
        </is>
      </c>
      <c r="F110" s="30" t="n"/>
      <c r="G110" s="29">
        <f>IFERROR("["&amp;INDEX(고압진공_재고현황!$A:$A,MATCH($D110,고압진공_재고현황!$E:$E,0))&amp;"] "&amp;INDEX(고압진공_재고현황!$D:$D,MATCH($D110,고압진공_재고현황!$E:$E,0)),IFERROR("[조립] "&amp;INDEX(조립자재_재고현황!$D:$D,MATCH($D110,조립자재_재고현황!$E:$E,0)),""))</f>
        <v/>
      </c>
      <c r="H110" s="31">
        <f>IF(G110="","",COUNTIF($G$2:G110,"?*"))</f>
        <v/>
      </c>
    </row>
    <row r="111" ht="48" customHeight="1">
      <c r="A111" s="48" t="inlineStr">
        <is>
          <t>창고</t>
        </is>
      </c>
      <c r="B111" s="28" t="inlineStr">
        <is>
          <t>CABLE</t>
        </is>
      </c>
      <c r="C111" s="28" t="inlineStr">
        <is>
          <t>DX3000</t>
        </is>
      </c>
      <c r="D111" s="29" t="inlineStr">
        <is>
          <t>하네스 8번 (CJ4003 잭 (관전류 짹 + 2핀케이블))
[DX3000]</t>
        </is>
      </c>
      <c r="E111" s="28" t="inlineStr">
        <is>
          <t>HLP</t>
        </is>
      </c>
      <c r="F111" s="30" t="n"/>
      <c r="G111" s="29">
        <f>IFERROR("["&amp;INDEX(고압진공_재고현황!$A:$A,MATCH($D111,고압진공_재고현황!$E:$E,0))&amp;"] "&amp;INDEX(고압진공_재고현황!$D:$D,MATCH($D111,고압진공_재고현황!$E:$E,0)),IFERROR("[조립] "&amp;INDEX(조립자재_재고현황!$D:$D,MATCH($D111,조립자재_재고현황!$E:$E,0)),""))</f>
        <v/>
      </c>
      <c r="H111" s="31">
        <f>IF(G111="","",COUNTIF($G$2:G111,"?*"))</f>
        <v/>
      </c>
    </row>
    <row r="112" ht="48" customHeight="1">
      <c r="A112" s="48" t="inlineStr">
        <is>
          <t>창고</t>
        </is>
      </c>
      <c r="B112" s="28" t="inlineStr">
        <is>
          <t>ABS 난연</t>
        </is>
      </c>
      <c r="C112" s="28" t="inlineStr">
        <is>
          <t>DX3000</t>
        </is>
      </c>
      <c r="D112" s="29" t="inlineStr">
        <is>
          <t>LCD GUIDE (ABS 난연 화이트)
[DX3000]</t>
        </is>
      </c>
      <c r="E112" s="28" t="inlineStr">
        <is>
          <t>천우</t>
        </is>
      </c>
      <c r="F112" s="30" t="n"/>
      <c r="G112" s="29">
        <f>IFERROR("["&amp;INDEX(고압진공_재고현황!$A:$A,MATCH($D112,고압진공_재고현황!$E:$E,0))&amp;"] "&amp;INDEX(고압진공_재고현황!$D:$D,MATCH($D112,고압진공_재고현황!$E:$E,0)),IFERROR("[조립] "&amp;INDEX(조립자재_재고현황!$D:$D,MATCH($D112,조립자재_재고현황!$E:$E,0)),""))</f>
        <v/>
      </c>
      <c r="H112" s="31">
        <f>IF(G112="","",COUNTIF($G$2:G112,"?*"))</f>
        <v/>
      </c>
    </row>
    <row r="113" ht="48" customHeight="1">
      <c r="A113" s="48" t="inlineStr">
        <is>
          <t>창고</t>
        </is>
      </c>
      <c r="B113" s="28" t="inlineStr">
        <is>
          <t>ABS 난연</t>
        </is>
      </c>
      <c r="C113" s="28" t="inlineStr">
        <is>
          <t>DX3000</t>
        </is>
      </c>
      <c r="D113" s="29" t="inlineStr">
        <is>
          <t>LCD GUIDE (사파리)
[DX3000]</t>
        </is>
      </c>
      <c r="E113" s="28" t="inlineStr">
        <is>
          <t>HLP</t>
        </is>
      </c>
      <c r="F113" s="30" t="n"/>
      <c r="G113" s="29">
        <f>IFERROR("["&amp;INDEX(고압진공_재고현황!$A:$A,MATCH($D113,고압진공_재고현황!$E:$E,0))&amp;"] "&amp;INDEX(고압진공_재고현황!$D:$D,MATCH($D113,고압진공_재고현황!$E:$E,0)),IFERROR("[조립] "&amp;INDEX(조립자재_재고현황!$D:$D,MATCH($D113,조립자재_재고현황!$E:$E,0)),""))</f>
        <v/>
      </c>
      <c r="H113" s="31">
        <f>IF(G113="","",COUNTIF($G$2:G113,"?*"))</f>
        <v/>
      </c>
    </row>
    <row r="114" ht="48" customHeight="1">
      <c r="A114" s="48" t="inlineStr">
        <is>
          <t>창고</t>
        </is>
      </c>
      <c r="B114" s="28" t="inlineStr">
        <is>
          <t>ABS 난연</t>
        </is>
      </c>
      <c r="C114" s="28" t="inlineStr">
        <is>
          <t>DX3000</t>
        </is>
      </c>
      <c r="D114" s="29" t="inlineStr">
        <is>
          <t>FRONT COVER (듀얼 슬라이드) (ABS 난연 블랙)
[DX3000]</t>
        </is>
      </c>
      <c r="E114" s="28" t="inlineStr">
        <is>
          <t>천우</t>
        </is>
      </c>
      <c r="F114" s="30" t="n"/>
      <c r="G114" s="29">
        <f>IFERROR("["&amp;INDEX(고압진공_재고현황!$A:$A,MATCH($D114,고압진공_재고현황!$E:$E,0))&amp;"] "&amp;INDEX(고압진공_재고현황!$D:$D,MATCH($D114,고압진공_재고현황!$E:$E,0)),IFERROR("[조립] "&amp;INDEX(조립자재_재고현황!$D:$D,MATCH($D114,조립자재_재고현황!$E:$E,0)),""))</f>
        <v/>
      </c>
      <c r="H114" s="31">
        <f>IF(G114="","",COUNTIF($G$2:G114,"?*"))</f>
        <v/>
      </c>
    </row>
    <row r="115" ht="48" customHeight="1">
      <c r="A115" s="48" t="inlineStr">
        <is>
          <t>창고</t>
        </is>
      </c>
      <c r="B115" s="28" t="inlineStr">
        <is>
          <t>ABS 난연</t>
        </is>
      </c>
      <c r="C115" s="28" t="inlineStr">
        <is>
          <t>DX3000</t>
        </is>
      </c>
      <c r="D115" s="29" t="inlineStr">
        <is>
          <t>FRONT COVER (듀얼 슬라이드) (ABS 난연 블랙 (홀작업 완료))
[DX3000]</t>
        </is>
      </c>
      <c r="E115" s="28" t="inlineStr">
        <is>
          <t>천우</t>
        </is>
      </c>
      <c r="F115" s="30" t="n"/>
      <c r="G115" s="29">
        <f>IFERROR("["&amp;INDEX(고압진공_재고현황!$A:$A,MATCH($D115,고압진공_재고현황!$E:$E,0))&amp;"] "&amp;INDEX(고압진공_재고현황!$D:$D,MATCH($D115,고압진공_재고현황!$E:$E,0)),IFERROR("[조립] "&amp;INDEX(조립자재_재고현황!$D:$D,MATCH($D115,조립자재_재고현황!$E:$E,0)),""))</f>
        <v/>
      </c>
      <c r="H115" s="31">
        <f>IF(G115="","",COUNTIF($G$2:G115,"?*"))</f>
        <v/>
      </c>
    </row>
    <row r="116" ht="48" customHeight="1">
      <c r="A116" s="48" t="inlineStr">
        <is>
          <t>창고</t>
        </is>
      </c>
      <c r="B116" s="28" t="inlineStr">
        <is>
          <t>ABS 난연</t>
        </is>
      </c>
      <c r="C116" s="28" t="inlineStr">
        <is>
          <t>DX3000</t>
        </is>
      </c>
      <c r="D116" s="29" t="inlineStr">
        <is>
          <t>FRONT COVER (듀얼 슬라이드) (ABS 난연 화이트)
[DX3000]</t>
        </is>
      </c>
      <c r="E116" s="28" t="inlineStr">
        <is>
          <t>천우</t>
        </is>
      </c>
      <c r="F116" s="30" t="n"/>
      <c r="G116" s="29">
        <f>IFERROR("["&amp;INDEX(고압진공_재고현황!$A:$A,MATCH($D116,고압진공_재고현황!$E:$E,0))&amp;"] "&amp;INDEX(고압진공_재고현황!$D:$D,MATCH($D116,고압진공_재고현황!$E:$E,0)),IFERROR("[조립] "&amp;INDEX(조립자재_재고현황!$D:$D,MATCH($D116,조립자재_재고현황!$E:$E,0)),""))</f>
        <v/>
      </c>
      <c r="H116" s="31">
        <f>IF(G116="","",COUNTIF($G$2:G116,"?*"))</f>
        <v/>
      </c>
    </row>
    <row r="117" ht="48" customHeight="1">
      <c r="A117" s="48" t="inlineStr">
        <is>
          <t>창고</t>
        </is>
      </c>
      <c r="B117" s="28" t="inlineStr">
        <is>
          <t>ABS 난연</t>
        </is>
      </c>
      <c r="C117" s="28" t="inlineStr">
        <is>
          <t>DX3000</t>
        </is>
      </c>
      <c r="D117" s="29" t="inlineStr">
        <is>
          <t>REAR COVER (ABS 난연 블랙)
[DX3000]</t>
        </is>
      </c>
      <c r="E117" s="28" t="inlineStr">
        <is>
          <t>천우</t>
        </is>
      </c>
      <c r="F117" s="30" t="n"/>
      <c r="G117" s="29">
        <f>IFERROR("["&amp;INDEX(고압진공_재고현황!$A:$A,MATCH($D117,고압진공_재고현황!$E:$E,0))&amp;"] "&amp;INDEX(고압진공_재고현황!$D:$D,MATCH($D117,고압진공_재고현황!$E:$E,0)),IFERROR("[조립] "&amp;INDEX(조립자재_재고현황!$D:$D,MATCH($D117,조립자재_재고현황!$E:$E,0)),""))</f>
        <v/>
      </c>
      <c r="H117" s="31">
        <f>IF(G117="","",COUNTIF($G$2:G117,"?*"))</f>
        <v/>
      </c>
    </row>
    <row r="118" ht="48" customHeight="1">
      <c r="A118" s="48" t="inlineStr">
        <is>
          <t>창고</t>
        </is>
      </c>
      <c r="B118" s="28" t="inlineStr">
        <is>
          <t>ABS 난연</t>
        </is>
      </c>
      <c r="C118" s="28" t="inlineStr">
        <is>
          <t>DX3000</t>
        </is>
      </c>
      <c r="D118" s="29" t="inlineStr">
        <is>
          <t>REAR COVER (ABS 난연 화이트)
[DX3000]</t>
        </is>
      </c>
      <c r="E118" s="28" t="inlineStr">
        <is>
          <t>천우</t>
        </is>
      </c>
      <c r="F118" s="30" t="n"/>
      <c r="G118" s="29">
        <f>IFERROR("["&amp;INDEX(고압진공_재고현황!$A:$A,MATCH($D118,고압진공_재고현황!$E:$E,0))&amp;"] "&amp;INDEX(고압진공_재고현황!$D:$D,MATCH($D118,고압진공_재고현황!$E:$E,0)),IFERROR("[조립] "&amp;INDEX(조립자재_재고현황!$D:$D,MATCH($D118,조립자재_재고현황!$E:$E,0)),""))</f>
        <v/>
      </c>
      <c r="H118" s="31">
        <f>IF(G118="","",COUNTIF($G$2:G118,"?*"))</f>
        <v/>
      </c>
    </row>
    <row r="119" ht="48" customHeight="1">
      <c r="A119" s="48" t="inlineStr">
        <is>
          <t>창고</t>
        </is>
      </c>
      <c r="B119" s="28" t="inlineStr">
        <is>
          <t>ABS 난연</t>
        </is>
      </c>
      <c r="C119" s="28" t="inlineStr">
        <is>
          <t>DX3000</t>
        </is>
      </c>
      <c r="D119" s="29" t="inlineStr">
        <is>
          <t>BATTERY COVER (ABS 난연 블랙 + 블랙)
[DX3000]</t>
        </is>
      </c>
      <c r="E119" s="28" t="inlineStr">
        <is>
          <t>천우</t>
        </is>
      </c>
      <c r="F119" s="30" t="n"/>
      <c r="G119" s="29">
        <f>IFERROR("["&amp;INDEX(고압진공_재고현황!$A:$A,MATCH($D119,고압진공_재고현황!$E:$E,0))&amp;"] "&amp;INDEX(고압진공_재고현황!$D:$D,MATCH($D119,고압진공_재고현황!$E:$E,0)),IFERROR("[조립] "&amp;INDEX(조립자재_재고현황!$D:$D,MATCH($D119,조립자재_재고현황!$E:$E,0)),""))</f>
        <v/>
      </c>
      <c r="H119" s="31">
        <f>IF(G119="","",COUNTIF($G$2:G119,"?*"))</f>
        <v/>
      </c>
    </row>
    <row r="120" ht="48" customHeight="1">
      <c r="A120" s="48" t="inlineStr">
        <is>
          <t>창고</t>
        </is>
      </c>
      <c r="B120" s="28" t="inlineStr">
        <is>
          <t>ABS 난연</t>
        </is>
      </c>
      <c r="C120" s="28" t="inlineStr">
        <is>
          <t>DX3000</t>
        </is>
      </c>
      <c r="D120" s="29" t="inlineStr">
        <is>
          <t>BATTERY COVER (ABS 난연 화이트)
[DX3000]</t>
        </is>
      </c>
      <c r="E120" s="28" t="inlineStr">
        <is>
          <t>천우</t>
        </is>
      </c>
      <c r="F120" s="30" t="n"/>
      <c r="G120" s="29">
        <f>IFERROR("["&amp;INDEX(고압진공_재고현황!$A:$A,MATCH($D120,고압진공_재고현황!$E:$E,0))&amp;"] "&amp;INDEX(고압진공_재고현황!$D:$D,MATCH($D120,고압진공_재고현황!$E:$E,0)),IFERROR("[조립] "&amp;INDEX(조립자재_재고현황!$D:$D,MATCH($D120,조립자재_재고현황!$E:$E,0)),""))</f>
        <v/>
      </c>
      <c r="H120" s="31">
        <f>IF(G120="","",COUNTIF($G$2:G120,"?*"))</f>
        <v/>
      </c>
    </row>
    <row r="121" ht="48" customHeight="1">
      <c r="A121" s="48" t="inlineStr">
        <is>
          <t>창고</t>
        </is>
      </c>
      <c r="B121" s="28" t="inlineStr">
        <is>
          <t>ABS 난연</t>
        </is>
      </c>
      <c r="C121" s="28" t="inlineStr">
        <is>
          <t>DX3000</t>
        </is>
      </c>
      <c r="D121" s="29" t="inlineStr">
        <is>
          <t>BATTERY COVER (ABS 난연 화이트 + 진한 회색)
[DX3000]</t>
        </is>
      </c>
      <c r="E121" s="28" t="inlineStr">
        <is>
          <t>천우</t>
        </is>
      </c>
      <c r="F121" s="30" t="n"/>
      <c r="G121" s="29">
        <f>IFERROR("["&amp;INDEX(고압진공_재고현황!$A:$A,MATCH($D121,고압진공_재고현황!$E:$E,0))&amp;"] "&amp;INDEX(고압진공_재고현황!$D:$D,MATCH($D121,고압진공_재고현황!$E:$E,0)),IFERROR("[조립] "&amp;INDEX(조립자재_재고현황!$D:$D,MATCH($D121,조립자재_재고현황!$E:$E,0)),""))</f>
        <v/>
      </c>
      <c r="H121" s="31">
        <f>IF(G121="","",COUNTIF($G$2:G121,"?*"))</f>
        <v/>
      </c>
    </row>
    <row r="122" ht="48" customHeight="1">
      <c r="A122" s="48" t="inlineStr">
        <is>
          <t>창고</t>
        </is>
      </c>
      <c r="B122" s="28" t="inlineStr">
        <is>
          <t>ABS 난연</t>
        </is>
      </c>
      <c r="C122" s="28" t="inlineStr">
        <is>
          <t>DX3000</t>
        </is>
      </c>
      <c r="D122" s="29" t="inlineStr">
        <is>
          <t>POWER BUTTON (ABS 난연 화이트 + 밝은 회색)
[DX3000]</t>
        </is>
      </c>
      <c r="E122" s="28" t="inlineStr">
        <is>
          <t>천우</t>
        </is>
      </c>
      <c r="F122" s="30" t="n"/>
      <c r="G122" s="29">
        <f>IFERROR("["&amp;INDEX(고압진공_재고현황!$A:$A,MATCH($D122,고압진공_재고현황!$E:$E,0))&amp;"] "&amp;INDEX(고압진공_재고현황!$D:$D,MATCH($D122,고압진공_재고현황!$E:$E,0)),IFERROR("[조립] "&amp;INDEX(조립자재_재고현황!$D:$D,MATCH($D122,조립자재_재고현황!$E:$E,0)),""))</f>
        <v/>
      </c>
      <c r="H122" s="31">
        <f>IF(G122="","",COUNTIF($G$2:G122,"?*"))</f>
        <v/>
      </c>
    </row>
    <row r="123" ht="48" customHeight="1">
      <c r="A123" s="48" t="inlineStr">
        <is>
          <t>창고</t>
        </is>
      </c>
      <c r="B123" s="28" t="inlineStr">
        <is>
          <t>ABS 난연</t>
        </is>
      </c>
      <c r="C123" s="28" t="inlineStr">
        <is>
          <t>DX3000</t>
        </is>
      </c>
      <c r="D123" s="29" t="inlineStr">
        <is>
          <t>EX BUTTON (ABS 난연 화이트 + 밝은 회색)
[DX3000]</t>
        </is>
      </c>
      <c r="E123" s="28" t="inlineStr">
        <is>
          <t>천우</t>
        </is>
      </c>
      <c r="F123" s="30" t="n"/>
      <c r="G123" s="29">
        <f>IFERROR("["&amp;INDEX(고압진공_재고현황!$A:$A,MATCH($D123,고압진공_재고현황!$E:$E,0))&amp;"] "&amp;INDEX(고압진공_재고현황!$D:$D,MATCH($D123,고압진공_재고현황!$E:$E,0)),IFERROR("[조립] "&amp;INDEX(조립자재_재고현황!$D:$D,MATCH($D123,조립자재_재고현황!$E:$E,0)),""))</f>
        <v/>
      </c>
      <c r="H123" s="31">
        <f>IF(G123="","",COUNTIF($G$2:G123,"?*"))</f>
        <v/>
      </c>
    </row>
    <row r="124" ht="48" customHeight="1">
      <c r="A124" s="48" t="inlineStr">
        <is>
          <t>창고</t>
        </is>
      </c>
      <c r="B124" s="28" t="inlineStr">
        <is>
          <t>ABS 난연</t>
        </is>
      </c>
      <c r="C124" s="28" t="inlineStr">
        <is>
          <t>DX3000</t>
        </is>
      </c>
      <c r="D124" s="29" t="inlineStr">
        <is>
          <t>NAVI KEY (ABS 난연 화이트 + 밝은 회색)
[DX3000]</t>
        </is>
      </c>
      <c r="E124" s="28" t="inlineStr">
        <is>
          <t>천우</t>
        </is>
      </c>
      <c r="F124" s="30" t="n"/>
      <c r="G124" s="29">
        <f>IFERROR("["&amp;INDEX(고압진공_재고현황!$A:$A,MATCH($D124,고압진공_재고현황!$E:$E,0))&amp;"] "&amp;INDEX(고압진공_재고현황!$D:$D,MATCH($D124,고압진공_재고현황!$E:$E,0)),IFERROR("[조립] "&amp;INDEX(조립자재_재고현황!$D:$D,MATCH($D124,조립자재_재고현황!$E:$E,0)),""))</f>
        <v/>
      </c>
      <c r="H124" s="31">
        <f>IF(G124="","",COUNTIF($G$2:G124,"?*"))</f>
        <v/>
      </c>
    </row>
    <row r="125" ht="48" customHeight="1">
      <c r="A125" s="48" t="inlineStr">
        <is>
          <t>창고</t>
        </is>
      </c>
      <c r="B125" s="28" t="inlineStr">
        <is>
          <t>ABS 난연</t>
        </is>
      </c>
      <c r="C125" s="28" t="inlineStr">
        <is>
          <t>DX3000</t>
        </is>
      </c>
      <c r="D125" s="29" t="inlineStr">
        <is>
          <t>DECO GUIDE (ABS 난연 화이트 + 진한 회색)
[DX3000]</t>
        </is>
      </c>
      <c r="E125" s="28" t="inlineStr">
        <is>
          <t>천우</t>
        </is>
      </c>
      <c r="F125" s="30" t="n"/>
      <c r="G125" s="29">
        <f>IFERROR("["&amp;INDEX(고압진공_재고현황!$A:$A,MATCH($D125,고압진공_재고현황!$E:$E,0))&amp;"] "&amp;INDEX(고압진공_재고현황!$D:$D,MATCH($D125,고압진공_재고현황!$E:$E,0)),IFERROR("[조립] "&amp;INDEX(조립자재_재고현황!$D:$D,MATCH($D125,조립자재_재고현황!$E:$E,0)),""))</f>
        <v/>
      </c>
      <c r="H125" s="31">
        <f>IF(G125="","",COUNTIF($G$2:G125,"?*"))</f>
        <v/>
      </c>
    </row>
    <row r="126" ht="48" customHeight="1">
      <c r="A126" s="48" t="inlineStr">
        <is>
          <t>창고</t>
        </is>
      </c>
      <c r="B126" s="28" t="inlineStr">
        <is>
          <t>ABS 난연</t>
        </is>
      </c>
      <c r="C126" s="28" t="inlineStr">
        <is>
          <t>DX3000</t>
        </is>
      </c>
      <c r="D126" s="29" t="inlineStr">
        <is>
          <t>20cm CONE (ABS 난연 블랙 + 블랙 무광)
[DX3000]</t>
        </is>
      </c>
      <c r="E126" s="28" t="inlineStr">
        <is>
          <t>천우</t>
        </is>
      </c>
      <c r="F126" s="30" t="n"/>
      <c r="G126" s="29">
        <f>IFERROR("["&amp;INDEX(고압진공_재고현황!$A:$A,MATCH($D126,고압진공_재고현황!$E:$E,0))&amp;"] "&amp;INDEX(고압진공_재고현황!$D:$D,MATCH($D126,고압진공_재고현황!$E:$E,0)),IFERROR("[조립] "&amp;INDEX(조립자재_재고현황!$D:$D,MATCH($D126,조립자재_재고현황!$E:$E,0)),""))</f>
        <v/>
      </c>
      <c r="H126" s="31">
        <f>IF(G126="","",COUNTIF($G$2:G126,"?*"))</f>
        <v/>
      </c>
    </row>
    <row r="127" ht="48" customHeight="1">
      <c r="A127" s="48" t="inlineStr">
        <is>
          <t>창고</t>
        </is>
      </c>
      <c r="B127" s="28" t="inlineStr">
        <is>
          <t>ABS 난연</t>
        </is>
      </c>
      <c r="C127" s="28" t="inlineStr">
        <is>
          <t>DX3000</t>
        </is>
      </c>
      <c r="D127" s="29" t="inlineStr">
        <is>
          <t>20cm CONE (ABS 난연 화이트)
[DX3000]</t>
        </is>
      </c>
      <c r="E127" s="28" t="inlineStr">
        <is>
          <t>천우</t>
        </is>
      </c>
      <c r="F127" s="30" t="n"/>
      <c r="G127" s="29">
        <f>IFERROR("["&amp;INDEX(고압진공_재고현황!$A:$A,MATCH($D127,고압진공_재고현황!$E:$E,0))&amp;"] "&amp;INDEX(고압진공_재고현황!$D:$D,MATCH($D127,고압진공_재고현황!$E:$E,0)),IFERROR("[조립] "&amp;INDEX(조립자재_재고현황!$D:$D,MATCH($D127,조립자재_재고현황!$E:$E,0)),""))</f>
        <v/>
      </c>
      <c r="H127" s="31">
        <f>IF(G127="","",COUNTIF($G$2:G127,"?*"))</f>
        <v/>
      </c>
    </row>
    <row r="128" ht="48" customHeight="1">
      <c r="A128" s="48" t="inlineStr">
        <is>
          <t>창고</t>
        </is>
      </c>
      <c r="B128" s="28" t="inlineStr">
        <is>
          <t>ABS 난연</t>
        </is>
      </c>
      <c r="C128" s="28" t="inlineStr">
        <is>
          <t>DX3000</t>
        </is>
      </c>
      <c r="D128" s="29" t="inlineStr">
        <is>
          <t>15cm CONE (ABS 난연 화이트)
[DX3000]</t>
        </is>
      </c>
      <c r="E128" s="28" t="inlineStr">
        <is>
          <t>천우</t>
        </is>
      </c>
      <c r="F128" s="30" t="n"/>
      <c r="G128" s="29">
        <f>IFERROR("["&amp;INDEX(고압진공_재고현황!$A:$A,MATCH($D128,고압진공_재고현황!$E:$E,0))&amp;"] "&amp;INDEX(고압진공_재고현황!$D:$D,MATCH($D128,고압진공_재고현황!$E:$E,0)),IFERROR("[조립] "&amp;INDEX(조립자재_재고현황!$D:$D,MATCH($D128,조립자재_재고현황!$E:$E,0)),""))</f>
        <v/>
      </c>
      <c r="H128" s="31">
        <f>IF(G128="","",COUNTIF($G$2:G128,"?*"))</f>
        <v/>
      </c>
    </row>
    <row r="129" ht="48" customHeight="1">
      <c r="A129" s="48" t="inlineStr">
        <is>
          <t>창고</t>
        </is>
      </c>
      <c r="B129" s="28" t="inlineStr">
        <is>
          <t>ABS 난연</t>
        </is>
      </c>
      <c r="C129" s="28" t="inlineStr">
        <is>
          <t>DX3000</t>
        </is>
      </c>
      <c r="D129" s="29" t="inlineStr">
        <is>
          <t>X-CAP (기본) (ABS 화이트 + 진한 회색)
[DX3000]</t>
        </is>
      </c>
      <c r="E129" s="28" t="inlineStr">
        <is>
          <t>천우</t>
        </is>
      </c>
      <c r="F129" s="30" t="n"/>
      <c r="G129" s="29">
        <f>IFERROR("["&amp;INDEX(고압진공_재고현황!$A:$A,MATCH($D129,고압진공_재고현황!$E:$E,0))&amp;"] "&amp;INDEX(고압진공_재고현황!$D:$D,MATCH($D129,고압진공_재고현황!$E:$E,0)),IFERROR("[조립] "&amp;INDEX(조립자재_재고현황!$D:$D,MATCH($D129,조립자재_재고현황!$E:$E,0)),""))</f>
        <v/>
      </c>
      <c r="H129" s="31">
        <f>IF(G129="","",COUNTIF($G$2:G129,"?*"))</f>
        <v/>
      </c>
    </row>
    <row r="130" ht="48" customHeight="1">
      <c r="A130" s="48" t="inlineStr">
        <is>
          <t>창고</t>
        </is>
      </c>
      <c r="B130" s="28" t="inlineStr">
        <is>
          <t>ABS 난연</t>
        </is>
      </c>
      <c r="C130" s="28" t="inlineStr">
        <is>
          <t>DX3000</t>
        </is>
      </c>
      <c r="D130" s="29" t="inlineStr">
        <is>
          <t>X-CAP 체결형 (신형) (ABS 난연 화이트 + 진한 회색)
[DX3000]</t>
        </is>
      </c>
      <c r="E130" s="28" t="inlineStr">
        <is>
          <t>천우</t>
        </is>
      </c>
      <c r="F130" s="30" t="n"/>
      <c r="G130" s="29">
        <f>IFERROR("["&amp;INDEX(고압진공_재고현황!$A:$A,MATCH($D130,고압진공_재고현황!$E:$E,0))&amp;"] "&amp;INDEX(고압진공_재고현황!$D:$D,MATCH($D130,고압진공_재고현황!$E:$E,0)),IFERROR("[조립] "&amp;INDEX(조립자재_재고현황!$D:$D,MATCH($D130,조립자재_재고현황!$E:$E,0)),""))</f>
        <v/>
      </c>
      <c r="H130" s="31">
        <f>IF(G130="","",COUNTIF($G$2:G130,"?*"))</f>
        <v/>
      </c>
    </row>
    <row r="131" ht="48" customHeight="1">
      <c r="A131" s="48" t="inlineStr">
        <is>
          <t>창고</t>
        </is>
      </c>
      <c r="B131" s="28" t="inlineStr">
        <is>
          <t>ABS 난연</t>
        </is>
      </c>
      <c r="C131" s="28" t="inlineStr">
        <is>
          <t>DX3000</t>
        </is>
      </c>
      <c r="D131" s="29" t="inlineStr">
        <is>
          <t>X-CAP 체결형 (구형, 일본용) (ABS 난연 화이트 + 진한 회색)
[DX3000]</t>
        </is>
      </c>
      <c r="E131" s="28" t="inlineStr">
        <is>
          <t>천우</t>
        </is>
      </c>
      <c r="F131" s="30" t="n"/>
      <c r="G131" s="29">
        <f>IFERROR("["&amp;INDEX(고압진공_재고현황!$A:$A,MATCH($D131,고압진공_재고현황!$E:$E,0))&amp;"] "&amp;INDEX(고압진공_재고현황!$D:$D,MATCH($D131,고압진공_재고현황!$E:$E,0)),IFERROR("[조립] "&amp;INDEX(조립자재_재고현황!$D:$D,MATCH($D131,조립자재_재고현황!$E:$E,0)),""))</f>
        <v/>
      </c>
      <c r="H131" s="31">
        <f>IF(G131="","",COUNTIF($G$2:G131,"?*"))</f>
        <v/>
      </c>
    </row>
    <row r="132" ht="48" customHeight="1">
      <c r="A132" s="48" t="inlineStr">
        <is>
          <t>창고</t>
        </is>
      </c>
      <c r="B132" s="28" t="inlineStr">
        <is>
          <t>ABS 난연</t>
        </is>
      </c>
      <c r="C132" s="28" t="inlineStr">
        <is>
          <t>DX3000</t>
        </is>
      </c>
      <c r="D132" s="29" t="inlineStr">
        <is>
          <t>X-CAP 체결형 스프레이 X (구형, 일본용) (ABS 난연 화이트)
[DX3000]</t>
        </is>
      </c>
      <c r="E132" s="28" t="inlineStr">
        <is>
          <t>천우</t>
        </is>
      </c>
      <c r="F132" s="30" t="n"/>
      <c r="G132" s="29">
        <f>IFERROR("["&amp;INDEX(고압진공_재고현황!$A:$A,MATCH($D132,고압진공_재고현황!$E:$E,0))&amp;"] "&amp;INDEX(고압진공_재고현황!$D:$D,MATCH($D132,고압진공_재고현황!$E:$E,0)),IFERROR("[조립] "&amp;INDEX(조립자재_재고현황!$D:$D,MATCH($D132,조립자재_재고현황!$E:$E,0)),""))</f>
        <v/>
      </c>
      <c r="H132" s="31">
        <f>IF(G132="","",COUNTIF($G$2:G132,"?*"))</f>
        <v/>
      </c>
    </row>
    <row r="133" ht="48" customHeight="1">
      <c r="A133" s="48" t="inlineStr">
        <is>
          <t>창고</t>
        </is>
      </c>
      <c r="B133" s="28" t="inlineStr">
        <is>
          <t>ABS 난연</t>
        </is>
      </c>
      <c r="C133" s="28" t="inlineStr">
        <is>
          <t>DX3000</t>
        </is>
      </c>
      <c r="D133" s="29" t="inlineStr">
        <is>
          <t>CONE 젠더 (ABS 난연 블랙 + 블랙 무광)
[DX3000]</t>
        </is>
      </c>
      <c r="E133" s="28" t="inlineStr">
        <is>
          <t>천우</t>
        </is>
      </c>
      <c r="F133" s="30" t="n"/>
      <c r="G133" s="29">
        <f>IFERROR("["&amp;INDEX(고압진공_재고현황!$A:$A,MATCH($D133,고압진공_재고현황!$E:$E,0))&amp;"] "&amp;INDEX(고압진공_재고현황!$D:$D,MATCH($D133,고압진공_재고현황!$E:$E,0)),IFERROR("[조립] "&amp;INDEX(조립자재_재고현황!$D:$D,MATCH($D133,조립자재_재고현황!$E:$E,0)),""))</f>
        <v/>
      </c>
      <c r="H133" s="31">
        <f>IF(G133="","",COUNTIF($G$2:G133,"?*"))</f>
        <v/>
      </c>
    </row>
    <row r="134" ht="48" customHeight="1">
      <c r="A134" s="48" t="inlineStr">
        <is>
          <t>창고</t>
        </is>
      </c>
      <c r="B134" s="28" t="inlineStr">
        <is>
          <t>ABS 난연</t>
        </is>
      </c>
      <c r="C134" s="28" t="inlineStr">
        <is>
          <t>DX3000</t>
        </is>
      </c>
      <c r="D134" s="29" t="inlineStr">
        <is>
          <t>메디컬용 컬리메타 (ABS 난연 블랙)
[DX3000]</t>
        </is>
      </c>
      <c r="E134" s="28" t="inlineStr">
        <is>
          <t>금오몰드</t>
        </is>
      </c>
      <c r="F134" s="30" t="n"/>
      <c r="G134" s="29">
        <f>IFERROR("["&amp;INDEX(고압진공_재고현황!$A:$A,MATCH($D134,고압진공_재고현황!$E:$E,0))&amp;"] "&amp;INDEX(고압진공_재고현황!$D:$D,MATCH($D134,고압진공_재고현황!$E:$E,0)),IFERROR("[조립] "&amp;INDEX(조립자재_재고현황!$D:$D,MATCH($D134,조립자재_재고현황!$E:$E,0)),""))</f>
        <v/>
      </c>
      <c r="H134" s="31">
        <f>IF(G134="","",COUNTIF($G$2:G134,"?*"))</f>
        <v/>
      </c>
    </row>
    <row r="135" ht="48" customHeight="1">
      <c r="A135" s="48" t="inlineStr">
        <is>
          <t>창고</t>
        </is>
      </c>
      <c r="B135" s="28" t="inlineStr">
        <is>
          <t>ABS 난연</t>
        </is>
      </c>
      <c r="C135" s="28" t="inlineStr">
        <is>
          <t>DX3000</t>
        </is>
      </c>
      <c r="D135" s="29" t="inlineStr">
        <is>
          <t>메디컬용 컬리메타 CAP (ABS 난연 블랙 + 블랙 무광)
[DX3000]</t>
        </is>
      </c>
      <c r="E135" s="28" t="inlineStr">
        <is>
          <t>금오몰드</t>
        </is>
      </c>
      <c r="F135" s="30" t="n"/>
      <c r="G135" s="29">
        <f>IFERROR("["&amp;INDEX(고압진공_재고현황!$A:$A,MATCH($D135,고압진공_재고현황!$E:$E,0))&amp;"] "&amp;INDEX(고압진공_재고현황!$D:$D,MATCH($D135,고압진공_재고현황!$E:$E,0)),IFERROR("[조립] "&amp;INDEX(조립자재_재고현황!$D:$D,MATCH($D135,조립자재_재고현황!$E:$E,0)),""))</f>
        <v/>
      </c>
      <c r="H135" s="31">
        <f>IF(G135="","",COUNTIF($G$2:G135,"?*"))</f>
        <v/>
      </c>
    </row>
    <row r="136" ht="48" customHeight="1">
      <c r="A136" s="48" t="inlineStr">
        <is>
          <t>창고</t>
        </is>
      </c>
      <c r="B136" s="28" t="inlineStr">
        <is>
          <t>아크릴</t>
        </is>
      </c>
      <c r="C136" s="28" t="inlineStr">
        <is>
          <t>DX3000</t>
        </is>
      </c>
      <c r="D136" s="29" t="inlineStr">
        <is>
          <t>LCD WINDOW (투명 아크릴)
[DX3000]</t>
        </is>
      </c>
      <c r="E136" s="28" t="inlineStr">
        <is>
          <t>천우</t>
        </is>
      </c>
      <c r="F136" s="30" t="n"/>
      <c r="G136" s="29">
        <f>IFERROR("["&amp;INDEX(고압진공_재고현황!$A:$A,MATCH($D136,고압진공_재고현황!$E:$E,0))&amp;"] "&amp;INDEX(고압진공_재고현황!$D:$D,MATCH($D136,고압진공_재고현황!$E:$E,0)),IFERROR("[조립] "&amp;INDEX(조립자재_재고현황!$D:$D,MATCH($D136,조립자재_재고현황!$E:$E,0)),""))</f>
        <v/>
      </c>
      <c r="H136" s="31">
        <f>IF(G136="","",COUNTIF($G$2:G136,"?*"))</f>
        <v/>
      </c>
    </row>
    <row r="137" ht="48" customHeight="1">
      <c r="A137" s="48" t="inlineStr">
        <is>
          <t>창고</t>
        </is>
      </c>
      <c r="B137" s="28" t="inlineStr">
        <is>
          <t>아크릴</t>
        </is>
      </c>
      <c r="C137" s="28" t="inlineStr">
        <is>
          <t>DX3000</t>
        </is>
      </c>
      <c r="D137" s="29" t="inlineStr">
        <is>
          <t>LCD LED (확산 아크릴)
[DX3000]</t>
        </is>
      </c>
      <c r="E137" s="28" t="inlineStr">
        <is>
          <t>천우</t>
        </is>
      </c>
      <c r="F137" s="30" t="n"/>
      <c r="G137" s="29">
        <f>IFERROR("["&amp;INDEX(고압진공_재고현황!$A:$A,MATCH($D137,고압진공_재고현황!$E:$E,0))&amp;"] "&amp;INDEX(고압진공_재고현황!$D:$D,MATCH($D137,고압진공_재고현황!$E:$E,0)),IFERROR("[조립] "&amp;INDEX(조립자재_재고현황!$D:$D,MATCH($D137,조립자재_재고현황!$E:$E,0)),""))</f>
        <v/>
      </c>
      <c r="H137" s="31">
        <f>IF(G137="","",COUNTIF($G$2:G137,"?*"))</f>
        <v/>
      </c>
    </row>
    <row r="138" ht="48" customHeight="1">
      <c r="A138" s="48" t="inlineStr">
        <is>
          <t>창고</t>
        </is>
      </c>
      <c r="B138" s="28" t="inlineStr">
        <is>
          <t>아크릴</t>
        </is>
      </c>
      <c r="C138" s="28" t="inlineStr">
        <is>
          <t>DX3000</t>
        </is>
      </c>
      <c r="D138" s="29" t="inlineStr">
        <is>
          <t>POWER LED (확산 아크릴)
[DX3000]</t>
        </is>
      </c>
      <c r="E138" s="28" t="inlineStr">
        <is>
          <t>천우</t>
        </is>
      </c>
      <c r="F138" s="30" t="n"/>
      <c r="G138" s="29">
        <f>IFERROR("["&amp;INDEX(고압진공_재고현황!$A:$A,MATCH($D138,고압진공_재고현황!$E:$E,0))&amp;"] "&amp;INDEX(고압진공_재고현황!$D:$D,MATCH($D138,고압진공_재고현황!$E:$E,0)),IFERROR("[조립] "&amp;INDEX(조립자재_재고현황!$D:$D,MATCH($D138,조립자재_재고현황!$E:$E,0)),""))</f>
        <v/>
      </c>
      <c r="H138" s="31">
        <f>IF(G138="","",COUNTIF($G$2:G138,"?*"))</f>
        <v/>
      </c>
    </row>
    <row r="139" ht="48" customHeight="1">
      <c r="A139" s="48" t="inlineStr">
        <is>
          <t>창고</t>
        </is>
      </c>
      <c r="B139" s="28" t="inlineStr">
        <is>
          <t>아크릴</t>
        </is>
      </c>
      <c r="C139" s="28" t="inlineStr">
        <is>
          <t>DX3000</t>
        </is>
      </c>
      <c r="D139" s="29" t="inlineStr">
        <is>
          <t>EX LED (좌) (확산 아크릴)
[DX3000]</t>
        </is>
      </c>
      <c r="E139" s="28" t="inlineStr">
        <is>
          <t>천우</t>
        </is>
      </c>
      <c r="F139" s="30" t="n"/>
      <c r="G139" s="29">
        <f>IFERROR("["&amp;INDEX(고압진공_재고현황!$A:$A,MATCH($D139,고압진공_재고현황!$E:$E,0))&amp;"] "&amp;INDEX(고압진공_재고현황!$D:$D,MATCH($D139,고압진공_재고현황!$E:$E,0)),IFERROR("[조립] "&amp;INDEX(조립자재_재고현황!$D:$D,MATCH($D139,조립자재_재고현황!$E:$E,0)),""))</f>
        <v/>
      </c>
      <c r="H139" s="31">
        <f>IF(G139="","",COUNTIF($G$2:G139,"?*"))</f>
        <v/>
      </c>
    </row>
    <row r="140" ht="48" customHeight="1">
      <c r="A140" s="48" t="inlineStr">
        <is>
          <t>창고</t>
        </is>
      </c>
      <c r="B140" s="28" t="inlineStr">
        <is>
          <t>아크릴</t>
        </is>
      </c>
      <c r="C140" s="28" t="inlineStr">
        <is>
          <t>DX3000</t>
        </is>
      </c>
      <c r="D140" s="29" t="inlineStr">
        <is>
          <t>EX LED (우) (확산 아크릴)
[DX3000]</t>
        </is>
      </c>
      <c r="E140" s="28" t="inlineStr">
        <is>
          <t>천우</t>
        </is>
      </c>
      <c r="F140" s="30" t="n"/>
      <c r="G140" s="29">
        <f>IFERROR("["&amp;INDEX(고압진공_재고현황!$A:$A,MATCH($D140,고압진공_재고현황!$E:$E,0))&amp;"] "&amp;INDEX(고압진공_재고현황!$D:$D,MATCH($D140,고압진공_재고현황!$E:$E,0)),IFERROR("[조립] "&amp;INDEX(조립자재_재고현황!$D:$D,MATCH($D140,조립자재_재고현황!$E:$E,0)),""))</f>
        <v/>
      </c>
      <c r="H140" s="31">
        <f>IF(G140="","",COUNTIF($G$2:G140,"?*"))</f>
        <v/>
      </c>
    </row>
    <row r="141" ht="48" customHeight="1">
      <c r="A141" s="48" t="inlineStr">
        <is>
          <t>창고</t>
        </is>
      </c>
      <c r="B141" s="28" t="inlineStr">
        <is>
          <t>아크릴</t>
        </is>
      </c>
      <c r="C141" s="28" t="inlineStr">
        <is>
          <t>DX3000</t>
        </is>
      </c>
      <c r="D141" s="29" t="inlineStr">
        <is>
          <t>메디컬용 십자아크릴 (66*66)
[DX3000]</t>
        </is>
      </c>
      <c r="E141" s="28" t="n"/>
      <c r="F141" s="30" t="n"/>
      <c r="G141" s="29">
        <f>IFERROR("["&amp;INDEX(고압진공_재고현황!$A:$A,MATCH($D141,고압진공_재고현황!$E:$E,0))&amp;"] "&amp;INDEX(고압진공_재고현황!$D:$D,MATCH($D141,고압진공_재고현황!$E:$E,0)),IFERROR("[조립] "&amp;INDEX(조립자재_재고현황!$D:$D,MATCH($D141,조립자재_재고현황!$E:$E,0)),""))</f>
        <v/>
      </c>
      <c r="H141" s="31">
        <f>IF(G141="","",COUNTIF($G$2:G141,"?*"))</f>
        <v/>
      </c>
    </row>
    <row r="142" ht="48" customHeight="1">
      <c r="A142" s="48" t="inlineStr">
        <is>
          <t>창고</t>
        </is>
      </c>
      <c r="B142" s="28" t="inlineStr">
        <is>
          <t>AL</t>
        </is>
      </c>
      <c r="C142" s="28" t="inlineStr">
        <is>
          <t>DX3000</t>
        </is>
      </c>
      <c r="D142" s="29" t="inlineStr">
        <is>
          <t>알루미늄 필터 (0.8T * Φ63)
[DX3000]</t>
        </is>
      </c>
      <c r="E142" s="28" t="inlineStr">
        <is>
          <t>광전레이저</t>
        </is>
      </c>
      <c r="F142" s="30" t="n"/>
      <c r="G142" s="29">
        <f>IFERROR("["&amp;INDEX(고압진공_재고현황!$A:$A,MATCH($D142,고압진공_재고현황!$E:$E,0))&amp;"] "&amp;INDEX(고압진공_재고현황!$D:$D,MATCH($D142,고압진공_재고현황!$E:$E,0)),IFERROR("[조립] "&amp;INDEX(조립자재_재고현황!$D:$D,MATCH($D142,조립자재_재고현황!$E:$E,0)),""))</f>
        <v/>
      </c>
      <c r="H142" s="31">
        <f>IF(G142="","",COUNTIF($G$2:G142,"?*"))</f>
        <v/>
      </c>
    </row>
    <row r="143" ht="48" customHeight="1">
      <c r="A143" s="48" t="inlineStr">
        <is>
          <t>창고</t>
        </is>
      </c>
      <c r="B143" s="28" t="inlineStr">
        <is>
          <t>AL</t>
        </is>
      </c>
      <c r="C143" s="28" t="inlineStr">
        <is>
          <t>DX3000</t>
        </is>
      </c>
      <c r="D143" s="29" t="inlineStr">
        <is>
          <t>알루미늄 필터 (1.5T * Φ63 일본 동물용)
[DX3000]</t>
        </is>
      </c>
      <c r="E143" s="28" t="inlineStr">
        <is>
          <t>광전레이저</t>
        </is>
      </c>
      <c r="F143" s="30" t="n"/>
      <c r="G143" s="29">
        <f>IFERROR("["&amp;INDEX(고압진공_재고현황!$A:$A,MATCH($D143,고압진공_재고현황!$E:$E,0))&amp;"] "&amp;INDEX(고압진공_재고현황!$D:$D,MATCH($D143,고압진공_재고현황!$E:$E,0)),IFERROR("[조립] "&amp;INDEX(조립자재_재고현황!$D:$D,MATCH($D143,조립자재_재고현황!$E:$E,0)),""))</f>
        <v/>
      </c>
      <c r="H143" s="31">
        <f>IF(G143="","",COUNTIF($G$2:G143,"?*"))</f>
        <v/>
      </c>
    </row>
    <row r="144" ht="48" customHeight="1">
      <c r="A144" s="48" t="inlineStr">
        <is>
          <t>창고</t>
        </is>
      </c>
      <c r="B144" s="28" t="inlineStr">
        <is>
          <t>인조가죽</t>
        </is>
      </c>
      <c r="C144" s="28" t="inlineStr">
        <is>
          <t>DX3000</t>
        </is>
      </c>
      <c r="D144" s="29" t="inlineStr">
        <is>
          <t>HAND STRAP 손잡이 (인조 가죽)
[DX3000]</t>
        </is>
      </c>
      <c r="E144" s="28" t="inlineStr">
        <is>
          <t>굿모닝코리아유통</t>
        </is>
      </c>
      <c r="F144" s="30" t="n"/>
      <c r="G144" s="29">
        <f>IFERROR("["&amp;INDEX(고압진공_재고현황!$A:$A,MATCH($D144,고압진공_재고현황!$E:$E,0))&amp;"] "&amp;INDEX(고압진공_재고현황!$D:$D,MATCH($D144,고압진공_재고현황!$E:$E,0)),IFERROR("[조립] "&amp;INDEX(조립자재_재고현황!$D:$D,MATCH($D144,조립자재_재고현황!$E:$E,0)),""))</f>
        <v/>
      </c>
      <c r="H144" s="31">
        <f>IF(G144="","",COUNTIF($G$2:G144,"?*"))</f>
        <v/>
      </c>
    </row>
    <row r="145" ht="48" customHeight="1">
      <c r="A145" s="48" t="inlineStr">
        <is>
          <t>창고</t>
        </is>
      </c>
      <c r="B145" s="28" t="inlineStr">
        <is>
          <t>인조가죽</t>
        </is>
      </c>
      <c r="C145" s="28" t="inlineStr">
        <is>
          <t>DX3000</t>
        </is>
      </c>
      <c r="D145" s="29" t="inlineStr">
        <is>
          <t>HAND STRAP 손잡이 (로고 없음) (인조 가죽)
[DX3000]</t>
        </is>
      </c>
      <c r="E145" s="28" t="inlineStr">
        <is>
          <t>굿모닝코리아유통</t>
        </is>
      </c>
      <c r="F145" s="30" t="n"/>
      <c r="G145" s="29">
        <f>IFERROR("["&amp;INDEX(고압진공_재고현황!$A:$A,MATCH($D145,고압진공_재고현황!$E:$E,0))&amp;"] "&amp;INDEX(고압진공_재고현황!$D:$D,MATCH($D145,고압진공_재고현황!$E:$E,0)),IFERROR("[조립] "&amp;INDEX(조립자재_재고현황!$D:$D,MATCH($D145,조립자재_재고현황!$E:$E,0)),""))</f>
        <v/>
      </c>
      <c r="H145" s="31">
        <f>IF(G145="","",COUNTIF($G$2:G145,"?*"))</f>
        <v/>
      </c>
    </row>
    <row r="146" ht="48" customHeight="1">
      <c r="A146" s="48" t="inlineStr">
        <is>
          <t>창고</t>
        </is>
      </c>
      <c r="B146" s="28" t="inlineStr">
        <is>
          <t>STEEL</t>
        </is>
      </c>
      <c r="C146" s="28" t="inlineStr">
        <is>
          <t>DX3000, ADX4000W</t>
        </is>
      </c>
      <c r="D146" s="29" t="inlineStr">
        <is>
          <t>고리 1 (니켈 도금)
[DX3000, ADX4000W]</t>
        </is>
      </c>
      <c r="E146" s="28" t="inlineStr">
        <is>
          <t>굿모닝코리아유통</t>
        </is>
      </c>
      <c r="F146" s="30" t="n"/>
      <c r="G146" s="29">
        <f>IFERROR("["&amp;INDEX(고압진공_재고현황!$A:$A,MATCH($D146,고압진공_재고현황!$E:$E,0))&amp;"] "&amp;INDEX(고압진공_재고현황!$D:$D,MATCH($D146,고압진공_재고현황!$E:$E,0)),IFERROR("[조립] "&amp;INDEX(조립자재_재고현황!$D:$D,MATCH($D146,조립자재_재고현황!$E:$E,0)),""))</f>
        <v/>
      </c>
      <c r="H146" s="31">
        <f>IF(G146="","",COUNTIF($G$2:G146,"?*"))</f>
        <v/>
      </c>
    </row>
    <row r="147" ht="48" customHeight="1">
      <c r="A147" s="48" t="inlineStr">
        <is>
          <t>창고</t>
        </is>
      </c>
      <c r="B147" s="28" t="inlineStr">
        <is>
          <t>STEEL</t>
        </is>
      </c>
      <c r="C147" s="28" t="inlineStr">
        <is>
          <t>DX3000</t>
        </is>
      </c>
      <c r="D147" s="29" t="inlineStr">
        <is>
          <t>고리 2 (니켈 도금)
[DX3000]</t>
        </is>
      </c>
      <c r="E147" s="28" t="inlineStr">
        <is>
          <t>굿모닝코리아유통</t>
        </is>
      </c>
      <c r="F147" s="30" t="n"/>
      <c r="G147" s="29">
        <f>IFERROR("["&amp;INDEX(고압진공_재고현황!$A:$A,MATCH($D147,고압진공_재고현황!$E:$E,0))&amp;"] "&amp;INDEX(고압진공_재고현황!$D:$D,MATCH($D147,고압진공_재고현황!$E:$E,0)),IFERROR("[조립] "&amp;INDEX(조립자재_재고현황!$D:$D,MATCH($D147,조립자재_재고현황!$E:$E,0)),""))</f>
        <v/>
      </c>
      <c r="H147" s="31">
        <f>IF(G147="","",COUNTIF($G$2:G147,"?*"))</f>
        <v/>
      </c>
    </row>
    <row r="148" ht="48" customHeight="1">
      <c r="A148" s="48" t="inlineStr">
        <is>
          <t>창고</t>
        </is>
      </c>
      <c r="B148" s="28" t="inlineStr">
        <is>
          <t>PCB</t>
        </is>
      </c>
      <c r="C148" s="28" t="inlineStr">
        <is>
          <t>COCOON</t>
        </is>
      </c>
      <c r="D148" s="29" t="inlineStr">
        <is>
          <t>CTR B/D
[COCOON]</t>
        </is>
      </c>
      <c r="E148" s="28" t="inlineStr">
        <is>
          <t>HLP</t>
        </is>
      </c>
      <c r="F148" s="30" t="n"/>
      <c r="G148" s="29">
        <f>IFERROR("["&amp;INDEX(고압진공_재고현황!$A:$A,MATCH($D148,고압진공_재고현황!$E:$E,0))&amp;"] "&amp;INDEX(고압진공_재고현황!$D:$D,MATCH($D148,고압진공_재고현황!$E:$E,0)),IFERROR("[조립] "&amp;INDEX(조립자재_재고현황!$D:$D,MATCH($D148,조립자재_재고현황!$E:$E,0)),""))</f>
        <v/>
      </c>
      <c r="H148" s="31">
        <f>IF(G148="","",COUNTIF($G$2:G148,"?*"))</f>
        <v/>
      </c>
    </row>
    <row r="149" ht="48" customHeight="1">
      <c r="A149" s="48" t="inlineStr">
        <is>
          <t>창고</t>
        </is>
      </c>
      <c r="B149" s="28" t="inlineStr">
        <is>
          <t>PCB</t>
        </is>
      </c>
      <c r="C149" s="28" t="inlineStr">
        <is>
          <t>COCOON</t>
        </is>
      </c>
      <c r="D149" s="29" t="inlineStr">
        <is>
          <t>FET B/D (+ 56 (교체전))
[COCOON]</t>
        </is>
      </c>
      <c r="E149" s="28" t="inlineStr">
        <is>
          <t>HLP</t>
        </is>
      </c>
      <c r="F149" s="30" t="n"/>
      <c r="G149" s="29">
        <f>IFERROR("["&amp;INDEX(고압진공_재고현황!$A:$A,MATCH($D149,고압진공_재고현황!$E:$E,0))&amp;"] "&amp;INDEX(고압진공_재고현황!$D:$D,MATCH($D149,고압진공_재고현황!$E:$E,0)),IFERROR("[조립] "&amp;INDEX(조립자재_재고현황!$D:$D,MATCH($D149,조립자재_재고현황!$E:$E,0)),""))</f>
        <v/>
      </c>
      <c r="H149" s="31">
        <f>IF(G149="","",COUNTIF($G$2:G149,"?*"))</f>
        <v/>
      </c>
    </row>
    <row r="150" ht="48" customHeight="1">
      <c r="A150" s="48" t="inlineStr">
        <is>
          <t>창고</t>
        </is>
      </c>
      <c r="B150" s="28" t="inlineStr">
        <is>
          <t>PCB</t>
        </is>
      </c>
      <c r="C150" s="28" t="inlineStr">
        <is>
          <t>COCOON</t>
        </is>
      </c>
      <c r="D150" s="29" t="inlineStr">
        <is>
          <t>POWER SWITCH BD
[COCOON]</t>
        </is>
      </c>
      <c r="E150" s="28" t="inlineStr">
        <is>
          <t>HLP</t>
        </is>
      </c>
      <c r="F150" s="30" t="n"/>
      <c r="G150" s="29">
        <f>IFERROR("["&amp;INDEX(고압진공_재고현황!$A:$A,MATCH($D150,고압진공_재고현황!$E:$E,0))&amp;"] "&amp;INDEX(고압진공_재고현황!$D:$D,MATCH($D150,고압진공_재고현황!$E:$E,0)),IFERROR("[조립] "&amp;INDEX(조립자재_재고현황!$D:$D,MATCH($D150,조립자재_재고현황!$E:$E,0)),""))</f>
        <v/>
      </c>
      <c r="H150" s="31">
        <f>IF(G150="","",COUNTIF($G$2:G150,"?*"))</f>
        <v/>
      </c>
    </row>
    <row r="151" ht="48" customHeight="1">
      <c r="A151" s="48" t="inlineStr">
        <is>
          <t>창고</t>
        </is>
      </c>
      <c r="B151" s="28" t="inlineStr">
        <is>
          <t>PCB</t>
        </is>
      </c>
      <c r="C151" s="28" t="inlineStr">
        <is>
          <t>COCOON</t>
        </is>
      </c>
      <c r="D151" s="29" t="inlineStr">
        <is>
          <t>POWER SWITCH BD (Ver 3.0.0)
[COCOON]</t>
        </is>
      </c>
      <c r="E151" s="28" t="inlineStr">
        <is>
          <t>HLP</t>
        </is>
      </c>
      <c r="F151" s="30" t="n"/>
      <c r="G151" s="29">
        <f>IFERROR("["&amp;INDEX(고압진공_재고현황!$A:$A,MATCH($D151,고압진공_재고현황!$E:$E,0))&amp;"] "&amp;INDEX(고압진공_재고현황!$D:$D,MATCH($D151,고압진공_재고현황!$E:$E,0)),IFERROR("[조립] "&amp;INDEX(조립자재_재고현황!$D:$D,MATCH($D151,조립자재_재고현황!$E:$E,0)),""))</f>
        <v/>
      </c>
      <c r="H151" s="31">
        <f>IF(G151="","",COUNTIF($G$2:G151,"?*"))</f>
        <v/>
      </c>
    </row>
    <row r="152" ht="48" customHeight="1">
      <c r="A152" s="48" t="inlineStr">
        <is>
          <t>창고</t>
        </is>
      </c>
      <c r="B152" s="28" t="inlineStr">
        <is>
          <t>PCB</t>
        </is>
      </c>
      <c r="C152" s="28" t="inlineStr">
        <is>
          <t>COCOON</t>
        </is>
      </c>
      <c r="D152" s="29" t="inlineStr">
        <is>
          <t>HANDLE CONNECTOR BD 신형 (신주 2핀)
[COCOON]</t>
        </is>
      </c>
      <c r="E152" s="28" t="inlineStr">
        <is>
          <t>HLP</t>
        </is>
      </c>
      <c r="F152" s="30" t="n"/>
      <c r="G152" s="29">
        <f>IFERROR("["&amp;INDEX(고압진공_재고현황!$A:$A,MATCH($D152,고압진공_재고현황!$E:$E,0))&amp;"] "&amp;INDEX(고압진공_재고현황!$D:$D,MATCH($D152,고압진공_재고현황!$E:$E,0)),IFERROR("[조립] "&amp;INDEX(조립자재_재고현황!$D:$D,MATCH($D152,조립자재_재고현황!$E:$E,0)),""))</f>
        <v/>
      </c>
      <c r="H152" s="31">
        <f>IF(G152="","",COUNTIF($G$2:G152,"?*"))</f>
        <v/>
      </c>
    </row>
    <row r="153" ht="48" customHeight="1">
      <c r="A153" s="48" t="inlineStr">
        <is>
          <t>창고</t>
        </is>
      </c>
      <c r="B153" s="28" t="inlineStr">
        <is>
          <t>PCB</t>
        </is>
      </c>
      <c r="C153" s="28" t="inlineStr">
        <is>
          <t>COCOON</t>
        </is>
      </c>
      <c r="D153" s="29" t="inlineStr">
        <is>
          <t>BATTERY BRIDGE BD
[COCOON]</t>
        </is>
      </c>
      <c r="E153" s="28" t="inlineStr">
        <is>
          <t>HLP</t>
        </is>
      </c>
      <c r="F153" s="30" t="n"/>
      <c r="G153" s="29">
        <f>IFERROR("["&amp;INDEX(고압진공_재고현황!$A:$A,MATCH($D153,고압진공_재고현황!$E:$E,0))&amp;"] "&amp;INDEX(고압진공_재고현황!$D:$D,MATCH($D153,고압진공_재고현황!$E:$E,0)),IFERROR("[조립] "&amp;INDEX(조립자재_재고현황!$D:$D,MATCH($D153,조립자재_재고현황!$E:$E,0)),""))</f>
        <v/>
      </c>
      <c r="H153" s="31">
        <f>IF(G153="","",COUNTIF($G$2:G153,"?*"))</f>
        <v/>
      </c>
    </row>
    <row r="154" ht="48" customHeight="1">
      <c r="A154" s="48" t="inlineStr">
        <is>
          <t>창고</t>
        </is>
      </c>
      <c r="B154" s="28" t="inlineStr">
        <is>
          <t>PCB</t>
        </is>
      </c>
      <c r="C154" s="28" t="inlineStr">
        <is>
          <t>COCOON</t>
        </is>
      </c>
      <c r="D154" s="29" t="inlineStr">
        <is>
          <t>CRADLE BD
[COCOON]</t>
        </is>
      </c>
      <c r="E154" s="28" t="inlineStr">
        <is>
          <t>HLP</t>
        </is>
      </c>
      <c r="F154" s="30" t="n"/>
      <c r="G154" s="29">
        <f>IFERROR("["&amp;INDEX(고압진공_재고현황!$A:$A,MATCH($D154,고압진공_재고현황!$E:$E,0))&amp;"] "&amp;INDEX(고압진공_재고현황!$D:$D,MATCH($D154,고압진공_재고현황!$E:$E,0)),IFERROR("[조립] "&amp;INDEX(조립자재_재고현황!$D:$D,MATCH($D154,조립자재_재고현황!$E:$E,0)),""))</f>
        <v/>
      </c>
      <c r="H154" s="31">
        <f>IF(G154="","",COUNTIF($G$2:G154,"?*"))</f>
        <v/>
      </c>
    </row>
    <row r="155" ht="48" customHeight="1">
      <c r="A155" s="48" t="inlineStr">
        <is>
          <t>창고</t>
        </is>
      </c>
      <c r="B155" s="28" t="inlineStr">
        <is>
          <t>PCB</t>
        </is>
      </c>
      <c r="C155" s="28" t="inlineStr">
        <is>
          <t>COCOON</t>
        </is>
      </c>
      <c r="D155" s="29" t="inlineStr">
        <is>
          <t>OP &amp; TOUCH BD
[COCOON]</t>
        </is>
      </c>
      <c r="E155" s="28" t="inlineStr">
        <is>
          <t>HLP</t>
        </is>
      </c>
      <c r="F155" s="30" t="n"/>
      <c r="G155" s="29">
        <f>IFERROR("["&amp;INDEX(고압진공_재고현황!$A:$A,MATCH($D155,고압진공_재고현황!$E:$E,0))&amp;"] "&amp;INDEX(고압진공_재고현황!$D:$D,MATCH($D155,고압진공_재고현황!$E:$E,0)),IFERROR("[조립] "&amp;INDEX(조립자재_재고현황!$D:$D,MATCH($D155,조립자재_재고현황!$E:$E,0)),""))</f>
        <v/>
      </c>
      <c r="H155" s="31">
        <f>IF(G155="","",COUNTIF($G$2:G155,"?*"))</f>
        <v/>
      </c>
    </row>
    <row r="156" ht="48" customHeight="1">
      <c r="A156" s="48" t="inlineStr">
        <is>
          <t>창고</t>
        </is>
      </c>
      <c r="B156" s="28" t="inlineStr">
        <is>
          <t>CABLE</t>
        </is>
      </c>
      <c r="C156" s="28" t="inlineStr">
        <is>
          <t>COCOON</t>
        </is>
      </c>
      <c r="D156" s="29" t="inlineStr">
        <is>
          <t>하네스 1번 (TX30(FEMALE)+YH396-02 100mm CTR BD 외부단자 2핀)
[COCOON]</t>
        </is>
      </c>
      <c r="E156" s="28" t="inlineStr">
        <is>
          <t>HLP</t>
        </is>
      </c>
      <c r="F156" s="30" t="n"/>
      <c r="G156" s="29">
        <f>IFERROR("["&amp;INDEX(고압진공_재고현황!$A:$A,MATCH($D156,고압진공_재고현황!$E:$E,0))&amp;"] "&amp;INDEX(고압진공_재고현황!$D:$D,MATCH($D156,고압진공_재고현황!$E:$E,0)),IFERROR("[조립] "&amp;INDEX(조립자재_재고현황!$D:$D,MATCH($D156,조립자재_재고현황!$E:$E,0)),""))</f>
        <v/>
      </c>
      <c r="H156" s="31">
        <f>IF(G156="","",COUNTIF($G$2:G156,"?*"))</f>
        <v/>
      </c>
    </row>
    <row r="157" ht="48" customHeight="1">
      <c r="A157" s="48" t="inlineStr">
        <is>
          <t>창고</t>
        </is>
      </c>
      <c r="B157" s="28" t="inlineStr">
        <is>
          <t>CABLE</t>
        </is>
      </c>
      <c r="C157" s="28" t="inlineStr">
        <is>
          <t>COCOON</t>
        </is>
      </c>
      <c r="D157" s="29" t="inlineStr">
        <is>
          <t>하네스 2번 (TX30(MALE)+DC022(2.5) 80mm 전원 외부단자 2핀)
[COCOON]</t>
        </is>
      </c>
      <c r="E157" s="28" t="inlineStr">
        <is>
          <t>HLP</t>
        </is>
      </c>
      <c r="F157" s="30" t="n"/>
      <c r="G157" s="29">
        <f>IFERROR("["&amp;INDEX(고압진공_재고현황!$A:$A,MATCH($D157,고압진공_재고현황!$E:$E,0))&amp;"] "&amp;INDEX(고압진공_재고현황!$D:$D,MATCH($D157,고압진공_재고현황!$E:$E,0)),IFERROR("[조립] "&amp;INDEX(조립자재_재고현황!$D:$D,MATCH($D157,조립자재_재고현황!$E:$E,0)),""))</f>
        <v/>
      </c>
      <c r="H157" s="31">
        <f>IF(G157="","",COUNTIF($G$2:G157,"?*"))</f>
        <v/>
      </c>
    </row>
    <row r="158" ht="48" customHeight="1">
      <c r="A158" s="48" t="inlineStr">
        <is>
          <t>창고</t>
        </is>
      </c>
      <c r="B158" s="28" t="inlineStr">
        <is>
          <t>CABLE</t>
        </is>
      </c>
      <c r="C158" s="28" t="inlineStr">
        <is>
          <t>COCOON</t>
        </is>
      </c>
      <c r="D158" s="29" t="inlineStr">
        <is>
          <t>하네스 3번 (FFC CABLE 1mm*30P*200*B CTR BD*OP BD (다른방향))
[COCOON]</t>
        </is>
      </c>
      <c r="E158" s="28" t="inlineStr">
        <is>
          <t>HLP</t>
        </is>
      </c>
      <c r="F158" s="30" t="n"/>
      <c r="G158" s="29">
        <f>IFERROR("["&amp;INDEX(고압진공_재고현황!$A:$A,MATCH($D158,고압진공_재고현황!$E:$E,0))&amp;"] "&amp;INDEX(고압진공_재고현황!$D:$D,MATCH($D158,고압진공_재고현황!$E:$E,0)),IFERROR("[조립] "&amp;INDEX(조립자재_재고현황!$D:$D,MATCH($D158,조립자재_재고현황!$E:$E,0)),""))</f>
        <v/>
      </c>
      <c r="H158" s="31">
        <f>IF(G158="","",COUNTIF($G$2:G158,"?*"))</f>
        <v/>
      </c>
    </row>
    <row r="159" ht="48" customHeight="1">
      <c r="A159" s="48" t="inlineStr">
        <is>
          <t>창고</t>
        </is>
      </c>
      <c r="B159" s="28" t="inlineStr">
        <is>
          <t>CABLE</t>
        </is>
      </c>
      <c r="C159" s="28" t="inlineStr">
        <is>
          <t>COCOON</t>
        </is>
      </c>
      <c r="D159" s="29" t="inlineStr">
        <is>
          <t>하네스 4번 (12505HS-02+SORDER 50mm - OP BD 2.20 전용 스피커 2핀)
[COCOON]</t>
        </is>
      </c>
      <c r="E159" s="28" t="inlineStr">
        <is>
          <t>HLP</t>
        </is>
      </c>
      <c r="F159" s="30" t="n"/>
      <c r="G159" s="29">
        <f>IFERROR("["&amp;INDEX(고압진공_재고현황!$A:$A,MATCH($D159,고압진공_재고현황!$E:$E,0))&amp;"] "&amp;INDEX(고압진공_재고현황!$D:$D,MATCH($D159,고압진공_재고현황!$E:$E,0)),IFERROR("[조립] "&amp;INDEX(조립자재_재고현황!$D:$D,MATCH($D159,조립자재_재고현황!$E:$E,0)),""))</f>
        <v/>
      </c>
      <c r="H159" s="31">
        <f>IF(G159="","",COUNTIF($G$2:G159,"?*"))</f>
        <v/>
      </c>
    </row>
    <row r="160" ht="48" customHeight="1">
      <c r="A160" s="48" t="inlineStr">
        <is>
          <t>창고</t>
        </is>
      </c>
      <c r="B160" s="28" t="inlineStr">
        <is>
          <t>CABLE</t>
        </is>
      </c>
      <c r="C160" s="28" t="inlineStr">
        <is>
          <t>COCOON</t>
        </is>
      </c>
      <c r="D160" s="29" t="inlineStr">
        <is>
          <t>하네스 5번 (YH396-04*2EA 150mm BATTERY BRIDGE BD 4핀)
[COCOON]</t>
        </is>
      </c>
      <c r="E160" s="28" t="inlineStr">
        <is>
          <t>HLP</t>
        </is>
      </c>
      <c r="F160" s="30" t="n"/>
      <c r="G160" s="29">
        <f>IFERROR("["&amp;INDEX(고압진공_재고현황!$A:$A,MATCH($D160,고압진공_재고현황!$E:$E,0))&amp;"] "&amp;INDEX(고압진공_재고현황!$D:$D,MATCH($D160,고압진공_재고현황!$E:$E,0)),IFERROR("[조립] "&amp;INDEX(조립자재_재고현황!$D:$D,MATCH($D160,조립자재_재고현황!$E:$E,0)),""))</f>
        <v/>
      </c>
      <c r="H160" s="31">
        <f>IF(G160="","",COUNTIF($G$2:G160,"?*"))</f>
        <v/>
      </c>
    </row>
    <row r="161" ht="48" customHeight="1">
      <c r="A161" s="48" t="inlineStr">
        <is>
          <t>창고</t>
        </is>
      </c>
      <c r="B161" s="28" t="inlineStr">
        <is>
          <t>CABLE</t>
        </is>
      </c>
      <c r="C161" s="28" t="inlineStr">
        <is>
          <t>COCOON</t>
        </is>
      </c>
      <c r="D161" s="29" t="inlineStr">
        <is>
          <t>하네스 7번 (12505HS-05 125mm POWER SWITCH BD 5핀)
[COCOON]</t>
        </is>
      </c>
      <c r="E161" s="28" t="inlineStr">
        <is>
          <t>HLP</t>
        </is>
      </c>
      <c r="F161" s="30" t="n"/>
      <c r="G161" s="29">
        <f>IFERROR("["&amp;INDEX(고압진공_재고현황!$A:$A,MATCH($D161,고압진공_재고현황!$E:$E,0))&amp;"] "&amp;INDEX(고압진공_재고현황!$D:$D,MATCH($D161,고압진공_재고현황!$E:$E,0)),IFERROR("[조립] "&amp;INDEX(조립자재_재고현황!$D:$D,MATCH($D161,조립자재_재고현황!$E:$E,0)),""))</f>
        <v/>
      </c>
      <c r="H161" s="31">
        <f>IF(G161="","",COUNTIF($G$2:G161,"?*"))</f>
        <v/>
      </c>
    </row>
    <row r="162" ht="48" customHeight="1">
      <c r="A162" s="48" t="inlineStr">
        <is>
          <t>창고</t>
        </is>
      </c>
      <c r="B162" s="28" t="inlineStr">
        <is>
          <t>CABLE</t>
        </is>
      </c>
      <c r="C162" s="28" t="inlineStr">
        <is>
          <t>COCOON</t>
        </is>
      </c>
      <c r="D162" s="29" t="inlineStr">
        <is>
          <t>하네스 11번 (YH396-02+SORDER 80mm CRADLE 신주 연결 2핀)
[COCOON]</t>
        </is>
      </c>
      <c r="E162" s="28" t="inlineStr">
        <is>
          <t>HLP</t>
        </is>
      </c>
      <c r="F162" s="30" t="n"/>
      <c r="G162" s="29">
        <f>IFERROR("["&amp;INDEX(고압진공_재고현황!$A:$A,MATCH($D162,고압진공_재고현황!$E:$E,0))&amp;"] "&amp;INDEX(고압진공_재고현황!$D:$D,MATCH($D162,고압진공_재고현황!$E:$E,0)),IFERROR("[조립] "&amp;INDEX(조립자재_재고현황!$D:$D,MATCH($D162,조립자재_재고현황!$E:$E,0)),""))</f>
        <v/>
      </c>
      <c r="H162" s="31">
        <f>IF(G162="","",COUNTIF($G$2:G162,"?*"))</f>
        <v/>
      </c>
    </row>
    <row r="163" ht="48" customHeight="1">
      <c r="A163" s="48" t="inlineStr">
        <is>
          <t>창고</t>
        </is>
      </c>
      <c r="B163" s="28" t="inlineStr">
        <is>
          <t>CABLE</t>
        </is>
      </c>
      <c r="C163" s="28" t="inlineStr">
        <is>
          <t>COCOON</t>
        </is>
      </c>
      <c r="D163" s="29" t="inlineStr">
        <is>
          <t>에이밍 하네스 1번 (YHM025-02R 210mm, CTR + POWER BD 2핀)
[COCOON]</t>
        </is>
      </c>
      <c r="E163" s="28" t="inlineStr">
        <is>
          <t>HLP</t>
        </is>
      </c>
      <c r="F163" s="30" t="n"/>
      <c r="G163" s="29">
        <f>IFERROR("["&amp;INDEX(고압진공_재고현황!$A:$A,MATCH($D163,고압진공_재고현황!$E:$E,0))&amp;"] "&amp;INDEX(고압진공_재고현황!$D:$D,MATCH($D163,고압진공_재고현황!$E:$E,0)),IFERROR("[조립] "&amp;INDEX(조립자재_재고현황!$D:$D,MATCH($D163,조립자재_재고현황!$E:$E,0)),""))</f>
        <v/>
      </c>
      <c r="H163" s="31">
        <f>IF(G163="","",COUNTIF($G$2:G163,"?*"))</f>
        <v/>
      </c>
    </row>
    <row r="164" ht="48" customHeight="1">
      <c r="A164" s="48" t="inlineStr">
        <is>
          <t>창고</t>
        </is>
      </c>
      <c r="B164" s="28" t="inlineStr">
        <is>
          <t>CABLE</t>
        </is>
      </c>
      <c r="C164" s="28" t="inlineStr">
        <is>
          <t>COCOON</t>
        </is>
      </c>
      <c r="D164" s="29" t="inlineStr">
        <is>
          <t>에이밍 하네스 2번 (YHM025-02R 180mm, LED BD 2핀, 19+83(사출결합))
[COCOON]</t>
        </is>
      </c>
      <c r="E164" s="28" t="inlineStr">
        <is>
          <t>HLP</t>
        </is>
      </c>
      <c r="F164" s="30" t="n"/>
      <c r="G164" s="29">
        <f>IFERROR("["&amp;INDEX(고압진공_재고현황!$A:$A,MATCH($D164,고압진공_재고현황!$E:$E,0))&amp;"] "&amp;INDEX(고압진공_재고현황!$D:$D,MATCH($D164,고압진공_재고현황!$E:$E,0)),IFERROR("[조립] "&amp;INDEX(조립자재_재고현황!$D:$D,MATCH($D164,조립자재_재고현황!$E:$E,0)),""))</f>
        <v/>
      </c>
      <c r="H164" s="31">
        <f>IF(G164="","",COUNTIF($G$2:G164,"?*"))</f>
        <v/>
      </c>
    </row>
    <row r="165" ht="48" customHeight="1">
      <c r="A165" s="48" t="inlineStr">
        <is>
          <t>창고</t>
        </is>
      </c>
      <c r="B165" s="28" t="inlineStr">
        <is>
          <t>PANEL</t>
        </is>
      </c>
      <c r="C165" s="28" t="inlineStr">
        <is>
          <t>COCOON</t>
        </is>
      </c>
      <c r="D165" s="29" t="inlineStr">
        <is>
          <t>OLED PANEL (UG-5664ASWEF01)
[COCOON]</t>
        </is>
      </c>
      <c r="E165" s="28" t="inlineStr">
        <is>
          <t>HLP</t>
        </is>
      </c>
      <c r="F165" s="30" t="n"/>
      <c r="G165" s="29">
        <f>IFERROR("["&amp;INDEX(고압진공_재고현황!$A:$A,MATCH($D165,고압진공_재고현황!$E:$E,0))&amp;"] "&amp;INDEX(고압진공_재고현황!$D:$D,MATCH($D165,고압진공_재고현황!$E:$E,0)),IFERROR("[조립] "&amp;INDEX(조립자재_재고현황!$D:$D,MATCH($D165,조립자재_재고현황!$E:$E,0)),""))</f>
        <v/>
      </c>
      <c r="H165" s="31">
        <f>IF(G165="","",COUNTIF($G$2:G165,"?*"))</f>
        <v/>
      </c>
    </row>
    <row r="166" ht="48" customHeight="1">
      <c r="A166" s="48" t="inlineStr">
        <is>
          <t>창고</t>
        </is>
      </c>
      <c r="B166" s="28" t="inlineStr">
        <is>
          <t>ABS 난연</t>
        </is>
      </c>
      <c r="C166" s="28" t="inlineStr">
        <is>
          <t>COCOON</t>
        </is>
      </c>
      <c r="D166" s="29" t="inlineStr">
        <is>
          <t>TOP BODY (메탈 실버 유광)
[COCOON]</t>
        </is>
      </c>
      <c r="E166" s="28" t="inlineStr">
        <is>
          <t>천우</t>
        </is>
      </c>
      <c r="F166" s="30" t="n"/>
      <c r="G166" s="29">
        <f>IFERROR("["&amp;INDEX(고압진공_재고현황!$A:$A,MATCH($D166,고압진공_재고현황!$E:$E,0))&amp;"] "&amp;INDEX(고압진공_재고현황!$D:$D,MATCH($D166,고압진공_재고현황!$E:$E,0)),IFERROR("[조립] "&amp;INDEX(조립자재_재고현황!$D:$D,MATCH($D166,조립자재_재고현황!$E:$E,0)),""))</f>
        <v/>
      </c>
      <c r="H166" s="31">
        <f>IF(G166="","",COUNTIF($G$2:G166,"?*"))</f>
        <v/>
      </c>
    </row>
    <row r="167" ht="48" customHeight="1">
      <c r="A167" s="48" t="inlineStr">
        <is>
          <t>창고</t>
        </is>
      </c>
      <c r="B167" s="28" t="inlineStr">
        <is>
          <t>ABS 난연</t>
        </is>
      </c>
      <c r="C167" s="28" t="inlineStr">
        <is>
          <t>COCOON</t>
        </is>
      </c>
      <c r="D167" s="29" t="inlineStr">
        <is>
          <t>BOTTOM BODY (블랙 유광)
[COCOON]</t>
        </is>
      </c>
      <c r="E167" s="28" t="inlineStr">
        <is>
          <t>천우</t>
        </is>
      </c>
      <c r="F167" s="30" t="n"/>
      <c r="G167" s="29">
        <f>IFERROR("["&amp;INDEX(고압진공_재고현황!$A:$A,MATCH($D167,고압진공_재고현황!$E:$E,0))&amp;"] "&amp;INDEX(고압진공_재고현황!$D:$D,MATCH($D167,고압진공_재고현황!$E:$E,0)),IFERROR("[조립] "&amp;INDEX(조립자재_재고현황!$D:$D,MATCH($D167,조립자재_재고현황!$E:$E,0)),""))</f>
        <v/>
      </c>
      <c r="H167" s="31">
        <f>IF(G167="","",COUNTIF($G$2:G167,"?*"))</f>
        <v/>
      </c>
    </row>
    <row r="168" ht="48" customHeight="1">
      <c r="A168" s="48" t="inlineStr">
        <is>
          <t>창고</t>
        </is>
      </c>
      <c r="B168" s="28" t="inlineStr">
        <is>
          <t>ABS 난연</t>
        </is>
      </c>
      <c r="C168" s="28" t="inlineStr">
        <is>
          <t>COCOON</t>
        </is>
      </c>
      <c r="D168" s="29" t="inlineStr">
        <is>
          <t>OLED GUIDE (ABS 난연 화이트)
[COCOON]</t>
        </is>
      </c>
      <c r="E168" s="28" t="inlineStr">
        <is>
          <t>천우</t>
        </is>
      </c>
      <c r="F168" s="30" t="n"/>
      <c r="G168" s="29">
        <f>IFERROR("["&amp;INDEX(고압진공_재고현황!$A:$A,MATCH($D168,고압진공_재고현황!$E:$E,0))&amp;"] "&amp;INDEX(고압진공_재고현황!$D:$D,MATCH($D168,고압진공_재고현황!$E:$E,0)),IFERROR("[조립] "&amp;INDEX(조립자재_재고현황!$D:$D,MATCH($D168,조립자재_재고현황!$E:$E,0)),""))</f>
        <v/>
      </c>
      <c r="H168" s="31">
        <f>IF(G168="","",COUNTIF($G$2:G168,"?*"))</f>
        <v/>
      </c>
    </row>
    <row r="169" ht="48" customHeight="1">
      <c r="A169" s="48" t="inlineStr">
        <is>
          <t>창고</t>
        </is>
      </c>
      <c r="B169" s="28" t="inlineStr">
        <is>
          <t>ABS 난연</t>
        </is>
      </c>
      <c r="C169" s="28" t="inlineStr">
        <is>
          <t>COCOON</t>
        </is>
      </c>
      <c r="D169" s="29" t="inlineStr">
        <is>
          <t>POWER BUTTON (메탈 실버 유광)
[COCOON]</t>
        </is>
      </c>
      <c r="E169" s="28" t="inlineStr">
        <is>
          <t>천우</t>
        </is>
      </c>
      <c r="F169" s="30" t="n"/>
      <c r="G169" s="29">
        <f>IFERROR("["&amp;INDEX(고압진공_재고현황!$A:$A,MATCH($D169,고압진공_재고현황!$E:$E,0))&amp;"] "&amp;INDEX(고압진공_재고현황!$D:$D,MATCH($D169,고압진공_재고현황!$E:$E,0)),IFERROR("[조립] "&amp;INDEX(조립자재_재고현황!$D:$D,MATCH($D169,조립자재_재고현황!$E:$E,0)),""))</f>
        <v/>
      </c>
      <c r="H169" s="31">
        <f>IF(G169="","",COUNTIF($G$2:G169,"?*"))</f>
        <v/>
      </c>
    </row>
    <row r="170" ht="48" customHeight="1">
      <c r="A170" s="48" t="inlineStr">
        <is>
          <t>창고</t>
        </is>
      </c>
      <c r="B170" s="28" t="inlineStr">
        <is>
          <t>ABS 난연</t>
        </is>
      </c>
      <c r="C170" s="28" t="inlineStr">
        <is>
          <t>COCOON</t>
        </is>
      </c>
      <c r="D170" s="29" t="inlineStr">
        <is>
          <t>BUTTON INDICATOR (ABS 난연 화이트)
[COCOON]</t>
        </is>
      </c>
      <c r="E170" s="28" t="inlineStr">
        <is>
          <t>천우</t>
        </is>
      </c>
      <c r="F170" s="30" t="n"/>
      <c r="G170" s="29">
        <f>IFERROR("["&amp;INDEX(고압진공_재고현황!$A:$A,MATCH($D170,고압진공_재고현황!$E:$E,0))&amp;"] "&amp;INDEX(고압진공_재고현황!$D:$D,MATCH($D170,고압진공_재고현황!$E:$E,0)),IFERROR("[조립] "&amp;INDEX(조립자재_재고현황!$D:$D,MATCH($D170,조립자재_재고현황!$E:$E,0)),""))</f>
        <v/>
      </c>
      <c r="H170" s="31">
        <f>IF(G170="","",COUNTIF($G$2:G170,"?*"))</f>
        <v/>
      </c>
    </row>
    <row r="171" ht="48" customHeight="1">
      <c r="A171" s="48" t="inlineStr">
        <is>
          <t>창고</t>
        </is>
      </c>
      <c r="B171" s="28" t="inlineStr">
        <is>
          <t>ABS 난연</t>
        </is>
      </c>
      <c r="C171" s="28" t="inlineStr">
        <is>
          <t>COCOON</t>
        </is>
      </c>
      <c r="D171" s="29" t="inlineStr">
        <is>
          <t>TOUCH DUMMY (확산 아크릴)
[COCOON]</t>
        </is>
      </c>
      <c r="E171" s="28" t="inlineStr">
        <is>
          <t>천우</t>
        </is>
      </c>
      <c r="F171" s="30" t="n"/>
      <c r="G171" s="29">
        <f>IFERROR("["&amp;INDEX(고압진공_재고현황!$A:$A,MATCH($D171,고압진공_재고현황!$E:$E,0))&amp;"] "&amp;INDEX(고압진공_재고현황!$D:$D,MATCH($D171,고압진공_재고현황!$E:$E,0)),IFERROR("[조립] "&amp;INDEX(조립자재_재고현황!$D:$D,MATCH($D171,조립자재_재고현황!$E:$E,0)),""))</f>
        <v/>
      </c>
      <c r="H171" s="31">
        <f>IF(G171="","",COUNTIF($G$2:G171,"?*"))</f>
        <v/>
      </c>
    </row>
    <row r="172" ht="48" customHeight="1">
      <c r="A172" s="48" t="inlineStr">
        <is>
          <t>창고</t>
        </is>
      </c>
      <c r="B172" s="28" t="inlineStr">
        <is>
          <t>ABS 난연</t>
        </is>
      </c>
      <c r="C172" s="28" t="inlineStr">
        <is>
          <t>COCOON</t>
        </is>
      </c>
      <c r="D172" s="29" t="inlineStr">
        <is>
          <t>LOCK KNOB (메탈 실버 유광)
[COCOON]</t>
        </is>
      </c>
      <c r="E172" s="28" t="inlineStr">
        <is>
          <t>천우</t>
        </is>
      </c>
      <c r="F172" s="30" t="n"/>
      <c r="G172" s="29">
        <f>IFERROR("["&amp;INDEX(고압진공_재고현황!$A:$A,MATCH($D172,고압진공_재고현황!$E:$E,0))&amp;"] "&amp;INDEX(고압진공_재고현황!$D:$D,MATCH($D172,고압진공_재고현황!$E:$E,0)),IFERROR("[조립] "&amp;INDEX(조립자재_재고현황!$D:$D,MATCH($D172,조립자재_재고현황!$E:$E,0)),""))</f>
        <v/>
      </c>
      <c r="H172" s="31">
        <f>IF(G172="","",COUNTIF($G$2:G172,"?*"))</f>
        <v/>
      </c>
    </row>
    <row r="173" ht="48" customHeight="1">
      <c r="A173" s="48" t="inlineStr">
        <is>
          <t>창고</t>
        </is>
      </c>
      <c r="B173" s="28" t="inlineStr">
        <is>
          <t>ABS 난연</t>
        </is>
      </c>
      <c r="C173" s="28" t="inlineStr">
        <is>
          <t>COCOON</t>
        </is>
      </c>
      <c r="D173" s="29" t="inlineStr">
        <is>
          <t>LOCK INNER (메탈 실버)
[COCOON]</t>
        </is>
      </c>
      <c r="E173" s="28" t="inlineStr">
        <is>
          <t>천우</t>
        </is>
      </c>
      <c r="F173" s="30" t="n"/>
      <c r="G173" s="29">
        <f>IFERROR("["&amp;INDEX(고압진공_재고현황!$A:$A,MATCH($D173,고압진공_재고현황!$E:$E,0))&amp;"] "&amp;INDEX(고압진공_재고현황!$D:$D,MATCH($D173,고압진공_재고현황!$E:$E,0)),IFERROR("[조립] "&amp;INDEX(조립자재_재고현황!$D:$D,MATCH($D173,조립자재_재고현황!$E:$E,0)),""))</f>
        <v/>
      </c>
      <c r="H173" s="31">
        <f>IF(G173="","",COUNTIF($G$2:G173,"?*"))</f>
        <v/>
      </c>
    </row>
    <row r="174" ht="48" customHeight="1">
      <c r="A174" s="48" t="inlineStr">
        <is>
          <t>창고</t>
        </is>
      </c>
      <c r="B174" s="28" t="inlineStr">
        <is>
          <t>ABS 난연</t>
        </is>
      </c>
      <c r="C174" s="28" t="inlineStr">
        <is>
          <t>COCOON</t>
        </is>
      </c>
      <c r="D174" s="29" t="inlineStr">
        <is>
          <t>FRONT_S (18cm) (블랙 유광)
[COCOON]</t>
        </is>
      </c>
      <c r="E174" s="28" t="inlineStr">
        <is>
          <t>천우</t>
        </is>
      </c>
      <c r="F174" s="30" t="n"/>
      <c r="G174" s="29">
        <f>IFERROR("["&amp;INDEX(고압진공_재고현황!$A:$A,MATCH($D174,고압진공_재고현황!$E:$E,0))&amp;"] "&amp;INDEX(고압진공_재고현황!$D:$D,MATCH($D174,고압진공_재고현황!$E:$E,0)),IFERROR("[조립] "&amp;INDEX(조립자재_재고현황!$D:$D,MATCH($D174,조립자재_재고현황!$E:$E,0)),""))</f>
        <v/>
      </c>
      <c r="H174" s="31">
        <f>IF(G174="","",COUNTIF($G$2:G174,"?*"))</f>
        <v/>
      </c>
    </row>
    <row r="175" ht="48" customHeight="1">
      <c r="A175" s="48" t="inlineStr">
        <is>
          <t>창고</t>
        </is>
      </c>
      <c r="B175" s="28" t="inlineStr">
        <is>
          <t>ABS 난연</t>
        </is>
      </c>
      <c r="C175" s="28" t="inlineStr">
        <is>
          <t>COCOON</t>
        </is>
      </c>
      <c r="D175" s="29" t="inlineStr">
        <is>
          <t>FRONT_L (20cm) (ABS 난연 블랙 + 블랙 유광)
[COCOON]</t>
        </is>
      </c>
      <c r="E175" s="28" t="inlineStr">
        <is>
          <t>천우</t>
        </is>
      </c>
      <c r="F175" s="30" t="n"/>
      <c r="G175" s="29">
        <f>IFERROR("["&amp;INDEX(고압진공_재고현황!$A:$A,MATCH($D175,고압진공_재고현황!$E:$E,0))&amp;"] "&amp;INDEX(고압진공_재고현황!$D:$D,MATCH($D175,고압진공_재고현황!$E:$E,0)),IFERROR("[조립] "&amp;INDEX(조립자재_재고현황!$D:$D,MATCH($D175,조립자재_재고현황!$E:$E,0)),""))</f>
        <v/>
      </c>
      <c r="H175" s="31">
        <f>IF(G175="","",COUNTIF($G$2:G175,"?*"))</f>
        <v/>
      </c>
    </row>
    <row r="176" ht="48" customHeight="1">
      <c r="A176" s="48" t="inlineStr">
        <is>
          <t>창고</t>
        </is>
      </c>
      <c r="B176" s="28" t="inlineStr">
        <is>
          <t>ABS 난연</t>
        </is>
      </c>
      <c r="C176" s="28" t="inlineStr">
        <is>
          <t>COCOON</t>
        </is>
      </c>
      <c r="D176" s="29" t="inlineStr">
        <is>
          <t>FRONT_CAP (블랙 유광)
[COCOON]</t>
        </is>
      </c>
      <c r="E176" s="28" t="inlineStr">
        <is>
          <t>천우</t>
        </is>
      </c>
      <c r="F176" s="30" t="n"/>
      <c r="G176" s="29">
        <f>IFERROR("["&amp;INDEX(고압진공_재고현황!$A:$A,MATCH($D176,고압진공_재고현황!$E:$E,0))&amp;"] "&amp;INDEX(고압진공_재고현황!$D:$D,MATCH($D176,고압진공_재고현황!$E:$E,0)),IFERROR("[조립] "&amp;INDEX(조립자재_재고현황!$D:$D,MATCH($D176,조립자재_재고현황!$E:$E,0)),""))</f>
        <v/>
      </c>
      <c r="H176" s="31">
        <f>IF(G176="","",COUNTIF($G$2:G176,"?*"))</f>
        <v/>
      </c>
    </row>
    <row r="177" ht="48" customHeight="1">
      <c r="A177" s="48" t="inlineStr">
        <is>
          <t>창고</t>
        </is>
      </c>
      <c r="B177" s="28" t="inlineStr">
        <is>
          <t>ABS 난연</t>
        </is>
      </c>
      <c r="C177" s="28" t="inlineStr">
        <is>
          <t>COCOON</t>
        </is>
      </c>
      <c r="D177" s="29" t="inlineStr">
        <is>
          <t>에이밍 앞 사출 (블랙 유광)
[COCOON]</t>
        </is>
      </c>
      <c r="E177" s="28" t="inlineStr">
        <is>
          <t>천우</t>
        </is>
      </c>
      <c r="F177" s="30" t="n"/>
      <c r="G177" s="29">
        <f>IFERROR("["&amp;INDEX(고압진공_재고현황!$A:$A,MATCH($D177,고압진공_재고현황!$E:$E,0))&amp;"] "&amp;INDEX(고압진공_재고현황!$D:$D,MATCH($D177,고압진공_재고현황!$E:$E,0)),IFERROR("[조립] "&amp;INDEX(조립자재_재고현황!$D:$D,MATCH($D177,조립자재_재고현황!$E:$E,0)),""))</f>
        <v/>
      </c>
      <c r="H177" s="31">
        <f>IF(G177="","",COUNTIF($G$2:G177,"?*"))</f>
        <v/>
      </c>
    </row>
    <row r="178" ht="48" customHeight="1">
      <c r="A178" s="48" t="inlineStr">
        <is>
          <t>창고</t>
        </is>
      </c>
      <c r="B178" s="28" t="inlineStr">
        <is>
          <t>ABS 난연</t>
        </is>
      </c>
      <c r="C178" s="28" t="inlineStr">
        <is>
          <t>COCOON</t>
        </is>
      </c>
      <c r="D178" s="29" t="inlineStr">
        <is>
          <t>CONE GUIDE_S (18cm) (ABS 난연 화이트)
[COCOON]</t>
        </is>
      </c>
      <c r="E178" s="28" t="inlineStr">
        <is>
          <t>천우</t>
        </is>
      </c>
      <c r="F178" s="30" t="n"/>
      <c r="G178" s="29">
        <f>IFERROR("["&amp;INDEX(고압진공_재고현황!$A:$A,MATCH($D178,고압진공_재고현황!$E:$E,0))&amp;"] "&amp;INDEX(고압진공_재고현황!$D:$D,MATCH($D178,고압진공_재고현황!$E:$E,0)),IFERROR("[조립] "&amp;INDEX(조립자재_재고현황!$D:$D,MATCH($D178,조립자재_재고현황!$E:$E,0)),""))</f>
        <v/>
      </c>
      <c r="H178" s="31">
        <f>IF(G178="","",COUNTIF($G$2:G178,"?*"))</f>
        <v/>
      </c>
    </row>
    <row r="179" ht="48" customHeight="1">
      <c r="A179" s="48" t="inlineStr">
        <is>
          <t>창고</t>
        </is>
      </c>
      <c r="B179" s="28" t="inlineStr">
        <is>
          <t>ABS 난연</t>
        </is>
      </c>
      <c r="C179" s="28" t="inlineStr">
        <is>
          <t>COCOON</t>
        </is>
      </c>
      <c r="D179" s="29" t="inlineStr">
        <is>
          <t>CONE GUIDE_L (20cm) (ABS 난연 화이트)
[COCOON]</t>
        </is>
      </c>
      <c r="E179" s="28" t="inlineStr">
        <is>
          <t>천우</t>
        </is>
      </c>
      <c r="F179" s="30" t="n"/>
      <c r="G179" s="29">
        <f>IFERROR("["&amp;INDEX(고압진공_재고현황!$A:$A,MATCH($D179,고압진공_재고현황!$E:$E,0))&amp;"] "&amp;INDEX(고압진공_재고현황!$D:$D,MATCH($D179,고압진공_재고현황!$E:$E,0)),IFERROR("[조립] "&amp;INDEX(조립자재_재고현황!$D:$D,MATCH($D179,조립자재_재고현황!$E:$E,0)),""))</f>
        <v/>
      </c>
      <c r="H179" s="31">
        <f>IF(G179="","",COUNTIF($G$2:G179,"?*"))</f>
        <v/>
      </c>
    </row>
    <row r="180" ht="48" customHeight="1">
      <c r="A180" s="48" t="inlineStr">
        <is>
          <t>창고</t>
        </is>
      </c>
      <c r="B180" s="28" t="inlineStr">
        <is>
          <t>ABS 난연</t>
        </is>
      </c>
      <c r="C180" s="28" t="inlineStr">
        <is>
          <t>COCOON</t>
        </is>
      </c>
      <c r="D180" s="29" t="inlineStr">
        <is>
          <t>HAND BODY (메탈 실버 유광)
[COCOON]</t>
        </is>
      </c>
      <c r="E180" s="28" t="inlineStr">
        <is>
          <t>천우</t>
        </is>
      </c>
      <c r="F180" s="30" t="n"/>
      <c r="G180" s="29">
        <f>IFERROR("["&amp;INDEX(고압진공_재고현황!$A:$A,MATCH($D180,고압진공_재고현황!$E:$E,0))&amp;"] "&amp;INDEX(고압진공_재고현황!$D:$D,MATCH($D180,고압진공_재고현황!$E:$E,0)),IFERROR("[조립] "&amp;INDEX(조립자재_재고현황!$D:$D,MATCH($D180,조립자재_재고현황!$E:$E,0)),""))</f>
        <v/>
      </c>
      <c r="H180" s="31">
        <f>IF(G180="","",COUNTIF($G$2:G180,"?*"))</f>
        <v/>
      </c>
    </row>
    <row r="181" ht="48" customHeight="1">
      <c r="A181" s="48" t="inlineStr">
        <is>
          <t>창고</t>
        </is>
      </c>
      <c r="B181" s="28" t="inlineStr">
        <is>
          <t>ABS 난연</t>
        </is>
      </c>
      <c r="C181" s="28" t="inlineStr">
        <is>
          <t>COCOON</t>
        </is>
      </c>
      <c r="D181" s="29" t="inlineStr">
        <is>
          <t>HAND TOP COVER (메탈 실버)
[COCOON]</t>
        </is>
      </c>
      <c r="E181" s="28" t="inlineStr">
        <is>
          <t>천우</t>
        </is>
      </c>
      <c r="F181" s="30" t="n"/>
      <c r="G181" s="29">
        <f>IFERROR("["&amp;INDEX(고압진공_재고현황!$A:$A,MATCH($D181,고압진공_재고현황!$E:$E,0))&amp;"] "&amp;INDEX(고압진공_재고현황!$D:$D,MATCH($D181,고압진공_재고현황!$E:$E,0)),IFERROR("[조립] "&amp;INDEX(조립자재_재고현황!$D:$D,MATCH($D181,조립자재_재고현황!$E:$E,0)),""))</f>
        <v/>
      </c>
      <c r="H181" s="31">
        <f>IF(G181="","",COUNTIF($G$2:G181,"?*"))</f>
        <v/>
      </c>
    </row>
    <row r="182" ht="48" customHeight="1">
      <c r="A182" s="48" t="inlineStr">
        <is>
          <t>창고</t>
        </is>
      </c>
      <c r="B182" s="28" t="inlineStr">
        <is>
          <t>ABS 난연</t>
        </is>
      </c>
      <c r="C182" s="28" t="inlineStr">
        <is>
          <t>COCOON</t>
        </is>
      </c>
      <c r="D182" s="29" t="inlineStr">
        <is>
          <t>BAT BOTTOM (블랙 유광)
[COCOON]</t>
        </is>
      </c>
      <c r="E182" s="28" t="inlineStr">
        <is>
          <t>천우</t>
        </is>
      </c>
      <c r="F182" s="30" t="n"/>
      <c r="G182" s="29">
        <f>IFERROR("["&amp;INDEX(고압진공_재고현황!$A:$A,MATCH($D182,고압진공_재고현황!$E:$E,0))&amp;"] "&amp;INDEX(고압진공_재고현황!$D:$D,MATCH($D182,고압진공_재고현황!$E:$E,0)),IFERROR("[조립] "&amp;INDEX(조립자재_재고현황!$D:$D,MATCH($D182,조립자재_재고현황!$E:$E,0)),""))</f>
        <v/>
      </c>
      <c r="H182" s="31">
        <f>IF(G182="","",COUNTIF($G$2:G182,"?*"))</f>
        <v/>
      </c>
    </row>
    <row r="183" ht="48" customHeight="1">
      <c r="A183" s="48" t="inlineStr">
        <is>
          <t>창고</t>
        </is>
      </c>
      <c r="B183" s="28" t="inlineStr">
        <is>
          <t>ABS 난연</t>
        </is>
      </c>
      <c r="C183" s="28" t="inlineStr">
        <is>
          <t>COCOON</t>
        </is>
      </c>
      <c r="D183" s="29" t="inlineStr">
        <is>
          <t>CRADLE BODY BUTTON X (ABS 난연 블랙 + 블랙 유광)
[COCOON]</t>
        </is>
      </c>
      <c r="E183" s="28" t="inlineStr">
        <is>
          <t>천우</t>
        </is>
      </c>
      <c r="F183" s="30" t="n"/>
      <c r="G183" s="29">
        <f>IFERROR("["&amp;INDEX(고압진공_재고현황!$A:$A,MATCH($D183,고압진공_재고현황!$E:$E,0))&amp;"] "&amp;INDEX(고압진공_재고현황!$D:$D,MATCH($D183,고압진공_재고현황!$E:$E,0)),IFERROR("[조립] "&amp;INDEX(조립자재_재고현황!$D:$D,MATCH($D183,조립자재_재고현황!$E:$E,0)),""))</f>
        <v/>
      </c>
      <c r="H183" s="31">
        <f>IF(G183="","",COUNTIF($G$2:G183,"?*"))</f>
        <v/>
      </c>
    </row>
    <row r="184" ht="48" customHeight="1">
      <c r="A184" s="48" t="inlineStr">
        <is>
          <t>창고</t>
        </is>
      </c>
      <c r="B184" s="28" t="inlineStr">
        <is>
          <t>ABS 난연</t>
        </is>
      </c>
      <c r="C184" s="28" t="inlineStr">
        <is>
          <t>COCOON</t>
        </is>
      </c>
      <c r="D184" s="29" t="inlineStr">
        <is>
          <t>CRADLE BOTTOM (블랙 유광)
[COCOON]</t>
        </is>
      </c>
      <c r="E184" s="28" t="inlineStr">
        <is>
          <t>천우</t>
        </is>
      </c>
      <c r="F184" s="30" t="n"/>
      <c r="G184" s="29">
        <f>IFERROR("["&amp;INDEX(고압진공_재고현황!$A:$A,MATCH($D184,고압진공_재고현황!$E:$E,0))&amp;"] "&amp;INDEX(고압진공_재고현황!$D:$D,MATCH($D184,고압진공_재고현황!$E:$E,0)),IFERROR("[조립] "&amp;INDEX(조립자재_재고현황!$D:$D,MATCH($D184,조립자재_재고현황!$E:$E,0)),""))</f>
        <v/>
      </c>
      <c r="H184" s="31">
        <f>IF(G184="","",COUNTIF($G$2:G184,"?*"))</f>
        <v/>
      </c>
    </row>
    <row r="185" ht="48" customHeight="1">
      <c r="A185" s="48" t="inlineStr">
        <is>
          <t>창고</t>
        </is>
      </c>
      <c r="B185" s="28" t="inlineStr">
        <is>
          <t>도금용 ABS</t>
        </is>
      </c>
      <c r="C185" s="28" t="inlineStr">
        <is>
          <t>COCOON</t>
        </is>
      </c>
      <c r="D185" s="29" t="inlineStr">
        <is>
          <t>CRADLE FRAME (도금용 사출 + 크롬 도금)
[COCOON]</t>
        </is>
      </c>
      <c r="E185" s="28" t="inlineStr">
        <is>
          <t>천우</t>
        </is>
      </c>
      <c r="F185" s="30" t="n"/>
      <c r="G185" s="29">
        <f>IFERROR("["&amp;INDEX(고압진공_재고현황!$A:$A,MATCH($D185,고압진공_재고현황!$E:$E,0))&amp;"] "&amp;INDEX(고압진공_재고현황!$D:$D,MATCH($D185,고압진공_재고현황!$E:$E,0)),IFERROR("[조립] "&amp;INDEX(조립자재_재고현황!$D:$D,MATCH($D185,조립자재_재고현황!$E:$E,0)),""))</f>
        <v/>
      </c>
      <c r="H185" s="31">
        <f>IF(G185="","",COUNTIF($G$2:G185,"?*"))</f>
        <v/>
      </c>
    </row>
    <row r="186" ht="48" customHeight="1">
      <c r="A186" s="48" t="inlineStr">
        <is>
          <t>창고</t>
        </is>
      </c>
      <c r="B186" s="28" t="inlineStr">
        <is>
          <t>ABS 난연</t>
        </is>
      </c>
      <c r="C186" s="28" t="inlineStr">
        <is>
          <t>COCOON</t>
        </is>
      </c>
      <c r="D186" s="29" t="inlineStr">
        <is>
          <t>SHOT BUTTON (ABS 난연 화이트 + 오렌지 유광)
[COCOON]</t>
        </is>
      </c>
      <c r="E186" s="28" t="inlineStr">
        <is>
          <t>천우</t>
        </is>
      </c>
      <c r="F186" s="30" t="n"/>
      <c r="G186" s="29">
        <f>IFERROR("["&amp;INDEX(고압진공_재고현황!$A:$A,MATCH($D186,고압진공_재고현황!$E:$E,0))&amp;"] "&amp;INDEX(고압진공_재고현황!$D:$D,MATCH($D186,고압진공_재고현황!$E:$E,0)),IFERROR("[조립] "&amp;INDEX(조립자재_재고현황!$D:$D,MATCH($D186,조립자재_재고현황!$E:$E,0)),""))</f>
        <v/>
      </c>
      <c r="H186" s="31">
        <f>IF(G186="","",COUNTIF($G$2:G186,"?*"))</f>
        <v/>
      </c>
    </row>
    <row r="187" ht="48" customHeight="1">
      <c r="A187" s="48" t="inlineStr">
        <is>
          <t>창고</t>
        </is>
      </c>
      <c r="B187" s="28" t="inlineStr">
        <is>
          <t>ABS 난연</t>
        </is>
      </c>
      <c r="C187" s="28" t="inlineStr">
        <is>
          <t>COCOON</t>
        </is>
      </c>
      <c r="D187" s="29" t="inlineStr">
        <is>
          <t>SHOT PCB GUIDE (ABS 난연 화이트)
[COCOON]</t>
        </is>
      </c>
      <c r="E187" s="28" t="inlineStr">
        <is>
          <t>천우</t>
        </is>
      </c>
      <c r="F187" s="30" t="n"/>
      <c r="G187" s="29">
        <f>IFERROR("["&amp;INDEX(고압진공_재고현황!$A:$A,MATCH($D187,고압진공_재고현황!$E:$E,0))&amp;"] "&amp;INDEX(고압진공_재고현황!$D:$D,MATCH($D187,고압진공_재고현황!$E:$E,0)),IFERROR("[조립] "&amp;INDEX(조립자재_재고현황!$D:$D,MATCH($D187,조립자재_재고현황!$E:$E,0)),""))</f>
        <v/>
      </c>
      <c r="H187" s="31">
        <f>IF(G187="","",COUNTIF($G$2:G187,"?*"))</f>
        <v/>
      </c>
    </row>
    <row r="188" ht="48" customHeight="1">
      <c r="A188" s="48" t="inlineStr">
        <is>
          <t>창고</t>
        </is>
      </c>
      <c r="B188" s="28" t="inlineStr">
        <is>
          <t>ABS 난연</t>
        </is>
      </c>
      <c r="C188" s="28" t="inlineStr">
        <is>
          <t>COCOON</t>
        </is>
      </c>
      <c r="D188" s="29" t="inlineStr">
        <is>
          <t>SLIDE SWITCH (ABS 난연 화이트 + 레드 유광)
[COCOON]</t>
        </is>
      </c>
      <c r="E188" s="28" t="inlineStr">
        <is>
          <t>천우</t>
        </is>
      </c>
      <c r="F188" s="30" t="n"/>
      <c r="G188" s="29">
        <f>IFERROR("["&amp;INDEX(고압진공_재고현황!$A:$A,MATCH($D188,고압진공_재고현황!$E:$E,0))&amp;"] "&amp;INDEX(고압진공_재고현황!$D:$D,MATCH($D188,고압진공_재고현황!$E:$E,0)),IFERROR("[조립] "&amp;INDEX(조립자재_재고현황!$D:$D,MATCH($D188,조립자재_재고현황!$E:$E,0)),""))</f>
        <v/>
      </c>
      <c r="H188" s="31">
        <f>IF(G188="","",COUNTIF($G$2:G188,"?*"))</f>
        <v/>
      </c>
    </row>
    <row r="189" ht="48" customHeight="1">
      <c r="A189" s="48" t="inlineStr">
        <is>
          <t>창고</t>
        </is>
      </c>
      <c r="B189" s="28" t="inlineStr">
        <is>
          <t>ABS 난연</t>
        </is>
      </c>
      <c r="C189" s="28" t="inlineStr">
        <is>
          <t>COCOON</t>
        </is>
      </c>
      <c r="D189" s="29" t="inlineStr">
        <is>
          <t>SLIDE CAP (ABS 난연 화이트 + 레드 유광)
[COCOON]</t>
        </is>
      </c>
      <c r="E189" s="28" t="inlineStr">
        <is>
          <t>천우</t>
        </is>
      </c>
      <c r="F189" s="30" t="n"/>
      <c r="G189" s="29">
        <f>IFERROR("["&amp;INDEX(고압진공_재고현황!$A:$A,MATCH($D189,고압진공_재고현황!$E:$E,0))&amp;"] "&amp;INDEX(고압진공_재고현황!$D:$D,MATCH($D189,고압진공_재고현황!$E:$E,0)),IFERROR("[조립] "&amp;INDEX(조립자재_재고현황!$D:$D,MATCH($D189,조립자재_재고현황!$E:$E,0)),""))</f>
        <v/>
      </c>
      <c r="H189" s="31">
        <f>IF(G189="","",COUNTIF($G$2:G189,"?*"))</f>
        <v/>
      </c>
    </row>
    <row r="190" ht="48" customHeight="1">
      <c r="A190" s="48" t="inlineStr">
        <is>
          <t>창고</t>
        </is>
      </c>
      <c r="B190" s="28" t="inlineStr">
        <is>
          <t>ABS 난연</t>
        </is>
      </c>
      <c r="C190" s="28" t="inlineStr">
        <is>
          <t>COCOON</t>
        </is>
      </c>
      <c r="D190" s="29" t="inlineStr">
        <is>
          <t>GER GUIDE (ABS 난연 화이트)
[COCOON]</t>
        </is>
      </c>
      <c r="E190" s="28" t="inlineStr">
        <is>
          <t>천우</t>
        </is>
      </c>
      <c r="F190" s="30" t="n"/>
      <c r="G190" s="29">
        <f>IFERROR("["&amp;INDEX(고압진공_재고현황!$A:$A,MATCH($D190,고압진공_재고현황!$E:$E,0))&amp;"] "&amp;INDEX(고압진공_재고현황!$D:$D,MATCH($D190,고압진공_재고현황!$E:$E,0)),IFERROR("[조립] "&amp;INDEX(조립자재_재고현황!$D:$D,MATCH($D190,조립자재_재고현황!$E:$E,0)),""))</f>
        <v/>
      </c>
      <c r="H190" s="31">
        <f>IF(G190="","",COUNTIF($G$2:G190,"?*"))</f>
        <v/>
      </c>
    </row>
    <row r="191" ht="48" customHeight="1">
      <c r="A191" s="48" t="inlineStr">
        <is>
          <t>창고</t>
        </is>
      </c>
      <c r="B191" s="28" t="inlineStr">
        <is>
          <t>ABS 난연</t>
        </is>
      </c>
      <c r="C191" s="28" t="inlineStr">
        <is>
          <t>COCOON</t>
        </is>
      </c>
      <c r="D191" s="29" t="inlineStr">
        <is>
          <t>에이밍 LED BODY 신형 A
[COCOON]</t>
        </is>
      </c>
      <c r="E191" s="28" t="inlineStr">
        <is>
          <t>오비스코리아</t>
        </is>
      </c>
      <c r="F191" s="30" t="n"/>
      <c r="G191" s="29">
        <f>IFERROR("["&amp;INDEX(고압진공_재고현황!$A:$A,MATCH($D191,고압진공_재고현황!$E:$E,0))&amp;"] "&amp;INDEX(고압진공_재고현황!$D:$D,MATCH($D191,고압진공_재고현황!$E:$E,0)),IFERROR("[조립] "&amp;INDEX(조립자재_재고현황!$D:$D,MATCH($D191,조립자재_재고현황!$E:$E,0)),""))</f>
        <v/>
      </c>
      <c r="H191" s="31">
        <f>IF(G191="","",COUNTIF($G$2:G191,"?*"))</f>
        <v/>
      </c>
    </row>
    <row r="192" ht="48" customHeight="1">
      <c r="A192" s="48" t="inlineStr">
        <is>
          <t>창고</t>
        </is>
      </c>
      <c r="B192" s="28" t="inlineStr">
        <is>
          <t>ABS 난연</t>
        </is>
      </c>
      <c r="C192" s="28" t="inlineStr">
        <is>
          <t>COCOON</t>
        </is>
      </c>
      <c r="D192" s="29" t="inlineStr">
        <is>
          <t>에이밍 LED BODY 신형 B
[COCOON]</t>
        </is>
      </c>
      <c r="E192" s="28" t="inlineStr">
        <is>
          <t>오비스코리아</t>
        </is>
      </c>
      <c r="F192" s="30" t="n"/>
      <c r="G192" s="29">
        <f>IFERROR("["&amp;INDEX(고압진공_재고현황!$A:$A,MATCH($D192,고압진공_재고현황!$E:$E,0))&amp;"] "&amp;INDEX(고압진공_재고현황!$D:$D,MATCH($D192,고압진공_재고현황!$E:$E,0)),IFERROR("[조립] "&amp;INDEX(조립자재_재고현황!$D:$D,MATCH($D192,조립자재_재고현황!$E:$E,0)),""))</f>
        <v/>
      </c>
      <c r="H192" s="31">
        <f>IF(G192="","",COUNTIF($G$2:G192,"?*"))</f>
        <v/>
      </c>
    </row>
    <row r="193" ht="48" customHeight="1">
      <c r="A193" s="48" t="inlineStr">
        <is>
          <t>창고</t>
        </is>
      </c>
      <c r="B193" s="28" t="inlineStr">
        <is>
          <t>ABS 난연</t>
        </is>
      </c>
      <c r="C193" s="28" t="inlineStr">
        <is>
          <t>COCOON</t>
        </is>
      </c>
      <c r="D193" s="29" t="inlineStr">
        <is>
          <t>에이밍 방사구 젠더
[COCOON]</t>
        </is>
      </c>
      <c r="E193" s="28" t="inlineStr">
        <is>
          <t>다우정밀</t>
        </is>
      </c>
      <c r="F193" s="30" t="n"/>
      <c r="G193" s="29">
        <f>IFERROR("["&amp;INDEX(고압진공_재고현황!$A:$A,MATCH($D193,고압진공_재고현황!$E:$E,0))&amp;"] "&amp;INDEX(고압진공_재고현황!$D:$D,MATCH($D193,고압진공_재고현황!$E:$E,0)),IFERROR("[조립] "&amp;INDEX(조립자재_재고현황!$D:$D,MATCH($D193,조립자재_재고현황!$E:$E,0)),""))</f>
        <v/>
      </c>
      <c r="H193" s="31">
        <f>IF(G193="","",COUNTIF($G$2:G193,"?*"))</f>
        <v/>
      </c>
    </row>
    <row r="194" ht="48" customHeight="1">
      <c r="A194" s="48" t="inlineStr">
        <is>
          <t>창고</t>
        </is>
      </c>
      <c r="B194" s="28" t="inlineStr">
        <is>
          <t>아크릴</t>
        </is>
      </c>
      <c r="C194" s="28" t="inlineStr">
        <is>
          <t>COCOON</t>
        </is>
      </c>
      <c r="D194" s="29" t="inlineStr">
        <is>
          <t>WINDOW (투명 아크릴 + 실크 인쇄 로고O)
[COCOON]</t>
        </is>
      </c>
      <c r="E194" s="28" t="inlineStr">
        <is>
          <t>우민테크</t>
        </is>
      </c>
      <c r="F194" s="30" t="n"/>
      <c r="G194" s="29">
        <f>IFERROR("["&amp;INDEX(고압진공_재고현황!$A:$A,MATCH($D194,고압진공_재고현황!$E:$E,0))&amp;"] "&amp;INDEX(고압진공_재고현황!$D:$D,MATCH($D194,고압진공_재고현황!$E:$E,0)),IFERROR("[조립] "&amp;INDEX(조립자재_재고현황!$D:$D,MATCH($D194,조립자재_재고현황!$E:$E,0)),""))</f>
        <v/>
      </c>
      <c r="H194" s="31">
        <f>IF(G194="","",COUNTIF($G$2:G194,"?*"))</f>
        <v/>
      </c>
    </row>
    <row r="195" ht="48" customHeight="1">
      <c r="A195" s="48" t="inlineStr">
        <is>
          <t>창고</t>
        </is>
      </c>
      <c r="B195" s="28" t="inlineStr">
        <is>
          <t>아크릴</t>
        </is>
      </c>
      <c r="C195" s="28" t="inlineStr">
        <is>
          <t>COCOON</t>
        </is>
      </c>
      <c r="D195" s="29" t="inlineStr">
        <is>
          <t>WINDOW (투명 아크릴 + 실크 인쇄 로고X)
[COCOON]</t>
        </is>
      </c>
      <c r="E195" s="28" t="inlineStr">
        <is>
          <t>우민테크</t>
        </is>
      </c>
      <c r="F195" s="30" t="n"/>
      <c r="G195" s="29">
        <f>IFERROR("["&amp;INDEX(고압진공_재고현황!$A:$A,MATCH($D195,고압진공_재고현황!$E:$E,0))&amp;"] "&amp;INDEX(고압진공_재고현황!$D:$D,MATCH($D195,고압진공_재고현황!$E:$E,0)),IFERROR("[조립] "&amp;INDEX(조립자재_재고현황!$D:$D,MATCH($D195,조립자재_재고현황!$E:$E,0)),""))</f>
        <v/>
      </c>
      <c r="H195" s="31">
        <f>IF(G195="","",COUNTIF($G$2:G195,"?*"))</f>
        <v/>
      </c>
    </row>
    <row r="196" ht="48" customHeight="1">
      <c r="A196" s="48" t="inlineStr">
        <is>
          <t>창고</t>
        </is>
      </c>
      <c r="B196" s="28" t="inlineStr">
        <is>
          <t>아크릴</t>
        </is>
      </c>
      <c r="C196" s="28" t="inlineStr">
        <is>
          <t>COCOON</t>
        </is>
      </c>
      <c r="D196" s="29" t="inlineStr">
        <is>
          <t>에이밍 아크릴 은경 (아크릴)
[COCOON]</t>
        </is>
      </c>
      <c r="E196" s="28" t="n"/>
      <c r="F196" s="30" t="n"/>
      <c r="G196" s="29">
        <f>IFERROR("["&amp;INDEX(고압진공_재고현황!$A:$A,MATCH($D196,고압진공_재고현황!$E:$E,0))&amp;"] "&amp;INDEX(고압진공_재고현황!$D:$D,MATCH($D196,고압진공_재고현황!$E:$E,0)),IFERROR("[조립] "&amp;INDEX(조립자재_재고현황!$D:$D,MATCH($D196,조립자재_재고현황!$E:$E,0)),""))</f>
        <v/>
      </c>
      <c r="H196" s="31">
        <f>IF(G196="","",COUNTIF($G$2:G196,"?*"))</f>
        <v/>
      </c>
    </row>
    <row r="197" ht="48" customHeight="1">
      <c r="A197" s="48" t="inlineStr">
        <is>
          <t>창고</t>
        </is>
      </c>
      <c r="B197" s="28" t="inlineStr">
        <is>
          <t>아크릴</t>
        </is>
      </c>
      <c r="C197" s="28" t="inlineStr">
        <is>
          <t>COCOON</t>
        </is>
      </c>
      <c r="D197" s="29" t="inlineStr">
        <is>
          <t>에이밍 십자 아크릴 (사각 모양) (투명 아크릴 + 인쇄)
[COCOON]</t>
        </is>
      </c>
      <c r="E197" s="28" t="n"/>
      <c r="F197" s="30" t="n"/>
      <c r="G197" s="29">
        <f>IFERROR("["&amp;INDEX(고압진공_재고현황!$A:$A,MATCH($D197,고압진공_재고현황!$E:$E,0))&amp;"] "&amp;INDEX(고압진공_재고현황!$D:$D,MATCH($D197,고압진공_재고현황!$E:$E,0)),IFERROR("[조립] "&amp;INDEX(조립자재_재고현황!$D:$D,MATCH($D197,조립자재_재고현황!$E:$E,0)),""))</f>
        <v/>
      </c>
      <c r="H197" s="31">
        <f>IF(G197="","",COUNTIF($G$2:G197,"?*"))</f>
        <v/>
      </c>
    </row>
    <row r="198" ht="48" customHeight="1">
      <c r="A198" s="48" t="inlineStr">
        <is>
          <t>창고</t>
        </is>
      </c>
      <c r="B198" s="28" t="inlineStr">
        <is>
          <t>아크릴</t>
        </is>
      </c>
      <c r="C198" s="28" t="inlineStr">
        <is>
          <t>COCOON</t>
        </is>
      </c>
      <c r="D198" s="29" t="inlineStr">
        <is>
          <t>에이밍 원형 십자 아크릴 (테두리 O) 2.0T (투명 아크릴 + 인쇄 2T - 영국용)
[COCOON]</t>
        </is>
      </c>
      <c r="E198" s="28" t="n"/>
      <c r="F198" s="30" t="n"/>
      <c r="G198" s="29">
        <f>IFERROR("["&amp;INDEX(고압진공_재고현황!$A:$A,MATCH($D198,고압진공_재고현황!$E:$E,0))&amp;"] "&amp;INDEX(고압진공_재고현황!$D:$D,MATCH($D198,고압진공_재고현황!$E:$E,0)),IFERROR("[조립] "&amp;INDEX(조립자재_재고현황!$D:$D,MATCH($D198,조립자재_재고현황!$E:$E,0)),""))</f>
        <v/>
      </c>
      <c r="H198" s="31">
        <f>IF(G198="","",COUNTIF($G$2:G198,"?*"))</f>
        <v/>
      </c>
    </row>
    <row r="199" ht="48" customHeight="1">
      <c r="A199" s="48" t="inlineStr">
        <is>
          <t>창고</t>
        </is>
      </c>
      <c r="B199" s="28" t="inlineStr">
        <is>
          <t>아크릴</t>
        </is>
      </c>
      <c r="C199" s="28" t="inlineStr">
        <is>
          <t>COCOON</t>
        </is>
      </c>
      <c r="D199" s="29" t="inlineStr">
        <is>
          <t>에이밍 원형 십자 아크릴 (테두리 O) 2.0T (투명 아크릴 + 인쇄 2T - 얇은 테두리)
[COCOON]</t>
        </is>
      </c>
      <c r="E199" s="28" t="n"/>
      <c r="F199" s="30" t="n"/>
      <c r="G199" s="29">
        <f>IFERROR("["&amp;INDEX(고압진공_재고현황!$A:$A,MATCH($D199,고압진공_재고현황!$E:$E,0))&amp;"] "&amp;INDEX(고압진공_재고현황!$D:$D,MATCH($D199,고압진공_재고현황!$E:$E,0)),IFERROR("[조립] "&amp;INDEX(조립자재_재고현황!$D:$D,MATCH($D199,조립자재_재고현황!$E:$E,0)),""))</f>
        <v/>
      </c>
      <c r="H199" s="31">
        <f>IF(G199="","",COUNTIF($G$2:G199,"?*"))</f>
        <v/>
      </c>
    </row>
    <row r="200" ht="48" customHeight="1">
      <c r="A200" s="48" t="inlineStr">
        <is>
          <t>창고</t>
        </is>
      </c>
      <c r="B200" s="28" t="inlineStr">
        <is>
          <t>아크릴</t>
        </is>
      </c>
      <c r="C200" s="28" t="inlineStr">
        <is>
          <t>COCOON</t>
        </is>
      </c>
      <c r="D200" s="29" t="inlineStr">
        <is>
          <t>에이밍 원형 십자 아크릴 (테두리 X) 2.0T (투명 아크릴 + 인쇄 2T -사파리용)
[COCOON]</t>
        </is>
      </c>
      <c r="E200" s="28" t="n"/>
      <c r="F200" s="30" t="n"/>
      <c r="G200" s="29">
        <f>IFERROR("["&amp;INDEX(고압진공_재고현황!$A:$A,MATCH($D200,고압진공_재고현황!$E:$E,0))&amp;"] "&amp;INDEX(고압진공_재고현황!$D:$D,MATCH($D200,고압진공_재고현황!$E:$E,0)),IFERROR("[조립] "&amp;INDEX(조립자재_재고현황!$D:$D,MATCH($D200,조립자재_재고현황!$E:$E,0)),""))</f>
        <v/>
      </c>
      <c r="H200" s="31">
        <f>IF(G200="","",COUNTIF($G$2:G200,"?*"))</f>
        <v/>
      </c>
    </row>
    <row r="201" ht="48" customHeight="1">
      <c r="A201" s="48" t="inlineStr">
        <is>
          <t>창고</t>
        </is>
      </c>
      <c r="B201" s="28" t="inlineStr">
        <is>
          <t>AL</t>
        </is>
      </c>
      <c r="C201" s="28" t="inlineStr">
        <is>
          <t>COCOON</t>
        </is>
      </c>
      <c r="D201" s="29" t="inlineStr">
        <is>
          <t>알루미늄 필터 (0.5T * Φ63 코쿤 기본)
[COCOON]</t>
        </is>
      </c>
      <c r="E201" s="28" t="inlineStr">
        <is>
          <t>광전레이저</t>
        </is>
      </c>
      <c r="F201" s="30" t="n"/>
      <c r="G201" s="29">
        <f>IFERROR("["&amp;INDEX(고압진공_재고현황!$A:$A,MATCH($D201,고압진공_재고현황!$E:$E,0))&amp;"] "&amp;INDEX(고압진공_재고현황!$D:$D,MATCH($D201,고압진공_재고현황!$E:$E,0)),IFERROR("[조립] "&amp;INDEX(조립자재_재고현황!$D:$D,MATCH($D201,조립자재_재고현황!$E:$E,0)),""))</f>
        <v/>
      </c>
      <c r="H201" s="31">
        <f>IF(G201="","",COUNTIF($G$2:G201,"?*"))</f>
        <v/>
      </c>
    </row>
    <row r="202" ht="48" customHeight="1">
      <c r="A202" s="48" t="inlineStr">
        <is>
          <t>창고</t>
        </is>
      </c>
      <c r="B202" s="28" t="inlineStr">
        <is>
          <t>RUBBER</t>
        </is>
      </c>
      <c r="C202" s="28" t="inlineStr">
        <is>
          <t>COCOON</t>
        </is>
      </c>
      <c r="D202" s="29" t="inlineStr">
        <is>
          <t>BAT BOTTOM RUBBER (RUBBER)
[COCOON]</t>
        </is>
      </c>
      <c r="E202" s="28" t="inlineStr">
        <is>
          <t>남경화학</t>
        </is>
      </c>
      <c r="F202" s="30" t="n"/>
      <c r="G202" s="29">
        <f>IFERROR("["&amp;INDEX(고압진공_재고현황!$A:$A,MATCH($D202,고압진공_재고현황!$E:$E,0))&amp;"] "&amp;INDEX(고압진공_재고현황!$D:$D,MATCH($D202,고압진공_재고현황!$E:$E,0)),IFERROR("[조립] "&amp;INDEX(조립자재_재고현황!$D:$D,MATCH($D202,조립자재_재고현황!$E:$E,0)),""))</f>
        <v/>
      </c>
      <c r="H202" s="31">
        <f>IF(G202="","",COUNTIF($G$2:G202,"?*"))</f>
        <v/>
      </c>
    </row>
    <row r="203" ht="48" customHeight="1">
      <c r="A203" s="48" t="inlineStr">
        <is>
          <t>창고</t>
        </is>
      </c>
      <c r="B203" s="28" t="inlineStr">
        <is>
          <t>RUBBER</t>
        </is>
      </c>
      <c r="C203" s="28" t="inlineStr">
        <is>
          <t>COCOON</t>
        </is>
      </c>
      <c r="D203" s="29" t="inlineStr">
        <is>
          <t>CRADLE FOOT RUBBER (RUBBER)
[COCOON]</t>
        </is>
      </c>
      <c r="E203" s="28" t="inlineStr">
        <is>
          <t>남경화학</t>
        </is>
      </c>
      <c r="F203" s="30" t="n"/>
      <c r="G203" s="29">
        <f>IFERROR("["&amp;INDEX(고압진공_재고현황!$A:$A,MATCH($D203,고압진공_재고현황!$E:$E,0))&amp;"] "&amp;INDEX(고압진공_재고현황!$D:$D,MATCH($D203,고압진공_재고현황!$E:$E,0)),IFERROR("[조립] "&amp;INDEX(조립자재_재고현황!$D:$D,MATCH($D203,조립자재_재고현황!$E:$E,0)),""))</f>
        <v/>
      </c>
      <c r="H203" s="31">
        <f>IF(G203="","",COUNTIF($G$2:G203,"?*"))</f>
        <v/>
      </c>
    </row>
    <row r="204" ht="48" customHeight="1">
      <c r="A204" s="48" t="inlineStr">
        <is>
          <t>창고</t>
        </is>
      </c>
      <c r="B204" s="28" t="inlineStr">
        <is>
          <t>신주</t>
        </is>
      </c>
      <c r="C204" s="28" t="inlineStr">
        <is>
          <t>COCOON</t>
        </is>
      </c>
      <c r="D204" s="29" t="inlineStr">
        <is>
          <t>CRADLE 신주 핀 (신주 가공 + 니켈 도금)
[COCOON]</t>
        </is>
      </c>
      <c r="E204" s="28" t="inlineStr">
        <is>
          <t>다우정밀</t>
        </is>
      </c>
      <c r="F204" s="30" t="n"/>
      <c r="G204" s="29">
        <f>IFERROR("["&amp;INDEX(고압진공_재고현황!$A:$A,MATCH($D204,고압진공_재고현황!$E:$E,0))&amp;"] "&amp;INDEX(고압진공_재고현황!$D:$D,MATCH($D204,고압진공_재고현황!$E:$E,0)),IFERROR("[조립] "&amp;INDEX(조립자재_재고현황!$D:$D,MATCH($D204,조립자재_재고현황!$E:$E,0)),""))</f>
        <v/>
      </c>
      <c r="H204" s="31">
        <f>IF(G204="","",COUNTIF($G$2:G204,"?*"))</f>
        <v/>
      </c>
    </row>
    <row r="205" ht="48" customHeight="1">
      <c r="A205" s="48" t="inlineStr">
        <is>
          <t>창고</t>
        </is>
      </c>
      <c r="B205" s="28" t="inlineStr">
        <is>
          <t>스프링</t>
        </is>
      </c>
      <c r="C205" s="28" t="inlineStr">
        <is>
          <t>COCOON</t>
        </is>
      </c>
      <c r="D205" s="29" t="inlineStr">
        <is>
          <t>EXP BUTTON 스프링 (스프링)
[COCOON]</t>
        </is>
      </c>
      <c r="E205" s="28" t="inlineStr">
        <is>
          <t>금호스프링</t>
        </is>
      </c>
      <c r="F205" s="30" t="n"/>
      <c r="G205" s="29">
        <f>IFERROR("["&amp;INDEX(고압진공_재고현황!$A:$A,MATCH($D205,고압진공_재고현황!$E:$E,0))&amp;"] "&amp;INDEX(고압진공_재고현황!$D:$D,MATCH($D205,고압진공_재고현황!$E:$E,0)),IFERROR("[조립] "&amp;INDEX(조립자재_재고현황!$D:$D,MATCH($D205,조립자재_재고현황!$E:$E,0)),""))</f>
        <v/>
      </c>
      <c r="H205" s="31">
        <f>IF(G205="","",COUNTIF($G$2:G205,"?*"))</f>
        <v/>
      </c>
    </row>
    <row r="206" ht="48" customHeight="1">
      <c r="A206" s="48" t="inlineStr">
        <is>
          <t>창고</t>
        </is>
      </c>
      <c r="B206" s="28" t="inlineStr">
        <is>
          <t>스프링</t>
        </is>
      </c>
      <c r="C206" s="28" t="inlineStr">
        <is>
          <t>COCOON</t>
        </is>
      </c>
      <c r="D206" s="29" t="inlineStr">
        <is>
          <t>CRADLE 충전단자 스프링 (스프링)
[COCOON]</t>
        </is>
      </c>
      <c r="E206" s="28" t="inlineStr">
        <is>
          <t>금호스프링</t>
        </is>
      </c>
      <c r="F206" s="30" t="n"/>
      <c r="G206" s="29">
        <f>IFERROR("["&amp;INDEX(고압진공_재고현황!$A:$A,MATCH($D206,고압진공_재고현황!$E:$E,0))&amp;"] "&amp;INDEX(고압진공_재고현황!$D:$D,MATCH($D206,고압진공_재고현황!$E:$E,0)),IFERROR("[조립] "&amp;INDEX(조립자재_재고현황!$D:$D,MATCH($D206,조립자재_재고현황!$E:$E,0)),""))</f>
        <v/>
      </c>
      <c r="H206" s="31">
        <f>IF(G206="","",COUNTIF($G$2:G206,"?*"))</f>
        <v/>
      </c>
    </row>
    <row r="207" ht="48" customHeight="1">
      <c r="A207" s="48" t="inlineStr">
        <is>
          <t>창고</t>
        </is>
      </c>
      <c r="B207" s="28" t="inlineStr">
        <is>
          <t>STEEL</t>
        </is>
      </c>
      <c r="C207" s="28" t="inlineStr">
        <is>
          <t>COCOON</t>
        </is>
      </c>
      <c r="D207" s="29" t="inlineStr">
        <is>
          <t>고리 (니켈 도금 D링)
[COCOON]</t>
        </is>
      </c>
      <c r="E207" s="28" t="inlineStr">
        <is>
          <t>굿모닝코리아유통</t>
        </is>
      </c>
      <c r="F207" s="30" t="n"/>
      <c r="G207" s="29">
        <f>IFERROR("["&amp;INDEX(고압진공_재고현황!$A:$A,MATCH($D207,고압진공_재고현황!$E:$E,0))&amp;"] "&amp;INDEX(고압진공_재고현황!$D:$D,MATCH($D207,고압진공_재고현황!$E:$E,0)),IFERROR("[조립] "&amp;INDEX(조립자재_재고현황!$D:$D,MATCH($D207,조립자재_재고현황!$E:$E,0)),""))</f>
        <v/>
      </c>
      <c r="H207" s="31">
        <f>IF(G207="","",COUNTIF($G$2:G207,"?*"))</f>
        <v/>
      </c>
    </row>
    <row r="208" ht="48" customHeight="1">
      <c r="A208" s="48" t="inlineStr">
        <is>
          <t>창고</t>
        </is>
      </c>
      <c r="B208" s="28" t="inlineStr">
        <is>
          <t>자석</t>
        </is>
      </c>
      <c r="C208" s="28" t="inlineStr">
        <is>
          <t>COCOON</t>
        </is>
      </c>
      <c r="D208" s="29" t="inlineStr">
        <is>
          <t>자석 (네오디움 마그넷)
[COCOON]</t>
        </is>
      </c>
      <c r="E208" s="28" t="inlineStr">
        <is>
          <t>일성마그네트</t>
        </is>
      </c>
      <c r="F208" s="30" t="n"/>
      <c r="G208" s="29">
        <f>IFERROR("["&amp;INDEX(고압진공_재고현황!$A:$A,MATCH($D208,고압진공_재고현황!$E:$E,0))&amp;"] "&amp;INDEX(고압진공_재고현황!$D:$D,MATCH($D208,고압진공_재고현황!$E:$E,0)),IFERROR("[조립] "&amp;INDEX(조립자재_재고현황!$D:$D,MATCH($D208,조립자재_재고현황!$E:$E,0)),""))</f>
        <v/>
      </c>
      <c r="H208" s="31">
        <f>IF(G208="","",COUNTIF($G$2:G208,"?*"))</f>
        <v/>
      </c>
    </row>
    <row r="209" ht="48" customHeight="1">
      <c r="A209" s="48" t="inlineStr">
        <is>
          <t>창고</t>
        </is>
      </c>
      <c r="B209" s="28" t="inlineStr">
        <is>
          <t>ABS 난연</t>
        </is>
      </c>
      <c r="C209" s="28" t="inlineStr">
        <is>
          <t>COCOON</t>
        </is>
      </c>
      <c r="D209" s="29" t="inlineStr">
        <is>
          <t>FRONT_S (18cm) (ABS 난연 블랙 + 블랙 무광)
[COCOON]</t>
        </is>
      </c>
      <c r="E209" s="28" t="inlineStr">
        <is>
          <t>천우</t>
        </is>
      </c>
      <c r="F209" s="30" t="n"/>
      <c r="G209" s="29">
        <f>IFERROR("["&amp;INDEX(고압진공_재고현황!$A:$A,MATCH($D209,고압진공_재고현황!$E:$E,0))&amp;"] "&amp;INDEX(고압진공_재고현황!$D:$D,MATCH($D209,고압진공_재고현황!$E:$E,0)),IFERROR("[조립] "&amp;INDEX(조립자재_재고현황!$D:$D,MATCH($D209,조립자재_재고현황!$E:$E,0)),""))</f>
        <v/>
      </c>
      <c r="H209" s="31">
        <f>IF(G209="","",COUNTIF($G$2:G209,"?*"))</f>
        <v/>
      </c>
    </row>
    <row r="210" ht="48" customHeight="1">
      <c r="A210" s="48" t="inlineStr">
        <is>
          <t>창고</t>
        </is>
      </c>
      <c r="B210" s="28" t="inlineStr">
        <is>
          <t>ABS 난연</t>
        </is>
      </c>
      <c r="C210" s="28" t="inlineStr">
        <is>
          <t>COCOON</t>
        </is>
      </c>
      <c r="D210" s="29" t="inlineStr">
        <is>
          <t>FRONT_L (20cm) (ABS 난연 블랙 + 블랙 무광)
[COCOON]</t>
        </is>
      </c>
      <c r="E210" s="28" t="inlineStr">
        <is>
          <t>천우</t>
        </is>
      </c>
      <c r="F210" s="30" t="n"/>
      <c r="G210" s="29">
        <f>IFERROR("["&amp;INDEX(고압진공_재고현황!$A:$A,MATCH($D210,고압진공_재고현황!$E:$E,0))&amp;"] "&amp;INDEX(고압진공_재고현황!$D:$D,MATCH($D210,고압진공_재고현황!$E:$E,0)),IFERROR("[조립] "&amp;INDEX(조립자재_재고현황!$D:$D,MATCH($D210,조립자재_재고현황!$E:$E,0)),""))</f>
        <v/>
      </c>
      <c r="H210" s="31">
        <f>IF(G210="","",COUNTIF($G$2:G210,"?*"))</f>
        <v/>
      </c>
    </row>
    <row r="211" ht="48" customHeight="1">
      <c r="A211" s="48" t="inlineStr">
        <is>
          <t>창고</t>
        </is>
      </c>
      <c r="B211" s="28" t="inlineStr">
        <is>
          <t>ABS 난연</t>
        </is>
      </c>
      <c r="C211" s="28" t="inlineStr">
        <is>
          <t>COCOON</t>
        </is>
      </c>
      <c r="D211" s="29" t="inlineStr">
        <is>
          <t>FRONT_CAP (ABS 난연 블랙 + 블랙 무광)
[COCOON]</t>
        </is>
      </c>
      <c r="E211" s="28" t="inlineStr">
        <is>
          <t>천우</t>
        </is>
      </c>
      <c r="F211" s="30" t="n"/>
      <c r="G211" s="29">
        <f>IFERROR("["&amp;INDEX(고압진공_재고현황!$A:$A,MATCH($D211,고압진공_재고현황!$E:$E,0))&amp;"] "&amp;INDEX(고압진공_재고현황!$D:$D,MATCH($D211,고압진공_재고현황!$E:$E,0)),IFERROR("[조립] "&amp;INDEX(조립자재_재고현황!$D:$D,MATCH($D211,조립자재_재고현황!$E:$E,0)),""))</f>
        <v/>
      </c>
      <c r="H211" s="31">
        <f>IF(G211="","",COUNTIF($G$2:G211,"?*"))</f>
        <v/>
      </c>
    </row>
    <row r="212" ht="48" customHeight="1">
      <c r="A212" s="48" t="inlineStr">
        <is>
          <t>창고</t>
        </is>
      </c>
      <c r="B212" s="28" t="inlineStr">
        <is>
          <t>ABS 난연</t>
        </is>
      </c>
      <c r="C212" s="28" t="inlineStr">
        <is>
          <t>COCOON</t>
        </is>
      </c>
      <c r="D212" s="29" t="inlineStr">
        <is>
          <t>에이밍 앞 사출 (블랙 무광)
[COCOON]</t>
        </is>
      </c>
      <c r="E212" s="28" t="inlineStr">
        <is>
          <t>천우</t>
        </is>
      </c>
      <c r="F212" s="30" t="n"/>
      <c r="G212" s="29">
        <f>IFERROR("["&amp;INDEX(고압진공_재고현황!$A:$A,MATCH($D212,고압진공_재고현황!$E:$E,0))&amp;"] "&amp;INDEX(고압진공_재고현황!$D:$D,MATCH($D212,고압진공_재고현황!$E:$E,0)),IFERROR("[조립] "&amp;INDEX(조립자재_재고현황!$D:$D,MATCH($D212,조립자재_재고현황!$E:$E,0)),""))</f>
        <v/>
      </c>
      <c r="H212" s="31">
        <f>IF(G212="","",COUNTIF($G$2:G212,"?*"))</f>
        <v/>
      </c>
    </row>
    <row r="213" ht="48" customHeight="1">
      <c r="A213" s="48" t="inlineStr">
        <is>
          <t>창고</t>
        </is>
      </c>
      <c r="B213" s="28" t="inlineStr">
        <is>
          <t>ABS 난연</t>
        </is>
      </c>
      <c r="C213" s="28" t="inlineStr">
        <is>
          <t>COCOON</t>
        </is>
      </c>
      <c r="D213" s="29" t="inlineStr">
        <is>
          <t>POWER BUTTON (ABS 난연 화이트 유광)
[COCOON]</t>
        </is>
      </c>
      <c r="E213" s="28" t="inlineStr">
        <is>
          <t>천우</t>
        </is>
      </c>
      <c r="F213" s="30" t="n"/>
      <c r="G213" s="29">
        <f>IFERROR("["&amp;INDEX(고압진공_재고현황!$A:$A,MATCH($D213,고압진공_재고현황!$E:$E,0))&amp;"] "&amp;INDEX(고압진공_재고현황!$D:$D,MATCH($D213,고압진공_재고현황!$E:$E,0)),IFERROR("[조립] "&amp;INDEX(조립자재_재고현황!$D:$D,MATCH($D213,조립자재_재고현황!$E:$E,0)),""))</f>
        <v/>
      </c>
      <c r="H213" s="31">
        <f>IF(G213="","",COUNTIF($G$2:G213,"?*"))</f>
        <v/>
      </c>
    </row>
    <row r="214" ht="48" customHeight="1">
      <c r="A214" s="48" t="inlineStr">
        <is>
          <t>창고</t>
        </is>
      </c>
      <c r="B214" s="28" t="inlineStr">
        <is>
          <t>ABS 난연</t>
        </is>
      </c>
      <c r="C214" s="28" t="inlineStr">
        <is>
          <t>COCOON</t>
        </is>
      </c>
      <c r="D214" s="29" t="inlineStr">
        <is>
          <t>LOCK KNOB (ABS 난연 화이트 유광)
[COCOON]</t>
        </is>
      </c>
      <c r="E214" s="28" t="inlineStr">
        <is>
          <t>천우</t>
        </is>
      </c>
      <c r="F214" s="30" t="n"/>
      <c r="G214" s="29">
        <f>IFERROR("["&amp;INDEX(고압진공_재고현황!$A:$A,MATCH($D214,고압진공_재고현황!$E:$E,0))&amp;"] "&amp;INDEX(고압진공_재고현황!$D:$D,MATCH($D214,고압진공_재고현황!$E:$E,0)),IFERROR("[조립] "&amp;INDEX(조립자재_재고현황!$D:$D,MATCH($D214,조립자재_재고현황!$E:$E,0)),""))</f>
        <v/>
      </c>
      <c r="H214" s="31">
        <f>IF(G214="","",COUNTIF($G$2:G214,"?*"))</f>
        <v/>
      </c>
    </row>
    <row r="215" ht="48" customHeight="1">
      <c r="A215" s="48" t="inlineStr">
        <is>
          <t>창고</t>
        </is>
      </c>
      <c r="B215" s="28" t="inlineStr">
        <is>
          <t>ABS 난연</t>
        </is>
      </c>
      <c r="C215" s="28" t="inlineStr">
        <is>
          <t>COCOON</t>
        </is>
      </c>
      <c r="D215" s="29" t="inlineStr">
        <is>
          <t>LOCK INNER (ABS 난연 화이트)
[COCOON]</t>
        </is>
      </c>
      <c r="E215" s="28" t="inlineStr">
        <is>
          <t>천우</t>
        </is>
      </c>
      <c r="F215" s="30" t="n"/>
      <c r="G215" s="29">
        <f>IFERROR("["&amp;INDEX(고압진공_재고현황!$A:$A,MATCH($D215,고압진공_재고현황!$E:$E,0))&amp;"] "&amp;INDEX(고압진공_재고현황!$D:$D,MATCH($D215,고압진공_재고현황!$E:$E,0)),IFERROR("[조립] "&amp;INDEX(조립자재_재고현황!$D:$D,MATCH($D215,조립자재_재고현황!$E:$E,0)),""))</f>
        <v/>
      </c>
      <c r="H215" s="31">
        <f>IF(G215="","",COUNTIF($G$2:G215,"?*"))</f>
        <v/>
      </c>
    </row>
    <row r="216" ht="48" customHeight="1">
      <c r="A216" s="48" t="inlineStr">
        <is>
          <t>창고</t>
        </is>
      </c>
      <c r="B216" s="28" t="inlineStr">
        <is>
          <t>ABS 난연</t>
        </is>
      </c>
      <c r="C216" s="28" t="inlineStr">
        <is>
          <t>COCOON</t>
        </is>
      </c>
      <c r="D216" s="29" t="inlineStr">
        <is>
          <t>HAND BODY (ABS 난연 화이트 + 화이트 유광)
[COCOON]</t>
        </is>
      </c>
      <c r="E216" s="28" t="inlineStr">
        <is>
          <t>천우</t>
        </is>
      </c>
      <c r="F216" s="30" t="n"/>
      <c r="G216" s="29">
        <f>IFERROR("["&amp;INDEX(고압진공_재고현황!$A:$A,MATCH($D216,고압진공_재고현황!$E:$E,0))&amp;"] "&amp;INDEX(고압진공_재고현황!$D:$D,MATCH($D216,고압진공_재고현황!$E:$E,0)),IFERROR("[조립] "&amp;INDEX(조립자재_재고현황!$D:$D,MATCH($D216,조립자재_재고현황!$E:$E,0)),""))</f>
        <v/>
      </c>
      <c r="H216" s="31">
        <f>IF(G216="","",COUNTIF($G$2:G216,"?*"))</f>
        <v/>
      </c>
    </row>
    <row r="217" ht="48" customHeight="1">
      <c r="A217" s="48" t="inlineStr">
        <is>
          <t>창고</t>
        </is>
      </c>
      <c r="B217" s="28" t="inlineStr">
        <is>
          <t>ABS 난연</t>
        </is>
      </c>
      <c r="C217" s="28" t="inlineStr">
        <is>
          <t>COCOON</t>
        </is>
      </c>
      <c r="D217" s="29" t="inlineStr">
        <is>
          <t>HAND TOP COVER (ABS 난연 화이트 유광)
[COCOON]</t>
        </is>
      </c>
      <c r="E217" s="28" t="inlineStr">
        <is>
          <t>천우</t>
        </is>
      </c>
      <c r="F217" s="30" t="n"/>
      <c r="G217" s="29">
        <f>IFERROR("["&amp;INDEX(고압진공_재고현황!$A:$A,MATCH($D217,고압진공_재고현황!$E:$E,0))&amp;"] "&amp;INDEX(고압진공_재고현황!$D:$D,MATCH($D217,고압진공_재고현황!$E:$E,0)),IFERROR("[조립] "&amp;INDEX(조립자재_재고현황!$D:$D,MATCH($D217,조립자재_재고현황!$E:$E,0)),""))</f>
        <v/>
      </c>
      <c r="H217" s="31">
        <f>IF(G217="","",COUNTIF($G$2:G217,"?*"))</f>
        <v/>
      </c>
    </row>
    <row r="218" ht="48" customHeight="1">
      <c r="A218" s="48" t="inlineStr">
        <is>
          <t>창고</t>
        </is>
      </c>
      <c r="B218" s="28" t="inlineStr">
        <is>
          <t>ABS 난연</t>
        </is>
      </c>
      <c r="C218" s="28" t="inlineStr">
        <is>
          <t>COCOON</t>
        </is>
      </c>
      <c r="D218" s="29" t="inlineStr">
        <is>
          <t>BAT BOTTOM (ABS 난연 블랙 + 블랙 무광)
[COCOON]</t>
        </is>
      </c>
      <c r="E218" s="28" t="inlineStr">
        <is>
          <t>천우</t>
        </is>
      </c>
      <c r="F218" s="30" t="n"/>
      <c r="G218" s="29">
        <f>IFERROR("["&amp;INDEX(고압진공_재고현황!$A:$A,MATCH($D218,고압진공_재고현황!$E:$E,0))&amp;"] "&amp;INDEX(고압진공_재고현황!$D:$D,MATCH($D218,고압진공_재고현황!$E:$E,0)),IFERROR("[조립] "&amp;INDEX(조립자재_재고현황!$D:$D,MATCH($D218,조립자재_재고현황!$E:$E,0)),""))</f>
        <v/>
      </c>
      <c r="H218" s="31">
        <f>IF(G218="","",COUNTIF($G$2:G218,"?*"))</f>
        <v/>
      </c>
    </row>
    <row r="219" ht="48" customHeight="1">
      <c r="A219" s="48" t="inlineStr">
        <is>
          <t>창고</t>
        </is>
      </c>
      <c r="B219" s="28" t="inlineStr">
        <is>
          <t>PCB</t>
        </is>
      </c>
      <c r="C219" s="28" t="inlineStr">
        <is>
          <t>SOLO</t>
        </is>
      </c>
      <c r="D219" s="29" t="inlineStr">
        <is>
          <t>CTR _BD
[SOLO]</t>
        </is>
      </c>
      <c r="E219" s="28" t="inlineStr">
        <is>
          <t>HLP</t>
        </is>
      </c>
      <c r="F219" s="30" t="n"/>
      <c r="G219" s="29">
        <f>IFERROR("["&amp;INDEX(고압진공_재고현황!$A:$A,MATCH($D219,고압진공_재고현황!$E:$E,0))&amp;"] "&amp;INDEX(고압진공_재고현황!$D:$D,MATCH($D219,고압진공_재고현황!$E:$E,0)),IFERROR("[조립] "&amp;INDEX(조립자재_재고현황!$D:$D,MATCH($D219,조립자재_재고현황!$E:$E,0)),""))</f>
        <v/>
      </c>
      <c r="H219" s="31">
        <f>IF(G219="","",COUNTIF($G$2:G219,"?*"))</f>
        <v/>
      </c>
    </row>
    <row r="220" ht="48" customHeight="1">
      <c r="A220" s="48" t="inlineStr">
        <is>
          <t>창고</t>
        </is>
      </c>
      <c r="B220" s="28" t="inlineStr">
        <is>
          <t>PCB</t>
        </is>
      </c>
      <c r="C220" s="28" t="inlineStr">
        <is>
          <t>SOLO</t>
        </is>
      </c>
      <c r="D220" s="29" t="inlineStr">
        <is>
          <t>OP_BD
[SOLO]</t>
        </is>
      </c>
      <c r="E220" s="28" t="inlineStr">
        <is>
          <t>HLP</t>
        </is>
      </c>
      <c r="F220" s="30" t="n"/>
      <c r="G220" s="29">
        <f>IFERROR("["&amp;INDEX(고압진공_재고현황!$A:$A,MATCH($D220,고압진공_재고현황!$E:$E,0))&amp;"] "&amp;INDEX(고압진공_재고현황!$D:$D,MATCH($D220,고압진공_재고현황!$E:$E,0)),IFERROR("[조립] "&amp;INDEX(조립자재_재고현황!$D:$D,MATCH($D220,조립자재_재고현황!$E:$E,0)),""))</f>
        <v/>
      </c>
      <c r="H220" s="31">
        <f>IF(G220="","",COUNTIF($G$2:G220,"?*"))</f>
        <v/>
      </c>
    </row>
    <row r="221" ht="48" customHeight="1">
      <c r="A221" s="48" t="inlineStr">
        <is>
          <t>창고</t>
        </is>
      </c>
      <c r="B221" s="28" t="inlineStr">
        <is>
          <t>PCB</t>
        </is>
      </c>
      <c r="C221" s="28" t="inlineStr">
        <is>
          <t>SOLO</t>
        </is>
      </c>
      <c r="D221" s="29" t="inlineStr">
        <is>
          <t>POWER_BD
[SOLO]</t>
        </is>
      </c>
      <c r="E221" s="28" t="inlineStr">
        <is>
          <t>HLP</t>
        </is>
      </c>
      <c r="F221" s="30" t="n"/>
      <c r="G221" s="29">
        <f>IFERROR("["&amp;INDEX(고압진공_재고현황!$A:$A,MATCH($D221,고압진공_재고현황!$E:$E,0))&amp;"] "&amp;INDEX(고압진공_재고현황!$D:$D,MATCH($D221,고압진공_재고현황!$E:$E,0)),IFERROR("[조립] "&amp;INDEX(조립자재_재고현황!$D:$D,MATCH($D221,조립자재_재고현황!$E:$E,0)),""))</f>
        <v/>
      </c>
      <c r="H221" s="31">
        <f>IF(G221="","",COUNTIF($G$2:G221,"?*"))</f>
        <v/>
      </c>
    </row>
    <row r="222" ht="48" customHeight="1">
      <c r="A222" s="48" t="inlineStr">
        <is>
          <t>창고</t>
        </is>
      </c>
      <c r="B222" s="28" t="inlineStr">
        <is>
          <t>PCB</t>
        </is>
      </c>
      <c r="C222" s="28" t="inlineStr">
        <is>
          <t>SOLO</t>
        </is>
      </c>
      <c r="D222" s="29" t="inlineStr">
        <is>
          <t>MAIN_BD
[SOLO]</t>
        </is>
      </c>
      <c r="E222" s="28" t="inlineStr">
        <is>
          <t>HLP</t>
        </is>
      </c>
      <c r="F222" s="30" t="n"/>
      <c r="G222" s="29">
        <f>IFERROR("["&amp;INDEX(고압진공_재고현황!$A:$A,MATCH($D222,고압진공_재고현황!$E:$E,0))&amp;"] "&amp;INDEX(고압진공_재고현황!$D:$D,MATCH($D222,고압진공_재고현황!$E:$E,0)),IFERROR("[조립] "&amp;INDEX(조립자재_재고현황!$D:$D,MATCH($D222,조립자재_재고현황!$E:$E,0)),""))</f>
        <v/>
      </c>
      <c r="H222" s="31">
        <f>IF(G222="","",COUNTIF($G$2:G222,"?*"))</f>
        <v/>
      </c>
    </row>
    <row r="223" ht="48" customHeight="1">
      <c r="A223" s="48" t="inlineStr">
        <is>
          <t>창고</t>
        </is>
      </c>
      <c r="B223" s="28" t="inlineStr">
        <is>
          <t>PCB</t>
        </is>
      </c>
      <c r="C223" s="28" t="inlineStr">
        <is>
          <t>SOLO</t>
        </is>
      </c>
      <c r="D223" s="29" t="inlineStr">
        <is>
          <t>리모콘_BD
[SOLO]</t>
        </is>
      </c>
      <c r="E223" s="28" t="inlineStr">
        <is>
          <t>HLP</t>
        </is>
      </c>
      <c r="F223" s="30" t="n"/>
      <c r="G223" s="29">
        <f>IFERROR("["&amp;INDEX(고압진공_재고현황!$A:$A,MATCH($D223,고압진공_재고현황!$E:$E,0))&amp;"] "&amp;INDEX(고압진공_재고현황!$D:$D,MATCH($D223,고압진공_재고현황!$E:$E,0)),IFERROR("[조립] "&amp;INDEX(조립자재_재고현황!$D:$D,MATCH($D223,조립자재_재고현황!$E:$E,0)),""))</f>
        <v/>
      </c>
      <c r="H223" s="31">
        <f>IF(G223="","",COUNTIF($G$2:G223,"?*"))</f>
        <v/>
      </c>
    </row>
    <row r="224" ht="48" customHeight="1">
      <c r="A224" s="48" t="inlineStr">
        <is>
          <t>창고</t>
        </is>
      </c>
      <c r="B224" s="28" t="inlineStr">
        <is>
          <t>PCB</t>
        </is>
      </c>
      <c r="C224" s="28" t="inlineStr">
        <is>
          <t>SOLO</t>
        </is>
      </c>
      <c r="D224" s="29" t="inlineStr">
        <is>
          <t>EXP_BD
[SOLO]</t>
        </is>
      </c>
      <c r="E224" s="28" t="inlineStr">
        <is>
          <t>HLP</t>
        </is>
      </c>
      <c r="F224" s="30" t="n"/>
      <c r="G224" s="29">
        <f>IFERROR("["&amp;INDEX(고압진공_재고현황!$A:$A,MATCH($D224,고압진공_재고현황!$E:$E,0))&amp;"] "&amp;INDEX(고압진공_재고현황!$D:$D,MATCH($D224,고압진공_재고현황!$E:$E,0)),IFERROR("[조립] "&amp;INDEX(조립자재_재고현황!$D:$D,MATCH($D224,조립자재_재고현황!$E:$E,0)),""))</f>
        <v/>
      </c>
      <c r="H224" s="31">
        <f>IF(G224="","",COUNTIF($G$2:G224,"?*"))</f>
        <v/>
      </c>
    </row>
    <row r="225" ht="48" customHeight="1">
      <c r="A225" s="48" t="inlineStr">
        <is>
          <t>창고</t>
        </is>
      </c>
      <c r="B225" s="28" t="inlineStr">
        <is>
          <t>PCB</t>
        </is>
      </c>
      <c r="C225" s="28" t="inlineStr">
        <is>
          <t>SOLO</t>
        </is>
      </c>
      <c r="D225" s="29" t="inlineStr">
        <is>
          <t>BATCON_BD
[SOLO]</t>
        </is>
      </c>
      <c r="E225" s="28" t="inlineStr">
        <is>
          <t>HLP</t>
        </is>
      </c>
      <c r="F225" s="30" t="n"/>
      <c r="G225" s="29">
        <f>IFERROR("["&amp;INDEX(고압진공_재고현황!$A:$A,MATCH($D225,고압진공_재고현황!$E:$E,0))&amp;"] "&amp;INDEX(고압진공_재고현황!$D:$D,MATCH($D225,고압진공_재고현황!$E:$E,0)),IFERROR("[조립] "&amp;INDEX(조립자재_재고현황!$D:$D,MATCH($D225,조립자재_재고현황!$E:$E,0)),""))</f>
        <v/>
      </c>
      <c r="H225" s="31">
        <f>IF(G225="","",COUNTIF($G$2:G225,"?*"))</f>
        <v/>
      </c>
    </row>
    <row r="226" ht="48" customHeight="1">
      <c r="A226" s="48" t="inlineStr">
        <is>
          <t>창고</t>
        </is>
      </c>
      <c r="B226" s="28" t="inlineStr">
        <is>
          <t>CABLE</t>
        </is>
      </c>
      <c r="C226" s="28" t="inlineStr">
        <is>
          <t>SOLO</t>
        </is>
      </c>
      <c r="D226" s="29" t="inlineStr">
        <is>
          <t>SOLO 하네스 1번 (12505HS-12 (PowerBD - OP 12핀))
[SOLO]</t>
        </is>
      </c>
      <c r="E226" s="28" t="inlineStr">
        <is>
          <t>HLP</t>
        </is>
      </c>
      <c r="F226" s="30" t="n"/>
      <c r="G226" s="29">
        <f>IFERROR("["&amp;INDEX(고압진공_재고현황!$A:$A,MATCH($D226,고압진공_재고현황!$E:$E,0))&amp;"] "&amp;INDEX(고압진공_재고현황!$D:$D,MATCH($D226,고압진공_재고현황!$E:$E,0)),IFERROR("[조립] "&amp;INDEX(조립자재_재고현황!$D:$D,MATCH($D226,조립자재_재고현황!$E:$E,0)),""))</f>
        <v/>
      </c>
      <c r="H226" s="31">
        <f>IF(G226="","",COUNTIF($G$2:G226,"?*"))</f>
        <v/>
      </c>
    </row>
    <row r="227" ht="48" customHeight="1">
      <c r="A227" s="48" t="inlineStr">
        <is>
          <t>창고</t>
        </is>
      </c>
      <c r="B227" s="28" t="inlineStr">
        <is>
          <t>CABLE</t>
        </is>
      </c>
      <c r="C227" s="28" t="inlineStr">
        <is>
          <t>SOLO</t>
        </is>
      </c>
      <c r="D227" s="29" t="inlineStr">
        <is>
          <t>SOLO 하네스 2번 (12505HS-03 Battery-Handle bridge 3핀)
[SOLO]</t>
        </is>
      </c>
      <c r="E227" s="28" t="inlineStr">
        <is>
          <t>HLP</t>
        </is>
      </c>
      <c r="F227" s="30" t="n"/>
      <c r="G227" s="29">
        <f>IFERROR("["&amp;INDEX(고압진공_재고현황!$A:$A,MATCH($D227,고압진공_재고현황!$E:$E,0))&amp;"] "&amp;INDEX(고압진공_재고현황!$D:$D,MATCH($D227,고압진공_재고현황!$E:$E,0)),IFERROR("[조립] "&amp;INDEX(조립자재_재고현황!$D:$D,MATCH($D227,조립자재_재고현황!$E:$E,0)),""))</f>
        <v/>
      </c>
      <c r="H227" s="31">
        <f>IF(G227="","",COUNTIF($G$2:G227,"?*"))</f>
        <v/>
      </c>
    </row>
    <row r="228" ht="48" customHeight="1">
      <c r="A228" s="48" t="inlineStr">
        <is>
          <t>창고</t>
        </is>
      </c>
      <c r="B228" s="28" t="inlineStr">
        <is>
          <t>CABLE</t>
        </is>
      </c>
      <c r="C228" s="28" t="inlineStr">
        <is>
          <t>SOLO</t>
        </is>
      </c>
      <c r="D228" s="29" t="inlineStr">
        <is>
          <t>SOLO 하네스 3번 (0.5 * 40 * 100 * B (FFC 40핀))
[SOLO]</t>
        </is>
      </c>
      <c r="E228" s="28" t="inlineStr">
        <is>
          <t>HLP</t>
        </is>
      </c>
      <c r="F228" s="30" t="n"/>
      <c r="G228" s="29">
        <f>IFERROR("["&amp;INDEX(고압진공_재고현황!$A:$A,MATCH($D228,고압진공_재고현황!$E:$E,0))&amp;"] "&amp;INDEX(고압진공_재고현황!$D:$D,MATCH($D228,고압진공_재고현황!$E:$E,0)),IFERROR("[조립] "&amp;INDEX(조립자재_재고현황!$D:$D,MATCH($D228,조립자재_재고현황!$E:$E,0)),""))</f>
        <v/>
      </c>
      <c r="H228" s="31">
        <f>IF(G228="","",COUNTIF($G$2:G228,"?*"))</f>
        <v/>
      </c>
    </row>
    <row r="229" ht="48" customHeight="1">
      <c r="A229" s="48" t="inlineStr">
        <is>
          <t>창고</t>
        </is>
      </c>
      <c r="B229" s="28" t="inlineStr">
        <is>
          <t>CABLE</t>
        </is>
      </c>
      <c r="C229" s="28" t="inlineStr">
        <is>
          <t>SOLO</t>
        </is>
      </c>
      <c r="D229" s="29" t="inlineStr">
        <is>
          <t>SOLO 하네스 4번 (BATCON+EXP _ 190mm(Red1EA, White 2EA)-3핀)
[SOLO]</t>
        </is>
      </c>
      <c r="E229" s="28" t="inlineStr">
        <is>
          <t>HLP</t>
        </is>
      </c>
      <c r="F229" s="30" t="n"/>
      <c r="G229" s="29">
        <f>IFERROR("["&amp;INDEX(고압진공_재고현황!$A:$A,MATCH($D229,고압진공_재고현황!$E:$E,0))&amp;"] "&amp;INDEX(고압진공_재고현황!$D:$D,MATCH($D229,고압진공_재고현황!$E:$E,0)),IFERROR("[조립] "&amp;INDEX(조립자재_재고현황!$D:$D,MATCH($D229,조립자재_재고현황!$E:$E,0)),""))</f>
        <v/>
      </c>
      <c r="H229" s="31">
        <f>IF(G229="","",COUNTIF($G$2:G229,"?*"))</f>
        <v/>
      </c>
    </row>
    <row r="230" ht="48" customHeight="1">
      <c r="A230" s="48" t="inlineStr">
        <is>
          <t>창고</t>
        </is>
      </c>
      <c r="B230" s="28" t="inlineStr">
        <is>
          <t>ABS 난연</t>
        </is>
      </c>
      <c r="C230" s="28" t="inlineStr">
        <is>
          <t>SOLO</t>
        </is>
      </c>
      <c r="D230" s="29" t="inlineStr">
        <is>
          <t>TOP Body (ABS 블랙 샌딩)
[SOLO]</t>
        </is>
      </c>
      <c r="E230" s="28" t="inlineStr">
        <is>
          <t>천우</t>
        </is>
      </c>
      <c r="F230" s="30" t="n"/>
      <c r="G230" s="29">
        <f>IFERROR("["&amp;INDEX(고압진공_재고현황!$A:$A,MATCH($D230,고압진공_재고현황!$E:$E,0))&amp;"] "&amp;INDEX(고압진공_재고현황!$D:$D,MATCH($D230,고압진공_재고현황!$E:$E,0)),IFERROR("[조립] "&amp;INDEX(조립자재_재고현황!$D:$D,MATCH($D230,조립자재_재고현황!$E:$E,0)),""))</f>
        <v/>
      </c>
      <c r="H230" s="31">
        <f>IF(G230="","",COUNTIF($G$2:G230,"?*"))</f>
        <v/>
      </c>
    </row>
    <row r="231" ht="48" customHeight="1">
      <c r="A231" s="48" t="inlineStr">
        <is>
          <t>창고</t>
        </is>
      </c>
      <c r="B231" s="28" t="inlineStr">
        <is>
          <t>ABS 난연</t>
        </is>
      </c>
      <c r="C231" s="28" t="inlineStr">
        <is>
          <t>SOLO</t>
        </is>
      </c>
      <c r="D231" s="29" t="inlineStr">
        <is>
          <t>Bottom Body (ABS 블랙 샌딩)
[SOLO]</t>
        </is>
      </c>
      <c r="E231" s="28" t="inlineStr">
        <is>
          <t>천우</t>
        </is>
      </c>
      <c r="F231" s="30" t="n"/>
      <c r="G231" s="29">
        <f>IFERROR("["&amp;INDEX(고압진공_재고현황!$A:$A,MATCH($D231,고압진공_재고현황!$E:$E,0))&amp;"] "&amp;INDEX(고압진공_재고현황!$D:$D,MATCH($D231,고압진공_재고현황!$E:$E,0)),IFERROR("[조립] "&amp;INDEX(조립자재_재고현황!$D:$D,MATCH($D231,조립자재_재고현황!$E:$E,0)),""))</f>
        <v/>
      </c>
      <c r="H231" s="31">
        <f>IF(G231="","",COUNTIF($G$2:G231,"?*"))</f>
        <v/>
      </c>
    </row>
    <row r="232" ht="48" customHeight="1">
      <c r="A232" s="48" t="inlineStr">
        <is>
          <t>창고</t>
        </is>
      </c>
      <c r="B232" s="28" t="inlineStr">
        <is>
          <t>ABS 난연</t>
        </is>
      </c>
      <c r="C232" s="28" t="inlineStr">
        <is>
          <t>SOLO</t>
        </is>
      </c>
      <c r="D232" s="29" t="inlineStr">
        <is>
          <t>Main_Cone (ABS 메탈릭 다크그레이)
[SOLO]</t>
        </is>
      </c>
      <c r="E232" s="28" t="inlineStr">
        <is>
          <t>천우</t>
        </is>
      </c>
      <c r="F232" s="30" t="n"/>
      <c r="G232" s="29">
        <f>IFERROR("["&amp;INDEX(고압진공_재고현황!$A:$A,MATCH($D232,고압진공_재고현황!$E:$E,0))&amp;"] "&amp;INDEX(고압진공_재고현황!$D:$D,MATCH($D232,고압진공_재고현황!$E:$E,0)),IFERROR("[조립] "&amp;INDEX(조립자재_재고현황!$D:$D,MATCH($D232,조립자재_재고현황!$E:$E,0)),""))</f>
        <v/>
      </c>
      <c r="H232" s="31">
        <f>IF(G232="","",COUNTIF($G$2:G232,"?*"))</f>
        <v/>
      </c>
    </row>
    <row r="233" ht="48" customHeight="1">
      <c r="A233" s="48" t="inlineStr">
        <is>
          <t>창고</t>
        </is>
      </c>
      <c r="B233" s="28" t="inlineStr">
        <is>
          <t>ABS 난연</t>
        </is>
      </c>
      <c r="C233" s="28" t="inlineStr">
        <is>
          <t>SOLO</t>
        </is>
      </c>
      <c r="D233" s="29" t="inlineStr">
        <is>
          <t>Hand_Body (ABS 블랙 샌딩)
[SOLO]</t>
        </is>
      </c>
      <c r="E233" s="28" t="inlineStr">
        <is>
          <t>천우</t>
        </is>
      </c>
      <c r="F233" s="30" t="n"/>
      <c r="G233" s="29">
        <f>IFERROR("["&amp;INDEX(고압진공_재고현황!$A:$A,MATCH($D233,고압진공_재고현황!$E:$E,0))&amp;"] "&amp;INDEX(고압진공_재고현황!$D:$D,MATCH($D233,고압진공_재고현황!$E:$E,0)),IFERROR("[조립] "&amp;INDEX(조립자재_재고현황!$D:$D,MATCH($D233,조립자재_재고현황!$E:$E,0)),""))</f>
        <v/>
      </c>
      <c r="H233" s="31">
        <f>IF(G233="","",COUNTIF($G$2:G233,"?*"))</f>
        <v/>
      </c>
    </row>
    <row r="234" ht="48" customHeight="1">
      <c r="A234" s="48" t="inlineStr">
        <is>
          <t>창고</t>
        </is>
      </c>
      <c r="B234" s="28" t="inlineStr">
        <is>
          <t>ABS 난연</t>
        </is>
      </c>
      <c r="C234" s="28" t="inlineStr">
        <is>
          <t>SOLO</t>
        </is>
      </c>
      <c r="D234" s="29" t="inlineStr">
        <is>
          <t>Bat_Bottom (ABS 블랙 샌딩)
[SOLO]</t>
        </is>
      </c>
      <c r="E234" s="28" t="inlineStr">
        <is>
          <t>천우</t>
        </is>
      </c>
      <c r="F234" s="30" t="n"/>
      <c r="G234" s="29">
        <f>IFERROR("["&amp;INDEX(고압진공_재고현황!$A:$A,MATCH($D234,고압진공_재고현황!$E:$E,0))&amp;"] "&amp;INDEX(고압진공_재고현황!$D:$D,MATCH($D234,고압진공_재고현황!$E:$E,0)),IFERROR("[조립] "&amp;INDEX(조립자재_재고현황!$D:$D,MATCH($D234,조립자재_재고현황!$E:$E,0)),""))</f>
        <v/>
      </c>
      <c r="H234" s="31">
        <f>IF(G234="","",COUNTIF($G$2:G234,"?*"))</f>
        <v/>
      </c>
    </row>
    <row r="235" ht="48" customHeight="1">
      <c r="A235" s="48" t="inlineStr">
        <is>
          <t>창고</t>
        </is>
      </c>
      <c r="B235" s="28" t="inlineStr">
        <is>
          <t>ABS 난연</t>
        </is>
      </c>
      <c r="C235" s="28" t="inlineStr">
        <is>
          <t>SOLO</t>
        </is>
      </c>
      <c r="D235" s="29" t="inlineStr">
        <is>
          <t>Power Button (ABS 블랙 샌딩)
[SOLO]</t>
        </is>
      </c>
      <c r="E235" s="28" t="inlineStr">
        <is>
          <t>천우</t>
        </is>
      </c>
      <c r="F235" s="30" t="n"/>
      <c r="G235" s="29">
        <f>IFERROR("["&amp;INDEX(고압진공_재고현황!$A:$A,MATCH($D235,고압진공_재고현황!$E:$E,0))&amp;"] "&amp;INDEX(고압진공_재고현황!$D:$D,MATCH($D235,고압진공_재고현황!$E:$E,0)),IFERROR("[조립] "&amp;INDEX(조립자재_재고현황!$D:$D,MATCH($D235,조립자재_재고현황!$E:$E,0)),""))</f>
        <v/>
      </c>
      <c r="H235" s="31">
        <f>IF(G235="","",COUNTIF($G$2:G235,"?*"))</f>
        <v/>
      </c>
    </row>
    <row r="236" ht="48" customHeight="1">
      <c r="A236" s="48" t="inlineStr">
        <is>
          <t>창고</t>
        </is>
      </c>
      <c r="B236" s="28" t="inlineStr">
        <is>
          <t>ABS 난연</t>
        </is>
      </c>
      <c r="C236" s="28" t="inlineStr">
        <is>
          <t>SOLO</t>
        </is>
      </c>
      <c r="D236" s="29" t="inlineStr">
        <is>
          <t>Button Indicator (ABS 블랙)
[SOLO]</t>
        </is>
      </c>
      <c r="E236" s="28" t="inlineStr">
        <is>
          <t>천우</t>
        </is>
      </c>
      <c r="F236" s="30" t="n"/>
      <c r="G236" s="29">
        <f>IFERROR("["&amp;INDEX(고압진공_재고현황!$A:$A,MATCH($D236,고압진공_재고현황!$E:$E,0))&amp;"] "&amp;INDEX(고압진공_재고현황!$D:$D,MATCH($D236,고압진공_재고현황!$E:$E,0)),IFERROR("[조립] "&amp;INDEX(조립자재_재고현황!$D:$D,MATCH($D236,조립자재_재고현황!$E:$E,0)),""))</f>
        <v/>
      </c>
      <c r="H236" s="31">
        <f>IF(G236="","",COUNTIF($G$2:G236,"?*"))</f>
        <v/>
      </c>
    </row>
    <row r="237" ht="48" customHeight="1">
      <c r="A237" s="48" t="inlineStr">
        <is>
          <t>창고</t>
        </is>
      </c>
      <c r="B237" s="28" t="inlineStr">
        <is>
          <t>ABS 난연</t>
        </is>
      </c>
      <c r="C237" s="28" t="inlineStr">
        <is>
          <t>SOLO</t>
        </is>
      </c>
      <c r="D237" s="29" t="inlineStr">
        <is>
          <t>LCD GUIDE (ABS 블랙)
[SOLO]</t>
        </is>
      </c>
      <c r="E237" s="28" t="inlineStr">
        <is>
          <t>월드씨앤피</t>
        </is>
      </c>
      <c r="F237" s="30" t="n"/>
      <c r="G237" s="29">
        <f>IFERROR("["&amp;INDEX(고압진공_재고현황!$A:$A,MATCH($D237,고압진공_재고현황!$E:$E,0))&amp;"] "&amp;INDEX(고압진공_재고현황!$D:$D,MATCH($D237,고압진공_재고현황!$E:$E,0)),IFERROR("[조립] "&amp;INDEX(조립자재_재고현황!$D:$D,MATCH($D237,조립자재_재고현황!$E:$E,0)),""))</f>
        <v/>
      </c>
      <c r="H237" s="31">
        <f>IF(G237="","",COUNTIF($G$2:G237,"?*"))</f>
        <v/>
      </c>
    </row>
    <row r="238" ht="48" customHeight="1">
      <c r="A238" s="48" t="inlineStr">
        <is>
          <t>창고</t>
        </is>
      </c>
      <c r="B238" s="28" t="inlineStr">
        <is>
          <t>ABS 난연</t>
        </is>
      </c>
      <c r="C238" s="28" t="inlineStr">
        <is>
          <t>SOLO</t>
        </is>
      </c>
      <c r="D238" s="29" t="inlineStr">
        <is>
          <t>발생부_Guide (ABS 블랙)
[SOLO]</t>
        </is>
      </c>
      <c r="E238" s="28" t="inlineStr">
        <is>
          <t>천우</t>
        </is>
      </c>
      <c r="F238" s="30" t="n"/>
      <c r="G238" s="29">
        <f>IFERROR("["&amp;INDEX(고압진공_재고현황!$A:$A,MATCH($D238,고압진공_재고현황!$E:$E,0))&amp;"] "&amp;INDEX(고압진공_재고현황!$D:$D,MATCH($D238,고압진공_재고현황!$E:$E,0)),IFERROR("[조립] "&amp;INDEX(조립자재_재고현황!$D:$D,MATCH($D238,조립자재_재고현황!$E:$E,0)),""))</f>
        <v/>
      </c>
      <c r="H238" s="31">
        <f>IF(G238="","",COUNTIF($G$2:G238,"?*"))</f>
        <v/>
      </c>
    </row>
    <row r="239" ht="48" customHeight="1">
      <c r="A239" s="48" t="inlineStr">
        <is>
          <t>창고</t>
        </is>
      </c>
      <c r="B239" s="28" t="inlineStr">
        <is>
          <t>ABS 난연</t>
        </is>
      </c>
      <c r="C239" s="28" t="inlineStr">
        <is>
          <t>SOLO</t>
        </is>
      </c>
      <c r="D239" s="29" t="inlineStr">
        <is>
          <t>Lock Inner (ABS 블랙)
[SOLO]</t>
        </is>
      </c>
      <c r="E239" s="28" t="inlineStr">
        <is>
          <t>천우</t>
        </is>
      </c>
      <c r="F239" s="30" t="n"/>
      <c r="G239" s="29">
        <f>IFERROR("["&amp;INDEX(고압진공_재고현황!$A:$A,MATCH($D239,고압진공_재고현황!$E:$E,0))&amp;"] "&amp;INDEX(고압진공_재고현황!$D:$D,MATCH($D239,고압진공_재고현황!$E:$E,0)),IFERROR("[조립] "&amp;INDEX(조립자재_재고현황!$D:$D,MATCH($D239,조립자재_재고현황!$E:$E,0)),""))</f>
        <v/>
      </c>
      <c r="H239" s="31">
        <f>IF(G239="","",COUNTIF($G$2:G239,"?*"))</f>
        <v/>
      </c>
    </row>
    <row r="240" ht="48" customHeight="1">
      <c r="A240" s="48" t="inlineStr">
        <is>
          <t>창고</t>
        </is>
      </c>
      <c r="B240" s="28" t="inlineStr">
        <is>
          <t>ABS 난연</t>
        </is>
      </c>
      <c r="C240" s="28" t="inlineStr">
        <is>
          <t>SOLO</t>
        </is>
      </c>
      <c r="D240" s="29" t="inlineStr">
        <is>
          <t>Lock Knob (ABS 블랙 샌딩)
[SOLO]</t>
        </is>
      </c>
      <c r="E240" s="28" t="inlineStr">
        <is>
          <t>천우</t>
        </is>
      </c>
      <c r="F240" s="30" t="n"/>
      <c r="G240" s="29">
        <f>IFERROR("["&amp;INDEX(고압진공_재고현황!$A:$A,MATCH($D240,고압진공_재고현황!$E:$E,0))&amp;"] "&amp;INDEX(고압진공_재고현황!$D:$D,MATCH($D240,고압진공_재고현황!$E:$E,0)),IFERROR("[조립] "&amp;INDEX(조립자재_재고현황!$D:$D,MATCH($D240,조립자재_재고현황!$E:$E,0)),""))</f>
        <v/>
      </c>
      <c r="H240" s="31">
        <f>IF(G240="","",COUNTIF($G$2:G240,"?*"))</f>
        <v/>
      </c>
    </row>
    <row r="241" ht="48" customHeight="1">
      <c r="A241" s="48" t="inlineStr">
        <is>
          <t>창고</t>
        </is>
      </c>
      <c r="B241" s="28" t="inlineStr">
        <is>
          <t>ABS 난연</t>
        </is>
      </c>
      <c r="C241" s="28" t="inlineStr">
        <is>
          <t>SOLO</t>
        </is>
      </c>
      <c r="D241" s="29" t="inlineStr">
        <is>
          <t>Front_CAP (ABS 메탈릭 다크그레이)
[SOLO]</t>
        </is>
      </c>
      <c r="E241" s="28" t="inlineStr">
        <is>
          <t>천우</t>
        </is>
      </c>
      <c r="F241" s="30" t="n"/>
      <c r="G241" s="29">
        <f>IFERROR("["&amp;INDEX(고압진공_재고현황!$A:$A,MATCH($D241,고압진공_재고현황!$E:$E,0))&amp;"] "&amp;INDEX(고압진공_재고현황!$D:$D,MATCH($D241,고압진공_재고현황!$E:$E,0)),IFERROR("[조립] "&amp;INDEX(조립자재_재고현황!$D:$D,MATCH($D241,조립자재_재고현황!$E:$E,0)),""))</f>
        <v/>
      </c>
      <c r="H241" s="31">
        <f>IF(G241="","",COUNTIF($G$2:G241,"?*"))</f>
        <v/>
      </c>
    </row>
    <row r="242" ht="48" customHeight="1">
      <c r="A242" s="48" t="inlineStr">
        <is>
          <t>창고</t>
        </is>
      </c>
      <c r="B242" s="28" t="inlineStr">
        <is>
          <t>ABS 난연</t>
        </is>
      </c>
      <c r="C242" s="28" t="inlineStr">
        <is>
          <t>SOLO</t>
        </is>
      </c>
      <c r="D242" s="29" t="inlineStr">
        <is>
          <t>연장 Cone (ABS 메탈릭 다크그레이)
[SOLO]</t>
        </is>
      </c>
      <c r="E242" s="28" t="inlineStr">
        <is>
          <t>천우</t>
        </is>
      </c>
      <c r="F242" s="30" t="n"/>
      <c r="G242" s="29">
        <f>IFERROR("["&amp;INDEX(고압진공_재고현황!$A:$A,MATCH($D242,고압진공_재고현황!$E:$E,0))&amp;"] "&amp;INDEX(고압진공_재고현황!$D:$D,MATCH($D242,고압진공_재고현황!$E:$E,0)),IFERROR("[조립] "&amp;INDEX(조립자재_재고현황!$D:$D,MATCH($D242,조립자재_재고현황!$E:$E,0)),""))</f>
        <v/>
      </c>
      <c r="H242" s="31">
        <f>IF(G242="","",COUNTIF($G$2:G242,"?*"))</f>
        <v/>
      </c>
    </row>
    <row r="243" ht="48" customHeight="1">
      <c r="A243" s="48" t="inlineStr">
        <is>
          <t>창고</t>
        </is>
      </c>
      <c r="B243" s="28" t="inlineStr">
        <is>
          <t>ABS 난연</t>
        </is>
      </c>
      <c r="C243" s="28" t="inlineStr">
        <is>
          <t>SOLO</t>
        </is>
      </c>
      <c r="D243" s="29" t="inlineStr">
        <is>
          <t>Hand Top Cover (ABS 블랙)
[SOLO]</t>
        </is>
      </c>
      <c r="E243" s="28" t="inlineStr">
        <is>
          <t>천우</t>
        </is>
      </c>
      <c r="F243" s="30" t="n"/>
      <c r="G243" s="29">
        <f>IFERROR("["&amp;INDEX(고압진공_재고현황!$A:$A,MATCH($D243,고압진공_재고현황!$E:$E,0))&amp;"] "&amp;INDEX(고압진공_재고현황!$D:$D,MATCH($D243,고압진공_재고현황!$E:$E,0)),IFERROR("[조립] "&amp;INDEX(조립자재_재고현황!$D:$D,MATCH($D243,조립자재_재고현황!$E:$E,0)),""))</f>
        <v/>
      </c>
      <c r="H243" s="31">
        <f>IF(G243="","",COUNTIF($G$2:G243,"?*"))</f>
        <v/>
      </c>
    </row>
    <row r="244" ht="48" customHeight="1">
      <c r="A244" s="48" t="inlineStr">
        <is>
          <t>창고</t>
        </is>
      </c>
      <c r="B244" s="28" t="inlineStr">
        <is>
          <t>ABS 난연</t>
        </is>
      </c>
      <c r="C244" s="28" t="inlineStr">
        <is>
          <t>SOLO</t>
        </is>
      </c>
      <c r="D244" s="29" t="inlineStr">
        <is>
          <t>Slide Switch (ABS 블루(PANTTON 660C) 무광)
[SOLO]</t>
        </is>
      </c>
      <c r="E244" s="28" t="inlineStr">
        <is>
          <t>천우</t>
        </is>
      </c>
      <c r="F244" s="30" t="n"/>
      <c r="G244" s="29">
        <f>IFERROR("["&amp;INDEX(고압진공_재고현황!$A:$A,MATCH($D244,고압진공_재고현황!$E:$E,0))&amp;"] "&amp;INDEX(고압진공_재고현황!$D:$D,MATCH($D244,고압진공_재고현황!$E:$E,0)),IFERROR("[조립] "&amp;INDEX(조립자재_재고현황!$D:$D,MATCH($D244,조립자재_재고현황!$E:$E,0)),""))</f>
        <v/>
      </c>
      <c r="H244" s="31">
        <f>IF(G244="","",COUNTIF($G$2:G244,"?*"))</f>
        <v/>
      </c>
    </row>
    <row r="245" ht="48" customHeight="1">
      <c r="A245" s="48" t="inlineStr">
        <is>
          <t>창고</t>
        </is>
      </c>
      <c r="B245" s="28" t="inlineStr">
        <is>
          <t>ABS 난연</t>
        </is>
      </c>
      <c r="C245" s="28" t="inlineStr">
        <is>
          <t>SOLO</t>
        </is>
      </c>
      <c r="D245" s="29" t="inlineStr">
        <is>
          <t>Slide Switch Cap (ABS 레드 무광)
[SOLO]</t>
        </is>
      </c>
      <c r="E245" s="28" t="inlineStr">
        <is>
          <t>천우</t>
        </is>
      </c>
      <c r="F245" s="30" t="n"/>
      <c r="G245" s="29">
        <f>IFERROR("["&amp;INDEX(고압진공_재고현황!$A:$A,MATCH($D245,고압진공_재고현황!$E:$E,0))&amp;"] "&amp;INDEX(고압진공_재고현황!$D:$D,MATCH($D245,고압진공_재고현황!$E:$E,0)),IFERROR("[조립] "&amp;INDEX(조립자재_재고현황!$D:$D,MATCH($D245,조립자재_재고현황!$E:$E,0)),""))</f>
        <v/>
      </c>
      <c r="H245" s="31">
        <f>IF(G245="","",COUNTIF($G$2:G245,"?*"))</f>
        <v/>
      </c>
    </row>
    <row r="246" ht="48" customHeight="1">
      <c r="A246" s="48" t="inlineStr">
        <is>
          <t>창고</t>
        </is>
      </c>
      <c r="B246" s="28" t="inlineStr">
        <is>
          <t>ABS 난연</t>
        </is>
      </c>
      <c r="C246" s="28" t="inlineStr">
        <is>
          <t>SOLO</t>
        </is>
      </c>
      <c r="D246" s="29" t="inlineStr">
        <is>
          <t>Shot_Button (ABS 메탈릭 다크그레이)
[SOLO]</t>
        </is>
      </c>
      <c r="E246" s="28" t="inlineStr">
        <is>
          <t>천우</t>
        </is>
      </c>
      <c r="F246" s="30" t="n"/>
      <c r="G246" s="29">
        <f>IFERROR("["&amp;INDEX(고압진공_재고현황!$A:$A,MATCH($D246,고압진공_재고현황!$E:$E,0))&amp;"] "&amp;INDEX(고압진공_재고현황!$D:$D,MATCH($D246,고압진공_재고현황!$E:$E,0)),IFERROR("[조립] "&amp;INDEX(조립자재_재고현황!$D:$D,MATCH($D246,조립자재_재고현황!$E:$E,0)),""))</f>
        <v/>
      </c>
      <c r="H246" s="31">
        <f>IF(G246="","",COUNTIF($G$2:G246,"?*"))</f>
        <v/>
      </c>
    </row>
    <row r="247" ht="48" customHeight="1">
      <c r="A247" s="48" t="inlineStr">
        <is>
          <t>창고</t>
        </is>
      </c>
      <c r="B247" s="28" t="inlineStr">
        <is>
          <t>ABS 난연</t>
        </is>
      </c>
      <c r="C247" s="28" t="inlineStr">
        <is>
          <t>SOLO</t>
        </is>
      </c>
      <c r="D247" s="29" t="inlineStr">
        <is>
          <t>Shot_PCB_Guide
[SOLO]</t>
        </is>
      </c>
      <c r="E247" s="28" t="inlineStr">
        <is>
          <t>천우</t>
        </is>
      </c>
      <c r="F247" s="30" t="n"/>
      <c r="G247" s="29">
        <f>IFERROR("["&amp;INDEX(고압진공_재고현황!$A:$A,MATCH($D247,고압진공_재고현황!$E:$E,0))&amp;"] "&amp;INDEX(고압진공_재고현황!$D:$D,MATCH($D247,고압진공_재고현황!$E:$E,0)),IFERROR("[조립] "&amp;INDEX(조립자재_재고현황!$D:$D,MATCH($D247,조립자재_재고현황!$E:$E,0)),""))</f>
        <v/>
      </c>
      <c r="H247" s="31">
        <f>IF(G247="","",COUNTIF($G$2:G247,"?*"))</f>
        <v/>
      </c>
    </row>
    <row r="248" ht="48" customHeight="1">
      <c r="A248" s="48" t="inlineStr">
        <is>
          <t>창고</t>
        </is>
      </c>
      <c r="B248" s="28" t="inlineStr">
        <is>
          <t>ABS 난연</t>
        </is>
      </c>
      <c r="C248" s="28" t="inlineStr">
        <is>
          <t>SOLO</t>
        </is>
      </c>
      <c r="D248" s="29" t="inlineStr">
        <is>
          <t>Bat_Bottom_Cover (ABS 블랙 샌딩)
[SOLO]</t>
        </is>
      </c>
      <c r="E248" s="28" t="inlineStr">
        <is>
          <t>천우</t>
        </is>
      </c>
      <c r="F248" s="30" t="n"/>
      <c r="G248" s="29">
        <f>IFERROR("["&amp;INDEX(고압진공_재고현황!$A:$A,MATCH($D248,고압진공_재고현황!$E:$E,0))&amp;"] "&amp;INDEX(고압진공_재고현황!$D:$D,MATCH($D248,고압진공_재고현황!$E:$E,0)),IFERROR("[조립] "&amp;INDEX(조립자재_재고현황!$D:$D,MATCH($D248,조립자재_재고현황!$E:$E,0)),""))</f>
        <v/>
      </c>
      <c r="H248" s="31">
        <f>IF(G248="","",COUNTIF($G$2:G248,"?*"))</f>
        <v/>
      </c>
    </row>
    <row r="249" ht="48" customHeight="1">
      <c r="A249" s="48" t="inlineStr">
        <is>
          <t>창고</t>
        </is>
      </c>
      <c r="B249" s="28" t="inlineStr">
        <is>
          <t>아크릴</t>
        </is>
      </c>
      <c r="C249" s="28" t="inlineStr">
        <is>
          <t>SOLO</t>
        </is>
      </c>
      <c r="D249" s="29" t="inlineStr">
        <is>
          <t>Aiming_Light_LED_아크릴 (확산 아크릴/ 화이트)
[SOLO]</t>
        </is>
      </c>
      <c r="E249" s="28" t="inlineStr">
        <is>
          <t>천우</t>
        </is>
      </c>
      <c r="F249" s="30" t="n"/>
      <c r="G249" s="29">
        <f>IFERROR("["&amp;INDEX(고압진공_재고현황!$A:$A,MATCH($D249,고압진공_재고현황!$E:$E,0))&amp;"] "&amp;INDEX(고압진공_재고현황!$D:$D,MATCH($D249,고압진공_재고현황!$E:$E,0)),IFERROR("[조립] "&amp;INDEX(조립자재_재고현황!$D:$D,MATCH($D249,조립자재_재고현황!$E:$E,0)),""))</f>
        <v/>
      </c>
      <c r="H249" s="31">
        <f>IF(G249="","",COUNTIF($G$2:G249,"?*"))</f>
        <v/>
      </c>
    </row>
    <row r="250" ht="48" customHeight="1">
      <c r="A250" s="48" t="inlineStr">
        <is>
          <t>창고</t>
        </is>
      </c>
      <c r="B250" s="28" t="inlineStr">
        <is>
          <t>아크릴</t>
        </is>
      </c>
      <c r="C250" s="28" t="inlineStr">
        <is>
          <t>SOLO</t>
        </is>
      </c>
      <c r="D250" s="29" t="inlineStr">
        <is>
          <t>LCD_Window (PC / 투명 + (구형 26))
[SOLO]</t>
        </is>
      </c>
      <c r="E250" s="28" t="inlineStr">
        <is>
          <t>천우</t>
        </is>
      </c>
      <c r="F250" s="30" t="n"/>
      <c r="G250" s="29">
        <f>IFERROR("["&amp;INDEX(고압진공_재고현황!$A:$A,MATCH($D250,고압진공_재고현황!$E:$E,0))&amp;"] "&amp;INDEX(고압진공_재고현황!$D:$D,MATCH($D250,고압진공_재고현황!$E:$E,0)),IFERROR("[조립] "&amp;INDEX(조립자재_재고현황!$D:$D,MATCH($D250,조립자재_재고현황!$E:$E,0)),""))</f>
        <v/>
      </c>
      <c r="H250" s="31">
        <f>IF(G250="","",COUNTIF($G$2:G250,"?*"))</f>
        <v/>
      </c>
    </row>
    <row r="251" ht="48" customHeight="1">
      <c r="A251" s="48" t="inlineStr">
        <is>
          <t>창고</t>
        </is>
      </c>
      <c r="B251" s="28" t="inlineStr">
        <is>
          <t>아크릴</t>
        </is>
      </c>
      <c r="C251" s="28" t="inlineStr">
        <is>
          <t>SOLO</t>
        </is>
      </c>
      <c r="D251" s="29" t="inlineStr">
        <is>
          <t>LCD_LED_확산_아크릴 (확산 아크릴/ 화이트)
[SOLO]</t>
        </is>
      </c>
      <c r="E251" s="28" t="inlineStr">
        <is>
          <t>천우</t>
        </is>
      </c>
      <c r="F251" s="30" t="n"/>
      <c r="G251" s="29">
        <f>IFERROR("["&amp;INDEX(고압진공_재고현황!$A:$A,MATCH($D251,고압진공_재고현황!$E:$E,0))&amp;"] "&amp;INDEX(고압진공_재고현황!$D:$D,MATCH($D251,고압진공_재고현황!$E:$E,0)),IFERROR("[조립] "&amp;INDEX(조립자재_재고현황!$D:$D,MATCH($D251,조립자재_재고현황!$E:$E,0)),""))</f>
        <v/>
      </c>
      <c r="H251" s="31">
        <f>IF(G251="","",COUNTIF($G$2:G251,"?*"))</f>
        <v/>
      </c>
    </row>
    <row r="252" ht="48" customHeight="1">
      <c r="A252" s="48" t="inlineStr">
        <is>
          <t>창고</t>
        </is>
      </c>
      <c r="B252" s="28" t="inlineStr">
        <is>
          <t>아크릴</t>
        </is>
      </c>
      <c r="C252" s="28" t="inlineStr">
        <is>
          <t>SOLO</t>
        </is>
      </c>
      <c r="D252" s="29" t="inlineStr">
        <is>
          <t>광센서_유색_창 (PC/스모그/퍼플)
[SOLO]</t>
        </is>
      </c>
      <c r="E252" s="28" t="inlineStr">
        <is>
          <t>천우</t>
        </is>
      </c>
      <c r="F252" s="30" t="n"/>
      <c r="G252" s="29">
        <f>IFERROR("["&amp;INDEX(고압진공_재고현황!$A:$A,MATCH($D252,고압진공_재고현황!$E:$E,0))&amp;"] "&amp;INDEX(고압진공_재고현황!$D:$D,MATCH($D252,고압진공_재고현황!$E:$E,0)),IFERROR("[조립] "&amp;INDEX(조립자재_재고현황!$D:$D,MATCH($D252,조립자재_재고현황!$E:$E,0)),""))</f>
        <v/>
      </c>
      <c r="H252" s="31">
        <f>IF(G252="","",COUNTIF($G$2:G252,"?*"))</f>
        <v/>
      </c>
    </row>
    <row r="253" ht="48" customHeight="1">
      <c r="A253" s="48" t="inlineStr">
        <is>
          <t>창고</t>
        </is>
      </c>
      <c r="B253" s="28" t="inlineStr">
        <is>
          <t>아크릴</t>
        </is>
      </c>
      <c r="C253" s="28" t="inlineStr">
        <is>
          <t>SOLO</t>
        </is>
      </c>
      <c r="D253" s="29" t="inlineStr">
        <is>
          <t>BAT_LED_확산_아크릴 (확산 아크릴/ 화이트)
[SOLO]</t>
        </is>
      </c>
      <c r="E253" s="28" t="inlineStr">
        <is>
          <t>천우</t>
        </is>
      </c>
      <c r="F253" s="30" t="n"/>
      <c r="G253" s="29">
        <f>IFERROR("["&amp;INDEX(고압진공_재고현황!$A:$A,MATCH($D253,고압진공_재고현황!$E:$E,0))&amp;"] "&amp;INDEX(고압진공_재고현황!$D:$D,MATCH($D253,고압진공_재고현황!$E:$E,0)),IFERROR("[조립] "&amp;INDEX(조립자재_재고현황!$D:$D,MATCH($D253,조립자재_재고현황!$E:$E,0)),""))</f>
        <v/>
      </c>
      <c r="H253" s="31">
        <f>IF(G253="","",COUNTIF($G$2:G253,"?*"))</f>
        <v/>
      </c>
    </row>
    <row r="254" ht="48" customHeight="1">
      <c r="A254" s="48" t="inlineStr">
        <is>
          <t>창고</t>
        </is>
      </c>
      <c r="B254" s="28" t="inlineStr">
        <is>
          <t>가스켓</t>
        </is>
      </c>
      <c r="C254" s="28" t="inlineStr">
        <is>
          <t>SOLO</t>
        </is>
      </c>
      <c r="D254" s="29" t="inlineStr">
        <is>
          <t>LCD 터치가스켓 (8X8X7)
[SOLO]</t>
        </is>
      </c>
      <c r="E254" s="28" t="n"/>
      <c r="F254" s="30" t="n"/>
      <c r="G254" s="29">
        <f>IFERROR("["&amp;INDEX(고압진공_재고현황!$A:$A,MATCH($D254,고압진공_재고현황!$E:$E,0))&amp;"] "&amp;INDEX(고압진공_재고현황!$D:$D,MATCH($D254,고압진공_재고현황!$E:$E,0)),IFERROR("[조립] "&amp;INDEX(조립자재_재고현황!$D:$D,MATCH($D254,조립자재_재고현황!$E:$E,0)),""))</f>
        <v/>
      </c>
      <c r="H254" s="31">
        <f>IF(G254="","",COUNTIF($G$2:G254,"?*"))</f>
        <v/>
      </c>
    </row>
    <row r="255" ht="48" customHeight="1">
      <c r="A255" s="48" t="inlineStr">
        <is>
          <t>창고</t>
        </is>
      </c>
      <c r="B255" s="28" t="inlineStr">
        <is>
          <t>AL</t>
        </is>
      </c>
      <c r="C255" s="28" t="inlineStr">
        <is>
          <t>SOLO</t>
        </is>
      </c>
      <c r="D255" s="29" t="inlineStr">
        <is>
          <t>마운트 (삼각대 고정홀)
[SOLO]</t>
        </is>
      </c>
      <c r="E255" s="28" t="n"/>
      <c r="F255" s="30" t="n"/>
      <c r="G255" s="29">
        <f>IFERROR("["&amp;INDEX(고압진공_재고현황!$A:$A,MATCH($D255,고압진공_재고현황!$E:$E,0))&amp;"] "&amp;INDEX(고압진공_재고현황!$D:$D,MATCH($D255,고압진공_재고현황!$E:$E,0)),IFERROR("[조립] "&amp;INDEX(조립자재_재고현황!$D:$D,MATCH($D255,조립자재_재고현황!$E:$E,0)),""))</f>
        <v/>
      </c>
      <c r="H255" s="31">
        <f>IF(G255="","",COUNTIF($G$2:G255,"?*"))</f>
        <v/>
      </c>
    </row>
    <row r="256" ht="48" customHeight="1">
      <c r="A256" s="48" t="inlineStr">
        <is>
          <t>창고</t>
        </is>
      </c>
      <c r="B256" s="28" t="inlineStr">
        <is>
          <t>RUBBER</t>
        </is>
      </c>
      <c r="C256" s="28" t="inlineStr">
        <is>
          <t>SOLO</t>
        </is>
      </c>
      <c r="D256" s="29" t="inlineStr">
        <is>
          <t>BAT BOTTOM RUBBER (RUBBER (1T, 마운트 홀))
[SOLO]</t>
        </is>
      </c>
      <c r="E256" s="28" t="inlineStr">
        <is>
          <t>남경화학</t>
        </is>
      </c>
      <c r="F256" s="30" t="n"/>
      <c r="G256" s="29">
        <f>IFERROR("["&amp;INDEX(고압진공_재고현황!$A:$A,MATCH($D256,고압진공_재고현황!$E:$E,0))&amp;"] "&amp;INDEX(고압진공_재고현황!$D:$D,MATCH($D256,고압진공_재고현황!$E:$E,0)),IFERROR("[조립] "&amp;INDEX(조립자재_재고현황!$D:$D,MATCH($D256,조립자재_재고현황!$E:$E,0)),""))</f>
        <v/>
      </c>
      <c r="H256" s="31">
        <f>IF(G256="","",COUNTIF($G$2:G256,"?*"))</f>
        <v/>
      </c>
    </row>
    <row r="257" ht="48" customHeight="1">
      <c r="A257" s="48" t="inlineStr">
        <is>
          <t>창고</t>
        </is>
      </c>
      <c r="B257" s="28" t="inlineStr">
        <is>
          <t>ABS 난연</t>
        </is>
      </c>
      <c r="C257" s="28" t="inlineStr">
        <is>
          <t>DX3000, ADX6000,SOLO</t>
        </is>
      </c>
      <c r="D257" s="29" t="inlineStr">
        <is>
          <t>에이밍 바디 뭉치 (ø33*19.3)
[DX3000, ADX6000,SOLO]</t>
        </is>
      </c>
      <c r="E257" s="28" t="inlineStr">
        <is>
          <t>오비스코리아</t>
        </is>
      </c>
      <c r="F257" s="30" t="n"/>
      <c r="G257" s="29">
        <f>IFERROR("["&amp;INDEX(고압진공_재고현황!$A:$A,MATCH($D257,고압진공_재고현황!$E:$E,0))&amp;"] "&amp;INDEX(고압진공_재고현황!$D:$D,MATCH($D257,고압진공_재고현황!$E:$E,0)),IFERROR("[조립] "&amp;INDEX(조립자재_재고현황!$D:$D,MATCH($D257,조립자재_재고현황!$E:$E,0)),""))</f>
        <v/>
      </c>
      <c r="H257" s="31">
        <f>IF(G257="","",COUNTIF($G$2:G257,"?*"))</f>
        <v/>
      </c>
    </row>
    <row r="258" ht="48" customHeight="1">
      <c r="A258" s="48" t="inlineStr">
        <is>
          <t>창고</t>
        </is>
      </c>
      <c r="B258" s="28" t="inlineStr">
        <is>
          <t>아크릴</t>
        </is>
      </c>
      <c r="C258" s="28" t="inlineStr">
        <is>
          <t>DX3000, ADX6000,SOLO</t>
        </is>
      </c>
      <c r="D258" s="29" t="inlineStr">
        <is>
          <t>아크릴 은경 (아크릴 40파이)
[DX3000, ADX6000,SOLO]</t>
        </is>
      </c>
      <c r="E258" s="28" t="inlineStr">
        <is>
          <t>명동아크릴</t>
        </is>
      </c>
      <c r="F258" s="30" t="n"/>
      <c r="G258" s="29">
        <f>IFERROR("["&amp;INDEX(고압진공_재고현황!$A:$A,MATCH($D258,고압진공_재고현황!$E:$E,0))&amp;"] "&amp;INDEX(고압진공_재고현황!$D:$D,MATCH($D258,고압진공_재고현황!$E:$E,0)),IFERROR("[조립] "&amp;INDEX(조립자재_재고현황!$D:$D,MATCH($D258,조립자재_재고현황!$E:$E,0)),""))</f>
        <v/>
      </c>
      <c r="H258" s="31">
        <f>IF(G258="","",COUNTIF($G$2:G258,"?*"))</f>
        <v/>
      </c>
    </row>
    <row r="259" ht="48" customHeight="1">
      <c r="A259" s="48" t="inlineStr">
        <is>
          <t>창고</t>
        </is>
      </c>
      <c r="B259" s="28" t="inlineStr">
        <is>
          <t>PCB</t>
        </is>
      </c>
      <c r="C259" s="28" t="inlineStr">
        <is>
          <t>DX3000, ADX6000,SOLO</t>
        </is>
      </c>
      <c r="D259" s="29" t="inlineStr">
        <is>
          <t>에이밍 LED 보드 (LED PCB)
[DX3000, ADX6000,SOLO]</t>
        </is>
      </c>
      <c r="E259" s="28" t="inlineStr">
        <is>
          <t>HLP</t>
        </is>
      </c>
      <c r="F259" s="30" t="n"/>
      <c r="G259" s="29">
        <f>IFERROR("["&amp;INDEX(고압진공_재고현황!$A:$A,MATCH($D259,고압진공_재고현황!$E:$E,0))&amp;"] "&amp;INDEX(고압진공_재고현황!$D:$D,MATCH($D259,고압진공_재고현황!$E:$E,0)),IFERROR("[조립] "&amp;INDEX(조립자재_재고현황!$D:$D,MATCH($D259,조립자재_재고현황!$E:$E,0)),""))</f>
        <v/>
      </c>
      <c r="H259" s="31">
        <f>IF(G259="","",COUNTIF($G$2:G259,"?*"))</f>
        <v/>
      </c>
    </row>
    <row r="260" ht="48" customHeight="1">
      <c r="A260" s="48" t="inlineStr">
        <is>
          <t>창고</t>
        </is>
      </c>
      <c r="B260" s="28" t="inlineStr">
        <is>
          <t>AL</t>
        </is>
      </c>
      <c r="C260" s="28" t="inlineStr">
        <is>
          <t>DX3000, ADX6000,SOLO</t>
        </is>
      </c>
      <c r="D260" s="29" t="inlineStr">
        <is>
          <t>LED PCB 방열 가이드 (흑색 다이캐스팅)
[DX3000, ADX6000,SOLO]</t>
        </is>
      </c>
      <c r="E260" s="28" t="inlineStr">
        <is>
          <t>㈜쿠가</t>
        </is>
      </c>
      <c r="F260" s="30" t="n"/>
      <c r="G260" s="29">
        <f>IFERROR("["&amp;INDEX(고압진공_재고현황!$A:$A,MATCH($D260,고압진공_재고현황!$E:$E,0))&amp;"] "&amp;INDEX(고압진공_재고현황!$D:$D,MATCH($D260,고압진공_재고현황!$E:$E,0)),IFERROR("[조립] "&amp;INDEX(조립자재_재고현황!$D:$D,MATCH($D260,조립자재_재고현황!$E:$E,0)),""))</f>
        <v/>
      </c>
      <c r="H260" s="31">
        <f>IF(G260="","",COUNTIF($G$2:G260,"?*"))</f>
        <v/>
      </c>
    </row>
    <row r="261" ht="48" customHeight="1">
      <c r="A261" s="48" t="inlineStr">
        <is>
          <t>창고</t>
        </is>
      </c>
      <c r="B261" s="28" t="inlineStr">
        <is>
          <t>PCB</t>
        </is>
      </c>
      <c r="C261" s="28" t="inlineStr">
        <is>
          <t>ADX4000W</t>
        </is>
      </c>
      <c r="D261" s="29" t="inlineStr">
        <is>
          <t>CTR B/D (+ 12(AS용))
[ADX4000W]</t>
        </is>
      </c>
      <c r="E261" s="28" t="inlineStr">
        <is>
          <t>HLP</t>
        </is>
      </c>
      <c r="F261" s="30" t="n"/>
      <c r="G261" s="29">
        <f>IFERROR("["&amp;INDEX(고압진공_재고현황!$A:$A,MATCH($D261,고압진공_재고현황!$E:$E,0))&amp;"] "&amp;INDEX(고압진공_재고현황!$D:$D,MATCH($D261,고압진공_재고현황!$E:$E,0)),IFERROR("[조립] "&amp;INDEX(조립자재_재고현황!$D:$D,MATCH($D261,조립자재_재고현황!$E:$E,0)),""))</f>
        <v/>
      </c>
      <c r="H261" s="31">
        <f>IF(G261="","",COUNTIF($G$2:G261,"?*"))</f>
        <v/>
      </c>
    </row>
    <row r="262" ht="48" customHeight="1">
      <c r="A262" s="48" t="inlineStr">
        <is>
          <t>창고</t>
        </is>
      </c>
      <c r="B262" s="28" t="inlineStr">
        <is>
          <t>PCB</t>
        </is>
      </c>
      <c r="C262" s="28" t="inlineStr">
        <is>
          <t>ADX4000W</t>
        </is>
      </c>
      <c r="D262" s="29" t="inlineStr">
        <is>
          <t>4.8" LCD BD
[ADX4000W]</t>
        </is>
      </c>
      <c r="E262" s="28" t="inlineStr">
        <is>
          <t>HLP</t>
        </is>
      </c>
      <c r="F262" s="30" t="n"/>
      <c r="G262" s="29">
        <f>IFERROR("["&amp;INDEX(고압진공_재고현황!$A:$A,MATCH($D262,고압진공_재고현황!$E:$E,0))&amp;"] "&amp;INDEX(고압진공_재고현황!$D:$D,MATCH($D262,고압진공_재고현황!$E:$E,0)),IFERROR("[조립] "&amp;INDEX(조립자재_재고현황!$D:$D,MATCH($D262,조립자재_재고현황!$E:$E,0)),""))</f>
        <v/>
      </c>
      <c r="H262" s="31">
        <f>IF(G262="","",COUNTIF($G$2:G262,"?*"))</f>
        <v/>
      </c>
    </row>
    <row r="263" ht="48" customHeight="1">
      <c r="A263" s="48" t="inlineStr">
        <is>
          <t>창고</t>
        </is>
      </c>
      <c r="B263" s="28" t="inlineStr">
        <is>
          <t>PCB</t>
        </is>
      </c>
      <c r="C263" s="28" t="inlineStr">
        <is>
          <t>ADX4000W</t>
        </is>
      </c>
      <c r="D263" s="29" t="inlineStr">
        <is>
          <t>POWER BD
[ADX4000W]</t>
        </is>
      </c>
      <c r="E263" s="28" t="inlineStr">
        <is>
          <t>HLP</t>
        </is>
      </c>
      <c r="F263" s="30" t="n"/>
      <c r="G263" s="29">
        <f>IFERROR("["&amp;INDEX(고압진공_재고현황!$A:$A,MATCH($D263,고압진공_재고현황!$E:$E,0))&amp;"] "&amp;INDEX(고압진공_재고현황!$D:$D,MATCH($D263,고압진공_재고현황!$E:$E,0)),IFERROR("[조립] "&amp;INDEX(조립자재_재고현황!$D:$D,MATCH($D263,조립자재_재고현황!$E:$E,0)),""))</f>
        <v/>
      </c>
      <c r="H263" s="31">
        <f>IF(G263="","",COUNTIF($G$2:G263,"?*"))</f>
        <v/>
      </c>
    </row>
    <row r="264" ht="48" customHeight="1">
      <c r="A264" s="48" t="inlineStr">
        <is>
          <t>창고</t>
        </is>
      </c>
      <c r="B264" s="28" t="inlineStr">
        <is>
          <t>PCB</t>
        </is>
      </c>
      <c r="C264" s="28" t="inlineStr">
        <is>
          <t>ADX4000W</t>
        </is>
      </c>
      <c r="D264" s="29" t="inlineStr">
        <is>
          <t>EX B/D
[ADX4000W]</t>
        </is>
      </c>
      <c r="E264" s="28" t="inlineStr">
        <is>
          <t>HLP</t>
        </is>
      </c>
      <c r="F264" s="30" t="n"/>
      <c r="G264" s="29">
        <f>IFERROR("["&amp;INDEX(고압진공_재고현황!$A:$A,MATCH($D264,고압진공_재고현황!$E:$E,0))&amp;"] "&amp;INDEX(고압진공_재고현황!$D:$D,MATCH($D264,고압진공_재고현황!$E:$E,0)),IFERROR("[조립] "&amp;INDEX(조립자재_재고현황!$D:$D,MATCH($D264,조립자재_재고현황!$E:$E,0)),""))</f>
        <v/>
      </c>
      <c r="H264" s="31">
        <f>IF(G264="","",COUNTIF($G$2:G264,"?*"))</f>
        <v/>
      </c>
    </row>
    <row r="265" ht="48" customHeight="1">
      <c r="A265" s="48" t="inlineStr">
        <is>
          <t>창고</t>
        </is>
      </c>
      <c r="B265" s="28" t="inlineStr">
        <is>
          <t>PCB</t>
        </is>
      </c>
      <c r="C265" s="28" t="inlineStr">
        <is>
          <t>ADX4000W</t>
        </is>
      </c>
      <c r="D265" s="29" t="inlineStr">
        <is>
          <t>NAVI BD
[ADX4000W]</t>
        </is>
      </c>
      <c r="E265" s="28" t="inlineStr">
        <is>
          <t>HLP</t>
        </is>
      </c>
      <c r="F265" s="30" t="n"/>
      <c r="G265" s="29">
        <f>IFERROR("["&amp;INDEX(고압진공_재고현황!$A:$A,MATCH($D265,고압진공_재고현황!$E:$E,0))&amp;"] "&amp;INDEX(고압진공_재고현황!$D:$D,MATCH($D265,고압진공_재고현황!$E:$E,0)),IFERROR("[조립] "&amp;INDEX(조립자재_재고현황!$D:$D,MATCH($D265,조립자재_재고현황!$E:$E,0)),""))</f>
        <v/>
      </c>
      <c r="H265" s="31">
        <f>IF(G265="","",COUNTIF($G$2:G265,"?*"))</f>
        <v/>
      </c>
    </row>
    <row r="266" ht="48" customHeight="1">
      <c r="A266" s="48" t="inlineStr">
        <is>
          <t>창고</t>
        </is>
      </c>
      <c r="B266" s="28" t="inlineStr">
        <is>
          <t>PCB</t>
        </is>
      </c>
      <c r="C266" s="28" t="inlineStr">
        <is>
          <t>ADX4000W</t>
        </is>
      </c>
      <c r="D266" s="29" t="inlineStr">
        <is>
          <t>NAVI BD 사파리
[ADX4000W]</t>
        </is>
      </c>
      <c r="E266" s="28" t="inlineStr">
        <is>
          <t>HLP</t>
        </is>
      </c>
      <c r="F266" s="30" t="n"/>
      <c r="G266" s="29">
        <f>IFERROR("["&amp;INDEX(고압진공_재고현황!$A:$A,MATCH($D266,고압진공_재고현황!$E:$E,0))&amp;"] "&amp;INDEX(고압진공_재고현황!$D:$D,MATCH($D266,고압진공_재고현황!$E:$E,0)),IFERROR("[조립] "&amp;INDEX(조립자재_재고현황!$D:$D,MATCH($D266,조립자재_재고현황!$E:$E,0)),""))</f>
        <v/>
      </c>
      <c r="H266" s="31">
        <f>IF(G266="","",COUNTIF($G$2:G266,"?*"))</f>
        <v/>
      </c>
    </row>
    <row r="267" ht="48" customHeight="1">
      <c r="A267" s="48" t="inlineStr">
        <is>
          <t>창고</t>
        </is>
      </c>
      <c r="B267" s="28" t="inlineStr">
        <is>
          <t>PCB</t>
        </is>
      </c>
      <c r="C267" s="28" t="inlineStr">
        <is>
          <t>ADX4000W</t>
        </is>
      </c>
      <c r="D267" s="29" t="inlineStr">
        <is>
          <t>Carrier BD (구형 KONTRON)
[ADX4000W]</t>
        </is>
      </c>
      <c r="E267" s="28" t="inlineStr">
        <is>
          <t>비씨엠테크</t>
        </is>
      </c>
      <c r="F267" s="30" t="n"/>
      <c r="G267" s="29">
        <f>IFERROR("["&amp;INDEX(고압진공_재고현황!$A:$A,MATCH($D267,고압진공_재고현황!$E:$E,0))&amp;"] "&amp;INDEX(고압진공_재고현황!$D:$D,MATCH($D267,고압진공_재고현황!$E:$E,0)),IFERROR("[조립] "&amp;INDEX(조립자재_재고현황!$D:$D,MATCH($D267,조립자재_재고현황!$E:$E,0)),""))</f>
        <v/>
      </c>
      <c r="H267" s="31">
        <f>IF(G267="","",COUNTIF($G$2:G267,"?*"))</f>
        <v/>
      </c>
    </row>
    <row r="268" ht="48" customHeight="1">
      <c r="A268" s="48" t="inlineStr">
        <is>
          <t>창고</t>
        </is>
      </c>
      <c r="B268" s="28" t="inlineStr">
        <is>
          <t>PCB</t>
        </is>
      </c>
      <c r="C268" s="28" t="inlineStr">
        <is>
          <t>ADX4000W</t>
        </is>
      </c>
      <c r="D268" s="29" t="inlineStr">
        <is>
          <t>Carrier BD (신형 DFI)
[ADX4000W]</t>
        </is>
      </c>
      <c r="E268" s="28" t="inlineStr">
        <is>
          <t>한컴MDS</t>
        </is>
      </c>
      <c r="F268" s="30" t="n"/>
      <c r="G268" s="29">
        <f>IFERROR("["&amp;INDEX(고압진공_재고현황!$A:$A,MATCH($D268,고압진공_재고현황!$E:$E,0))&amp;"] "&amp;INDEX(고압진공_재고현황!$D:$D,MATCH($D268,고압진공_재고현황!$E:$E,0)),IFERROR("[조립] "&amp;INDEX(조립자재_재고현황!$D:$D,MATCH($D268,조립자재_재고현황!$E:$E,0)),""))</f>
        <v/>
      </c>
      <c r="H268" s="31">
        <f>IF(G268="","",COUNTIF($G$2:G268,"?*"))</f>
        <v/>
      </c>
    </row>
    <row r="269" ht="48" customHeight="1">
      <c r="A269" s="48" t="inlineStr">
        <is>
          <t>창고</t>
        </is>
      </c>
      <c r="B269" s="28" t="inlineStr">
        <is>
          <t>PCB</t>
        </is>
      </c>
      <c r="C269" s="28" t="inlineStr">
        <is>
          <t>ADX4000W</t>
        </is>
      </c>
      <c r="D269" s="29" t="inlineStr">
        <is>
          <t>Module BD (구형 KONTRON)
[ADX4000W]</t>
        </is>
      </c>
      <c r="E269" s="28" t="inlineStr">
        <is>
          <t>KONTRON</t>
        </is>
      </c>
      <c r="F269" s="30" t="n"/>
      <c r="G269" s="29">
        <f>IFERROR("["&amp;INDEX(고압진공_재고현황!$A:$A,MATCH($D269,고압진공_재고현황!$E:$E,0))&amp;"] "&amp;INDEX(고압진공_재고현황!$D:$D,MATCH($D269,고압진공_재고현황!$E:$E,0)),IFERROR("[조립] "&amp;INDEX(조립자재_재고현황!$D:$D,MATCH($D269,조립자재_재고현황!$E:$E,0)),""))</f>
        <v/>
      </c>
      <c r="H269" s="31">
        <f>IF(G269="","",COUNTIF($G$2:G269,"?*"))</f>
        <v/>
      </c>
    </row>
    <row r="270" ht="48" customHeight="1">
      <c r="A270" s="48" t="inlineStr">
        <is>
          <t>창고</t>
        </is>
      </c>
      <c r="B270" s="28" t="inlineStr">
        <is>
          <t>PCB</t>
        </is>
      </c>
      <c r="C270" s="28" t="inlineStr">
        <is>
          <t>ADX4000W</t>
        </is>
      </c>
      <c r="D270" s="29" t="inlineStr">
        <is>
          <t>Module BD (신형 DFI)
[ADX4000W]</t>
        </is>
      </c>
      <c r="E270" s="28" t="inlineStr">
        <is>
          <t>한컴MDS</t>
        </is>
      </c>
      <c r="F270" s="30" t="n"/>
      <c r="G270" s="29">
        <f>IFERROR("["&amp;INDEX(고압진공_재고현황!$A:$A,MATCH($D270,고압진공_재고현황!$E:$E,0))&amp;"] "&amp;INDEX(고압진공_재고현황!$D:$D,MATCH($D270,고압진공_재고현황!$E:$E,0)),IFERROR("[조립] "&amp;INDEX(조립자재_재고현황!$D:$D,MATCH($D270,조립자재_재고현황!$E:$E,0)),""))</f>
        <v/>
      </c>
      <c r="H270" s="31">
        <f>IF(G270="","",COUNTIF($G$2:G270,"?*"))</f>
        <v/>
      </c>
    </row>
    <row r="271" ht="48" customHeight="1">
      <c r="A271" s="48" t="inlineStr">
        <is>
          <t>창고</t>
        </is>
      </c>
      <c r="B271" s="28" t="inlineStr">
        <is>
          <t>PCB</t>
        </is>
      </c>
      <c r="C271" s="28" t="inlineStr">
        <is>
          <t>ADX4000W</t>
        </is>
      </c>
      <c r="D271" s="29" t="inlineStr">
        <is>
          <t>USB 메모리 BD (구형 KONTRON)
[ADX4000W]</t>
        </is>
      </c>
      <c r="E271" s="28" t="inlineStr">
        <is>
          <t>HLP</t>
        </is>
      </c>
      <c r="F271" s="30" t="n"/>
      <c r="G271" s="29">
        <f>IFERROR("["&amp;INDEX(고압진공_재고현황!$A:$A,MATCH($D271,고압진공_재고현황!$E:$E,0))&amp;"] "&amp;INDEX(고압진공_재고현황!$D:$D,MATCH($D271,고압진공_재고현황!$E:$E,0)),IFERROR("[조립] "&amp;INDEX(조립자재_재고현황!$D:$D,MATCH($D271,조립자재_재고현황!$E:$E,0)),""))</f>
        <v/>
      </c>
      <c r="H271" s="31">
        <f>IF(G271="","",COUNTIF($G$2:G271,"?*"))</f>
        <v/>
      </c>
    </row>
    <row r="272" ht="48" customHeight="1">
      <c r="A272" s="48" t="inlineStr">
        <is>
          <t>창고</t>
        </is>
      </c>
      <c r="B272" s="28" t="inlineStr">
        <is>
          <t>PCB</t>
        </is>
      </c>
      <c r="C272" s="28" t="inlineStr">
        <is>
          <t>ADX4000W</t>
        </is>
      </c>
      <c r="D272" s="29" t="inlineStr">
        <is>
          <t>USB 메모리 BD (신형 DFI)
[ADX4000W]</t>
        </is>
      </c>
      <c r="E272" s="28" t="inlineStr">
        <is>
          <t>HLP</t>
        </is>
      </c>
      <c r="F272" s="30" t="n"/>
      <c r="G272" s="29">
        <f>IFERROR("["&amp;INDEX(고압진공_재고현황!$A:$A,MATCH($D272,고압진공_재고현황!$E:$E,0))&amp;"] "&amp;INDEX(고압진공_재고현황!$D:$D,MATCH($D272,고압진공_재고현황!$E:$E,0)),IFERROR("[조립] "&amp;INDEX(조립자재_재고현황!$D:$D,MATCH($D272,조립자재_재고현황!$E:$E,0)),""))</f>
        <v/>
      </c>
      <c r="H272" s="31">
        <f>IF(G272="","",COUNTIF($G$2:G272,"?*"))</f>
        <v/>
      </c>
    </row>
    <row r="273" ht="48" customHeight="1">
      <c r="A273" s="48" t="inlineStr">
        <is>
          <t>창고</t>
        </is>
      </c>
      <c r="B273" s="28" t="inlineStr">
        <is>
          <t>PANEL</t>
        </is>
      </c>
      <c r="C273" s="28" t="inlineStr">
        <is>
          <t>ADX4000W</t>
        </is>
      </c>
      <c r="D273" s="29" t="inlineStr">
        <is>
          <t>5" LCD (LQ050W1LA0A)
[ADX4000W]</t>
        </is>
      </c>
      <c r="E273" s="28" t="inlineStr">
        <is>
          <t>홍콩</t>
        </is>
      </c>
      <c r="F273" s="30" t="n"/>
      <c r="G273" s="29">
        <f>IFERROR("["&amp;INDEX(고압진공_재고현황!$A:$A,MATCH($D273,고압진공_재고현황!$E:$E,0))&amp;"] "&amp;INDEX(고압진공_재고현황!$D:$D,MATCH($D273,고압진공_재고현황!$E:$E,0)),IFERROR("[조립] "&amp;INDEX(조립자재_재고현황!$D:$D,MATCH($D273,조립자재_재고현황!$E:$E,0)),""))</f>
        <v/>
      </c>
      <c r="H273" s="31">
        <f>IF(G273="","",COUNTIF($G$2:G273,"?*"))</f>
        <v/>
      </c>
    </row>
    <row r="274" ht="48" customHeight="1">
      <c r="A274" s="48" t="inlineStr">
        <is>
          <t>창고</t>
        </is>
      </c>
      <c r="B274" s="28" t="inlineStr">
        <is>
          <t>PANEL</t>
        </is>
      </c>
      <c r="C274" s="28" t="inlineStr">
        <is>
          <t>ADX4000W</t>
        </is>
      </c>
      <c r="D274" s="29" t="inlineStr">
        <is>
          <t>4.8" LCD (LMS480J-C01(LTS480WS-C01))
[ADX4000W]</t>
        </is>
      </c>
      <c r="E274" s="28" t="inlineStr">
        <is>
          <t>HLP</t>
        </is>
      </c>
      <c r="F274" s="30" t="n"/>
      <c r="G274" s="29">
        <f>IFERROR("["&amp;INDEX(고압진공_재고현황!$A:$A,MATCH($D274,고압진공_재고현황!$E:$E,0))&amp;"] "&amp;INDEX(고압진공_재고현황!$D:$D,MATCH($D274,고압진공_재고현황!$E:$E,0)),IFERROR("[조립] "&amp;INDEX(조립자재_재고현황!$D:$D,MATCH($D274,조립자재_재고현황!$E:$E,0)),""))</f>
        <v/>
      </c>
      <c r="H274" s="31">
        <f>IF(G274="","",COUNTIF($G$2:G274,"?*"))</f>
        <v/>
      </c>
    </row>
    <row r="275" ht="48" customHeight="1">
      <c r="A275" s="48" t="inlineStr">
        <is>
          <t>창고</t>
        </is>
      </c>
      <c r="B275" s="28" t="inlineStr">
        <is>
          <t>CABLE</t>
        </is>
      </c>
      <c r="C275" s="28" t="inlineStr">
        <is>
          <t>ADX4000W</t>
        </is>
      </c>
      <c r="D275" s="29" t="inlineStr">
        <is>
          <t>Embedded PC 전원 (2핀) (케리어+CTR B/D 연결)
[ADX4000W]</t>
        </is>
      </c>
      <c r="E275" s="28" t="inlineStr">
        <is>
          <t>HLP</t>
        </is>
      </c>
      <c r="F275" s="30" t="n"/>
      <c r="G275" s="29">
        <f>IFERROR("["&amp;INDEX(고압진공_재고현황!$A:$A,MATCH($D275,고압진공_재고현황!$E:$E,0))&amp;"] "&amp;INDEX(고압진공_재고현황!$D:$D,MATCH($D275,고압진공_재고현황!$E:$E,0)),IFERROR("[조립] "&amp;INDEX(조립자재_재고현황!$D:$D,MATCH($D275,조립자재_재고현황!$E:$E,0)),""))</f>
        <v/>
      </c>
      <c r="H275" s="31">
        <f>IF(G275="","",COUNTIF($G$2:G275,"?*"))</f>
        <v/>
      </c>
    </row>
    <row r="276" ht="48" customHeight="1">
      <c r="A276" s="48" t="inlineStr">
        <is>
          <t>창고</t>
        </is>
      </c>
      <c r="B276" s="28" t="inlineStr">
        <is>
          <t>CABLE</t>
        </is>
      </c>
      <c r="C276" s="28" t="inlineStr">
        <is>
          <t>ADX4000W</t>
        </is>
      </c>
      <c r="D276" s="29" t="inlineStr">
        <is>
          <t>리모콘 및 관전류 (4핀)
[ADX4000W]</t>
        </is>
      </c>
      <c r="E276" s="28" t="inlineStr">
        <is>
          <t>HLP</t>
        </is>
      </c>
      <c r="F276" s="30" t="n"/>
      <c r="G276" s="29">
        <f>IFERROR("["&amp;INDEX(고압진공_재고현황!$A:$A,MATCH($D276,고압진공_재고현황!$E:$E,0))&amp;"] "&amp;INDEX(고압진공_재고현황!$D:$D,MATCH($D276,고압진공_재고현황!$E:$E,0)),IFERROR("[조립] "&amp;INDEX(조립자재_재고현황!$D:$D,MATCH($D276,조립자재_재고현황!$E:$E,0)),""))</f>
        <v/>
      </c>
      <c r="H276" s="31">
        <f>IF(G276="","",COUNTIF($G$2:G276,"?*"))</f>
        <v/>
      </c>
    </row>
    <row r="277" ht="48" customHeight="1">
      <c r="A277" s="48" t="inlineStr">
        <is>
          <t>창고</t>
        </is>
      </c>
      <c r="B277" s="28" t="inlineStr">
        <is>
          <t>CABLE</t>
        </is>
      </c>
      <c r="C277" s="28" t="inlineStr">
        <is>
          <t>ADX4000W</t>
        </is>
      </c>
      <c r="D277" s="29" t="inlineStr">
        <is>
          <t>USB Wire (4핀)
[ADX4000W]</t>
        </is>
      </c>
      <c r="E277" s="28" t="inlineStr">
        <is>
          <t>HLP</t>
        </is>
      </c>
      <c r="F277" s="30" t="n"/>
      <c r="G277" s="29">
        <f>IFERROR("["&amp;INDEX(고압진공_재고현황!$A:$A,MATCH($D277,고압진공_재고현황!$E:$E,0))&amp;"] "&amp;INDEX(고압진공_재고현황!$D:$D,MATCH($D277,고압진공_재고현황!$E:$E,0)),IFERROR("[조립] "&amp;INDEX(조립자재_재고현황!$D:$D,MATCH($D277,조립자재_재고현황!$E:$E,0)),""))</f>
        <v/>
      </c>
      <c r="H277" s="31">
        <f>IF(G277="","",COUNTIF($G$2:G277,"?*"))</f>
        <v/>
      </c>
    </row>
    <row r="278" ht="48" customHeight="1">
      <c r="A278" s="48" t="inlineStr">
        <is>
          <t>창고</t>
        </is>
      </c>
      <c r="B278" s="28" t="inlineStr">
        <is>
          <t>CABLE</t>
        </is>
      </c>
      <c r="C278" s="28" t="inlineStr">
        <is>
          <t>ADX4000W</t>
        </is>
      </c>
      <c r="D278" s="29" t="inlineStr">
        <is>
          <t>NAVIGATION KEY (6핀)
[ADX4000W]</t>
        </is>
      </c>
      <c r="E278" s="28" t="inlineStr">
        <is>
          <t>HLP</t>
        </is>
      </c>
      <c r="F278" s="30" t="n"/>
      <c r="G278" s="29">
        <f>IFERROR("["&amp;INDEX(고압진공_재고현황!$A:$A,MATCH($D278,고압진공_재고현황!$E:$E,0))&amp;"] "&amp;INDEX(고압진공_재고현황!$D:$D,MATCH($D278,고압진공_재고현황!$E:$E,0)),IFERROR("[조립] "&amp;INDEX(조립자재_재고현황!$D:$D,MATCH($D278,조립자재_재고현황!$E:$E,0)),""))</f>
        <v/>
      </c>
      <c r="H278" s="31">
        <f>IF(G278="","",COUNTIF($G$2:G278,"?*"))</f>
        <v/>
      </c>
    </row>
    <row r="279" ht="48" customHeight="1">
      <c r="A279" s="48" t="inlineStr">
        <is>
          <t>창고</t>
        </is>
      </c>
      <c r="B279" s="28" t="inlineStr">
        <is>
          <t>CABLE</t>
        </is>
      </c>
      <c r="C279" s="28" t="inlineStr">
        <is>
          <t>ADX4000W</t>
        </is>
      </c>
      <c r="D279" s="29" t="inlineStr">
        <is>
          <t>RS422 통신 및 PC 전원 on/off (7핀)
[ADX4000W]</t>
        </is>
      </c>
      <c r="E279" s="28" t="inlineStr">
        <is>
          <t>HLP</t>
        </is>
      </c>
      <c r="F279" s="30" t="n"/>
      <c r="G279" s="29">
        <f>IFERROR("["&amp;INDEX(고압진공_재고현황!$A:$A,MATCH($D279,고압진공_재고현황!$E:$E,0))&amp;"] "&amp;INDEX(고압진공_재고현황!$D:$D,MATCH($D279,고압진공_재고현황!$E:$E,0)),IFERROR("[조립] "&amp;INDEX(조립자재_재고현황!$D:$D,MATCH($D279,조립자재_재고현황!$E:$E,0)),""))</f>
        <v/>
      </c>
      <c r="H279" s="31">
        <f>IF(G279="","",COUNTIF($G$2:G279,"?*"))</f>
        <v/>
      </c>
    </row>
    <row r="280" ht="48" customHeight="1">
      <c r="A280" s="48" t="inlineStr">
        <is>
          <t>창고</t>
        </is>
      </c>
      <c r="B280" s="28" t="inlineStr">
        <is>
          <t>CABLE</t>
        </is>
      </c>
      <c r="C280" s="28" t="inlineStr">
        <is>
          <t>ADX4000W</t>
        </is>
      </c>
      <c r="D280" s="29" t="inlineStr">
        <is>
          <t>전원 및 EXP Wire (8핀)
[ADX4000W]</t>
        </is>
      </c>
      <c r="E280" s="28" t="inlineStr">
        <is>
          <t>HLP</t>
        </is>
      </c>
      <c r="F280" s="30" t="n"/>
      <c r="G280" s="29">
        <f>IFERROR("["&amp;INDEX(고압진공_재고현황!$A:$A,MATCH($D280,고압진공_재고현황!$E:$E,0))&amp;"] "&amp;INDEX(고압진공_재고현황!$D:$D,MATCH($D280,고압진공_재고현황!$E:$E,0)),IFERROR("[조립] "&amp;INDEX(조립자재_재고현황!$D:$D,MATCH($D280,조립자재_재고현황!$E:$E,0)),""))</f>
        <v/>
      </c>
      <c r="H280" s="31">
        <f>IF(G280="","",COUNTIF($G$2:G280,"?*"))</f>
        <v/>
      </c>
    </row>
    <row r="281" ht="48" customHeight="1">
      <c r="A281" s="48" t="inlineStr">
        <is>
          <t>창고</t>
        </is>
      </c>
      <c r="B281" s="28" t="inlineStr">
        <is>
          <t>CABLE</t>
        </is>
      </c>
      <c r="C281" s="28" t="inlineStr">
        <is>
          <t>ADX4000W</t>
        </is>
      </c>
      <c r="D281" s="29" t="inlineStr">
        <is>
          <t>LCD Wire (LVDS) (30핀)
[ADX4000W]</t>
        </is>
      </c>
      <c r="E281" s="28" t="inlineStr">
        <is>
          <t>HLP</t>
        </is>
      </c>
      <c r="F281" s="30" t="n"/>
      <c r="G281" s="29">
        <f>IFERROR("["&amp;INDEX(고압진공_재고현황!$A:$A,MATCH($D281,고압진공_재고현황!$E:$E,0))&amp;"] "&amp;INDEX(고압진공_재고현황!$D:$D,MATCH($D281,고압진공_재고현황!$E:$E,0)),IFERROR("[조립] "&amp;INDEX(조립자재_재고현황!$D:$D,MATCH($D281,조립자재_재고현황!$E:$E,0)),""))</f>
        <v/>
      </c>
      <c r="H281" s="31">
        <f>IF(G281="","",COUNTIF($G$2:G281,"?*"))</f>
        <v/>
      </c>
    </row>
    <row r="282" ht="48" customHeight="1">
      <c r="A282" s="48" t="inlineStr">
        <is>
          <t>창고</t>
        </is>
      </c>
      <c r="B282" s="28" t="inlineStr">
        <is>
          <t>ABS 난연</t>
        </is>
      </c>
      <c r="C282" s="28" t="inlineStr">
        <is>
          <t>ADX4000W</t>
        </is>
      </c>
      <c r="D282" s="29" t="inlineStr">
        <is>
          <t>LCD TOP (ABS 난연 화이트)
[ADX4000W]</t>
        </is>
      </c>
      <c r="E282" s="28" t="inlineStr">
        <is>
          <t>천우</t>
        </is>
      </c>
      <c r="F282" s="30" t="n"/>
      <c r="G282" s="29">
        <f>IFERROR("["&amp;INDEX(고압진공_재고현황!$A:$A,MATCH($D282,고압진공_재고현황!$E:$E,0))&amp;"] "&amp;INDEX(고압진공_재고현황!$D:$D,MATCH($D282,고압진공_재고현황!$E:$E,0)),IFERROR("[조립] "&amp;INDEX(조립자재_재고현황!$D:$D,MATCH($D282,조립자재_재고현황!$E:$E,0)),""))</f>
        <v/>
      </c>
      <c r="H282" s="31">
        <f>IF(G282="","",COUNTIF($G$2:G282,"?*"))</f>
        <v/>
      </c>
    </row>
    <row r="283" ht="48" customHeight="1">
      <c r="A283" s="48" t="inlineStr">
        <is>
          <t>창고</t>
        </is>
      </c>
      <c r="B283" s="28" t="inlineStr">
        <is>
          <t>ABS 난연</t>
        </is>
      </c>
      <c r="C283" s="28" t="inlineStr">
        <is>
          <t>ADX4000W</t>
        </is>
      </c>
      <c r="D283" s="29" t="inlineStr">
        <is>
          <t>LCD BOTTOM (ABS 난연 화이트)
[ADX4000W]</t>
        </is>
      </c>
      <c r="E283" s="28" t="inlineStr">
        <is>
          <t>천우</t>
        </is>
      </c>
      <c r="F283" s="30" t="n"/>
      <c r="G283" s="29">
        <f>IFERROR("["&amp;INDEX(고압진공_재고현황!$A:$A,MATCH($D283,고압진공_재고현황!$E:$E,0))&amp;"] "&amp;INDEX(고압진공_재고현황!$D:$D,MATCH($D283,고압진공_재고현황!$E:$E,0)),IFERROR("[조립] "&amp;INDEX(조립자재_재고현황!$D:$D,MATCH($D283,조립자재_재고현황!$E:$E,0)),""))</f>
        <v/>
      </c>
      <c r="H283" s="31">
        <f>IF(G283="","",COUNTIF($G$2:G283,"?*"))</f>
        <v/>
      </c>
    </row>
    <row r="284" ht="48" customHeight="1">
      <c r="A284" s="48" t="inlineStr">
        <is>
          <t>창고</t>
        </is>
      </c>
      <c r="B284" s="28" t="inlineStr">
        <is>
          <t>ABS 난연</t>
        </is>
      </c>
      <c r="C284" s="28" t="inlineStr">
        <is>
          <t>ADX4000W</t>
        </is>
      </c>
      <c r="D284" s="29" t="inlineStr">
        <is>
          <t>LCD GUIDE (ABS 난연 화이트)
[ADX4000W]</t>
        </is>
      </c>
      <c r="E284" s="28" t="inlineStr">
        <is>
          <t>천우</t>
        </is>
      </c>
      <c r="F284" s="30" t="n"/>
      <c r="G284" s="29">
        <f>IFERROR("["&amp;INDEX(고압진공_재고현황!$A:$A,MATCH($D284,고압진공_재고현황!$E:$E,0))&amp;"] "&amp;INDEX(고압진공_재고현황!$D:$D,MATCH($D284,고압진공_재고현황!$E:$E,0)),IFERROR("[조립] "&amp;INDEX(조립자재_재고현황!$D:$D,MATCH($D284,조립자재_재고현황!$E:$E,0)),""))</f>
        <v/>
      </c>
      <c r="H284" s="31">
        <f>IF(G284="","",COUNTIF($G$2:G284,"?*"))</f>
        <v/>
      </c>
    </row>
    <row r="285" ht="48" customHeight="1">
      <c r="A285" s="48" t="inlineStr">
        <is>
          <t>창고</t>
        </is>
      </c>
      <c r="B285" s="28" t="inlineStr">
        <is>
          <t>ABS 난연</t>
        </is>
      </c>
      <c r="C285" s="28" t="inlineStr">
        <is>
          <t>ADX4000W</t>
        </is>
      </c>
      <c r="D285" s="29" t="inlineStr">
        <is>
          <t>TOP (ABS 난연 화이트)
[ADX4000W]</t>
        </is>
      </c>
      <c r="E285" s="28" t="inlineStr">
        <is>
          <t>천우</t>
        </is>
      </c>
      <c r="F285" s="30" t="n"/>
      <c r="G285" s="29">
        <f>IFERROR("["&amp;INDEX(고압진공_재고현황!$A:$A,MATCH($D285,고압진공_재고현황!$E:$E,0))&amp;"] "&amp;INDEX(고압진공_재고현황!$D:$D,MATCH($D285,고압진공_재고현황!$E:$E,0)),IFERROR("[조립] "&amp;INDEX(조립자재_재고현황!$D:$D,MATCH($D285,조립자재_재고현황!$E:$E,0)),""))</f>
        <v/>
      </c>
      <c r="H285" s="31">
        <f>IF(G285="","",COUNTIF($G$2:G285,"?*"))</f>
        <v/>
      </c>
    </row>
    <row r="286" ht="48" customHeight="1">
      <c r="A286" s="48" t="inlineStr">
        <is>
          <t>창고</t>
        </is>
      </c>
      <c r="B286" s="28" t="inlineStr">
        <is>
          <t>ABS 난연</t>
        </is>
      </c>
      <c r="C286" s="28" t="inlineStr">
        <is>
          <t>ADX4000W</t>
        </is>
      </c>
      <c r="D286" s="29" t="inlineStr">
        <is>
          <t>BOTTOM (ABS 난연 화이트)
[ADX4000W]</t>
        </is>
      </c>
      <c r="E286" s="28" t="inlineStr">
        <is>
          <t>천우</t>
        </is>
      </c>
      <c r="F286" s="30" t="n"/>
      <c r="G286" s="29">
        <f>IFERROR("["&amp;INDEX(고압진공_재고현황!$A:$A,MATCH($D286,고압진공_재고현황!$E:$E,0))&amp;"] "&amp;INDEX(고압진공_재고현황!$D:$D,MATCH($D286,고압진공_재고현황!$E:$E,0)),IFERROR("[조립] "&amp;INDEX(조립자재_재고현황!$D:$D,MATCH($D286,조립자재_재고현황!$E:$E,0)),""))</f>
        <v/>
      </c>
      <c r="H286" s="31">
        <f>IF(G286="","",COUNTIF($G$2:G286,"?*"))</f>
        <v/>
      </c>
    </row>
    <row r="287" ht="48" customHeight="1">
      <c r="A287" s="48" t="inlineStr">
        <is>
          <t>창고</t>
        </is>
      </c>
      <c r="B287" s="28" t="inlineStr">
        <is>
          <t>ABS 난연</t>
        </is>
      </c>
      <c r="C287" s="28" t="inlineStr">
        <is>
          <t>ADX4000W</t>
        </is>
      </c>
      <c r="D287" s="29" t="inlineStr">
        <is>
          <t>BATTERY COVER (ABS 난연 화이트 + 진한 회색)
[ADX4000W]</t>
        </is>
      </c>
      <c r="E287" s="28" t="inlineStr">
        <is>
          <t>천우</t>
        </is>
      </c>
      <c r="F287" s="30" t="n"/>
      <c r="G287" s="29">
        <f>IFERROR("["&amp;INDEX(고압진공_재고현황!$A:$A,MATCH($D287,고압진공_재고현황!$E:$E,0))&amp;"] "&amp;INDEX(고압진공_재고현황!$D:$D,MATCH($D287,고압진공_재고현황!$E:$E,0)),IFERROR("[조립] "&amp;INDEX(조립자재_재고현황!$D:$D,MATCH($D287,조립자재_재고현황!$E:$E,0)),""))</f>
        <v/>
      </c>
      <c r="H287" s="31">
        <f>IF(G287="","",COUNTIF($G$2:G287,"?*"))</f>
        <v/>
      </c>
    </row>
    <row r="288" ht="48" customHeight="1">
      <c r="A288" s="48" t="inlineStr">
        <is>
          <t>창고</t>
        </is>
      </c>
      <c r="B288" s="28" t="inlineStr">
        <is>
          <t>ABS 난연</t>
        </is>
      </c>
      <c r="C288" s="28" t="inlineStr">
        <is>
          <t>ADX4000W</t>
        </is>
      </c>
      <c r="D288" s="29" t="inlineStr">
        <is>
          <t>USB COVER (ABS 난연 화이트 + 진한 회색)
[ADX4000W]</t>
        </is>
      </c>
      <c r="E288" s="28" t="inlineStr">
        <is>
          <t>천우</t>
        </is>
      </c>
      <c r="F288" s="30" t="n"/>
      <c r="G288" s="29">
        <f>IFERROR("["&amp;INDEX(고압진공_재고현황!$A:$A,MATCH($D288,고압진공_재고현황!$E:$E,0))&amp;"] "&amp;INDEX(고압진공_재고현황!$D:$D,MATCH($D288,고압진공_재고현황!$E:$E,0)),IFERROR("[조립] "&amp;INDEX(조립자재_재고현황!$D:$D,MATCH($D288,조립자재_재고현황!$E:$E,0)),""))</f>
        <v/>
      </c>
      <c r="H288" s="31">
        <f>IF(G288="","",COUNTIF($G$2:G288,"?*"))</f>
        <v/>
      </c>
    </row>
    <row r="289" ht="48" customHeight="1">
      <c r="A289" s="48" t="inlineStr">
        <is>
          <t>창고</t>
        </is>
      </c>
      <c r="B289" s="28" t="inlineStr">
        <is>
          <t>ABS 난연</t>
        </is>
      </c>
      <c r="C289" s="28" t="inlineStr">
        <is>
          <t>ADX4000W</t>
        </is>
      </c>
      <c r="D289" s="29" t="inlineStr">
        <is>
          <t>POWER LED GUIDE (확산 아크릴)
[ADX4000W]</t>
        </is>
      </c>
      <c r="E289" s="28" t="inlineStr">
        <is>
          <t>천우</t>
        </is>
      </c>
      <c r="F289" s="30" t="n"/>
      <c r="G289" s="29">
        <f>IFERROR("["&amp;INDEX(고압진공_재고현황!$A:$A,MATCH($D289,고압진공_재고현황!$E:$E,0))&amp;"] "&amp;INDEX(고압진공_재고현황!$D:$D,MATCH($D289,고압진공_재고현황!$E:$E,0)),IFERROR("[조립] "&amp;INDEX(조립자재_재고현황!$D:$D,MATCH($D289,조립자재_재고현황!$E:$E,0)),""))</f>
        <v/>
      </c>
      <c r="H289" s="31">
        <f>IF(G289="","",COUNTIF($G$2:G289,"?*"))</f>
        <v/>
      </c>
    </row>
    <row r="290" ht="48" customHeight="1">
      <c r="A290" s="48" t="inlineStr">
        <is>
          <t>창고</t>
        </is>
      </c>
      <c r="B290" s="28" t="inlineStr">
        <is>
          <t>ABS 난연</t>
        </is>
      </c>
      <c r="C290" s="28" t="inlineStr">
        <is>
          <t>ADX4000W</t>
        </is>
      </c>
      <c r="D290" s="29" t="inlineStr">
        <is>
          <t>EX LED GUIDE (확산 아크릴)
[ADX4000W]</t>
        </is>
      </c>
      <c r="E290" s="28" t="inlineStr">
        <is>
          <t>천우</t>
        </is>
      </c>
      <c r="F290" s="30" t="n"/>
      <c r="G290" s="29">
        <f>IFERROR("["&amp;INDEX(고압진공_재고현황!$A:$A,MATCH($D290,고압진공_재고현황!$E:$E,0))&amp;"] "&amp;INDEX(고압진공_재고현황!$D:$D,MATCH($D290,고압진공_재고현황!$E:$E,0)),IFERROR("[조립] "&amp;INDEX(조립자재_재고현황!$D:$D,MATCH($D290,조립자재_재고현황!$E:$E,0)),""))</f>
        <v/>
      </c>
      <c r="H290" s="31">
        <f>IF(G290="","",COUNTIF($G$2:G290,"?*"))</f>
        <v/>
      </c>
    </row>
    <row r="291" ht="48" customHeight="1">
      <c r="A291" s="48" t="inlineStr">
        <is>
          <t>창고</t>
        </is>
      </c>
      <c r="B291" s="28" t="inlineStr">
        <is>
          <t>ABS 난연</t>
        </is>
      </c>
      <c r="C291" s="28" t="inlineStr">
        <is>
          <t>ADX4000W</t>
        </is>
      </c>
      <c r="D291" s="29" t="inlineStr">
        <is>
          <t>GUIDE (ABS 난연 화이트 + 진한 회색)
[ADX4000W]</t>
        </is>
      </c>
      <c r="E291" s="28" t="inlineStr">
        <is>
          <t>천우</t>
        </is>
      </c>
      <c r="F291" s="30" t="n"/>
      <c r="G291" s="29">
        <f>IFERROR("["&amp;INDEX(고압진공_재고현황!$A:$A,MATCH($D291,고압진공_재고현황!$E:$E,0))&amp;"] "&amp;INDEX(고압진공_재고현황!$D:$D,MATCH($D291,고압진공_재고현황!$E:$E,0)),IFERROR("[조립] "&amp;INDEX(조립자재_재고현황!$D:$D,MATCH($D291,조립자재_재고현황!$E:$E,0)),""))</f>
        <v/>
      </c>
      <c r="H291" s="31">
        <f>IF(G291="","",COUNTIF($G$2:G291,"?*"))</f>
        <v/>
      </c>
    </row>
    <row r="292" ht="48" customHeight="1">
      <c r="A292" s="48" t="inlineStr">
        <is>
          <t>창고</t>
        </is>
      </c>
      <c r="B292" s="28" t="inlineStr">
        <is>
          <t>ABS 난연</t>
        </is>
      </c>
      <c r="C292" s="28" t="inlineStr">
        <is>
          <t>ADX4000W</t>
        </is>
      </c>
      <c r="D292" s="29" t="inlineStr">
        <is>
          <t>GUIDE 스프레이 X (ABS 난연 화이트)
[ADX4000W]</t>
        </is>
      </c>
      <c r="E292" s="28" t="inlineStr">
        <is>
          <t>천우</t>
        </is>
      </c>
      <c r="F292" s="30" t="n"/>
      <c r="G292" s="29">
        <f>IFERROR("["&amp;INDEX(고압진공_재고현황!$A:$A,MATCH($D292,고압진공_재고현황!$E:$E,0))&amp;"] "&amp;INDEX(고압진공_재고현황!$D:$D,MATCH($D292,고압진공_재고현황!$E:$E,0)),IFERROR("[조립] "&amp;INDEX(조립자재_재고현황!$D:$D,MATCH($D292,조립자재_재고현황!$E:$E,0)),""))</f>
        <v/>
      </c>
      <c r="H292" s="31">
        <f>IF(G292="","",COUNTIF($G$2:G292,"?*"))</f>
        <v/>
      </c>
    </row>
    <row r="293" ht="48" customHeight="1">
      <c r="A293" s="48" t="inlineStr">
        <is>
          <t>창고</t>
        </is>
      </c>
      <c r="B293" s="28" t="inlineStr">
        <is>
          <t>ABS 난연</t>
        </is>
      </c>
      <c r="C293" s="28" t="inlineStr">
        <is>
          <t>ADX4000W</t>
        </is>
      </c>
      <c r="D293" s="29" t="inlineStr">
        <is>
          <t>HINGE GUIDE (ABS 난연 화이트)
[ADX4000W]</t>
        </is>
      </c>
      <c r="E293" s="28" t="inlineStr">
        <is>
          <t>천우</t>
        </is>
      </c>
      <c r="F293" s="30" t="n"/>
      <c r="G293" s="29">
        <f>IFERROR("["&amp;INDEX(고압진공_재고현황!$A:$A,MATCH($D293,고압진공_재고현황!$E:$E,0))&amp;"] "&amp;INDEX(고압진공_재고현황!$D:$D,MATCH($D293,고압진공_재고현황!$E:$E,0)),IFERROR("[조립] "&amp;INDEX(조립자재_재고현황!$D:$D,MATCH($D293,조립자재_재고현황!$E:$E,0)),""))</f>
        <v/>
      </c>
      <c r="H293" s="31">
        <f>IF(G293="","",COUNTIF($G$2:G293,"?*"))</f>
        <v/>
      </c>
    </row>
    <row r="294" ht="48" customHeight="1">
      <c r="A294" s="48" t="inlineStr">
        <is>
          <t>창고</t>
        </is>
      </c>
      <c r="B294" s="28" t="inlineStr">
        <is>
          <t>ABS 난연</t>
        </is>
      </c>
      <c r="C294" s="28" t="inlineStr">
        <is>
          <t>ADX4000W</t>
        </is>
      </c>
      <c r="D294" s="29" t="inlineStr">
        <is>
          <t>POWER BUTTON (ABS 난연 화이트 + 밝은 회색)
[ADX4000W]</t>
        </is>
      </c>
      <c r="E294" s="28" t="inlineStr">
        <is>
          <t>천우</t>
        </is>
      </c>
      <c r="F294" s="30" t="n"/>
      <c r="G294" s="29">
        <f>IFERROR("["&amp;INDEX(고압진공_재고현황!$A:$A,MATCH($D294,고압진공_재고현황!$E:$E,0))&amp;"] "&amp;INDEX(고압진공_재고현황!$D:$D,MATCH($D294,고압진공_재고현황!$E:$E,0)),IFERROR("[조립] "&amp;INDEX(조립자재_재고현황!$D:$D,MATCH($D294,조립자재_재고현황!$E:$E,0)),""))</f>
        <v/>
      </c>
      <c r="H294" s="31">
        <f>IF(G294="","",COUNTIF($G$2:G294,"?*"))</f>
        <v/>
      </c>
    </row>
    <row r="295" ht="48" customHeight="1">
      <c r="A295" s="48" t="inlineStr">
        <is>
          <t>창고</t>
        </is>
      </c>
      <c r="B295" s="28" t="inlineStr">
        <is>
          <t>ABS 난연</t>
        </is>
      </c>
      <c r="C295" s="28" t="inlineStr">
        <is>
          <t>ADX4000W</t>
        </is>
      </c>
      <c r="D295" s="29" t="inlineStr">
        <is>
          <t>POWER BUTTON 스프레이 X (ABS 난연 화이트)
[ADX4000W]</t>
        </is>
      </c>
      <c r="E295" s="28" t="inlineStr">
        <is>
          <t>천우</t>
        </is>
      </c>
      <c r="F295" s="30" t="n"/>
      <c r="G295" s="29">
        <f>IFERROR("["&amp;INDEX(고압진공_재고현황!$A:$A,MATCH($D295,고압진공_재고현황!$E:$E,0))&amp;"] "&amp;INDEX(고압진공_재고현황!$D:$D,MATCH($D295,고압진공_재고현황!$E:$E,0)),IFERROR("[조립] "&amp;INDEX(조립자재_재고현황!$D:$D,MATCH($D295,조립자재_재고현황!$E:$E,0)),""))</f>
        <v/>
      </c>
      <c r="H295" s="31">
        <f>IF(G295="","",COUNTIF($G$2:G295,"?*"))</f>
        <v/>
      </c>
    </row>
    <row r="296" ht="48" customHeight="1">
      <c r="A296" s="48" t="inlineStr">
        <is>
          <t>창고</t>
        </is>
      </c>
      <c r="B296" s="28" t="inlineStr">
        <is>
          <t>ABS 난연</t>
        </is>
      </c>
      <c r="C296" s="28" t="inlineStr">
        <is>
          <t>ADX4000W</t>
        </is>
      </c>
      <c r="D296" s="29" t="inlineStr">
        <is>
          <t>EXPOSE BUTTON (ABS 난연 화이트 + 밝은 회색)
[ADX4000W]</t>
        </is>
      </c>
      <c r="E296" s="28" t="inlineStr">
        <is>
          <t>천우</t>
        </is>
      </c>
      <c r="F296" s="30" t="n"/>
      <c r="G296" s="29">
        <f>IFERROR("["&amp;INDEX(고압진공_재고현황!$A:$A,MATCH($D296,고압진공_재고현황!$E:$E,0))&amp;"] "&amp;INDEX(고압진공_재고현황!$D:$D,MATCH($D296,고압진공_재고현황!$E:$E,0)),IFERROR("[조립] "&amp;INDEX(조립자재_재고현황!$D:$D,MATCH($D296,조립자재_재고현황!$E:$E,0)),""))</f>
        <v/>
      </c>
      <c r="H296" s="31">
        <f>IF(G296="","",COUNTIF($G$2:G296,"?*"))</f>
        <v/>
      </c>
    </row>
    <row r="297" ht="48" customHeight="1">
      <c r="A297" s="48" t="inlineStr">
        <is>
          <t>창고</t>
        </is>
      </c>
      <c r="B297" s="28" t="inlineStr">
        <is>
          <t>ABS 난연</t>
        </is>
      </c>
      <c r="C297" s="28" t="inlineStr">
        <is>
          <t>ADX4000W</t>
        </is>
      </c>
      <c r="D297" s="29" t="inlineStr">
        <is>
          <t>EXPOSE BUTTON 스프레이 X (ABS 난연 화이트)
[ADX4000W]</t>
        </is>
      </c>
      <c r="E297" s="28" t="inlineStr">
        <is>
          <t>천우</t>
        </is>
      </c>
      <c r="F297" s="30" t="n"/>
      <c r="G297" s="29">
        <f>IFERROR("["&amp;INDEX(고압진공_재고현황!$A:$A,MATCH($D297,고압진공_재고현황!$E:$E,0))&amp;"] "&amp;INDEX(고압진공_재고현황!$D:$D,MATCH($D297,고압진공_재고현황!$E:$E,0)),IFERROR("[조립] "&amp;INDEX(조립자재_재고현황!$D:$D,MATCH($D297,조립자재_재고현황!$E:$E,0)),""))</f>
        <v/>
      </c>
      <c r="H297" s="31">
        <f>IF(G297="","",COUNTIF($G$2:G297,"?*"))</f>
        <v/>
      </c>
    </row>
    <row r="298" ht="48" customHeight="1">
      <c r="A298" s="48" t="inlineStr">
        <is>
          <t>창고</t>
        </is>
      </c>
      <c r="B298" s="28" t="inlineStr">
        <is>
          <t>ABS 난연</t>
        </is>
      </c>
      <c r="C298" s="28" t="inlineStr">
        <is>
          <t>ADX4000W</t>
        </is>
      </c>
      <c r="D298" s="29" t="inlineStr">
        <is>
          <t>NAVI BUTTON (가운데) (ABS 난연 화이트 + 밝은 회색)
[ADX4000W]</t>
        </is>
      </c>
      <c r="E298" s="28" t="inlineStr">
        <is>
          <t>천우</t>
        </is>
      </c>
      <c r="F298" s="30" t="n"/>
      <c r="G298" s="29">
        <f>IFERROR("["&amp;INDEX(고압진공_재고현황!$A:$A,MATCH($D298,고압진공_재고현황!$E:$E,0))&amp;"] "&amp;INDEX(고압진공_재고현황!$D:$D,MATCH($D298,고압진공_재고현황!$E:$E,0)),IFERROR("[조립] "&amp;INDEX(조립자재_재고현황!$D:$D,MATCH($D298,조립자재_재고현황!$E:$E,0)),""))</f>
        <v/>
      </c>
      <c r="H298" s="31">
        <f>IF(G298="","",COUNTIF($G$2:G298,"?*"))</f>
        <v/>
      </c>
    </row>
    <row r="299" ht="48" customHeight="1">
      <c r="A299" s="48" t="inlineStr">
        <is>
          <t>창고</t>
        </is>
      </c>
      <c r="B299" s="28" t="inlineStr">
        <is>
          <t>ABS 난연</t>
        </is>
      </c>
      <c r="C299" s="28" t="inlineStr">
        <is>
          <t>ADX4000W</t>
        </is>
      </c>
      <c r="D299" s="29" t="inlineStr">
        <is>
          <t>NAVI BUTTON 스프레이 X (가운데) (ABS 난연 화이트)
[ADX4000W]</t>
        </is>
      </c>
      <c r="E299" s="28" t="inlineStr">
        <is>
          <t>천우</t>
        </is>
      </c>
      <c r="F299" s="30" t="n"/>
      <c r="G299" s="29">
        <f>IFERROR("["&amp;INDEX(고압진공_재고현황!$A:$A,MATCH($D299,고압진공_재고현황!$E:$E,0))&amp;"] "&amp;INDEX(고압진공_재고현황!$D:$D,MATCH($D299,고압진공_재고현황!$E:$E,0)),IFERROR("[조립] "&amp;INDEX(조립자재_재고현황!$D:$D,MATCH($D299,조립자재_재고현황!$E:$E,0)),""))</f>
        <v/>
      </c>
      <c r="H299" s="31">
        <f>IF(G299="","",COUNTIF($G$2:G299,"?*"))</f>
        <v/>
      </c>
    </row>
    <row r="300" ht="48" customHeight="1">
      <c r="A300" s="48" t="inlineStr">
        <is>
          <t>창고</t>
        </is>
      </c>
      <c r="B300" s="28" t="inlineStr">
        <is>
          <t>ABS 난연</t>
        </is>
      </c>
      <c r="C300" s="28" t="inlineStr">
        <is>
          <t>ADX4000W</t>
        </is>
      </c>
      <c r="D300" s="29" t="inlineStr">
        <is>
          <t>NAVI KEY (방향) (ABS 난연 화이트 + 밝은 회색)
[ADX4000W]</t>
        </is>
      </c>
      <c r="E300" s="28" t="inlineStr">
        <is>
          <t>천우</t>
        </is>
      </c>
      <c r="F300" s="30" t="n"/>
      <c r="G300" s="29">
        <f>IFERROR("["&amp;INDEX(고압진공_재고현황!$A:$A,MATCH($D300,고압진공_재고현황!$E:$E,0))&amp;"] "&amp;INDEX(고압진공_재고현황!$D:$D,MATCH($D300,고압진공_재고현황!$E:$E,0)),IFERROR("[조립] "&amp;INDEX(조립자재_재고현황!$D:$D,MATCH($D300,조립자재_재고현황!$E:$E,0)),""))</f>
        <v/>
      </c>
      <c r="H300" s="31">
        <f>IF(G300="","",COUNTIF($G$2:G300,"?*"))</f>
        <v/>
      </c>
    </row>
    <row r="301" ht="48" customHeight="1">
      <c r="A301" s="48" t="inlineStr">
        <is>
          <t>창고</t>
        </is>
      </c>
      <c r="B301" s="28" t="inlineStr">
        <is>
          <t>ABS 난연</t>
        </is>
      </c>
      <c r="C301" s="28" t="inlineStr">
        <is>
          <t>ADX4000W</t>
        </is>
      </c>
      <c r="D301" s="29" t="inlineStr">
        <is>
          <t>NAVI KEY 사파리 (방향) (ABS 난연 반투명)
[ADX4000W]</t>
        </is>
      </c>
      <c r="E301" s="28" t="inlineStr">
        <is>
          <t>천우</t>
        </is>
      </c>
      <c r="F301" s="30" t="n"/>
      <c r="G301" s="29">
        <f>IFERROR("["&amp;INDEX(고압진공_재고현황!$A:$A,MATCH($D301,고압진공_재고현황!$E:$E,0))&amp;"] "&amp;INDEX(고압진공_재고현황!$D:$D,MATCH($D301,고압진공_재고현황!$E:$E,0)),IFERROR("[조립] "&amp;INDEX(조립자재_재고현황!$D:$D,MATCH($D301,조립자재_재고현황!$E:$E,0)),""))</f>
        <v/>
      </c>
      <c r="H301" s="31">
        <f>IF(G301="","",COUNTIF($G$2:G301,"?*"))</f>
        <v/>
      </c>
    </row>
    <row r="302" ht="48" customHeight="1">
      <c r="A302" s="48" t="inlineStr">
        <is>
          <t>창고</t>
        </is>
      </c>
      <c r="B302" s="28" t="inlineStr">
        <is>
          <t>ABS 난연</t>
        </is>
      </c>
      <c r="C302" s="28" t="inlineStr">
        <is>
          <t>ADX4000W</t>
        </is>
      </c>
      <c r="D302" s="29" t="inlineStr">
        <is>
          <t>NAVI KEY 스프레이 X (방향) (ABS 난연 화이트)
[ADX4000W]</t>
        </is>
      </c>
      <c r="E302" s="28" t="inlineStr">
        <is>
          <t>천우</t>
        </is>
      </c>
      <c r="F302" s="30" t="n"/>
      <c r="G302" s="29">
        <f>IFERROR("["&amp;INDEX(고압진공_재고현황!$A:$A,MATCH($D302,고압진공_재고현황!$E:$E,0))&amp;"] "&amp;INDEX(고압진공_재고현황!$D:$D,MATCH($D302,고압진공_재고현황!$E:$E,0)),IFERROR("[조립] "&amp;INDEX(조립자재_재고현황!$D:$D,MATCH($D302,조립자재_재고현황!$E:$E,0)),""))</f>
        <v/>
      </c>
      <c r="H302" s="31">
        <f>IF(G302="","",COUNTIF($G$2:G302,"?*"))</f>
        <v/>
      </c>
    </row>
    <row r="303" ht="48" customHeight="1">
      <c r="A303" s="48" t="inlineStr">
        <is>
          <t>창고</t>
        </is>
      </c>
      <c r="B303" s="28" t="inlineStr">
        <is>
          <t>ABS 난연</t>
        </is>
      </c>
      <c r="C303" s="28" t="inlineStr">
        <is>
          <t>ADX4000W</t>
        </is>
      </c>
      <c r="D303" s="29" t="inlineStr">
        <is>
          <t>FRONT CONE 일체형 (ABS 난연 화이트 + 진한 회색)
[ADX4000W]</t>
        </is>
      </c>
      <c r="E303" s="28" t="inlineStr">
        <is>
          <t>천우</t>
        </is>
      </c>
      <c r="F303" s="30" t="n"/>
      <c r="G303" s="29">
        <f>IFERROR("["&amp;INDEX(고압진공_재고현황!$A:$A,MATCH($D303,고압진공_재고현황!$E:$E,0))&amp;"] "&amp;INDEX(고압진공_재고현황!$D:$D,MATCH($D303,고압진공_재고현황!$E:$E,0)),IFERROR("[조립] "&amp;INDEX(조립자재_재고현황!$D:$D,MATCH($D303,조립자재_재고현황!$E:$E,0)),""))</f>
        <v/>
      </c>
      <c r="H303" s="31">
        <f>IF(G303="","",COUNTIF($G$2:G303,"?*"))</f>
        <v/>
      </c>
    </row>
    <row r="304" ht="48" customHeight="1">
      <c r="A304" s="48" t="inlineStr">
        <is>
          <t>창고</t>
        </is>
      </c>
      <c r="B304" s="28" t="inlineStr">
        <is>
          <t>ABS 난연</t>
        </is>
      </c>
      <c r="C304" s="28" t="inlineStr">
        <is>
          <t>ADX4000W</t>
        </is>
      </c>
      <c r="D304" s="29" t="inlineStr">
        <is>
          <t>FRONT CONE 체결형 (ABS 난연 화이트 + 진한 회색)
[ADX4000W]</t>
        </is>
      </c>
      <c r="E304" s="28" t="inlineStr">
        <is>
          <t>천우</t>
        </is>
      </c>
      <c r="F304" s="30" t="n"/>
      <c r="G304" s="29">
        <f>IFERROR("["&amp;INDEX(고압진공_재고현황!$A:$A,MATCH($D304,고압진공_재고현황!$E:$E,0))&amp;"] "&amp;INDEX(고압진공_재고현황!$D:$D,MATCH($D304,고압진공_재고현황!$E:$E,0)),IFERROR("[조립] "&amp;INDEX(조립자재_재고현황!$D:$D,MATCH($D304,조립자재_재고현황!$E:$E,0)),""))</f>
        <v/>
      </c>
      <c r="H304" s="31">
        <f>IF(G304="","",COUNTIF($G$2:G304,"?*"))</f>
        <v/>
      </c>
    </row>
    <row r="305" ht="48" customHeight="1">
      <c r="A305" s="48" t="inlineStr">
        <is>
          <t>창고</t>
        </is>
      </c>
      <c r="B305" s="28" t="inlineStr">
        <is>
          <t>ABS 난연</t>
        </is>
      </c>
      <c r="C305" s="28" t="inlineStr">
        <is>
          <t>ADX4000W</t>
        </is>
      </c>
      <c r="D305" s="29" t="inlineStr">
        <is>
          <t>20cm CONE (ABS 난연 화이트 + 진한 회색)
[ADX4000W]</t>
        </is>
      </c>
      <c r="E305" s="28" t="inlineStr">
        <is>
          <t>천우</t>
        </is>
      </c>
      <c r="F305" s="30" t="n"/>
      <c r="G305" s="29">
        <f>IFERROR("["&amp;INDEX(고압진공_재고현황!$A:$A,MATCH($D305,고압진공_재고현황!$E:$E,0))&amp;"] "&amp;INDEX(고압진공_재고현황!$D:$D,MATCH($D305,고압진공_재고현황!$E:$E,0)),IFERROR("[조립] "&amp;INDEX(조립자재_재고현황!$D:$D,MATCH($D305,조립자재_재고현황!$E:$E,0)),""))</f>
        <v/>
      </c>
      <c r="H305" s="31">
        <f>IF(G305="","",COUNTIF($G$2:G305,"?*"))</f>
        <v/>
      </c>
    </row>
    <row r="306" ht="48" customHeight="1">
      <c r="A306" s="48" t="inlineStr">
        <is>
          <t>창고</t>
        </is>
      </c>
      <c r="B306" s="28" t="inlineStr">
        <is>
          <t>ABS 난연</t>
        </is>
      </c>
      <c r="C306" s="28" t="inlineStr">
        <is>
          <t>ADX4000W</t>
        </is>
      </c>
      <c r="D306" s="29" t="inlineStr">
        <is>
          <t>15cm CONE (ABS 난연 화이트 + 진한 회색)
[ADX4000W]</t>
        </is>
      </c>
      <c r="E306" s="28" t="inlineStr">
        <is>
          <t>천우</t>
        </is>
      </c>
      <c r="F306" s="30" t="n"/>
      <c r="G306" s="29">
        <f>IFERROR("["&amp;INDEX(고압진공_재고현황!$A:$A,MATCH($D306,고압진공_재고현황!$E:$E,0))&amp;"] "&amp;INDEX(고압진공_재고현황!$D:$D,MATCH($D306,고압진공_재고현황!$E:$E,0)),IFERROR("[조립] "&amp;INDEX(조립자재_재고현황!$D:$D,MATCH($D306,조립자재_재고현황!$E:$E,0)),""))</f>
        <v/>
      </c>
      <c r="H306" s="31">
        <f>IF(G306="","",COUNTIF($G$2:G306,"?*"))</f>
        <v/>
      </c>
    </row>
    <row r="307" ht="48" customHeight="1">
      <c r="A307" s="48" t="inlineStr">
        <is>
          <t>창고</t>
        </is>
      </c>
      <c r="B307" s="28" t="inlineStr">
        <is>
          <t>AL</t>
        </is>
      </c>
      <c r="C307" s="28" t="inlineStr">
        <is>
          <t>ADX4000W</t>
        </is>
      </c>
      <c r="D307" s="29" t="inlineStr">
        <is>
          <t>히팅 싱크 구형 (일본 사용)
[ADX4000W]</t>
        </is>
      </c>
      <c r="E307" s="28" t="inlineStr">
        <is>
          <t>다우정밀</t>
        </is>
      </c>
      <c r="F307" s="30" t="n"/>
      <c r="G307" s="29">
        <f>IFERROR("["&amp;INDEX(고압진공_재고현황!$A:$A,MATCH($D307,고압진공_재고현황!$E:$E,0))&amp;"] "&amp;INDEX(고압진공_재고현황!$D:$D,MATCH($D307,고압진공_재고현황!$E:$E,0)),IFERROR("[조립] "&amp;INDEX(조립자재_재고현황!$D:$D,MATCH($D307,조립자재_재고현황!$E:$E,0)),""))</f>
        <v/>
      </c>
      <c r="H307" s="31">
        <f>IF(G307="","",COUNTIF($G$2:G307,"?*"))</f>
        <v/>
      </c>
    </row>
    <row r="308" ht="48" customHeight="1">
      <c r="A308" s="48" t="inlineStr">
        <is>
          <t>창고</t>
        </is>
      </c>
      <c r="B308" s="28" t="inlineStr">
        <is>
          <t>AL</t>
        </is>
      </c>
      <c r="C308" s="28" t="inlineStr">
        <is>
          <t>ADX4000W</t>
        </is>
      </c>
      <c r="D308" s="29" t="inlineStr">
        <is>
          <t>히팅 싱크 신형
[ADX4000W]</t>
        </is>
      </c>
      <c r="E308" s="28" t="inlineStr">
        <is>
          <t>다우정밀</t>
        </is>
      </c>
      <c r="F308" s="30" t="n"/>
      <c r="G308" s="29">
        <f>IFERROR("["&amp;INDEX(고압진공_재고현황!$A:$A,MATCH($D308,고압진공_재고현황!$E:$E,0))&amp;"] "&amp;INDEX(고압진공_재고현황!$D:$D,MATCH($D308,고압진공_재고현황!$E:$E,0)),IFERROR("[조립] "&amp;INDEX(조립자재_재고현황!$D:$D,MATCH($D308,조립자재_재고현황!$E:$E,0)),""))</f>
        <v/>
      </c>
      <c r="H308" s="31">
        <f>IF(G308="","",COUNTIF($G$2:G308,"?*"))</f>
        <v/>
      </c>
    </row>
    <row r="309" ht="48" customHeight="1">
      <c r="A309" s="48" t="inlineStr">
        <is>
          <t>창고</t>
        </is>
      </c>
      <c r="B309" s="28" t="inlineStr">
        <is>
          <t>쿨링팬</t>
        </is>
      </c>
      <c r="C309" s="28" t="inlineStr">
        <is>
          <t>ADX4000W</t>
        </is>
      </c>
      <c r="D309" s="29" t="inlineStr">
        <is>
          <t>방열 팬 구형 (일본 사용) (1204KL-01W-B10 5V 0.1A)
[ADX4000W]</t>
        </is>
      </c>
      <c r="E309" s="28" t="inlineStr">
        <is>
          <t>직구</t>
        </is>
      </c>
      <c r="F309" s="30" t="n"/>
      <c r="G309" s="29">
        <f>IFERROR("["&amp;INDEX(고압진공_재고현황!$A:$A,MATCH($D309,고압진공_재고현황!$E:$E,0))&amp;"] "&amp;INDEX(고압진공_재고현황!$D:$D,MATCH($D309,고압진공_재고현황!$E:$E,0)),IFERROR("[조립] "&amp;INDEX(조립자재_재고현황!$D:$D,MATCH($D309,조립자재_재고현황!$E:$E,0)),""))</f>
        <v/>
      </c>
      <c r="H309" s="31">
        <f>IF(G309="","",COUNTIF($G$2:G309,"?*"))</f>
        <v/>
      </c>
    </row>
    <row r="310" ht="48" customHeight="1">
      <c r="A310" s="48" t="inlineStr">
        <is>
          <t>창고</t>
        </is>
      </c>
      <c r="B310" s="28" t="inlineStr">
        <is>
          <t>쿨링팬</t>
        </is>
      </c>
      <c r="C310" s="28" t="inlineStr">
        <is>
          <t>ADX4000W</t>
        </is>
      </c>
      <c r="D310" s="29" t="inlineStr">
        <is>
          <t>방열 팬 신형 (HBD0401005SEM 5V 0.15A)
[ADX4000W]</t>
        </is>
      </c>
      <c r="E310" s="28" t="inlineStr">
        <is>
          <t>직구</t>
        </is>
      </c>
      <c r="F310" s="30" t="n"/>
      <c r="G310" s="29">
        <f>IFERROR("["&amp;INDEX(고압진공_재고현황!$A:$A,MATCH($D310,고압진공_재고현황!$E:$E,0))&amp;"] "&amp;INDEX(고압진공_재고현황!$D:$D,MATCH($D310,고압진공_재고현황!$E:$E,0)),IFERROR("[조립] "&amp;INDEX(조립자재_재고현황!$D:$D,MATCH($D310,조립자재_재고현황!$E:$E,0)),""))</f>
        <v/>
      </c>
      <c r="H310" s="31">
        <f>IF(G310="","",COUNTIF($G$2:G310,"?*"))</f>
        <v/>
      </c>
    </row>
    <row r="311" ht="48" customHeight="1">
      <c r="A311" s="48" t="inlineStr">
        <is>
          <t>창고</t>
        </is>
      </c>
      <c r="B311" s="28" t="inlineStr">
        <is>
          <t>써멀패드</t>
        </is>
      </c>
      <c r="C311" s="28" t="inlineStr">
        <is>
          <t>ADX4000W</t>
        </is>
      </c>
      <c r="D311" s="29" t="inlineStr">
        <is>
          <t>히팅 패드
[ADX4000W]</t>
        </is>
      </c>
      <c r="E311" s="28" t="inlineStr">
        <is>
          <t>직구</t>
        </is>
      </c>
      <c r="F311" s="30" t="n"/>
      <c r="G311" s="29">
        <f>IFERROR("["&amp;INDEX(고압진공_재고현황!$A:$A,MATCH($D311,고압진공_재고현황!$E:$E,0))&amp;"] "&amp;INDEX(고압진공_재고현황!$D:$D,MATCH($D311,고압진공_재고현황!$E:$E,0)),IFERROR("[조립] "&amp;INDEX(조립자재_재고현황!$D:$D,MATCH($D311,조립자재_재고현황!$E:$E,0)),""))</f>
        <v/>
      </c>
      <c r="H311" s="31">
        <f>IF(G311="","",COUNTIF($G$2:G311,"?*"))</f>
        <v/>
      </c>
    </row>
    <row r="312" ht="48" customHeight="1">
      <c r="A312" s="48" t="inlineStr">
        <is>
          <t>창고</t>
        </is>
      </c>
      <c r="B312" s="28" t="inlineStr">
        <is>
          <t>페라이트</t>
        </is>
      </c>
      <c r="C312" s="28" t="inlineStr">
        <is>
          <t>ADX4000W</t>
        </is>
      </c>
      <c r="D312" s="29" t="inlineStr">
        <is>
          <t>큰 페라이트 (ZCAT-1730-0730)
[ADX4000W]</t>
        </is>
      </c>
      <c r="E312" s="28" t="inlineStr">
        <is>
          <t>HLP</t>
        </is>
      </c>
      <c r="F312" s="30" t="n"/>
      <c r="G312" s="29">
        <f>IFERROR("["&amp;INDEX(고압진공_재고현황!$A:$A,MATCH($D312,고압진공_재고현황!$E:$E,0))&amp;"] "&amp;INDEX(고압진공_재고현황!$D:$D,MATCH($D312,고압진공_재고현황!$E:$E,0)),IFERROR("[조립] "&amp;INDEX(조립자재_재고현황!$D:$D,MATCH($D312,조립자재_재고현황!$E:$E,0)),""))</f>
        <v/>
      </c>
      <c r="H312" s="31">
        <f>IF(G312="","",COUNTIF($G$2:G312,"?*"))</f>
        <v/>
      </c>
    </row>
    <row r="313" ht="48" customHeight="1">
      <c r="A313" s="48" t="inlineStr">
        <is>
          <t>창고</t>
        </is>
      </c>
      <c r="B313" s="28" t="inlineStr">
        <is>
          <t>페라이트</t>
        </is>
      </c>
      <c r="C313" s="28" t="inlineStr">
        <is>
          <t>ADX4000W</t>
        </is>
      </c>
      <c r="D313" s="29" t="inlineStr">
        <is>
          <t>작은 페라이트 (ZCAT-1325-0530)
[ADX4000W]</t>
        </is>
      </c>
      <c r="E313" s="28" t="inlineStr">
        <is>
          <t>HLP</t>
        </is>
      </c>
      <c r="F313" s="30" t="n"/>
      <c r="G313" s="29">
        <f>IFERROR("["&amp;INDEX(고압진공_재고현황!$A:$A,MATCH($D313,고압진공_재고현황!$E:$E,0))&amp;"] "&amp;INDEX(고압진공_재고현황!$D:$D,MATCH($D313,고압진공_재고현황!$E:$E,0)),IFERROR("[조립] "&amp;INDEX(조립자재_재고현황!$D:$D,MATCH($D313,조립자재_재고현황!$E:$E,0)),""))</f>
        <v/>
      </c>
      <c r="H313" s="31">
        <f>IF(G313="","",COUNTIF($G$2:G313,"?*"))</f>
        <v/>
      </c>
    </row>
    <row r="314" ht="48" customHeight="1">
      <c r="A314" s="48" t="inlineStr">
        <is>
          <t>창고</t>
        </is>
      </c>
      <c r="B314" s="28" t="inlineStr">
        <is>
          <t>동글</t>
        </is>
      </c>
      <c r="C314" s="28" t="inlineStr">
        <is>
          <t>ADX4000W</t>
        </is>
      </c>
      <c r="D314" s="29" t="inlineStr">
        <is>
          <t>TP-LINK (WAN1000M)-동글
[ADX4000W]</t>
        </is>
      </c>
      <c r="E314" s="28" t="inlineStr">
        <is>
          <t>직구</t>
        </is>
      </c>
      <c r="F314" s="30" t="n"/>
      <c r="G314" s="29">
        <f>IFERROR("["&amp;INDEX(고압진공_재고현황!$A:$A,MATCH($D314,고압진공_재고현황!$E:$E,0))&amp;"] "&amp;INDEX(고압진공_재고현황!$D:$D,MATCH($D314,고압진공_재고현황!$E:$E,0)),IFERROR("[조립] "&amp;INDEX(조립자재_재고현황!$D:$D,MATCH($D314,조립자재_재고현황!$E:$E,0)),""))</f>
        <v/>
      </c>
      <c r="H314" s="31">
        <f>IF(G314="","",COUNTIF($G$2:G314,"?*"))</f>
        <v/>
      </c>
    </row>
    <row r="315" ht="48" customHeight="1">
      <c r="A315" s="48" t="inlineStr">
        <is>
          <t>창고</t>
        </is>
      </c>
      <c r="B315" s="28" t="inlineStr">
        <is>
          <t>동글</t>
        </is>
      </c>
      <c r="C315" s="28" t="inlineStr">
        <is>
          <t>ADX4000W</t>
        </is>
      </c>
      <c r="D315" s="29" t="inlineStr">
        <is>
          <t>ip TIME 무선 랜카드 [N100UM]
[ADX4000W]</t>
        </is>
      </c>
      <c r="E315" s="28" t="inlineStr">
        <is>
          <t>직구</t>
        </is>
      </c>
      <c r="F315" s="30" t="n"/>
      <c r="G315" s="29">
        <f>IFERROR("["&amp;INDEX(고압진공_재고현황!$A:$A,MATCH($D315,고압진공_재고현황!$E:$E,0))&amp;"] "&amp;INDEX(고압진공_재고현황!$D:$D,MATCH($D315,고압진공_재고현황!$E:$E,0)),IFERROR("[조립] "&amp;INDEX(조립자재_재고현황!$D:$D,MATCH($D315,조립자재_재고현황!$E:$E,0)),""))</f>
        <v/>
      </c>
      <c r="H315" s="31">
        <f>IF(G315="","",COUNTIF($G$2:G315,"?*"))</f>
        <v/>
      </c>
    </row>
    <row r="316" ht="48" customHeight="1">
      <c r="A316" s="48" t="inlineStr">
        <is>
          <t>창고</t>
        </is>
      </c>
      <c r="B316" s="28" t="inlineStr">
        <is>
          <t>동글</t>
        </is>
      </c>
      <c r="C316" s="28" t="inlineStr">
        <is>
          <t>ADX4000W</t>
        </is>
      </c>
      <c r="D316" s="29" t="inlineStr">
        <is>
          <t>ELECOM WIFI (10DR) (WDC-150SU2M)
[ADX4000W]</t>
        </is>
      </c>
      <c r="E316" s="28" t="inlineStr">
        <is>
          <t>일본 지사</t>
        </is>
      </c>
      <c r="F316" s="30" t="n"/>
      <c r="G316" s="29">
        <f>IFERROR("["&amp;INDEX(고압진공_재고현황!$A:$A,MATCH($D316,고압진공_재고현황!$E:$E,0))&amp;"] "&amp;INDEX(고압진공_재고현황!$D:$D,MATCH($D316,고압진공_재고현황!$E:$E,0)),IFERROR("[조립] "&amp;INDEX(조립자재_재고현황!$D:$D,MATCH($D316,조립자재_재고현황!$E:$E,0)),""))</f>
        <v/>
      </c>
      <c r="H316" s="31">
        <f>IF(G316="","",COUNTIF($G$2:G316,"?*"))</f>
        <v/>
      </c>
    </row>
    <row r="317" ht="48" customHeight="1">
      <c r="A317" s="48" t="inlineStr">
        <is>
          <t>창고</t>
        </is>
      </c>
      <c r="B317" s="28" t="inlineStr">
        <is>
          <t>USB</t>
        </is>
      </c>
      <c r="C317" s="28" t="inlineStr">
        <is>
          <t>ADX4000W</t>
        </is>
      </c>
      <c r="D317" s="29" t="inlineStr">
        <is>
          <t>USB 메모리 (16GB)
[ADX4000W]</t>
        </is>
      </c>
      <c r="E317" s="28" t="inlineStr">
        <is>
          <t>직구</t>
        </is>
      </c>
      <c r="F317" s="30" t="n"/>
      <c r="G317" s="29">
        <f>IFERROR("["&amp;INDEX(고압진공_재고현황!$A:$A,MATCH($D317,고압진공_재고현황!$E:$E,0))&amp;"] "&amp;INDEX(고압진공_재고현황!$D:$D,MATCH($D317,고압진공_재고현황!$E:$E,0)),IFERROR("[조립] "&amp;INDEX(조립자재_재고현황!$D:$D,MATCH($D317,조립자재_재고현황!$E:$E,0)),""))</f>
        <v/>
      </c>
      <c r="H317" s="31">
        <f>IF(G317="","",COUNTIF($G$2:G317,"?*"))</f>
        <v/>
      </c>
    </row>
    <row r="318" ht="48" customHeight="1">
      <c r="A318" s="48" t="inlineStr">
        <is>
          <t>창고</t>
        </is>
      </c>
      <c r="B318" s="28" t="inlineStr">
        <is>
          <t>클립</t>
        </is>
      </c>
      <c r="C318" s="28" t="inlineStr">
        <is>
          <t>ADX4000W</t>
        </is>
      </c>
      <c r="D318" s="29" t="inlineStr">
        <is>
          <t>Q 클립
[ADX4000W]</t>
        </is>
      </c>
      <c r="E318" s="28" t="inlineStr">
        <is>
          <t>직구</t>
        </is>
      </c>
      <c r="F318" s="30" t="n"/>
      <c r="G318" s="29">
        <f>IFERROR("["&amp;INDEX(고압진공_재고현황!$A:$A,MATCH($D318,고압진공_재고현황!$E:$E,0))&amp;"] "&amp;INDEX(고압진공_재고현황!$D:$D,MATCH($D318,고압진공_재고현황!$E:$E,0)),IFERROR("[조립] "&amp;INDEX(조립자재_재고현황!$D:$D,MATCH($D318,조립자재_재고현황!$E:$E,0)),""))</f>
        <v/>
      </c>
      <c r="H318" s="31">
        <f>IF(G318="","",COUNTIF($G$2:G318,"?*"))</f>
        <v/>
      </c>
    </row>
    <row r="319" ht="48" customHeight="1">
      <c r="A319" s="48" t="inlineStr">
        <is>
          <t>창고</t>
        </is>
      </c>
      <c r="B319" s="28" t="inlineStr">
        <is>
          <t>클립</t>
        </is>
      </c>
      <c r="C319" s="28" t="inlineStr">
        <is>
          <t>ADX4000W</t>
        </is>
      </c>
      <c r="D319" s="29" t="inlineStr">
        <is>
          <t>L 클립
[ADX4000W]</t>
        </is>
      </c>
      <c r="E319" s="28" t="inlineStr">
        <is>
          <t>직구</t>
        </is>
      </c>
      <c r="F319" s="30" t="n"/>
      <c r="G319" s="29">
        <f>IFERROR("["&amp;INDEX(고압진공_재고현황!$A:$A,MATCH($D319,고압진공_재고현황!$E:$E,0))&amp;"] "&amp;INDEX(고압진공_재고현황!$D:$D,MATCH($D319,고압진공_재고현황!$E:$E,0)),IFERROR("[조립] "&amp;INDEX(조립자재_재고현황!$D:$D,MATCH($D319,조립자재_재고현황!$E:$E,0)),""))</f>
        <v/>
      </c>
      <c r="H319" s="31">
        <f>IF(G319="","",COUNTIF($G$2:G319,"?*"))</f>
        <v/>
      </c>
    </row>
    <row r="320" ht="48" customHeight="1">
      <c r="A320" s="48" t="inlineStr">
        <is>
          <t>창고</t>
        </is>
      </c>
      <c r="B320" s="28" t="inlineStr">
        <is>
          <t>실리콘</t>
        </is>
      </c>
      <c r="C320" s="28" t="inlineStr">
        <is>
          <t>ADX4000W</t>
        </is>
      </c>
      <c r="D320" s="29" t="inlineStr">
        <is>
          <t>HAND GUIDE (ABS 난연 화이트)
[ADX4000W]</t>
        </is>
      </c>
      <c r="E320" s="28" t="inlineStr">
        <is>
          <t>천우</t>
        </is>
      </c>
      <c r="F320" s="30" t="n"/>
      <c r="G320" s="29">
        <f>IFERROR("["&amp;INDEX(고압진공_재고현황!$A:$A,MATCH($D320,고압진공_재고현황!$E:$E,0))&amp;"] "&amp;INDEX(고압진공_재고현황!$D:$D,MATCH($D320,고압진공_재고현황!$E:$E,0)),IFERROR("[조립] "&amp;INDEX(조립자재_재고현황!$D:$D,MATCH($D320,조립자재_재고현황!$E:$E,0)),""))</f>
        <v/>
      </c>
      <c r="H320" s="31">
        <f>IF(G320="","",COUNTIF($G$2:G320,"?*"))</f>
        <v/>
      </c>
    </row>
    <row r="321" ht="48" customHeight="1">
      <c r="A321" s="48" t="inlineStr">
        <is>
          <t>창고</t>
        </is>
      </c>
      <c r="B321" s="28" t="inlineStr">
        <is>
          <t>인조가죽</t>
        </is>
      </c>
      <c r="C321" s="28" t="inlineStr">
        <is>
          <t>ADX4000W</t>
        </is>
      </c>
      <c r="D321" s="29" t="inlineStr">
        <is>
          <t>HAND STRAP -손잡이(터치펜)(유럽용) (인조 가죽, AL(Cr도금), SUS Φ2.0)
[ADX4000W]</t>
        </is>
      </c>
      <c r="E321" s="28" t="inlineStr">
        <is>
          <t>굿모닝코리아유통</t>
        </is>
      </c>
      <c r="F321" s="30" t="n"/>
      <c r="G321" s="29">
        <f>IFERROR("["&amp;INDEX(고압진공_재고현황!$A:$A,MATCH($D321,고압진공_재고현황!$E:$E,0))&amp;"] "&amp;INDEX(고압진공_재고현황!$D:$D,MATCH($D321,고압진공_재고현황!$E:$E,0)),IFERROR("[조립] "&amp;INDEX(조립자재_재고현황!$D:$D,MATCH($D321,조립자재_재고현황!$E:$E,0)),""))</f>
        <v/>
      </c>
      <c r="H321" s="31">
        <f>IF(G321="","",COUNTIF($G$2:G321,"?*"))</f>
        <v/>
      </c>
    </row>
    <row r="322" ht="48" customHeight="1">
      <c r="A322" s="48" t="inlineStr">
        <is>
          <t>창고</t>
        </is>
      </c>
      <c r="B322" s="28" t="inlineStr">
        <is>
          <t>인조가죽</t>
        </is>
      </c>
      <c r="C322" s="28" t="inlineStr">
        <is>
          <t>ADX4000W</t>
        </is>
      </c>
      <c r="D322" s="29" t="inlineStr">
        <is>
          <t>HAND STRAP -손잡이(터치펜) (인조 가죽, AL(Cr도금), SUS Φ2.0)
[ADX4000W]</t>
        </is>
      </c>
      <c r="E322" s="28" t="inlineStr">
        <is>
          <t>굿모닝코리아유통</t>
        </is>
      </c>
      <c r="F322" s="30" t="n"/>
      <c r="G322" s="29">
        <f>IFERROR("["&amp;INDEX(고압진공_재고현황!$A:$A,MATCH($D322,고압진공_재고현황!$E:$E,0))&amp;"] "&amp;INDEX(고압진공_재고현황!$D:$D,MATCH($D322,고압진공_재고현황!$E:$E,0)),IFERROR("[조립] "&amp;INDEX(조립자재_재고현황!$D:$D,MATCH($D322,조립자재_재고현황!$E:$E,0)),""))</f>
        <v/>
      </c>
      <c r="H322" s="31">
        <f>IF(G322="","",COUNTIF($G$2:G322,"?*"))</f>
        <v/>
      </c>
    </row>
    <row r="323" ht="48" customHeight="1">
      <c r="A323" s="48" t="inlineStr">
        <is>
          <t>창고</t>
        </is>
      </c>
      <c r="B323" s="28" t="inlineStr">
        <is>
          <t>PCB</t>
        </is>
      </c>
      <c r="C323" s="28" t="inlineStr">
        <is>
          <t>ADX6000S</t>
        </is>
      </c>
      <c r="D323" s="29" t="inlineStr">
        <is>
          <t>CTR B/D
[ADX6000S]</t>
        </is>
      </c>
      <c r="E323" s="28" t="inlineStr">
        <is>
          <t>HLP</t>
        </is>
      </c>
      <c r="F323" s="30" t="n"/>
      <c r="G323" s="29">
        <f>IFERROR("["&amp;INDEX(고압진공_재고현황!$A:$A,MATCH($D323,고압진공_재고현황!$E:$E,0))&amp;"] "&amp;INDEX(고압진공_재고현황!$D:$D,MATCH($D323,고압진공_재고현황!$E:$E,0)),IFERROR("[조립] "&amp;INDEX(조립자재_재고현황!$D:$D,MATCH($D323,조립자재_재고현황!$E:$E,0)),""))</f>
        <v/>
      </c>
      <c r="H323" s="31">
        <f>IF(G323="","",COUNTIF($G$2:G323,"?*"))</f>
        <v/>
      </c>
    </row>
    <row r="324" ht="48" customHeight="1">
      <c r="A324" s="48" t="inlineStr">
        <is>
          <t>창고</t>
        </is>
      </c>
      <c r="B324" s="28" t="inlineStr">
        <is>
          <t>PCB</t>
        </is>
      </c>
      <c r="C324" s="28" t="inlineStr">
        <is>
          <t>ADX6000</t>
        </is>
      </c>
      <c r="D324" s="29" t="inlineStr">
        <is>
          <t>CON BD (V2.0.1)
[ADX6000]</t>
        </is>
      </c>
      <c r="E324" s="28" t="inlineStr">
        <is>
          <t>HLP</t>
        </is>
      </c>
      <c r="F324" s="30" t="n"/>
      <c r="G324" s="29">
        <f>IFERROR("["&amp;INDEX(고압진공_재고현황!$A:$A,MATCH($D324,고압진공_재고현황!$E:$E,0))&amp;"] "&amp;INDEX(고압진공_재고현황!$D:$D,MATCH($D324,고압진공_재고현황!$E:$E,0)),IFERROR("[조립] "&amp;INDEX(조립자재_재고현황!$D:$D,MATCH($D324,조립자재_재고현황!$E:$E,0)),""))</f>
        <v/>
      </c>
      <c r="H324" s="31">
        <f>IF(G324="","",COUNTIF($G$2:G324,"?*"))</f>
        <v/>
      </c>
    </row>
    <row r="325" ht="48" customHeight="1">
      <c r="A325" s="48" t="inlineStr">
        <is>
          <t>창고</t>
        </is>
      </c>
      <c r="B325" s="28" t="inlineStr">
        <is>
          <t>PCB</t>
        </is>
      </c>
      <c r="C325" s="28" t="inlineStr">
        <is>
          <t>ADX6000S</t>
        </is>
      </c>
      <c r="D325" s="29" t="inlineStr">
        <is>
          <t>LCD B/D
[ADX6000S]</t>
        </is>
      </c>
      <c r="E325" s="28" t="inlineStr">
        <is>
          <t>HLP</t>
        </is>
      </c>
      <c r="F325" s="30" t="n"/>
      <c r="G325" s="29">
        <f>IFERROR("["&amp;INDEX(고압진공_재고현황!$A:$A,MATCH($D325,고압진공_재고현황!$E:$E,0))&amp;"] "&amp;INDEX(고압진공_재고현황!$D:$D,MATCH($D325,고압진공_재고현황!$E:$E,0)),IFERROR("[조립] "&amp;INDEX(조립자재_재고현황!$D:$D,MATCH($D325,조립자재_재고현황!$E:$E,0)),""))</f>
        <v/>
      </c>
      <c r="H325" s="31">
        <f>IF(G325="","",COUNTIF($G$2:G325,"?*"))</f>
        <v/>
      </c>
    </row>
    <row r="326" ht="48" customHeight="1">
      <c r="A326" s="48" t="inlineStr">
        <is>
          <t>창고</t>
        </is>
      </c>
      <c r="B326" s="28" t="inlineStr">
        <is>
          <t>PCB</t>
        </is>
      </c>
      <c r="C326" s="28" t="inlineStr">
        <is>
          <t>ADX6000S</t>
        </is>
      </c>
      <c r="D326" s="29" t="inlineStr">
        <is>
          <t>ETC CARRIER BD (IEC-1000)
[ADX6000S]</t>
        </is>
      </c>
      <c r="E326" s="28" t="inlineStr">
        <is>
          <t>HLP</t>
        </is>
      </c>
      <c r="F326" s="30" t="n"/>
      <c r="G326" s="29">
        <f>IFERROR("["&amp;INDEX(고압진공_재고현황!$A:$A,MATCH($D326,고압진공_재고현황!$E:$E,0))&amp;"] "&amp;INDEX(고압진공_재고현황!$D:$D,MATCH($D326,고압진공_재고현황!$E:$E,0)),IFERROR("[조립] "&amp;INDEX(조립자재_재고현황!$D:$D,MATCH($D326,조립자재_재고현황!$E:$E,0)),""))</f>
        <v/>
      </c>
      <c r="H326" s="31">
        <f>IF(G326="","",COUNTIF($G$2:G326,"?*"))</f>
        <v/>
      </c>
    </row>
    <row r="327" ht="48" customHeight="1">
      <c r="A327" s="48" t="inlineStr">
        <is>
          <t>창고</t>
        </is>
      </c>
      <c r="B327" s="28" t="inlineStr">
        <is>
          <t>PCB</t>
        </is>
      </c>
      <c r="C327" s="28" t="inlineStr">
        <is>
          <t>ADX6000S</t>
        </is>
      </c>
      <c r="D327" s="29" t="inlineStr">
        <is>
          <t>ETC FRONT BD (리모콘 포트 수정 신형 얇은 것)
[ADX6000S]</t>
        </is>
      </c>
      <c r="E327" s="28" t="inlineStr">
        <is>
          <t>HLP</t>
        </is>
      </c>
      <c r="F327" s="30" t="n"/>
      <c r="G327" s="29">
        <f>IFERROR("["&amp;INDEX(고압진공_재고현황!$A:$A,MATCH($D327,고압진공_재고현황!$E:$E,0))&amp;"] "&amp;INDEX(고압진공_재고현황!$D:$D,MATCH($D327,고압진공_재고현황!$E:$E,0)),IFERROR("[조립] "&amp;INDEX(조립자재_재고현황!$D:$D,MATCH($D327,조립자재_재고현황!$E:$E,0)),""))</f>
        <v/>
      </c>
      <c r="H327" s="31">
        <f>IF(G327="","",COUNTIF($G$2:G327,"?*"))</f>
        <v/>
      </c>
    </row>
    <row r="328" ht="48" customHeight="1">
      <c r="A328" s="48" t="inlineStr">
        <is>
          <t>창고</t>
        </is>
      </c>
      <c r="B328" s="28" t="inlineStr">
        <is>
          <t>PCB</t>
        </is>
      </c>
      <c r="C328" s="28" t="inlineStr">
        <is>
          <t>ADX6000</t>
        </is>
      </c>
      <c r="D328" s="29" t="inlineStr">
        <is>
          <t>Power Switch B/D
[ADX6000]</t>
        </is>
      </c>
      <c r="E328" s="28" t="inlineStr">
        <is>
          <t>HLP</t>
        </is>
      </c>
      <c r="F328" s="30" t="n"/>
      <c r="G328" s="29">
        <f>IFERROR("["&amp;INDEX(고압진공_재고현황!$A:$A,MATCH($D328,고압진공_재고현황!$E:$E,0))&amp;"] "&amp;INDEX(고압진공_재고현황!$D:$D,MATCH($D328,고압진공_재고현황!$E:$E,0)),IFERROR("[조립] "&amp;INDEX(조립자재_재고현황!$D:$D,MATCH($D328,조립자재_재고현황!$E:$E,0)),""))</f>
        <v/>
      </c>
      <c r="H328" s="31">
        <f>IF(G328="","",COUNTIF($G$2:G328,"?*"))</f>
        <v/>
      </c>
    </row>
    <row r="329" ht="48" customHeight="1">
      <c r="A329" s="48" t="inlineStr">
        <is>
          <t>창고</t>
        </is>
      </c>
      <c r="B329" s="28" t="inlineStr">
        <is>
          <t>PCB</t>
        </is>
      </c>
      <c r="C329" s="28" t="inlineStr">
        <is>
          <t>ADX6000</t>
        </is>
      </c>
      <c r="D329" s="29" t="inlineStr">
        <is>
          <t>EX B/D
[ADX6000]</t>
        </is>
      </c>
      <c r="E329" s="28" t="inlineStr">
        <is>
          <t>HLP</t>
        </is>
      </c>
      <c r="F329" s="30" t="n"/>
      <c r="G329" s="29">
        <f>IFERROR("["&amp;INDEX(고압진공_재고현황!$A:$A,MATCH($D329,고압진공_재고현황!$E:$E,0))&amp;"] "&amp;INDEX(고압진공_재고현황!$D:$D,MATCH($D329,고압진공_재고현황!$E:$E,0)),IFERROR("[조립] "&amp;INDEX(조립자재_재고현황!$D:$D,MATCH($D329,조립자재_재고현황!$E:$E,0)),""))</f>
        <v/>
      </c>
      <c r="H329" s="31">
        <f>IF(G329="","",COUNTIF($G$2:G329,"?*"))</f>
        <v/>
      </c>
    </row>
    <row r="330" ht="48" customHeight="1">
      <c r="A330" s="48" t="inlineStr">
        <is>
          <t>창고</t>
        </is>
      </c>
      <c r="B330" s="28" t="inlineStr">
        <is>
          <t>PCB</t>
        </is>
      </c>
      <c r="C330" s="28" t="inlineStr">
        <is>
          <t>ADX6000</t>
        </is>
      </c>
      <c r="D330" s="29" t="inlineStr">
        <is>
          <t>관전류 B/D
[ADX6000]</t>
        </is>
      </c>
      <c r="E330" s="28" t="inlineStr">
        <is>
          <t>HLP</t>
        </is>
      </c>
      <c r="F330" s="30" t="n"/>
      <c r="G330" s="29">
        <f>IFERROR("["&amp;INDEX(고압진공_재고현황!$A:$A,MATCH($D330,고압진공_재고현황!$E:$E,0))&amp;"] "&amp;INDEX(고압진공_재고현황!$D:$D,MATCH($D330,고압진공_재고현황!$E:$E,0)),IFERROR("[조립] "&amp;INDEX(조립자재_재고현황!$D:$D,MATCH($D330,조립자재_재고현황!$E:$E,0)),""))</f>
        <v/>
      </c>
      <c r="H330" s="31">
        <f>IF(G330="","",COUNTIF($G$2:G330,"?*"))</f>
        <v/>
      </c>
    </row>
    <row r="331" ht="48" customHeight="1">
      <c r="A331" s="48" t="inlineStr">
        <is>
          <t>창고</t>
        </is>
      </c>
      <c r="B331" s="28" t="inlineStr">
        <is>
          <t>PCB</t>
        </is>
      </c>
      <c r="C331" s="28" t="inlineStr">
        <is>
          <t>ADX6000</t>
        </is>
      </c>
      <c r="D331" s="29" t="inlineStr">
        <is>
          <t>Battery Bridge B/D
[ADX6000]</t>
        </is>
      </c>
      <c r="E331" s="28" t="inlineStr">
        <is>
          <t>HLP</t>
        </is>
      </c>
      <c r="F331" s="30" t="n"/>
      <c r="G331" s="29">
        <f>IFERROR("["&amp;INDEX(고압진공_재고현황!$A:$A,MATCH($D331,고압진공_재고현황!$E:$E,0))&amp;"] "&amp;INDEX(고압진공_재고현황!$D:$D,MATCH($D331,고압진공_재고현황!$E:$E,0)),IFERROR("[조립] "&amp;INDEX(조립자재_재고현황!$D:$D,MATCH($D331,조립자재_재고현황!$E:$E,0)),""))</f>
        <v/>
      </c>
      <c r="H331" s="31">
        <f>IF(G331="","",COUNTIF($G$2:G331,"?*"))</f>
        <v/>
      </c>
    </row>
    <row r="332" ht="48" customHeight="1">
      <c r="A332" s="48" t="inlineStr">
        <is>
          <t>창고</t>
        </is>
      </c>
      <c r="B332" s="28" t="inlineStr">
        <is>
          <t>PCB</t>
        </is>
      </c>
      <c r="C332" s="28" t="inlineStr">
        <is>
          <t>ADX6000</t>
        </is>
      </c>
      <c r="D332" s="29" t="inlineStr">
        <is>
          <t>Battery Connect B/D
[ADX6000]</t>
        </is>
      </c>
      <c r="E332" s="28" t="inlineStr">
        <is>
          <t>HLP</t>
        </is>
      </c>
      <c r="F332" s="30" t="n"/>
      <c r="G332" s="29">
        <f>IFERROR("["&amp;INDEX(고압진공_재고현황!$A:$A,MATCH($D332,고압진공_재고현황!$E:$E,0))&amp;"] "&amp;INDEX(고압진공_재고현황!$D:$D,MATCH($D332,고압진공_재고현황!$E:$E,0)),IFERROR("[조립] "&amp;INDEX(조립자재_재고현황!$D:$D,MATCH($D332,조립자재_재고현황!$E:$E,0)),""))</f>
        <v/>
      </c>
      <c r="H332" s="31">
        <f>IF(G332="","",COUNTIF($G$2:G332,"?*"))</f>
        <v/>
      </c>
    </row>
    <row r="333" ht="48" customHeight="1">
      <c r="A333" s="48" t="inlineStr">
        <is>
          <t>창고</t>
        </is>
      </c>
      <c r="B333" s="28" t="inlineStr">
        <is>
          <t>PCB</t>
        </is>
      </c>
      <c r="C333" s="28" t="inlineStr">
        <is>
          <t>ADX6000</t>
        </is>
      </c>
      <c r="D333" s="29" t="inlineStr">
        <is>
          <t>Cradle B/D
[ADX6000]</t>
        </is>
      </c>
      <c r="E333" s="28" t="inlineStr">
        <is>
          <t>HLP</t>
        </is>
      </c>
      <c r="F333" s="30" t="n"/>
      <c r="G333" s="29">
        <f>IFERROR("["&amp;INDEX(고압진공_재고현황!$A:$A,MATCH($D333,고압진공_재고현황!$E:$E,0))&amp;"] "&amp;INDEX(고압진공_재고현황!$D:$D,MATCH($D333,고압진공_재고현황!$E:$E,0)),IFERROR("[조립] "&amp;INDEX(조립자재_재고현황!$D:$D,MATCH($D333,조립자재_재고현황!$E:$E,0)),""))</f>
        <v/>
      </c>
      <c r="H333" s="31">
        <f>IF(G333="","",COUNTIF($G$2:G333,"?*"))</f>
        <v/>
      </c>
    </row>
    <row r="334" ht="48" customHeight="1">
      <c r="A334" s="48" t="inlineStr">
        <is>
          <t>창고</t>
        </is>
      </c>
      <c r="B334" s="28" t="inlineStr">
        <is>
          <t>CABLE</t>
        </is>
      </c>
      <c r="C334" s="28" t="inlineStr">
        <is>
          <t>ADX4000W, ADX6000</t>
        </is>
      </c>
      <c r="D334" s="29" t="inlineStr">
        <is>
          <t>스피커 2핀 (12505HS-02+SORDER 200mm)
[ADX4000W, ADX6000]</t>
        </is>
      </c>
      <c r="E334" s="28" t="inlineStr">
        <is>
          <t>HLP</t>
        </is>
      </c>
      <c r="F334" s="30" t="n"/>
      <c r="G334" s="29">
        <f>IFERROR("["&amp;INDEX(고압진공_재고현황!$A:$A,MATCH($D334,고압진공_재고현황!$E:$E,0))&amp;"] "&amp;INDEX(고압진공_재고현황!$D:$D,MATCH($D334,고압진공_재고현황!$E:$E,0)),IFERROR("[조립] "&amp;INDEX(조립자재_재고현황!$D:$D,MATCH($D334,조립자재_재고현황!$E:$E,0)),""))</f>
        <v/>
      </c>
      <c r="H334" s="31">
        <f>IF(G334="","",COUNTIF($G$2:G334,"?*"))</f>
        <v/>
      </c>
    </row>
    <row r="335" ht="48" customHeight="1">
      <c r="A335" s="48" t="inlineStr">
        <is>
          <t>창고</t>
        </is>
      </c>
      <c r="B335" s="28" t="inlineStr">
        <is>
          <t>CABLE</t>
        </is>
      </c>
      <c r="C335" s="28" t="inlineStr">
        <is>
          <t>ADX6000S</t>
        </is>
      </c>
      <c r="D335" s="29" t="inlineStr">
        <is>
          <t>하네스 1번 (12505HS-06, 12505HS-04, 12505HS-03, 12505HS-02 CTR, CURRENT, FRONT, PC BD연결 / 180mm, 140mm, 200mm)
[ADX6000S]</t>
        </is>
      </c>
      <c r="E335" s="28" t="inlineStr">
        <is>
          <t>HLP</t>
        </is>
      </c>
      <c r="F335" s="30" t="n"/>
      <c r="G335" s="29">
        <f>IFERROR("["&amp;INDEX(고압진공_재고현황!$A:$A,MATCH($D335,고압진공_재고현황!$E:$E,0))&amp;"] "&amp;INDEX(고압진공_재고현황!$D:$D,MATCH($D335,고압진공_재고현황!$E:$E,0)),IFERROR("[조립] "&amp;INDEX(조립자재_재고현황!$D:$D,MATCH($D335,조립자재_재고현황!$E:$E,0)),""))</f>
        <v/>
      </c>
      <c r="H335" s="31">
        <f>IF(G335="","",COUNTIF($G$2:G335,"?*"))</f>
        <v/>
      </c>
    </row>
    <row r="336" ht="48" customHeight="1">
      <c r="A336" s="48" t="inlineStr">
        <is>
          <t>창고</t>
        </is>
      </c>
      <c r="B336" s="28" t="inlineStr">
        <is>
          <t>CABLE</t>
        </is>
      </c>
      <c r="C336" s="28" t="inlineStr">
        <is>
          <t>ADX6000S</t>
        </is>
      </c>
      <c r="D336" s="29" t="inlineStr">
        <is>
          <t>하네스 2번 (12505HS-04, USB-105 PC, FRONT BD 연결 / 70mm)
[ADX6000S]</t>
        </is>
      </c>
      <c r="E336" s="28" t="inlineStr">
        <is>
          <t>HLP</t>
        </is>
      </c>
      <c r="F336" s="30" t="n"/>
      <c r="G336" s="29">
        <f>IFERROR("["&amp;INDEX(고압진공_재고현황!$A:$A,MATCH($D336,고압진공_재고현황!$E:$E,0))&amp;"] "&amp;INDEX(고압진공_재고현황!$D:$D,MATCH($D336,고압진공_재고현황!$E:$E,0)),IFERROR("[조립] "&amp;INDEX(조립자재_재고현황!$D:$D,MATCH($D336,조립자재_재고현황!$E:$E,0)),""))</f>
        <v/>
      </c>
      <c r="H336" s="31">
        <f>IF(G336="","",COUNTIF($G$2:G336,"?*"))</f>
        <v/>
      </c>
    </row>
    <row r="337" ht="48" customHeight="1">
      <c r="A337" s="48" t="inlineStr">
        <is>
          <t>창고</t>
        </is>
      </c>
      <c r="B337" s="28" t="inlineStr">
        <is>
          <t>CABLE</t>
        </is>
      </c>
      <c r="C337" s="28" t="inlineStr">
        <is>
          <t>ADX6000</t>
        </is>
      </c>
      <c r="D337" s="29" t="inlineStr">
        <is>
          <t>하네스 3번 (Power&amp;Exp Connector 12핀 / 160mm, 70mm)
[ADX6000]</t>
        </is>
      </c>
      <c r="E337" s="28" t="inlineStr">
        <is>
          <t>HLP</t>
        </is>
      </c>
      <c r="F337" s="30" t="n"/>
      <c r="G337" s="29">
        <f>IFERROR("["&amp;INDEX(고압진공_재고현황!$A:$A,MATCH($D337,고압진공_재고현황!$E:$E,0))&amp;"] "&amp;INDEX(고압진공_재고현황!$D:$D,MATCH($D337,고압진공_재고현황!$E:$E,0)),IFERROR("[조립] "&amp;INDEX(조립자재_재고현황!$D:$D,MATCH($D337,조립자재_재고현황!$E:$E,0)),""))</f>
        <v/>
      </c>
      <c r="H337" s="31">
        <f>IF(G337="","",COUNTIF($G$2:G337,"?*"))</f>
        <v/>
      </c>
    </row>
    <row r="338" ht="48" customHeight="1">
      <c r="A338" s="48" t="inlineStr">
        <is>
          <t>창고</t>
        </is>
      </c>
      <c r="B338" s="28" t="inlineStr">
        <is>
          <t>CABLE</t>
        </is>
      </c>
      <c r="C338" s="28" t="inlineStr">
        <is>
          <t>ADX6000</t>
        </is>
      </c>
      <c r="D338" s="29" t="inlineStr">
        <is>
          <t>하네스 5번 (컬리메이터 LED 2핀 / 300mm)
[ADX6000]</t>
        </is>
      </c>
      <c r="E338" s="28" t="inlineStr">
        <is>
          <t>HLP</t>
        </is>
      </c>
      <c r="F338" s="30" t="n"/>
      <c r="G338" s="29">
        <f>IFERROR("["&amp;INDEX(고압진공_재고현황!$A:$A,MATCH($D338,고압진공_재고현황!$E:$E,0))&amp;"] "&amp;INDEX(고압진공_재고현황!$D:$D,MATCH($D338,고압진공_재고현황!$E:$E,0)),IFERROR("[조립] "&amp;INDEX(조립자재_재고현황!$D:$D,MATCH($D338,조립자재_재고현황!$E:$E,0)),""))</f>
        <v/>
      </c>
      <c r="H338" s="31">
        <f>IF(G338="","",COUNTIF($G$2:G338,"?*"))</f>
        <v/>
      </c>
    </row>
    <row r="339" ht="48" customHeight="1">
      <c r="A339" s="48" t="inlineStr">
        <is>
          <t>창고</t>
        </is>
      </c>
      <c r="B339" s="28" t="inlineStr">
        <is>
          <t>CABLE</t>
        </is>
      </c>
      <c r="C339" s="28" t="inlineStr">
        <is>
          <t>ADX6000S</t>
        </is>
      </c>
      <c r="D339" s="29" t="inlineStr">
        <is>
          <t>하네스 6번 (SMH250-02 PC 전원 케이블 / 130mm)
[ADX6000S]</t>
        </is>
      </c>
      <c r="E339" s="28" t="inlineStr">
        <is>
          <t>HLP</t>
        </is>
      </c>
      <c r="F339" s="30" t="n"/>
      <c r="G339" s="29">
        <f>IFERROR("["&amp;INDEX(고압진공_재고현황!$A:$A,MATCH($D339,고압진공_재고현황!$E:$E,0))&amp;"] "&amp;INDEX(고압진공_재고현황!$D:$D,MATCH($D339,고압진공_재고현황!$E:$E,0)),IFERROR("[조립] "&amp;INDEX(조립자재_재고현황!$D:$D,MATCH($D339,조립자재_재고현황!$E:$E,0)),""))</f>
        <v/>
      </c>
      <c r="H339" s="31">
        <f>IF(G339="","",COUNTIF($G$2:G339,"?*"))</f>
        <v/>
      </c>
    </row>
    <row r="340" ht="48" customHeight="1">
      <c r="A340" s="48" t="inlineStr">
        <is>
          <t>창고</t>
        </is>
      </c>
      <c r="B340" s="28" t="inlineStr">
        <is>
          <t>CABLE</t>
        </is>
      </c>
      <c r="C340" s="28" t="inlineStr">
        <is>
          <t>ADX6000S</t>
        </is>
      </c>
      <c r="D340" s="29" t="inlineStr">
        <is>
          <t>하네스 7번 (DF19G-20S-1C(0.5) (2EA) LVDS 케이블 / 160mm 힌지 작업시 발주)
[ADX6000S]</t>
        </is>
      </c>
      <c r="E340" s="28" t="inlineStr">
        <is>
          <t>HLP</t>
        </is>
      </c>
      <c r="F340" s="30" t="n"/>
      <c r="G340" s="29">
        <f>IFERROR("["&amp;INDEX(고압진공_재고현황!$A:$A,MATCH($D340,고압진공_재고현황!$E:$E,0))&amp;"] "&amp;INDEX(고압진공_재고현황!$D:$D,MATCH($D340,고압진공_재고현황!$E:$E,0)),IFERROR("[조립] "&amp;INDEX(조립자재_재고현황!$D:$D,MATCH($D340,조립자재_재고현황!$E:$E,0)),""))</f>
        <v/>
      </c>
      <c r="H340" s="31">
        <f>IF(G340="","",COUNTIF($G$2:G340,"?*"))</f>
        <v/>
      </c>
    </row>
    <row r="341" ht="48" customHeight="1">
      <c r="A341" s="48" t="inlineStr">
        <is>
          <t>창고</t>
        </is>
      </c>
      <c r="B341" s="28" t="inlineStr">
        <is>
          <t>CABLE</t>
        </is>
      </c>
      <c r="C341" s="28" t="inlineStr">
        <is>
          <t>ADX6000S</t>
        </is>
      </c>
      <c r="D341" s="29" t="inlineStr">
        <is>
          <t>하네스 9-1번 (12505HS-03 Carrier Mini BD 케이블 / 100mm (한쪽만 커넥터))
[ADX6000S]</t>
        </is>
      </c>
      <c r="E341" s="28" t="inlineStr">
        <is>
          <t>HLP</t>
        </is>
      </c>
      <c r="F341" s="30" t="n"/>
      <c r="G341" s="29">
        <f>IFERROR("["&amp;INDEX(고압진공_재고현황!$A:$A,MATCH($D341,고압진공_재고현황!$E:$E,0))&amp;"] "&amp;INDEX(고압진공_재고현황!$D:$D,MATCH($D341,고압진공_재고현황!$E:$E,0)),IFERROR("[조립] "&amp;INDEX(조립자재_재고현황!$D:$D,MATCH($D341,조립자재_재고현황!$E:$E,0)),""))</f>
        <v/>
      </c>
      <c r="H341" s="31">
        <f>IF(G341="","",COUNTIF($G$2:G341,"?*"))</f>
        <v/>
      </c>
    </row>
    <row r="342" ht="48" customHeight="1">
      <c r="A342" s="48" t="inlineStr">
        <is>
          <t>창고</t>
        </is>
      </c>
      <c r="B342" s="28" t="inlineStr">
        <is>
          <t>CABLE</t>
        </is>
      </c>
      <c r="C342" s="28" t="inlineStr">
        <is>
          <t>ADX6000S</t>
        </is>
      </c>
      <c r="D342" s="29" t="inlineStr">
        <is>
          <t>하네스 10번 (CHW0640-03, 1205HS-03 PC, CTR BD 연결 / 130mm)
[ADX6000S]</t>
        </is>
      </c>
      <c r="E342" s="28" t="inlineStr">
        <is>
          <t>HLP</t>
        </is>
      </c>
      <c r="F342" s="30" t="n"/>
      <c r="G342" s="29">
        <f>IFERROR("["&amp;INDEX(고압진공_재고현황!$A:$A,MATCH($D342,고압진공_재고현황!$E:$E,0))&amp;"] "&amp;INDEX(고압진공_재고현황!$D:$D,MATCH($D342,고압진공_재고현황!$E:$E,0)),IFERROR("[조립] "&amp;INDEX(조립자재_재고현황!$D:$D,MATCH($D342,조립자재_재고현황!$E:$E,0)),""))</f>
        <v/>
      </c>
      <c r="H342" s="31">
        <f>IF(G342="","",COUNTIF($G$2:G342,"?*"))</f>
        <v/>
      </c>
    </row>
    <row r="343" ht="48" customHeight="1">
      <c r="A343" s="48" t="inlineStr">
        <is>
          <t>창고</t>
        </is>
      </c>
      <c r="B343" s="28" t="inlineStr">
        <is>
          <t>CABLE</t>
        </is>
      </c>
      <c r="C343" s="28" t="inlineStr">
        <is>
          <t>ADX6000</t>
        </is>
      </c>
      <c r="D343" s="29" t="inlineStr">
        <is>
          <t>하네스 11번 (Battery BD 02 [4핀,2핀,Dual] 탈착, 외부 BAT BD 연결 / 90mm, 80mm)
[ADX6000]</t>
        </is>
      </c>
      <c r="E343" s="28" t="inlineStr">
        <is>
          <t>HLP</t>
        </is>
      </c>
      <c r="F343" s="30" t="n"/>
      <c r="G343" s="29">
        <f>IFERROR("["&amp;INDEX(고압진공_재고현황!$A:$A,MATCH($D343,고압진공_재고현황!$E:$E,0))&amp;"] "&amp;INDEX(고압진공_재고현황!$D:$D,MATCH($D343,고압진공_재고현황!$E:$E,0)),IFERROR("[조립] "&amp;INDEX(조립자재_재고현황!$D:$D,MATCH($D343,조립자재_재고현황!$E:$E,0)),""))</f>
        <v/>
      </c>
      <c r="H343" s="31">
        <f>IF(G343="","",COUNTIF($G$2:G343,"?*"))</f>
        <v/>
      </c>
    </row>
    <row r="344" ht="48" customHeight="1">
      <c r="A344" s="48" t="inlineStr">
        <is>
          <t>창고</t>
        </is>
      </c>
      <c r="B344" s="28" t="inlineStr">
        <is>
          <t>CABLE</t>
        </is>
      </c>
      <c r="C344" s="28" t="inlineStr">
        <is>
          <t>ADX6000S</t>
        </is>
      </c>
      <c r="D344" s="29" t="inlineStr">
        <is>
          <t>하네스 14번 (FFC Cable 40핀 / 50mm - 사용안함)
[ADX6000S]</t>
        </is>
      </c>
      <c r="E344" s="28" t="inlineStr">
        <is>
          <t>HLP</t>
        </is>
      </c>
      <c r="F344" s="30" t="n"/>
      <c r="G344" s="29">
        <f>IFERROR("["&amp;INDEX(고압진공_재고현황!$A:$A,MATCH($D344,고압진공_재고현황!$E:$E,0))&amp;"] "&amp;INDEX(고압진공_재고현황!$D:$D,MATCH($D344,고압진공_재고현황!$E:$E,0)),IFERROR("[조립] "&amp;INDEX(조립자재_재고현황!$D:$D,MATCH($D344,조립자재_재고현황!$E:$E,0)),""))</f>
        <v/>
      </c>
      <c r="H344" s="31">
        <f>IF(G344="","",COUNTIF($G$2:G344,"?*"))</f>
        <v/>
      </c>
    </row>
    <row r="345" ht="48" customHeight="1">
      <c r="A345" s="48" t="inlineStr">
        <is>
          <t>창고</t>
        </is>
      </c>
      <c r="B345" s="28" t="inlineStr">
        <is>
          <t>CABLE</t>
        </is>
      </c>
      <c r="C345" s="28" t="inlineStr">
        <is>
          <t>ADX6000</t>
        </is>
      </c>
      <c r="D345" s="29" t="inlineStr">
        <is>
          <t>Battery BD 01 Wire Harness (2핀) (80mm)
[ADX6000]</t>
        </is>
      </c>
      <c r="E345" s="28" t="inlineStr">
        <is>
          <t>HLP</t>
        </is>
      </c>
      <c r="F345" s="30" t="n"/>
      <c r="G345" s="29">
        <f>IFERROR("["&amp;INDEX(고압진공_재고현황!$A:$A,MATCH($D345,고압진공_재고현황!$E:$E,0))&amp;"] "&amp;INDEX(고압진공_재고현황!$D:$D,MATCH($D345,고압진공_재고현황!$E:$E,0)),IFERROR("[조립] "&amp;INDEX(조립자재_재고현황!$D:$D,MATCH($D345,조립자재_재고현황!$E:$E,0)),""))</f>
        <v/>
      </c>
      <c r="H345" s="31">
        <f>IF(G345="","",COUNTIF($G$2:G345,"?*"))</f>
        <v/>
      </c>
    </row>
    <row r="346" ht="48" customHeight="1">
      <c r="A346" s="48" t="inlineStr">
        <is>
          <t>창고</t>
        </is>
      </c>
      <c r="B346" s="28" t="inlineStr">
        <is>
          <t>PANEL</t>
        </is>
      </c>
      <c r="C346" s="28" t="inlineStr">
        <is>
          <t>ADX6000S</t>
        </is>
      </c>
      <c r="D346" s="29" t="inlineStr">
        <is>
          <t>4.3" LCD (신형) (IEC-1000)
[ADX6000S]</t>
        </is>
      </c>
      <c r="E346" s="28" t="inlineStr">
        <is>
          <t>에이치앤에스</t>
        </is>
      </c>
      <c r="F346" s="30" t="n"/>
      <c r="G346" s="29">
        <f>IFERROR("["&amp;INDEX(고압진공_재고현황!$A:$A,MATCH($D346,고압진공_재고현황!$E:$E,0))&amp;"] "&amp;INDEX(고압진공_재고현황!$D:$D,MATCH($D346,고압진공_재고현황!$E:$E,0)),IFERROR("[조립] "&amp;INDEX(조립자재_재고현황!$D:$D,MATCH($D346,조립자재_재고현황!$E:$E,0)),""))</f>
        <v/>
      </c>
      <c r="H346" s="31">
        <f>IF(G346="","",COUNTIF($G$2:G346,"?*"))</f>
        <v/>
      </c>
    </row>
    <row r="347" ht="48" customHeight="1">
      <c r="A347" s="48" t="inlineStr">
        <is>
          <t>창고</t>
        </is>
      </c>
      <c r="B347" s="28" t="inlineStr">
        <is>
          <t>MODULE</t>
        </is>
      </c>
      <c r="C347" s="28" t="inlineStr">
        <is>
          <t>ADX6000S</t>
        </is>
      </c>
      <c r="D347" s="29" t="inlineStr">
        <is>
          <t>4.3" Module (신형) (IEC-1000)
[ADX6000S]</t>
        </is>
      </c>
      <c r="E347" s="28" t="inlineStr">
        <is>
          <t>에이치앤에스</t>
        </is>
      </c>
      <c r="F347" s="30" t="n"/>
      <c r="G347" s="29">
        <f>IFERROR("["&amp;INDEX(고압진공_재고현황!$A:$A,MATCH($D347,고압진공_재고현황!$E:$E,0))&amp;"] "&amp;INDEX(고압진공_재고현황!$D:$D,MATCH($D347,고압진공_재고현황!$E:$E,0)),IFERROR("[조립] "&amp;INDEX(조립자재_재고현황!$D:$D,MATCH($D347,조립자재_재고현황!$E:$E,0)),""))</f>
        <v/>
      </c>
      <c r="H347" s="31">
        <f>IF(G347="","",COUNTIF($G$2:G347,"?*"))</f>
        <v/>
      </c>
    </row>
    <row r="348" ht="48" customHeight="1">
      <c r="A348" s="48" t="inlineStr">
        <is>
          <t>창고</t>
        </is>
      </c>
      <c r="B348" s="28" t="inlineStr">
        <is>
          <t>ABS 난연</t>
        </is>
      </c>
      <c r="C348" s="28" t="inlineStr">
        <is>
          <t>ADX6000</t>
        </is>
      </c>
      <c r="D348" s="29" t="inlineStr">
        <is>
          <t>컬리메이터 TOP 사출 (ABS 난연 화이트 + 스프레이)
[ADX6000]</t>
        </is>
      </c>
      <c r="E348" s="28" t="inlineStr">
        <is>
          <t>천우</t>
        </is>
      </c>
      <c r="F348" s="30" t="n"/>
      <c r="G348" s="29">
        <f>IFERROR("["&amp;INDEX(고압진공_재고현황!$A:$A,MATCH($D348,고압진공_재고현황!$E:$E,0))&amp;"] "&amp;INDEX(고압진공_재고현황!$D:$D,MATCH($D348,고압진공_재고현황!$E:$E,0)),IFERROR("[조립] "&amp;INDEX(조립자재_재고현황!$D:$D,MATCH($D348,조립자재_재고현황!$E:$E,0)),""))</f>
        <v/>
      </c>
      <c r="H348" s="31">
        <f>IF(G348="","",COUNTIF($G$2:G348,"?*"))</f>
        <v/>
      </c>
    </row>
    <row r="349" ht="48" customHeight="1">
      <c r="A349" s="48" t="inlineStr">
        <is>
          <t>창고</t>
        </is>
      </c>
      <c r="B349" s="28" t="inlineStr">
        <is>
          <t>ABS 난연</t>
        </is>
      </c>
      <c r="C349" s="28" t="inlineStr">
        <is>
          <t>ADX6000</t>
        </is>
      </c>
      <c r="D349" s="29" t="inlineStr">
        <is>
          <t>컬리메이터 BOTTOM 사출 (ABS 난연 화이트 + 스프레이)
[ADX6000]</t>
        </is>
      </c>
      <c r="E349" s="28" t="inlineStr">
        <is>
          <t>천우</t>
        </is>
      </c>
      <c r="F349" s="30" t="n"/>
      <c r="G349" s="29">
        <f>IFERROR("["&amp;INDEX(고압진공_재고현황!$A:$A,MATCH($D349,고압진공_재고현황!$E:$E,0))&amp;"] "&amp;INDEX(고압진공_재고현황!$D:$D,MATCH($D349,고압진공_재고현황!$E:$E,0)),IFERROR("[조립] "&amp;INDEX(조립자재_재고현황!$D:$D,MATCH($D349,조립자재_재고현황!$E:$E,0)),""))</f>
        <v/>
      </c>
      <c r="H349" s="31">
        <f>IF(G349="","",COUNTIF($G$2:G349,"?*"))</f>
        <v/>
      </c>
    </row>
    <row r="350" ht="48" customHeight="1">
      <c r="A350" s="48" t="inlineStr">
        <is>
          <t>창고</t>
        </is>
      </c>
      <c r="B350" s="28" t="inlineStr">
        <is>
          <t>ABS 난연</t>
        </is>
      </c>
      <c r="C350" s="28" t="inlineStr">
        <is>
          <t>ADX6000</t>
        </is>
      </c>
      <c r="D350" s="29" t="inlineStr">
        <is>
          <t>컬리메이터 FRONT 사출 (ABS 난연 화이트 + 스프레이)
[ADX6000]</t>
        </is>
      </c>
      <c r="E350" s="28" t="inlineStr">
        <is>
          <t>천우</t>
        </is>
      </c>
      <c r="F350" s="30" t="n"/>
      <c r="G350" s="29">
        <f>IFERROR("["&amp;INDEX(고압진공_재고현황!$A:$A,MATCH($D350,고압진공_재고현황!$E:$E,0))&amp;"] "&amp;INDEX(고압진공_재고현황!$D:$D,MATCH($D350,고압진공_재고현황!$E:$E,0)),IFERROR("[조립] "&amp;INDEX(조립자재_재고현황!$D:$D,MATCH($D350,조립자재_재고현황!$E:$E,0)),""))</f>
        <v/>
      </c>
      <c r="H350" s="31">
        <f>IF(G350="","",COUNTIF($G$2:G350,"?*"))</f>
        <v/>
      </c>
    </row>
    <row r="351" ht="48" customHeight="1">
      <c r="A351" s="48" t="inlineStr">
        <is>
          <t>창고</t>
        </is>
      </c>
      <c r="B351" s="28" t="inlineStr">
        <is>
          <t>ABS 난연</t>
        </is>
      </c>
      <c r="C351" s="28" t="inlineStr">
        <is>
          <t>ADX6000</t>
        </is>
      </c>
      <c r="D351" s="29" t="inlineStr">
        <is>
          <t>컬리메이터 FRONT 사출 (ABS 난연 화이트 + 스프레이(블랙무광))
[ADX6000]</t>
        </is>
      </c>
      <c r="E351" s="28" t="inlineStr">
        <is>
          <t>천우</t>
        </is>
      </c>
      <c r="F351" s="30" t="n"/>
      <c r="G351" s="29">
        <f>IFERROR("["&amp;INDEX(고압진공_재고현황!$A:$A,MATCH($D351,고압진공_재고현황!$E:$E,0))&amp;"] "&amp;INDEX(고압진공_재고현황!$D:$D,MATCH($D351,고압진공_재고현황!$E:$E,0)),IFERROR("[조립] "&amp;INDEX(조립자재_재고현황!$D:$D,MATCH($D351,조립자재_재고현황!$E:$E,0)),""))</f>
        <v/>
      </c>
      <c r="H351" s="31">
        <f>IF(G351="","",COUNTIF($G$2:G351,"?*"))</f>
        <v/>
      </c>
    </row>
    <row r="352" ht="48" customHeight="1">
      <c r="A352" s="48" t="inlineStr">
        <is>
          <t>창고</t>
        </is>
      </c>
      <c r="B352" s="28" t="inlineStr">
        <is>
          <t>ABS 난연</t>
        </is>
      </c>
      <c r="C352" s="28" t="inlineStr">
        <is>
          <t>ADX6000</t>
        </is>
      </c>
      <c r="D352" s="29" t="inlineStr">
        <is>
          <t>일체형 컬리메이터 (ABS 난연 블랙)
[ADX6000]</t>
        </is>
      </c>
      <c r="E352" s="28" t="inlineStr">
        <is>
          <t>금오몰드</t>
        </is>
      </c>
      <c r="F352" s="30" t="n"/>
      <c r="G352" s="29">
        <f>IFERROR("["&amp;INDEX(고압진공_재고현황!$A:$A,MATCH($D352,고압진공_재고현황!$E:$E,0))&amp;"] "&amp;INDEX(고압진공_재고현황!$D:$D,MATCH($D352,고압진공_재고현황!$E:$E,0)),IFERROR("[조립] "&amp;INDEX(조립자재_재고현황!$D:$D,MATCH($D352,조립자재_재고현황!$E:$E,0)),""))</f>
        <v/>
      </c>
      <c r="H352" s="31">
        <f>IF(G352="","",COUNTIF($G$2:G352,"?*"))</f>
        <v/>
      </c>
    </row>
    <row r="353" ht="48" customHeight="1">
      <c r="A353" s="48" t="inlineStr">
        <is>
          <t>창고</t>
        </is>
      </c>
      <c r="B353" s="28" t="inlineStr">
        <is>
          <t>ABS 난연</t>
        </is>
      </c>
      <c r="C353" s="28" t="inlineStr">
        <is>
          <t>ADX6000</t>
        </is>
      </c>
      <c r="D353" s="29" t="inlineStr">
        <is>
          <t>LCD Cover 사출 (ABS 난연 화이트+ 색바랜 노란색 398)
[ADX6000]</t>
        </is>
      </c>
      <c r="E353" s="28" t="inlineStr">
        <is>
          <t>천우</t>
        </is>
      </c>
      <c r="F353" s="30" t="n"/>
      <c r="G353" s="29">
        <f>IFERROR("["&amp;INDEX(고압진공_재고현황!$A:$A,MATCH($D353,고압진공_재고현황!$E:$E,0))&amp;"] "&amp;INDEX(고압진공_재고현황!$D:$D,MATCH($D353,고압진공_재고현황!$E:$E,0)),IFERROR("[조립] "&amp;INDEX(조립자재_재고현황!$D:$D,MATCH($D353,조립자재_재고현황!$E:$E,0)),""))</f>
        <v/>
      </c>
      <c r="H353" s="31">
        <f>IF(G353="","",COUNTIF($G$2:G353,"?*"))</f>
        <v/>
      </c>
    </row>
    <row r="354" ht="48" customHeight="1">
      <c r="A354" s="48" t="inlineStr">
        <is>
          <t>창고</t>
        </is>
      </c>
      <c r="B354" s="28" t="inlineStr">
        <is>
          <t>ABS 난연</t>
        </is>
      </c>
      <c r="C354" s="28" t="inlineStr">
        <is>
          <t>ADX6000</t>
        </is>
      </c>
      <c r="D354" s="29" t="inlineStr">
        <is>
          <t>LCD Inner Cover 사출 (ABS 난연 화이트 + 스프레이)
[ADX6000]</t>
        </is>
      </c>
      <c r="E354" s="28" t="inlineStr">
        <is>
          <t>천우</t>
        </is>
      </c>
      <c r="F354" s="30" t="n"/>
      <c r="G354" s="29">
        <f>IFERROR("["&amp;INDEX(고압진공_재고현황!$A:$A,MATCH($D354,고압진공_재고현황!$E:$E,0))&amp;"] "&amp;INDEX(고압진공_재고현황!$D:$D,MATCH($D354,고압진공_재고현황!$E:$E,0)),IFERROR("[조립] "&amp;INDEX(조립자재_재고현황!$D:$D,MATCH($D354,조립자재_재고현황!$E:$E,0)),""))</f>
        <v/>
      </c>
      <c r="H354" s="31">
        <f>IF(G354="","",COUNTIF($G$2:G354,"?*"))</f>
        <v/>
      </c>
    </row>
    <row r="355" ht="48" customHeight="1">
      <c r="A355" s="48" t="inlineStr">
        <is>
          <t>창고</t>
        </is>
      </c>
      <c r="B355" s="28" t="inlineStr">
        <is>
          <t>ABS 난연</t>
        </is>
      </c>
      <c r="C355" s="28" t="inlineStr">
        <is>
          <t>ADX6000</t>
        </is>
      </c>
      <c r="D355" s="29" t="inlineStr">
        <is>
          <t>LCD 힌지 사출 커버 TOP (ABS 난연 화이트 + 스프레이)
[ADX6000]</t>
        </is>
      </c>
      <c r="E355" s="28" t="inlineStr">
        <is>
          <t>천우</t>
        </is>
      </c>
      <c r="F355" s="30" t="n"/>
      <c r="G355" s="29">
        <f>IFERROR("["&amp;INDEX(고압진공_재고현황!$A:$A,MATCH($D355,고압진공_재고현황!$E:$E,0))&amp;"] "&amp;INDEX(고압진공_재고현황!$D:$D,MATCH($D355,고압진공_재고현황!$E:$E,0)),IFERROR("[조립] "&amp;INDEX(조립자재_재고현황!$D:$D,MATCH($D355,조립자재_재고현황!$E:$E,0)),""))</f>
        <v/>
      </c>
      <c r="H355" s="31">
        <f>IF(G355="","",COUNTIF($G$2:G355,"?*"))</f>
        <v/>
      </c>
    </row>
    <row r="356" ht="48" customHeight="1">
      <c r="A356" s="48" t="inlineStr">
        <is>
          <t>창고</t>
        </is>
      </c>
      <c r="B356" s="28" t="inlineStr">
        <is>
          <t>ABS 난연</t>
        </is>
      </c>
      <c r="C356" s="28" t="inlineStr">
        <is>
          <t>ADX6000</t>
        </is>
      </c>
      <c r="D356" s="29" t="inlineStr">
        <is>
          <t>LCD 힌지 사출 커버 BOTTOM (ABS 난연 화이트 + 스프레이)
[ADX6000]</t>
        </is>
      </c>
      <c r="E356" s="28" t="inlineStr">
        <is>
          <t>천우</t>
        </is>
      </c>
      <c r="F356" s="30" t="n"/>
      <c r="G356" s="29">
        <f>IFERROR("["&amp;INDEX(고압진공_재고현황!$A:$A,MATCH($D356,고압진공_재고현황!$E:$E,0))&amp;"] "&amp;INDEX(고압진공_재고현황!$D:$D,MATCH($D356,고압진공_재고현황!$E:$E,0)),IFERROR("[조립] "&amp;INDEX(조립자재_재고현황!$D:$D,MATCH($D356,조립자재_재고현황!$E:$E,0)),""))</f>
        <v/>
      </c>
      <c r="H356" s="31">
        <f>IF(G356="","",COUNTIF($G$2:G356,"?*"))</f>
        <v/>
      </c>
    </row>
    <row r="357" ht="48" customHeight="1">
      <c r="A357" s="48" t="inlineStr">
        <is>
          <t>창고</t>
        </is>
      </c>
      <c r="B357" s="28" t="inlineStr">
        <is>
          <t>ABS 난연</t>
        </is>
      </c>
      <c r="C357" s="28" t="inlineStr">
        <is>
          <t>ADX6000</t>
        </is>
      </c>
      <c r="D357" s="29" t="inlineStr">
        <is>
          <t>LCD 사출 나사 커버 (ABS 난연 화이트 + 스프레이)
[ADX6000]</t>
        </is>
      </c>
      <c r="E357" s="28" t="inlineStr">
        <is>
          <t>천우</t>
        </is>
      </c>
      <c r="F357" s="30" t="n"/>
      <c r="G357" s="29">
        <f>IFERROR("["&amp;INDEX(고압진공_재고현황!$A:$A,MATCH($D357,고압진공_재고현황!$E:$E,0))&amp;"] "&amp;INDEX(고압진공_재고현황!$D:$D,MATCH($D357,고압진공_재고현황!$E:$E,0)),IFERROR("[조립] "&amp;INDEX(조립자재_재고현황!$D:$D,MATCH($D357,조립자재_재고현황!$E:$E,0)),""))</f>
        <v/>
      </c>
      <c r="H357" s="31">
        <f>IF(G357="","",COUNTIF($G$2:G357,"?*"))</f>
        <v/>
      </c>
    </row>
    <row r="358" ht="48" customHeight="1">
      <c r="A358" s="48" t="inlineStr">
        <is>
          <t>창고</t>
        </is>
      </c>
      <c r="B358" s="28" t="inlineStr">
        <is>
          <t>ABS 난연</t>
        </is>
      </c>
      <c r="C358" s="28" t="inlineStr">
        <is>
          <t>ADX6000</t>
        </is>
      </c>
      <c r="D358" s="29" t="inlineStr">
        <is>
          <t>Main PC 거치대 사출 (ABS 난연 화이트)
[ADX6000]</t>
        </is>
      </c>
      <c r="E358" s="28" t="inlineStr">
        <is>
          <t>천우</t>
        </is>
      </c>
      <c r="F358" s="30" t="n"/>
      <c r="G358" s="29">
        <f>IFERROR("["&amp;INDEX(고압진공_재고현황!$A:$A,MATCH($D358,고압진공_재고현황!$E:$E,0))&amp;"] "&amp;INDEX(고압진공_재고현황!$D:$D,MATCH($D358,고압진공_재고현황!$E:$E,0)),IFERROR("[조립] "&amp;INDEX(조립자재_재고현황!$D:$D,MATCH($D358,조립자재_재고현황!$E:$E,0)),""))</f>
        <v/>
      </c>
      <c r="H358" s="31">
        <f>IF(G358="","",COUNTIF($G$2:G358,"?*"))</f>
        <v/>
      </c>
    </row>
    <row r="359" ht="48" customHeight="1">
      <c r="A359" s="48" t="inlineStr">
        <is>
          <t>창고</t>
        </is>
      </c>
      <c r="B359" s="28" t="inlineStr">
        <is>
          <t>ABS 난연</t>
        </is>
      </c>
      <c r="C359" s="28" t="inlineStr">
        <is>
          <t>ADX6000</t>
        </is>
      </c>
      <c r="D359" s="29" t="inlineStr">
        <is>
          <t>BODY LEFT 사출 (ABS 난연 화이트 + 스프레이)
[ADX6000]</t>
        </is>
      </c>
      <c r="E359" s="28" t="inlineStr">
        <is>
          <t>천우</t>
        </is>
      </c>
      <c r="F359" s="30" t="n"/>
      <c r="G359" s="29">
        <f>IFERROR("["&amp;INDEX(고압진공_재고현황!$A:$A,MATCH($D359,고압진공_재고현황!$E:$E,0))&amp;"] "&amp;INDEX(고압진공_재고현황!$D:$D,MATCH($D359,고압진공_재고현황!$E:$E,0)),IFERROR("[조립] "&amp;INDEX(조립자재_재고현황!$D:$D,MATCH($D359,조립자재_재고현황!$E:$E,0)),""))</f>
        <v/>
      </c>
      <c r="H359" s="31">
        <f>IF(G359="","",COUNTIF($G$2:G359,"?*"))</f>
        <v/>
      </c>
    </row>
    <row r="360" ht="48" customHeight="1">
      <c r="A360" s="48" t="inlineStr">
        <is>
          <t>창고</t>
        </is>
      </c>
      <c r="B360" s="28" t="inlineStr">
        <is>
          <t>ABS 난연</t>
        </is>
      </c>
      <c r="C360" s="28" t="inlineStr">
        <is>
          <t>ADX6000</t>
        </is>
      </c>
      <c r="D360" s="29" t="inlineStr">
        <is>
          <t>BODY LEFT 사출 배터리 커버 (ABS 난연 화이트 + 스프레이)
[ADX6000]</t>
        </is>
      </c>
      <c r="E360" s="28" t="inlineStr">
        <is>
          <t>천우</t>
        </is>
      </c>
      <c r="F360" s="30" t="n"/>
      <c r="G360" s="29">
        <f>IFERROR("["&amp;INDEX(고압진공_재고현황!$A:$A,MATCH($D360,고압진공_재고현황!$E:$E,0))&amp;"] "&amp;INDEX(고압진공_재고현황!$D:$D,MATCH($D360,고압진공_재고현황!$E:$E,0)),IFERROR("[조립] "&amp;INDEX(조립자재_재고현황!$D:$D,MATCH($D360,조립자재_재고현황!$E:$E,0)),""))</f>
        <v/>
      </c>
      <c r="H360" s="31">
        <f>IF(G360="","",COUNTIF($G$2:G360,"?*"))</f>
        <v/>
      </c>
    </row>
    <row r="361" ht="48" customHeight="1">
      <c r="A361" s="48" t="inlineStr">
        <is>
          <t>창고</t>
        </is>
      </c>
      <c r="B361" s="28" t="inlineStr">
        <is>
          <t>ABS 난연</t>
        </is>
      </c>
      <c r="C361" s="28" t="inlineStr">
        <is>
          <t>ADX6000</t>
        </is>
      </c>
      <c r="D361" s="29" t="inlineStr">
        <is>
          <t>BODY RIGHT 사출 (ABS 난연 화이트 + 스프레이)
[ADX6000]</t>
        </is>
      </c>
      <c r="E361" s="28" t="inlineStr">
        <is>
          <t>천우</t>
        </is>
      </c>
      <c r="F361" s="30" t="n"/>
      <c r="G361" s="29">
        <f>IFERROR("["&amp;INDEX(고압진공_재고현황!$A:$A,MATCH($D361,고압진공_재고현황!$E:$E,0))&amp;"] "&amp;INDEX(고압진공_재고현황!$D:$D,MATCH($D361,고압진공_재고현황!$E:$E,0)),IFERROR("[조립] "&amp;INDEX(조립자재_재고현황!$D:$D,MATCH($D361,조립자재_재고현황!$E:$E,0)),""))</f>
        <v/>
      </c>
      <c r="H361" s="31">
        <f>IF(G361="","",COUNTIF($G$2:G361,"?*"))</f>
        <v/>
      </c>
    </row>
    <row r="362" ht="48" customHeight="1">
      <c r="A362" s="48" t="inlineStr">
        <is>
          <t>창고</t>
        </is>
      </c>
      <c r="B362" s="28" t="inlineStr">
        <is>
          <t>ABS 난연</t>
        </is>
      </c>
      <c r="C362" s="28" t="inlineStr">
        <is>
          <t>ADX6000</t>
        </is>
      </c>
      <c r="D362" s="29" t="inlineStr">
        <is>
          <t>HANDLE LEFT 사출 (ABS 난연 화이트 + 스프레이)
[ADX6000]</t>
        </is>
      </c>
      <c r="E362" s="28" t="inlineStr">
        <is>
          <t>천우</t>
        </is>
      </c>
      <c r="F362" s="30" t="n"/>
      <c r="G362" s="29">
        <f>IFERROR("["&amp;INDEX(고압진공_재고현황!$A:$A,MATCH($D362,고압진공_재고현황!$E:$E,0))&amp;"] "&amp;INDEX(고압진공_재고현황!$D:$D,MATCH($D362,고압진공_재고현황!$E:$E,0)),IFERROR("[조립] "&amp;INDEX(조립자재_재고현황!$D:$D,MATCH($D362,조립자재_재고현황!$E:$E,0)),""))</f>
        <v/>
      </c>
      <c r="H362" s="31">
        <f>IF(G362="","",COUNTIF($G$2:G362,"?*"))</f>
        <v/>
      </c>
    </row>
    <row r="363" ht="48" customHeight="1">
      <c r="A363" s="48" t="inlineStr">
        <is>
          <t>창고</t>
        </is>
      </c>
      <c r="B363" s="28" t="inlineStr">
        <is>
          <t>ABS 난연</t>
        </is>
      </c>
      <c r="C363" s="28" t="inlineStr">
        <is>
          <t>ADX6000</t>
        </is>
      </c>
      <c r="D363" s="29" t="inlineStr">
        <is>
          <t>HANDLE RIGHT 사출 (ABS 난연 화이트 + 스프레이)
[ADX6000]</t>
        </is>
      </c>
      <c r="E363" s="28" t="inlineStr">
        <is>
          <t>천우</t>
        </is>
      </c>
      <c r="F363" s="30" t="n"/>
      <c r="G363" s="29">
        <f>IFERROR("["&amp;INDEX(고압진공_재고현황!$A:$A,MATCH($D363,고압진공_재고현황!$E:$E,0))&amp;"] "&amp;INDEX(고압진공_재고현황!$D:$D,MATCH($D363,고압진공_재고현황!$E:$E,0)),IFERROR("[조립] "&amp;INDEX(조립자재_재고현황!$D:$D,MATCH($D363,조립자재_재고현황!$E:$E,0)),""))</f>
        <v/>
      </c>
      <c r="H363" s="31">
        <f>IF(G363="","",COUNTIF($G$2:G363,"?*"))</f>
        <v/>
      </c>
    </row>
    <row r="364" ht="48" customHeight="1">
      <c r="A364" s="48" t="inlineStr">
        <is>
          <t>창고</t>
        </is>
      </c>
      <c r="B364" s="28" t="inlineStr">
        <is>
          <t>ABS 난연</t>
        </is>
      </c>
      <c r="C364" s="28" t="inlineStr">
        <is>
          <t>ADX6000</t>
        </is>
      </c>
      <c r="D364" s="29" t="inlineStr">
        <is>
          <t>CRADLE TOP 사출 (ABS 난연 화이트 + 스프레이)
[ADX6000]</t>
        </is>
      </c>
      <c r="E364" s="28" t="inlineStr">
        <is>
          <t>천우</t>
        </is>
      </c>
      <c r="F364" s="30" t="n"/>
      <c r="G364" s="29">
        <f>IFERROR("["&amp;INDEX(고압진공_재고현황!$A:$A,MATCH($D364,고압진공_재고현황!$E:$E,0))&amp;"] "&amp;INDEX(고압진공_재고현황!$D:$D,MATCH($D364,고압진공_재고현황!$E:$E,0)),IFERROR("[조립] "&amp;INDEX(조립자재_재고현황!$D:$D,MATCH($D364,조립자재_재고현황!$E:$E,0)),""))</f>
        <v/>
      </c>
      <c r="H364" s="31">
        <f>IF(G364="","",COUNTIF($G$2:G364,"?*"))</f>
        <v/>
      </c>
    </row>
    <row r="365" ht="48" customHeight="1">
      <c r="A365" s="48" t="inlineStr">
        <is>
          <t>창고</t>
        </is>
      </c>
      <c r="B365" s="28" t="inlineStr">
        <is>
          <t>ABS 난연</t>
        </is>
      </c>
      <c r="C365" s="28" t="inlineStr">
        <is>
          <t>ADX6000</t>
        </is>
      </c>
      <c r="D365" s="29" t="inlineStr">
        <is>
          <t>CRADLE BOTTOM 사출 (ABS 난연 화이트 + 스프레이 블랙)
[ADX6000]</t>
        </is>
      </c>
      <c r="E365" s="28" t="inlineStr">
        <is>
          <t>천우</t>
        </is>
      </c>
      <c r="F365" s="30" t="n"/>
      <c r="G365" s="29">
        <f>IFERROR("["&amp;INDEX(고압진공_재고현황!$A:$A,MATCH($D365,고압진공_재고현황!$E:$E,0))&amp;"] "&amp;INDEX(고압진공_재고현황!$D:$D,MATCH($D365,고압진공_재고현황!$E:$E,0)),IFERROR("[조립] "&amp;INDEX(조립자재_재고현황!$D:$D,MATCH($D365,조립자재_재고현황!$E:$E,0)),""))</f>
        <v/>
      </c>
      <c r="H365" s="31">
        <f>IF(G365="","",COUNTIF($G$2:G365,"?*"))</f>
        <v/>
      </c>
    </row>
    <row r="366" ht="48" customHeight="1">
      <c r="A366" s="48" t="inlineStr">
        <is>
          <t>창고</t>
        </is>
      </c>
      <c r="B366" s="28" t="inlineStr">
        <is>
          <t>ABS 난연</t>
        </is>
      </c>
      <c r="C366" s="28" t="inlineStr">
        <is>
          <t>ADX6000</t>
        </is>
      </c>
      <c r="D366" s="29" t="inlineStr">
        <is>
          <t>CRADLE LED Guide 사출 (ABS 난연 화이트 + 스프레이)
[ADX6000]</t>
        </is>
      </c>
      <c r="E366" s="28" t="inlineStr">
        <is>
          <t>천우</t>
        </is>
      </c>
      <c r="F366" s="30" t="n"/>
      <c r="G366" s="29">
        <f>IFERROR("["&amp;INDEX(고압진공_재고현황!$A:$A,MATCH($D366,고압진공_재고현황!$E:$E,0))&amp;"] "&amp;INDEX(고압진공_재고현황!$D:$D,MATCH($D366,고압진공_재고현황!$E:$E,0)),IFERROR("[조립] "&amp;INDEX(조립자재_재고현황!$D:$D,MATCH($D366,조립자재_재고현황!$E:$E,0)),""))</f>
        <v/>
      </c>
      <c r="H366" s="31">
        <f>IF(G366="","",COUNTIF($G$2:G366,"?*"))</f>
        <v/>
      </c>
    </row>
    <row r="367" ht="48" customHeight="1">
      <c r="A367" s="48" t="inlineStr">
        <is>
          <t>창고</t>
        </is>
      </c>
      <c r="B367" s="28" t="inlineStr">
        <is>
          <t>ABS 난연</t>
        </is>
      </c>
      <c r="C367" s="28" t="inlineStr">
        <is>
          <t>ADX6000</t>
        </is>
      </c>
      <c r="D367" s="29" t="inlineStr">
        <is>
          <t>리모콘 포트 가이드 (ABS 난연 화이트)
[ADX6000]</t>
        </is>
      </c>
      <c r="E367" s="28" t="inlineStr">
        <is>
          <t>월드씨앤피</t>
        </is>
      </c>
      <c r="F367" s="30" t="n"/>
      <c r="G367" s="29">
        <f>IFERROR("["&amp;INDEX(고압진공_재고현황!$A:$A,MATCH($D367,고압진공_재고현황!$E:$E,0))&amp;"] "&amp;INDEX(고압진공_재고현황!$D:$D,MATCH($D367,고압진공_재고현황!$E:$E,0)),IFERROR("[조립] "&amp;INDEX(조립자재_재고현황!$D:$D,MATCH($D367,조립자재_재고현황!$E:$E,0)),""))</f>
        <v/>
      </c>
      <c r="H367" s="31">
        <f>IF(G367="","",COUNTIF($G$2:G367,"?*"))</f>
        <v/>
      </c>
    </row>
    <row r="368" ht="48" customHeight="1">
      <c r="A368" s="48" t="inlineStr">
        <is>
          <t>창고</t>
        </is>
      </c>
      <c r="B368" s="28" t="inlineStr">
        <is>
          <t>아크릴</t>
        </is>
      </c>
      <c r="C368" s="28" t="inlineStr">
        <is>
          <t>ADX6000</t>
        </is>
      </c>
      <c r="D368" s="29" t="inlineStr">
        <is>
          <t>Power Button 사출 (스모그 투명 아크릴)
[ADX6000]</t>
        </is>
      </c>
      <c r="E368" s="28" t="inlineStr">
        <is>
          <t>천우</t>
        </is>
      </c>
      <c r="F368" s="30" t="n"/>
      <c r="G368" s="29">
        <f>IFERROR("["&amp;INDEX(고압진공_재고현황!$A:$A,MATCH($D368,고압진공_재고현황!$E:$E,0))&amp;"] "&amp;INDEX(고압진공_재고현황!$D:$D,MATCH($D368,고압진공_재고현황!$E:$E,0)),IFERROR("[조립] "&amp;INDEX(조립자재_재고현황!$D:$D,MATCH($D368,조립자재_재고현황!$E:$E,0)),""))</f>
        <v/>
      </c>
      <c r="H368" s="31">
        <f>IF(G368="","",COUNTIF($G$2:G368,"?*"))</f>
        <v/>
      </c>
    </row>
    <row r="369" ht="48" customHeight="1">
      <c r="A369" s="48" t="inlineStr">
        <is>
          <t>창고</t>
        </is>
      </c>
      <c r="B369" s="28" t="inlineStr">
        <is>
          <t>아크릴</t>
        </is>
      </c>
      <c r="C369" s="28" t="inlineStr">
        <is>
          <t>ADX6000</t>
        </is>
      </c>
      <c r="D369" s="29" t="inlineStr">
        <is>
          <t>Black Deco Guide (스모그 투명 아크릴)
[ADX6000]</t>
        </is>
      </c>
      <c r="E369" s="28" t="inlineStr">
        <is>
          <t>천우</t>
        </is>
      </c>
      <c r="F369" s="30" t="n"/>
      <c r="G369" s="29">
        <f>IFERROR("["&amp;INDEX(고압진공_재고현황!$A:$A,MATCH($D369,고압진공_재고현황!$E:$E,0))&amp;"] "&amp;INDEX(고압진공_재고현황!$D:$D,MATCH($D369,고압진공_재고현황!$E:$E,0)),IFERROR("[조립] "&amp;INDEX(조립자재_재고현황!$D:$D,MATCH($D369,조립자재_재고현황!$E:$E,0)),""))</f>
        <v/>
      </c>
      <c r="H369" s="31">
        <f>IF(G369="","",COUNTIF($G$2:G369,"?*"))</f>
        <v/>
      </c>
    </row>
    <row r="370" ht="48" customHeight="1">
      <c r="A370" s="48" t="inlineStr">
        <is>
          <t>창고</t>
        </is>
      </c>
      <c r="B370" s="28" t="inlineStr">
        <is>
          <t>아크릴</t>
        </is>
      </c>
      <c r="C370" s="28" t="inlineStr">
        <is>
          <t>ADX6000</t>
        </is>
      </c>
      <c r="D370" s="29" t="inlineStr">
        <is>
          <t>EX Button 사출 (스모그 투명 아크릴)
[ADX6000]</t>
        </is>
      </c>
      <c r="E370" s="28" t="inlineStr">
        <is>
          <t>천우</t>
        </is>
      </c>
      <c r="F370" s="30" t="n"/>
      <c r="G370" s="29">
        <f>IFERROR("["&amp;INDEX(고압진공_재고현황!$A:$A,MATCH($D370,고압진공_재고현황!$E:$E,0))&amp;"] "&amp;INDEX(고압진공_재고현황!$D:$D,MATCH($D370,고압진공_재고현황!$E:$E,0)),IFERROR("[조립] "&amp;INDEX(조립자재_재고현황!$D:$D,MATCH($D370,조립자재_재고현황!$E:$E,0)),""))</f>
        <v/>
      </c>
      <c r="H370" s="31">
        <f>IF(G370="","",COUNTIF($G$2:G370,"?*"))</f>
        <v/>
      </c>
    </row>
    <row r="371" ht="48" customHeight="1">
      <c r="A371" s="48" t="inlineStr">
        <is>
          <t>창고</t>
        </is>
      </c>
      <c r="B371" s="28" t="inlineStr">
        <is>
          <t>아크릴</t>
        </is>
      </c>
      <c r="C371" s="28" t="inlineStr">
        <is>
          <t>ADX6000</t>
        </is>
      </c>
      <c r="D371" s="29" t="inlineStr">
        <is>
          <t>LCD 아크릴 가이드 (투명 아크릴)
[ADX6000]</t>
        </is>
      </c>
      <c r="E371" s="28" t="inlineStr">
        <is>
          <t>아크릴최가</t>
        </is>
      </c>
      <c r="F371" s="30" t="n"/>
      <c r="G371" s="29">
        <f>IFERROR("["&amp;INDEX(고압진공_재고현황!$A:$A,MATCH($D371,고압진공_재고현황!$E:$E,0))&amp;"] "&amp;INDEX(고압진공_재고현황!$D:$D,MATCH($D371,고압진공_재고현황!$E:$E,0)),IFERROR("[조립] "&amp;INDEX(조립자재_재고현황!$D:$D,MATCH($D371,조립자재_재고현황!$E:$E,0)),""))</f>
        <v/>
      </c>
      <c r="H371" s="31">
        <f>IF(G371="","",COUNTIF($G$2:G371,"?*"))</f>
        <v/>
      </c>
    </row>
    <row r="372" ht="48" customHeight="1">
      <c r="A372" s="48" t="inlineStr">
        <is>
          <t>창고</t>
        </is>
      </c>
      <c r="B372" s="28" t="inlineStr">
        <is>
          <t>아크릴</t>
        </is>
      </c>
      <c r="C372" s="28" t="inlineStr">
        <is>
          <t>ADX6000</t>
        </is>
      </c>
      <c r="D372" s="29" t="inlineStr">
        <is>
          <t>아크릴 투명 십자 panel (아크릴 + 실크 인쇄)
[ADX6000]</t>
        </is>
      </c>
      <c r="E372" s="28" t="inlineStr">
        <is>
          <t>아크릴최가</t>
        </is>
      </c>
      <c r="F372" s="30" t="n"/>
      <c r="G372" s="29">
        <f>IFERROR("["&amp;INDEX(고압진공_재고현황!$A:$A,MATCH($D372,고압진공_재고현황!$E:$E,0))&amp;"] "&amp;INDEX(고압진공_재고현황!$D:$D,MATCH($D372,고압진공_재고현황!$E:$E,0)),IFERROR("[조립] "&amp;INDEX(조립자재_재고현황!$D:$D,MATCH($D372,조립자재_재고현황!$E:$E,0)),""))</f>
        <v/>
      </c>
      <c r="H372" s="31">
        <f>IF(G372="","",COUNTIF($G$2:G372,"?*"))</f>
        <v/>
      </c>
    </row>
    <row r="373" ht="48" customHeight="1">
      <c r="A373" s="48" t="inlineStr">
        <is>
          <t>창고</t>
        </is>
      </c>
      <c r="B373" s="28" t="inlineStr">
        <is>
          <t>STEEL</t>
        </is>
      </c>
      <c r="C373" s="28" t="inlineStr">
        <is>
          <t>ADX6000</t>
        </is>
      </c>
      <c r="D373" s="29" t="inlineStr">
        <is>
          <t>LCD HINGE (가공)
[ADX6000]</t>
        </is>
      </c>
      <c r="E373" s="28" t="inlineStr">
        <is>
          <t>디엔케이시스템</t>
        </is>
      </c>
      <c r="F373" s="30" t="n"/>
      <c r="G373" s="29">
        <f>IFERROR("["&amp;INDEX(고압진공_재고현황!$A:$A,MATCH($D373,고압진공_재고현황!$E:$E,0))&amp;"] "&amp;INDEX(고압진공_재고현황!$D:$D,MATCH($D373,고압진공_재고현황!$E:$E,0)),IFERROR("[조립] "&amp;INDEX(조립자재_재고현황!$D:$D,MATCH($D373,조립자재_재고현황!$E:$E,0)),""))</f>
        <v/>
      </c>
      <c r="H373" s="31">
        <f>IF(G373="","",COUNTIF($G$2:G373,"?*"))</f>
        <v/>
      </c>
    </row>
    <row r="374" ht="48" customHeight="1">
      <c r="A374" s="48" t="inlineStr">
        <is>
          <t>창고</t>
        </is>
      </c>
      <c r="B374" s="28" t="inlineStr">
        <is>
          <t>AL</t>
        </is>
      </c>
      <c r="C374" s="28" t="inlineStr">
        <is>
          <t>ADX6000</t>
        </is>
      </c>
      <c r="D374" s="29" t="inlineStr">
        <is>
          <t>Base Block (AL 가공 + 흑색 아노다이징)
[ADX6000]</t>
        </is>
      </c>
      <c r="E374" s="28" t="inlineStr">
        <is>
          <t>제이케이시스템</t>
        </is>
      </c>
      <c r="F374" s="30" t="n"/>
      <c r="G374" s="29">
        <f>IFERROR("["&amp;INDEX(고압진공_재고현황!$A:$A,MATCH($D374,고압진공_재고현황!$E:$E,0))&amp;"] "&amp;INDEX(고압진공_재고현황!$D:$D,MATCH($D374,고압진공_재고현황!$E:$E,0)),IFERROR("[조립] "&amp;INDEX(조립자재_재고현황!$D:$D,MATCH($D374,조립자재_재고현황!$E:$E,0)),""))</f>
        <v/>
      </c>
      <c r="H374" s="31">
        <f>IF(G374="","",COUNTIF($G$2:G374,"?*"))</f>
        <v/>
      </c>
    </row>
    <row r="375" ht="48" customHeight="1">
      <c r="A375" s="48" t="inlineStr">
        <is>
          <t>창고</t>
        </is>
      </c>
      <c r="B375" s="28" t="inlineStr">
        <is>
          <t>AL</t>
        </is>
      </c>
      <c r="C375" s="28" t="inlineStr">
        <is>
          <t>ADX6000</t>
        </is>
      </c>
      <c r="D375" s="29" t="inlineStr">
        <is>
          <t>Bottom Block (AL 가공 + 흑색 아노다이징)
[ADX6000]</t>
        </is>
      </c>
      <c r="E375" s="28" t="inlineStr">
        <is>
          <t>제이케이시스템</t>
        </is>
      </c>
      <c r="F375" s="30" t="n"/>
      <c r="G375" s="29">
        <f>IFERROR("["&amp;INDEX(고압진공_재고현황!$A:$A,MATCH($D375,고압진공_재고현황!$E:$E,0))&amp;"] "&amp;INDEX(고압진공_재고현황!$D:$D,MATCH($D375,고압진공_재고현황!$E:$E,0)),IFERROR("[조립] "&amp;INDEX(조립자재_재고현황!$D:$D,MATCH($D375,조립자재_재고현황!$E:$E,0)),""))</f>
        <v/>
      </c>
      <c r="H375" s="31">
        <f>IF(G375="","",COUNTIF($G$2:G375,"?*"))</f>
        <v/>
      </c>
    </row>
    <row r="376" ht="48" customHeight="1">
      <c r="A376" s="48" t="inlineStr">
        <is>
          <t>창고</t>
        </is>
      </c>
      <c r="B376" s="28" t="inlineStr">
        <is>
          <t>AL</t>
        </is>
      </c>
      <c r="C376" s="28" t="inlineStr">
        <is>
          <t>ADX6000</t>
        </is>
      </c>
      <c r="D376" s="29" t="inlineStr">
        <is>
          <t>알루미늄 브라켓 6 hole (AL 가공 + 백색 아노다이징)
[ADX6000]</t>
        </is>
      </c>
      <c r="E376" s="28" t="inlineStr">
        <is>
          <t>제이케이시스템</t>
        </is>
      </c>
      <c r="F376" s="30" t="n"/>
      <c r="G376" s="29">
        <f>IFERROR("["&amp;INDEX(고압진공_재고현황!$A:$A,MATCH($D376,고압진공_재고현황!$E:$E,0))&amp;"] "&amp;INDEX(고압진공_재고현황!$D:$D,MATCH($D376,고압진공_재고현황!$E:$E,0)),IFERROR("[조립] "&amp;INDEX(조립자재_재고현황!$D:$D,MATCH($D376,조립자재_재고현황!$E:$E,0)),""))</f>
        <v/>
      </c>
      <c r="H376" s="31">
        <f>IF(G376="","",COUNTIF($G$2:G376,"?*"))</f>
        <v/>
      </c>
    </row>
    <row r="377" ht="48" customHeight="1">
      <c r="A377" s="48" t="inlineStr">
        <is>
          <t>창고</t>
        </is>
      </c>
      <c r="B377" s="28" t="inlineStr">
        <is>
          <t>RUBBER</t>
        </is>
      </c>
      <c r="C377" s="28" t="inlineStr">
        <is>
          <t>ADX6000</t>
        </is>
      </c>
      <c r="D377" s="29" t="inlineStr">
        <is>
          <t>CRADLE FOOT RUBBER (RUBBER)
[ADX6000]</t>
        </is>
      </c>
      <c r="E377" s="28" t="inlineStr">
        <is>
          <t>남경화학</t>
        </is>
      </c>
      <c r="F377" s="30" t="n"/>
      <c r="G377" s="29">
        <f>IFERROR("["&amp;INDEX(고압진공_재고현황!$A:$A,MATCH($D377,고압진공_재고현황!$E:$E,0))&amp;"] "&amp;INDEX(고압진공_재고현황!$D:$D,MATCH($D377,고압진공_재고현황!$E:$E,0)),IFERROR("[조립] "&amp;INDEX(조립자재_재고현황!$D:$D,MATCH($D377,조립자재_재고현황!$E:$E,0)),""))</f>
        <v/>
      </c>
      <c r="H377" s="31">
        <f>IF(G377="","",COUNTIF($G$2:G377,"?*"))</f>
        <v/>
      </c>
    </row>
    <row r="378" ht="48" customHeight="1">
      <c r="A378" s="48" t="inlineStr">
        <is>
          <t>창고</t>
        </is>
      </c>
      <c r="B378" s="28" t="inlineStr">
        <is>
          <t>SUS</t>
        </is>
      </c>
      <c r="C378" s="28" t="inlineStr">
        <is>
          <t>ADX6000</t>
        </is>
      </c>
      <c r="D378" s="29" t="inlineStr">
        <is>
          <t>손잡이 핀 (가공)
[ADX6000]</t>
        </is>
      </c>
      <c r="E378" s="28" t="inlineStr">
        <is>
          <t>다우정밀</t>
        </is>
      </c>
      <c r="F378" s="30" t="n"/>
      <c r="G378" s="29">
        <f>IFERROR("["&amp;INDEX(고압진공_재고현황!$A:$A,MATCH($D378,고압진공_재고현황!$E:$E,0))&amp;"] "&amp;INDEX(고압진공_재고현황!$D:$D,MATCH($D378,고압진공_재고현황!$E:$E,0)),IFERROR("[조립] "&amp;INDEX(조립자재_재고현황!$D:$D,MATCH($D378,조립자재_재고현황!$E:$E,0)),""))</f>
        <v/>
      </c>
      <c r="H378" s="31">
        <f>IF(G378="","",COUNTIF($G$2:G378,"?*"))</f>
        <v/>
      </c>
    </row>
    <row r="379" ht="48" customHeight="1">
      <c r="A379" s="48" t="inlineStr">
        <is>
          <t>창고</t>
        </is>
      </c>
      <c r="B379" s="28" t="inlineStr">
        <is>
          <t>페라이트</t>
        </is>
      </c>
      <c r="C379" s="28" t="inlineStr">
        <is>
          <t>ADX6000</t>
        </is>
      </c>
      <c r="D379" s="29" t="inlineStr">
        <is>
          <t>중간 페라이트 코어 (ZCAT 1518-0730)
[ADX6000]</t>
        </is>
      </c>
      <c r="E379" s="28" t="inlineStr">
        <is>
          <t>HLP</t>
        </is>
      </c>
      <c r="F379" s="30" t="n"/>
      <c r="G379" s="29">
        <f>IFERROR("["&amp;INDEX(고압진공_재고현황!$A:$A,MATCH($D379,고압진공_재고현황!$E:$E,0))&amp;"] "&amp;INDEX(고압진공_재고현황!$D:$D,MATCH($D379,고압진공_재고현황!$E:$E,0)),IFERROR("[조립] "&amp;INDEX(조립자재_재고현황!$D:$D,MATCH($D379,조립자재_재고현황!$E:$E,0)),""))</f>
        <v/>
      </c>
      <c r="H379" s="31">
        <f>IF(G379="","",COUNTIF($G$2:G379,"?*"))</f>
        <v/>
      </c>
    </row>
    <row r="380" ht="48" customHeight="1">
      <c r="A380" s="48" t="inlineStr">
        <is>
          <t>창고</t>
        </is>
      </c>
      <c r="B380" s="28" t="inlineStr">
        <is>
          <t>스티커</t>
        </is>
      </c>
      <c r="C380" s="28" t="inlineStr">
        <is>
          <t>ADX6000S</t>
        </is>
      </c>
      <c r="D380" s="29" t="inlineStr">
        <is>
          <t>LCD 배젤 스티커
[ADX6000S]</t>
        </is>
      </c>
      <c r="E380" s="28" t="inlineStr">
        <is>
          <t>그라피아스크린</t>
        </is>
      </c>
      <c r="F380" s="30" t="n"/>
      <c r="G380" s="29">
        <f>IFERROR("["&amp;INDEX(고압진공_재고현황!$A:$A,MATCH($D380,고압진공_재고현황!$E:$E,0))&amp;"] "&amp;INDEX(고압진공_재고현황!$D:$D,MATCH($D380,고압진공_재고현황!$E:$E,0)),IFERROR("[조립] "&amp;INDEX(조립자재_재고현황!$D:$D,MATCH($D380,조립자재_재고현황!$E:$E,0)),""))</f>
        <v/>
      </c>
      <c r="H380" s="31">
        <f>IF(G380="","",COUNTIF($G$2:G380,"?*"))</f>
        <v/>
      </c>
    </row>
    <row r="381" ht="48" customHeight="1">
      <c r="A381" s="48" t="inlineStr">
        <is>
          <t>창고</t>
        </is>
      </c>
      <c r="B381" s="28" t="inlineStr">
        <is>
          <t>스티커</t>
        </is>
      </c>
      <c r="C381" s="28" t="inlineStr">
        <is>
          <t>ADX6000S</t>
        </is>
      </c>
      <c r="D381" s="29" t="inlineStr">
        <is>
          <t>Front Port Sticker (리모콘 포트 수정 신형)
[ADX6000S]</t>
        </is>
      </c>
      <c r="E381" s="28" t="inlineStr">
        <is>
          <t>그라피아스크린</t>
        </is>
      </c>
      <c r="F381" s="30" t="n"/>
      <c r="G381" s="29">
        <f>IFERROR("["&amp;INDEX(고압진공_재고현황!$A:$A,MATCH($D381,고압진공_재고현황!$E:$E,0))&amp;"] "&amp;INDEX(고압진공_재고현황!$D:$D,MATCH($D381,고압진공_재고현황!$E:$E,0)),IFERROR("[조립] "&amp;INDEX(조립자재_재고현황!$D:$D,MATCH($D381,조립자재_재고현황!$E:$E,0)),""))</f>
        <v/>
      </c>
      <c r="H381" s="31">
        <f>IF(G381="","",COUNTIF($G$2:G381,"?*"))</f>
        <v/>
      </c>
    </row>
    <row r="382" ht="48" customHeight="1">
      <c r="A382" s="48" t="inlineStr">
        <is>
          <t>창고</t>
        </is>
      </c>
      <c r="B382" s="28" t="inlineStr">
        <is>
          <t>인조가죽</t>
        </is>
      </c>
      <c r="C382" s="28" t="inlineStr">
        <is>
          <t>ADX6000</t>
        </is>
      </c>
      <c r="D382" s="29" t="inlineStr">
        <is>
          <t>LCD 힌지 가죽 커버 (인조 가죽)
[ADX6000]</t>
        </is>
      </c>
      <c r="E382" s="28" t="inlineStr">
        <is>
          <t>굿모닝코리아유통</t>
        </is>
      </c>
      <c r="F382" s="30" t="n"/>
      <c r="G382" s="29">
        <f>IFERROR("["&amp;INDEX(고압진공_재고현황!$A:$A,MATCH($D382,고압진공_재고현황!$E:$E,0))&amp;"] "&amp;INDEX(고압진공_재고현황!$D:$D,MATCH($D382,고압진공_재고현황!$E:$E,0)),IFERROR("[조립] "&amp;INDEX(조립자재_재고현황!$D:$D,MATCH($D382,조립자재_재고현황!$E:$E,0)),""))</f>
        <v/>
      </c>
      <c r="H382" s="31">
        <f>IF(G382="","",COUNTIF($G$2:G382,"?*"))</f>
        <v/>
      </c>
    </row>
    <row r="383" ht="48" customHeight="1">
      <c r="A383" s="48" t="inlineStr">
        <is>
          <t>창고</t>
        </is>
      </c>
      <c r="B383" s="28" t="inlineStr">
        <is>
          <t>인조가죽</t>
        </is>
      </c>
      <c r="C383" s="28" t="inlineStr">
        <is>
          <t>ADX6000</t>
        </is>
      </c>
      <c r="D383" s="29" t="inlineStr">
        <is>
          <t>가죽 손잡이 (탈착배터리 터치펜 X) (인조 가죽)
[ADX6000]</t>
        </is>
      </c>
      <c r="E383" s="28" t="inlineStr">
        <is>
          <t>굿모닝코리아유통</t>
        </is>
      </c>
      <c r="F383" s="30" t="n"/>
      <c r="G383" s="29">
        <f>IFERROR("["&amp;INDEX(고압진공_재고현황!$A:$A,MATCH($D383,고압진공_재고현황!$E:$E,0))&amp;"] "&amp;INDEX(고압진공_재고현황!$D:$D,MATCH($D383,고압진공_재고현황!$E:$E,0)),IFERROR("[조립] "&amp;INDEX(조립자재_재고현황!$D:$D,MATCH($D383,조립자재_재고현황!$E:$E,0)),""))</f>
        <v/>
      </c>
      <c r="H383" s="31">
        <f>IF(G383="","",COUNTIF($G$2:G383,"?*"))</f>
        <v/>
      </c>
    </row>
    <row r="384" ht="48" customHeight="1">
      <c r="A384" s="48" t="inlineStr">
        <is>
          <t>창고</t>
        </is>
      </c>
      <c r="B384" s="28" t="inlineStr">
        <is>
          <t>자석</t>
        </is>
      </c>
      <c r="C384" s="28" t="inlineStr">
        <is>
          <t>ADX6000</t>
        </is>
      </c>
      <c r="D384" s="29" t="inlineStr">
        <is>
          <t>자석
[ADX6000]</t>
        </is>
      </c>
      <c r="E384" s="28" t="inlineStr">
        <is>
          <t>일성마그네트</t>
        </is>
      </c>
      <c r="F384" s="30" t="n"/>
      <c r="G384" s="29">
        <f>IFERROR("["&amp;INDEX(고압진공_재고현황!$A:$A,MATCH($D384,고압진공_재고현황!$E:$E,0))&amp;"] "&amp;INDEX(고압진공_재고현황!$D:$D,MATCH($D384,고압진공_재고현황!$E:$E,0)),IFERROR("[조립] "&amp;INDEX(조립자재_재고현황!$D:$D,MATCH($D384,조립자재_재고현황!$E:$E,0)),""))</f>
        <v/>
      </c>
      <c r="H384" s="31">
        <f>IF(G384="","",COUNTIF($G$2:G384,"?*"))</f>
        <v/>
      </c>
    </row>
    <row r="385" ht="48" customHeight="1">
      <c r="A385" s="48" t="inlineStr">
        <is>
          <t>창고</t>
        </is>
      </c>
      <c r="B385" s="28" t="inlineStr">
        <is>
          <t>배터리</t>
        </is>
      </c>
      <c r="C385" s="28" t="inlineStr">
        <is>
          <t>DX3000, ADX4000W</t>
        </is>
      </c>
      <c r="D385" s="29" t="inlineStr">
        <is>
          <t>기본 배터리 (PF435060HP)
[DX3000, ADX4000W]</t>
        </is>
      </c>
      <c r="E385" s="28" t="inlineStr">
        <is>
          <t>비앤테크</t>
        </is>
      </c>
      <c r="F385" s="30" t="n"/>
      <c r="G385" s="29">
        <f>IFERROR("["&amp;INDEX(고압진공_재고현황!$A:$A,MATCH($D385,고압진공_재고현황!$E:$E,0))&amp;"] "&amp;INDEX(고압진공_재고현황!$D:$D,MATCH($D385,고압진공_재고현황!$E:$E,0)),IFERROR("[조립] "&amp;INDEX(조립자재_재고현황!$D:$D,MATCH($D385,조립자재_재고현황!$E:$E,0)),""))</f>
        <v/>
      </c>
      <c r="H385" s="31">
        <f>IF(G385="","",COUNTIF($G$2:G385,"?*"))</f>
        <v/>
      </c>
    </row>
    <row r="386" ht="48" customHeight="1">
      <c r="A386" s="48" t="inlineStr">
        <is>
          <t>창고</t>
        </is>
      </c>
      <c r="B386" s="28" t="inlineStr">
        <is>
          <t>배터리</t>
        </is>
      </c>
      <c r="C386" s="28" t="inlineStr">
        <is>
          <t>DX3000</t>
        </is>
      </c>
      <c r="D386" s="29" t="inlineStr">
        <is>
          <t>내부 배터리 (PF435060HP)
[DX3000]</t>
        </is>
      </c>
      <c r="E386" s="28" t="inlineStr">
        <is>
          <t>비앤테크</t>
        </is>
      </c>
      <c r="F386" s="30" t="n"/>
      <c r="G386" s="29">
        <f>IFERROR("["&amp;INDEX(고압진공_재고현황!$A:$A,MATCH($D386,고압진공_재고현황!$E:$E,0))&amp;"] "&amp;INDEX(고압진공_재고현황!$D:$D,MATCH($D386,고압진공_재고현황!$E:$E,0)),IFERROR("[조립] "&amp;INDEX(조립자재_재고현황!$D:$D,MATCH($D386,조립자재_재고현황!$E:$E,0)),""))</f>
        <v/>
      </c>
      <c r="H386" s="31">
        <f>IF(G386="","",COUNTIF($G$2:G386,"?*"))</f>
        <v/>
      </c>
    </row>
    <row r="387" ht="48" customHeight="1">
      <c r="A387" s="48" t="inlineStr">
        <is>
          <t>창고</t>
        </is>
      </c>
      <c r="B387" s="28" t="inlineStr">
        <is>
          <t>배터리</t>
        </is>
      </c>
      <c r="C387" s="28" t="inlineStr">
        <is>
          <t>COCOON</t>
        </is>
      </c>
      <c r="D387" s="29" t="inlineStr">
        <is>
          <t>내부 배터리 (PF605060HP)
[COCOON]</t>
        </is>
      </c>
      <c r="E387" s="28" t="inlineStr">
        <is>
          <t>비앤테크</t>
        </is>
      </c>
      <c r="F387" s="30" t="n"/>
      <c r="G387" s="29">
        <f>IFERROR("["&amp;INDEX(고압진공_재고현황!$A:$A,MATCH($D387,고압진공_재고현황!$E:$E,0))&amp;"] "&amp;INDEX(고압진공_재고현황!$D:$D,MATCH($D387,고압진공_재고현황!$E:$E,0)),IFERROR("[조립] "&amp;INDEX(조립자재_재고현황!$D:$D,MATCH($D387,조립자재_재고현황!$E:$E,0)),""))</f>
        <v/>
      </c>
      <c r="H387" s="31">
        <f>IF(G387="","",COUNTIF($G$2:G387,"?*"))</f>
        <v/>
      </c>
    </row>
    <row r="388" ht="48" customHeight="1">
      <c r="A388" s="48" t="inlineStr">
        <is>
          <t>창고</t>
        </is>
      </c>
      <c r="B388" s="28" t="inlineStr">
        <is>
          <t>배터리</t>
        </is>
      </c>
      <c r="C388" s="28" t="inlineStr">
        <is>
          <t>COCOON</t>
        </is>
      </c>
      <c r="D388" s="29" t="inlineStr">
        <is>
          <t>외부 배터리 (PF605060HP)
[COCOON]</t>
        </is>
      </c>
      <c r="E388" s="28" t="inlineStr">
        <is>
          <t>비앤테크</t>
        </is>
      </c>
      <c r="F388" s="30" t="n"/>
      <c r="G388" s="29">
        <f>IFERROR("["&amp;INDEX(고압진공_재고현황!$A:$A,MATCH($D388,고압진공_재고현황!$E:$E,0))&amp;"] "&amp;INDEX(고압진공_재고현황!$D:$D,MATCH($D388,고압진공_재고현황!$E:$E,0)),IFERROR("[조립] "&amp;INDEX(조립자재_재고현황!$D:$D,MATCH($D388,조립자재_재고현황!$E:$E,0)),""))</f>
        <v/>
      </c>
      <c r="H388" s="31">
        <f>IF(G388="","",COUNTIF($G$2:G388,"?*"))</f>
        <v/>
      </c>
    </row>
    <row r="389" ht="48" customHeight="1">
      <c r="A389" s="48" t="inlineStr">
        <is>
          <t>창고</t>
        </is>
      </c>
      <c r="B389" s="28" t="inlineStr">
        <is>
          <t>배터리</t>
        </is>
      </c>
      <c r="C389" s="28" t="inlineStr">
        <is>
          <t>DX3000</t>
        </is>
      </c>
      <c r="D389" s="29" t="inlineStr">
        <is>
          <t>소형 외부배터리 (PF435060HP)
[DX3000]</t>
        </is>
      </c>
      <c r="E389" s="28" t="inlineStr">
        <is>
          <t>비앤테크</t>
        </is>
      </c>
      <c r="F389" s="30" t="n"/>
      <c r="G389" s="29">
        <f>IFERROR("["&amp;INDEX(고압진공_재고현황!$A:$A,MATCH($D389,고압진공_재고현황!$E:$E,0))&amp;"] "&amp;INDEX(고압진공_재고현황!$D:$D,MATCH($D389,고압진공_재고현황!$E:$E,0)),IFERROR("[조립] "&amp;INDEX(조립자재_재고현황!$D:$D,MATCH($D389,조립자재_재고현황!$E:$E,0)),""))</f>
        <v/>
      </c>
      <c r="H389" s="31">
        <f>IF(G389="","",COUNTIF($G$2:G389,"?*"))</f>
        <v/>
      </c>
    </row>
    <row r="390" ht="48" customHeight="1">
      <c r="A390" s="48" t="inlineStr">
        <is>
          <t>창고</t>
        </is>
      </c>
      <c r="B390" s="28" t="inlineStr">
        <is>
          <t>배터리</t>
        </is>
      </c>
      <c r="C390" s="28" t="inlineStr">
        <is>
          <t>ADX6000</t>
        </is>
      </c>
      <c r="D390" s="29" t="inlineStr">
        <is>
          <t>기본 배터리 (LIP1902A 18.5V 5S 50C 2100mAh)
[ADX6000]</t>
        </is>
      </c>
      <c r="E390" s="28" t="inlineStr">
        <is>
          <t>비앤테크</t>
        </is>
      </c>
      <c r="F390" s="30" t="n"/>
      <c r="G390" s="29">
        <f>IFERROR("["&amp;INDEX(고압진공_재고현황!$A:$A,MATCH($D390,고압진공_재고현황!$E:$E,0))&amp;"] "&amp;INDEX(고압진공_재고현황!$D:$D,MATCH($D390,고압진공_재고현황!$E:$E,0)),IFERROR("[조립] "&amp;INDEX(조립자재_재고현황!$D:$D,MATCH($D390,조립자재_재고현황!$E:$E,0)),""))</f>
        <v/>
      </c>
      <c r="H390" s="31">
        <f>IF(G390="","",COUNTIF($G$2:G390,"?*"))</f>
        <v/>
      </c>
    </row>
    <row r="391" ht="48" customHeight="1">
      <c r="A391" s="48" t="inlineStr">
        <is>
          <t>창고</t>
        </is>
      </c>
      <c r="B391" s="28" t="inlineStr">
        <is>
          <t>배터리</t>
        </is>
      </c>
      <c r="C391" s="28" t="inlineStr">
        <is>
          <t>ADX6000</t>
        </is>
      </c>
      <c r="D391" s="29" t="inlineStr">
        <is>
          <t>외부 배터리 (LIP1902A_5035127SH25)
[ADX6000]</t>
        </is>
      </c>
      <c r="E391" s="28" t="inlineStr">
        <is>
          <t>비앤테크</t>
        </is>
      </c>
      <c r="F391" s="30" t="n"/>
      <c r="G391" s="29">
        <f>IFERROR("["&amp;INDEX(고압진공_재고현황!$A:$A,MATCH($D391,고압진공_재고현황!$E:$E,0))&amp;"] "&amp;INDEX(고압진공_재고현황!$D:$D,MATCH($D391,고압진공_재고현황!$E:$E,0)),IFERROR("[조립] "&amp;INDEX(조립자재_재고현황!$D:$D,MATCH($D391,조립자재_재고현황!$E:$E,0)),""))</f>
        <v/>
      </c>
      <c r="H391" s="31">
        <f>IF(G391="","",COUNTIF($G$2:G391,"?*"))</f>
        <v/>
      </c>
    </row>
    <row r="392" ht="48" customHeight="1">
      <c r="A392" s="48" t="inlineStr">
        <is>
          <t>창고</t>
        </is>
      </c>
      <c r="B392" s="28" t="inlineStr">
        <is>
          <t>CORD</t>
        </is>
      </c>
      <c r="C392" s="28" t="inlineStr">
        <is>
          <t>공용</t>
        </is>
      </c>
      <c r="D392" s="29" t="inlineStr">
        <is>
          <t>2구 AC코드 C타입 (220V)
[공용]</t>
        </is>
      </c>
      <c r="E392" s="28" t="inlineStr">
        <is>
          <t>브리지파워</t>
        </is>
      </c>
      <c r="F392" s="30" t="n"/>
      <c r="G392" s="29">
        <f>IFERROR("["&amp;INDEX(고압진공_재고현황!$A:$A,MATCH($D392,고압진공_재고현황!$E:$E,0))&amp;"] "&amp;INDEX(고압진공_재고현황!$D:$D,MATCH($D392,고압진공_재고현황!$E:$E,0)),IFERROR("[조립] "&amp;INDEX(조립자재_재고현황!$D:$D,MATCH($D392,조립자재_재고현황!$E:$E,0)),""))</f>
        <v/>
      </c>
      <c r="H392" s="31">
        <f>IF(G392="","",COUNTIF($G$2:G392,"?*"))</f>
        <v/>
      </c>
    </row>
    <row r="393" ht="48" customHeight="1">
      <c r="A393" s="48" t="inlineStr">
        <is>
          <t>창고</t>
        </is>
      </c>
      <c r="B393" s="28" t="inlineStr">
        <is>
          <t>CORD</t>
        </is>
      </c>
      <c r="C393" s="28" t="inlineStr">
        <is>
          <t>공용</t>
        </is>
      </c>
      <c r="D393" s="29" t="inlineStr">
        <is>
          <t>2구 AC코드 A타입 (일본용, 110V)
[공용]</t>
        </is>
      </c>
      <c r="E393" s="28" t="inlineStr">
        <is>
          <t>브리지파워</t>
        </is>
      </c>
      <c r="F393" s="30" t="n"/>
      <c r="G393" s="29">
        <f>IFERROR("["&amp;INDEX(고압진공_재고현황!$A:$A,MATCH($D393,고압진공_재고현황!$E:$E,0))&amp;"] "&amp;INDEX(고압진공_재고현황!$D:$D,MATCH($D393,고압진공_재고현황!$E:$E,0)),IFERROR("[조립] "&amp;INDEX(조립자재_재고현황!$D:$D,MATCH($D393,조립자재_재고현황!$E:$E,0)),""))</f>
        <v/>
      </c>
      <c r="H393" s="31">
        <f>IF(G393="","",COUNTIF($G$2:G393,"?*"))</f>
        <v/>
      </c>
    </row>
    <row r="394" ht="48" customHeight="1">
      <c r="A394" s="48" t="inlineStr">
        <is>
          <t>창고</t>
        </is>
      </c>
      <c r="B394" s="28" t="inlineStr">
        <is>
          <t>CORD</t>
        </is>
      </c>
      <c r="C394" s="28" t="inlineStr">
        <is>
          <t>공용</t>
        </is>
      </c>
      <c r="D394" s="29" t="inlineStr">
        <is>
          <t>3구 접지 AC 코드 (유럽용, 220V)
[공용]</t>
        </is>
      </c>
      <c r="E394" s="28" t="inlineStr">
        <is>
          <t>브리지파워</t>
        </is>
      </c>
      <c r="F394" s="30" t="n"/>
      <c r="G394" s="29">
        <f>IFERROR("["&amp;INDEX(고압진공_재고현황!$A:$A,MATCH($D394,고압진공_재고현황!$E:$E,0))&amp;"] "&amp;INDEX(고압진공_재고현황!$D:$D,MATCH($D394,고압진공_재고현황!$E:$E,0)),IFERROR("[조립] "&amp;INDEX(조립자재_재고현황!$D:$D,MATCH($D394,조립자재_재고현황!$E:$E,0)),""))</f>
        <v/>
      </c>
      <c r="H394" s="31">
        <f>IF(G394="","",COUNTIF($G$2:G394,"?*"))</f>
        <v/>
      </c>
    </row>
    <row r="395" ht="48" customHeight="1">
      <c r="A395" s="48" t="inlineStr">
        <is>
          <t>창고</t>
        </is>
      </c>
      <c r="B395" s="28" t="inlineStr">
        <is>
          <t>CORD</t>
        </is>
      </c>
      <c r="C395" s="28" t="inlineStr">
        <is>
          <t>공용</t>
        </is>
      </c>
      <c r="D395" s="29" t="inlineStr">
        <is>
          <t>3구 접지 AC 코드 A타입 (일본용, 110V)
[공용]</t>
        </is>
      </c>
      <c r="E395" s="28" t="inlineStr">
        <is>
          <t>브리지파워</t>
        </is>
      </c>
      <c r="F395" s="30" t="n"/>
      <c r="G395" s="29">
        <f>IFERROR("["&amp;INDEX(고압진공_재고현황!$A:$A,MATCH($D395,고압진공_재고현황!$E:$E,0))&amp;"] "&amp;INDEX(고압진공_재고현황!$D:$D,MATCH($D395,고압진공_재고현황!$E:$E,0)),IFERROR("[조립] "&amp;INDEX(조립자재_재고현황!$D:$D,MATCH($D395,조립자재_재고현황!$E:$E,0)),""))</f>
        <v/>
      </c>
      <c r="H395" s="31">
        <f>IF(G395="","",COUNTIF($G$2:G395,"?*"))</f>
        <v/>
      </c>
    </row>
    <row r="396" ht="48" customHeight="1">
      <c r="A396" s="48" t="inlineStr">
        <is>
          <t>창고</t>
        </is>
      </c>
      <c r="B396" s="28" t="inlineStr">
        <is>
          <t>CORD</t>
        </is>
      </c>
      <c r="C396" s="28" t="inlineStr">
        <is>
          <t>공용</t>
        </is>
      </c>
      <c r="D396" s="29" t="inlineStr">
        <is>
          <t>3구 접지 AC코드 B타입 (미국용)
[공용]</t>
        </is>
      </c>
      <c r="E396" s="28" t="inlineStr">
        <is>
          <t>브리지파워</t>
        </is>
      </c>
      <c r="F396" s="30" t="n"/>
      <c r="G396" s="29">
        <f>IFERROR("["&amp;INDEX(고압진공_재고현황!$A:$A,MATCH($D396,고압진공_재고현황!$E:$E,0))&amp;"] "&amp;INDEX(고압진공_재고현황!$D:$D,MATCH($D396,고압진공_재고현황!$E:$E,0)),IFERROR("[조립] "&amp;INDEX(조립자재_재고현황!$D:$D,MATCH($D396,조립자재_재고현황!$E:$E,0)),""))</f>
        <v/>
      </c>
      <c r="H396" s="31">
        <f>IF(G396="","",COUNTIF($G$2:G396,"?*"))</f>
        <v/>
      </c>
    </row>
    <row r="397" ht="48" customHeight="1">
      <c r="A397" s="48" t="inlineStr">
        <is>
          <t>창고</t>
        </is>
      </c>
      <c r="B397" s="28" t="inlineStr">
        <is>
          <t>CORD</t>
        </is>
      </c>
      <c r="C397" s="28" t="inlineStr">
        <is>
          <t>공용</t>
        </is>
      </c>
      <c r="D397" s="29" t="inlineStr">
        <is>
          <t>3구 접지 AC코드 I타입 (호주, 중국 공용)
[공용]</t>
        </is>
      </c>
      <c r="E397" s="28" t="inlineStr">
        <is>
          <t>브리지파워</t>
        </is>
      </c>
      <c r="F397" s="30" t="n"/>
      <c r="G397" s="29">
        <f>IFERROR("["&amp;INDEX(고압진공_재고현황!$A:$A,MATCH($D397,고압진공_재고현황!$E:$E,0))&amp;"] "&amp;INDEX(고압진공_재고현황!$D:$D,MATCH($D397,고압진공_재고현황!$E:$E,0)),IFERROR("[조립] "&amp;INDEX(조립자재_재고현황!$D:$D,MATCH($D397,조립자재_재고현황!$E:$E,0)),""))</f>
        <v/>
      </c>
      <c r="H397" s="31">
        <f>IF(G397="","",COUNTIF($G$2:G397,"?*"))</f>
        <v/>
      </c>
    </row>
    <row r="398" ht="48" customHeight="1">
      <c r="A398" s="48" t="inlineStr">
        <is>
          <t>창고</t>
        </is>
      </c>
      <c r="B398" s="28" t="inlineStr">
        <is>
          <t>CORD</t>
        </is>
      </c>
      <c r="C398" s="28" t="inlineStr">
        <is>
          <t>공용</t>
        </is>
      </c>
      <c r="D398" s="29" t="inlineStr">
        <is>
          <t>3구 접지 AC코드 G타입 (영국용)
[공용]</t>
        </is>
      </c>
      <c r="E398" s="28" t="inlineStr">
        <is>
          <t>브리지파워</t>
        </is>
      </c>
      <c r="F398" s="30" t="n"/>
      <c r="G398" s="29">
        <f>IFERROR("["&amp;INDEX(고압진공_재고현황!$A:$A,MATCH($D398,고압진공_재고현황!$E:$E,0))&amp;"] "&amp;INDEX(고압진공_재고현황!$D:$D,MATCH($D398,고압진공_재고현황!$E:$E,0)),IFERROR("[조립] "&amp;INDEX(조립자재_재고현황!$D:$D,MATCH($D398,조립자재_재고현황!$E:$E,0)),""))</f>
        <v/>
      </c>
      <c r="H398" s="31">
        <f>IF(G398="","",COUNTIF($G$2:G398,"?*"))</f>
        <v/>
      </c>
    </row>
    <row r="399" ht="48" customHeight="1">
      <c r="A399" s="48" t="inlineStr">
        <is>
          <t>창고</t>
        </is>
      </c>
      <c r="B399" s="28" t="inlineStr">
        <is>
          <t>ADAPTER</t>
        </is>
      </c>
      <c r="C399" s="28" t="inlineStr">
        <is>
          <t>공용</t>
        </is>
      </c>
      <c r="D399" s="29" t="inlineStr">
        <is>
          <t>2구 충전기 (BPL910S16N01, 220V)
[공용]</t>
        </is>
      </c>
      <c r="E399" s="28" t="inlineStr">
        <is>
          <t>브리지파워</t>
        </is>
      </c>
      <c r="F399" s="30" t="n"/>
      <c r="G399" s="29">
        <f>IFERROR("["&amp;INDEX(고압진공_재고현황!$A:$A,MATCH($D399,고압진공_재고현황!$E:$E,0))&amp;"] "&amp;INDEX(고압진공_재고현황!$D:$D,MATCH($D399,고압진공_재고현황!$E:$E,0)),IFERROR("[조립] "&amp;INDEX(조립자재_재고현황!$D:$D,MATCH($D399,조립자재_재고현황!$E:$E,0)),""))</f>
        <v/>
      </c>
      <c r="H399" s="31">
        <f>IF(G399="","",COUNTIF($G$2:G399,"?*"))</f>
        <v/>
      </c>
    </row>
    <row r="400" ht="48" customHeight="1">
      <c r="A400" s="48" t="inlineStr">
        <is>
          <t>창고</t>
        </is>
      </c>
      <c r="B400" s="28" t="inlineStr">
        <is>
          <t>ADAPTER</t>
        </is>
      </c>
      <c r="C400" s="28" t="inlineStr">
        <is>
          <t>공용</t>
        </is>
      </c>
      <c r="D400" s="29" t="inlineStr">
        <is>
          <t>3구 충전기 (BPL910S16F01, (미국, 호주 공용))
[공용]</t>
        </is>
      </c>
      <c r="E400" s="28" t="inlineStr">
        <is>
          <t>브리지파워</t>
        </is>
      </c>
      <c r="F400" s="30" t="n"/>
      <c r="G400" s="29">
        <f>IFERROR("["&amp;INDEX(고압진공_재고현황!$A:$A,MATCH($D400,고압진공_재고현황!$E:$E,0))&amp;"] "&amp;INDEX(고압진공_재고현황!$D:$D,MATCH($D400,고압진공_재고현황!$E:$E,0)),IFERROR("[조립] "&amp;INDEX(조립자재_재고현황!$D:$D,MATCH($D400,조립자재_재고현황!$E:$E,0)),""))</f>
        <v/>
      </c>
      <c r="H400" s="31">
        <f>IF(G400="","",COUNTIF($G$2:G400,"?*"))</f>
        <v/>
      </c>
    </row>
    <row r="401" ht="48" customHeight="1">
      <c r="A401" s="48" t="inlineStr">
        <is>
          <t>창고</t>
        </is>
      </c>
      <c r="B401" s="28" t="inlineStr">
        <is>
          <t>ADAPTER</t>
        </is>
      </c>
      <c r="C401" s="28" t="inlineStr">
        <is>
          <t>ADX6000</t>
        </is>
      </c>
      <c r="D401" s="29" t="inlineStr">
        <is>
          <t>20.7V 1.7A 충전기 (5S 어댑터)
[ADX6000]</t>
        </is>
      </c>
      <c r="E401" s="28" t="inlineStr">
        <is>
          <t>브리지파워</t>
        </is>
      </c>
      <c r="F401" s="30" t="n"/>
      <c r="G401" s="29">
        <f>IFERROR("["&amp;INDEX(고압진공_재고현황!$A:$A,MATCH($D401,고압진공_재고현황!$E:$E,0))&amp;"] "&amp;INDEX(고압진공_재고현황!$D:$D,MATCH($D401,고압진공_재고현황!$E:$E,0)),IFERROR("[조립] "&amp;INDEX(조립자재_재고현황!$D:$D,MATCH($D401,조립자재_재고현황!$E:$E,0)),""))</f>
        <v/>
      </c>
      <c r="H401" s="31">
        <f>IF(G401="","",COUNTIF($G$2:G401,"?*"))</f>
        <v/>
      </c>
    </row>
    <row r="402" ht="48" customHeight="1">
      <c r="A402" s="48" t="inlineStr">
        <is>
          <t>창고</t>
        </is>
      </c>
      <c r="B402" s="28" t="inlineStr">
        <is>
          <t>ADAPTER</t>
        </is>
      </c>
      <c r="C402" s="28" t="inlineStr">
        <is>
          <t>ADX6000</t>
        </is>
      </c>
      <c r="D402" s="29" t="inlineStr">
        <is>
          <t>25.2V 1.7A 충전기 (6S 어댑터 (중국용))
[ADX6000]</t>
        </is>
      </c>
      <c r="E402" s="28" t="inlineStr">
        <is>
          <t>브리지파워</t>
        </is>
      </c>
      <c r="F402" s="30" t="n"/>
      <c r="G402" s="29">
        <f>IFERROR("["&amp;INDEX(고압진공_재고현황!$A:$A,MATCH($D402,고압진공_재고현황!$E:$E,0))&amp;"] "&amp;INDEX(고압진공_재고현황!$D:$D,MATCH($D402,고압진공_재고현황!$E:$E,0)),IFERROR("[조립] "&amp;INDEX(조립자재_재고현황!$D:$D,MATCH($D402,조립자재_재고현황!$E:$E,0)),""))</f>
        <v/>
      </c>
      <c r="H402" s="31">
        <f>IF(G402="","",COUNTIF($G$2:G402,"?*"))</f>
        <v/>
      </c>
    </row>
    <row r="403" ht="48" customHeight="1">
      <c r="A403" s="48" t="inlineStr">
        <is>
          <t>창고</t>
        </is>
      </c>
      <c r="B403" s="28" t="inlineStr">
        <is>
          <t>ADAPTER</t>
        </is>
      </c>
      <c r="C403" s="28" t="inlineStr">
        <is>
          <t>공용</t>
        </is>
      </c>
      <c r="D403" s="29" t="inlineStr">
        <is>
          <t>15V 1.0A 충전기 (220V)
[공용]</t>
        </is>
      </c>
      <c r="E403" s="28" t="inlineStr">
        <is>
          <t>브리지파워</t>
        </is>
      </c>
      <c r="F403" s="30" t="n"/>
      <c r="G403" s="29">
        <f>IFERROR("["&amp;INDEX(고압진공_재고현황!$A:$A,MATCH($D403,고압진공_재고현황!$E:$E,0))&amp;"] "&amp;INDEX(고압진공_재고현황!$D:$D,MATCH($D403,고압진공_재고현황!$E:$E,0)),IFERROR("[조립] "&amp;INDEX(조립자재_재고현황!$D:$D,MATCH($D403,조립자재_재고현황!$E:$E,0)),""))</f>
        <v/>
      </c>
      <c r="H403" s="31">
        <f>IF(G403="","",COUNTIF($G$2:G403,"?*"))</f>
        <v/>
      </c>
    </row>
    <row r="404" ht="48" customHeight="1">
      <c r="A404" s="48" t="inlineStr">
        <is>
          <t>창고</t>
        </is>
      </c>
      <c r="B404" s="28" t="inlineStr">
        <is>
          <t>ADAPTER</t>
        </is>
      </c>
      <c r="C404" s="28" t="inlineStr">
        <is>
          <t>공용</t>
        </is>
      </c>
      <c r="D404" s="29" t="inlineStr">
        <is>
          <t>15V 1.0A 충전기 (110V)
[공용]</t>
        </is>
      </c>
      <c r="E404" s="28" t="inlineStr">
        <is>
          <t>브리지파워</t>
        </is>
      </c>
      <c r="F404" s="30" t="n"/>
      <c r="G404" s="29">
        <f>IFERROR("["&amp;INDEX(고압진공_재고현황!$A:$A,MATCH($D404,고압진공_재고현황!$E:$E,0))&amp;"] "&amp;INDEX(고압진공_재고현황!$D:$D,MATCH($D404,고압진공_재고현황!$E:$E,0)),IFERROR("[조립] "&amp;INDEX(조립자재_재고현황!$D:$D,MATCH($D404,조립자재_재고현황!$E:$E,0)),""))</f>
        <v/>
      </c>
      <c r="H404" s="31">
        <f>IF(G404="","",COUNTIF($G$2:G404,"?*"))</f>
        <v/>
      </c>
    </row>
    <row r="405" ht="48" customHeight="1">
      <c r="A405" s="48" t="inlineStr">
        <is>
          <t>창고</t>
        </is>
      </c>
      <c r="B405" s="28" t="inlineStr">
        <is>
          <t>충전 변환 젠더</t>
        </is>
      </c>
      <c r="C405" s="28" t="inlineStr">
        <is>
          <t>공용</t>
        </is>
      </c>
      <c r="D405" s="29" t="inlineStr">
        <is>
          <t>외부배터리 충전용 잭
[공용]</t>
        </is>
      </c>
      <c r="E405" s="28" t="inlineStr">
        <is>
          <t>직구</t>
        </is>
      </c>
      <c r="F405" s="30" t="n"/>
      <c r="G405" s="29">
        <f>IFERROR("["&amp;INDEX(고압진공_재고현황!$A:$A,MATCH($D405,고압진공_재고현황!$E:$E,0))&amp;"] "&amp;INDEX(고압진공_재고현황!$D:$D,MATCH($D405,고압진공_재고현황!$E:$E,0)),IFERROR("[조립] "&amp;INDEX(조립자재_재고현황!$D:$D,MATCH($D405,조립자재_재고현황!$E:$E,0)),""))</f>
        <v/>
      </c>
      <c r="H405" s="31">
        <f>IF(G405="","",COUNTIF($G$2:G405,"?*"))</f>
        <v/>
      </c>
    </row>
    <row r="406" ht="48" customHeight="1">
      <c r="A406" s="48" t="inlineStr">
        <is>
          <t>창고</t>
        </is>
      </c>
      <c r="B406" s="28" t="inlineStr">
        <is>
          <t>배터리 충전기</t>
        </is>
      </c>
      <c r="C406" s="28" t="inlineStr">
        <is>
          <t>DX3000, ADX4000W</t>
        </is>
      </c>
      <c r="D406" s="29" t="inlineStr">
        <is>
          <t>거치대 (D-910)
[DX3000, ADX4000W]</t>
        </is>
      </c>
      <c r="E406" s="28" t="inlineStr">
        <is>
          <t>HLP</t>
        </is>
      </c>
      <c r="F406" s="30" t="n"/>
      <c r="G406" s="29">
        <f>IFERROR("["&amp;INDEX(고압진공_재고현황!$A:$A,MATCH($D406,고압진공_재고현황!$E:$E,0))&amp;"] "&amp;INDEX(고압진공_재고현황!$D:$D,MATCH($D406,고압진공_재고현황!$E:$E,0)),IFERROR("[조립] "&amp;INDEX(조립자재_재고현황!$D:$D,MATCH($D406,조립자재_재고현황!$E:$E,0)),""))</f>
        <v/>
      </c>
      <c r="H406" s="31">
        <f>IF(G406="","",COUNTIF($G$2:G406,"?*"))</f>
        <v/>
      </c>
    </row>
    <row r="407" ht="48" customHeight="1">
      <c r="A407" s="48" t="inlineStr">
        <is>
          <t>창고</t>
        </is>
      </c>
      <c r="B407" s="28" t="inlineStr">
        <is>
          <t>CABLE</t>
        </is>
      </c>
      <c r="C407" s="28" t="inlineStr">
        <is>
          <t>공용</t>
        </is>
      </c>
      <c r="D407" s="29" t="inlineStr">
        <is>
          <t>외부 배터리 와이어 케이블
[공용]</t>
        </is>
      </c>
      <c r="E407" s="28" t="inlineStr">
        <is>
          <t>HLP</t>
        </is>
      </c>
      <c r="F407" s="30" t="n"/>
      <c r="G407" s="29">
        <f>IFERROR("["&amp;INDEX(고압진공_재고현황!$A:$A,MATCH($D407,고압진공_재고현황!$E:$E,0))&amp;"] "&amp;INDEX(고압진공_재고현황!$D:$D,MATCH($D407,고압진공_재고현황!$E:$E,0)),IFERROR("[조립] "&amp;INDEX(조립자재_재고현황!$D:$D,MATCH($D407,조립자재_재고현황!$E:$E,0)),""))</f>
        <v/>
      </c>
      <c r="H407" s="31">
        <f>IF(G407="","",COUNTIF($G$2:G407,"?*"))</f>
        <v/>
      </c>
    </row>
    <row r="408" ht="48" customHeight="1">
      <c r="A408" s="48" t="inlineStr">
        <is>
          <t>창고</t>
        </is>
      </c>
      <c r="B408" s="28" t="inlineStr">
        <is>
          <t>CABLE</t>
        </is>
      </c>
      <c r="C408" s="28" t="inlineStr">
        <is>
          <t>ADX4000W</t>
        </is>
      </c>
      <c r="D408" s="29" t="inlineStr">
        <is>
          <t>USB 2.0 CABLE (U-30136, 3m)
[ADX4000W]</t>
        </is>
      </c>
      <c r="E408" s="28" t="inlineStr">
        <is>
          <t>유그린</t>
        </is>
      </c>
      <c r="F408" s="30" t="n"/>
      <c r="G408" s="29">
        <f>IFERROR("["&amp;INDEX(고압진공_재고현황!$A:$A,MATCH($D408,고압진공_재고현황!$E:$E,0))&amp;"] "&amp;INDEX(고압진공_재고현황!$D:$D,MATCH($D408,고압진공_재고현황!$E:$E,0)),IFERROR("[조립] "&amp;INDEX(조립자재_재고현황!$D:$D,MATCH($D408,조립자재_재고현황!$E:$E,0)),""))</f>
        <v/>
      </c>
      <c r="H408" s="31">
        <f>IF(G408="","",COUNTIF($G$2:G408,"?*"))</f>
        <v/>
      </c>
    </row>
    <row r="409" ht="48" customHeight="1">
      <c r="A409" s="48" t="inlineStr">
        <is>
          <t>창고</t>
        </is>
      </c>
      <c r="B409" s="28" t="inlineStr">
        <is>
          <t>CABLE</t>
        </is>
      </c>
      <c r="C409" s="28" t="inlineStr">
        <is>
          <t>ADX4000W</t>
        </is>
      </c>
      <c r="D409" s="29" t="inlineStr">
        <is>
          <t>USB 2.0 CABLE (PMM369-0200, 2m)
[ADX4000W]</t>
        </is>
      </c>
      <c r="E409" s="28" t="inlineStr">
        <is>
          <t>강원전자</t>
        </is>
      </c>
      <c r="F409" s="30" t="n"/>
      <c r="G409" s="29">
        <f>IFERROR("["&amp;INDEX(고압진공_재고현황!$A:$A,MATCH($D409,고압진공_재고현황!$E:$E,0))&amp;"] "&amp;INDEX(고압진공_재고현황!$D:$D,MATCH($D409,고압진공_재고현황!$E:$E,0)),IFERROR("[조립] "&amp;INDEX(조립자재_재고현황!$D:$D,MATCH($D409,조립자재_재고현황!$E:$E,0)),""))</f>
        <v/>
      </c>
      <c r="H409" s="31">
        <f>IF(G409="","",COUNTIF($G$2:G409,"?*"))</f>
        <v/>
      </c>
    </row>
    <row r="410" ht="48" customHeight="1">
      <c r="A410" s="48" t="inlineStr">
        <is>
          <t>창고</t>
        </is>
      </c>
      <c r="B410" s="28" t="inlineStr">
        <is>
          <t>CABLE</t>
        </is>
      </c>
      <c r="C410" s="28" t="inlineStr">
        <is>
          <t>ADX4000W</t>
        </is>
      </c>
      <c r="D410" s="29" t="inlineStr">
        <is>
          <t>USB 2.0 CABLE (PMM369-0100, 1m)
[ADX4000W]</t>
        </is>
      </c>
      <c r="E410" s="28" t="inlineStr">
        <is>
          <t>강원전자</t>
        </is>
      </c>
      <c r="F410" s="30" t="n"/>
      <c r="G410" s="29">
        <f>IFERROR("["&amp;INDEX(고압진공_재고현황!$A:$A,MATCH($D410,고압진공_재고현황!$E:$E,0))&amp;"] "&amp;INDEX(고압진공_재고현황!$D:$D,MATCH($D410,고압진공_재고현황!$E:$E,0)),IFERROR("[조립] "&amp;INDEX(조립자재_재고현황!$D:$D,MATCH($D410,조립자재_재고현황!$E:$E,0)),""))</f>
        <v/>
      </c>
      <c r="H410" s="31">
        <f>IF(G410="","",COUNTIF($G$2:G410,"?*"))</f>
        <v/>
      </c>
    </row>
    <row r="411" ht="48" customHeight="1">
      <c r="A411" s="48" t="inlineStr">
        <is>
          <t>창고</t>
        </is>
      </c>
      <c r="B411" s="28" t="inlineStr">
        <is>
          <t>CABLE</t>
        </is>
      </c>
      <c r="C411" s="28" t="inlineStr">
        <is>
          <t>ADX6000</t>
        </is>
      </c>
      <c r="D411" s="29" t="inlineStr">
        <is>
          <t>PC Link Cable
[ADX6000]</t>
        </is>
      </c>
      <c r="E411" s="28" t="inlineStr">
        <is>
          <t>직구</t>
        </is>
      </c>
      <c r="F411" s="30" t="n"/>
      <c r="G411" s="29">
        <f>IFERROR("["&amp;INDEX(고압진공_재고현황!$A:$A,MATCH($D411,고압진공_재고현황!$E:$E,0))&amp;"] "&amp;INDEX(고압진공_재고현황!$D:$D,MATCH($D411,고압진공_재고현황!$E:$E,0)),IFERROR("[조립] "&amp;INDEX(조립자재_재고현황!$D:$D,MATCH($D411,조립자재_재고현황!$E:$E,0)),""))</f>
        <v/>
      </c>
      <c r="H411" s="31">
        <f>IF(G411="","",COUNTIF($G$2:G411,"?*"))</f>
        <v/>
      </c>
    </row>
    <row r="412" ht="48" customHeight="1">
      <c r="A412" s="48" t="inlineStr">
        <is>
          <t>창고</t>
        </is>
      </c>
      <c r="B412" s="28" t="inlineStr">
        <is>
          <t>PCB</t>
        </is>
      </c>
      <c r="C412" s="28" t="inlineStr">
        <is>
          <t>공용</t>
        </is>
      </c>
      <c r="D412" s="29" t="inlineStr">
        <is>
          <t>외부 배터리 쪽 보드 (EX BATTERY BD)
[공용]</t>
        </is>
      </c>
      <c r="E412" s="28" t="inlineStr">
        <is>
          <t>HLP</t>
        </is>
      </c>
      <c r="F412" s="30" t="n"/>
      <c r="G412" s="29">
        <f>IFERROR("["&amp;INDEX(고압진공_재고현황!$A:$A,MATCH($D412,고압진공_재고현황!$E:$E,0))&amp;"] "&amp;INDEX(고압진공_재고현황!$D:$D,MATCH($D412,고압진공_재고현황!$E:$E,0)),IFERROR("[조립] "&amp;INDEX(조립자재_재고현황!$D:$D,MATCH($D412,조립자재_재고현황!$E:$E,0)),""))</f>
        <v/>
      </c>
      <c r="H412" s="31">
        <f>IF(G412="","",COUNTIF($G$2:G412,"?*"))</f>
        <v/>
      </c>
    </row>
    <row r="413" ht="48" customHeight="1">
      <c r="A413" s="48" t="inlineStr">
        <is>
          <t>창고</t>
        </is>
      </c>
      <c r="B413" s="28" t="inlineStr">
        <is>
          <t>가방</t>
        </is>
      </c>
      <c r="C413" s="28" t="inlineStr">
        <is>
          <t>DX3000</t>
        </is>
      </c>
      <c r="D413" s="29" t="inlineStr">
        <is>
          <t>가방+내부 FOAM(계란판)
[DX3000]</t>
        </is>
      </c>
      <c r="E413" s="28" t="inlineStr">
        <is>
          <t>굿모닝코리아유통</t>
        </is>
      </c>
      <c r="F413" s="30" t="n"/>
      <c r="G413" s="29">
        <f>IFERROR("["&amp;INDEX(고압진공_재고현황!$A:$A,MATCH($D413,고압진공_재고현황!$E:$E,0))&amp;"] "&amp;INDEX(고압진공_재고현황!$D:$D,MATCH($D413,고압진공_재고현황!$E:$E,0)),IFERROR("[조립] "&amp;INDEX(조립자재_재고현황!$D:$D,MATCH($D413,조립자재_재고현황!$E:$E,0)),""))</f>
        <v/>
      </c>
      <c r="H413" s="31">
        <f>IF(G413="","",COUNTIF($G$2:G413,"?*"))</f>
        <v/>
      </c>
    </row>
    <row r="414" ht="48" customHeight="1">
      <c r="A414" s="48" t="inlineStr">
        <is>
          <t>창고</t>
        </is>
      </c>
      <c r="B414" s="28" t="inlineStr">
        <is>
          <t>가방</t>
        </is>
      </c>
      <c r="C414" s="28" t="inlineStr">
        <is>
          <t>DX3000</t>
        </is>
      </c>
      <c r="D414" s="29" t="inlineStr">
        <is>
          <t>가방+내장재 X
[DX3000]</t>
        </is>
      </c>
      <c r="E414" s="28" t="inlineStr">
        <is>
          <t>굿모닝코리아유통</t>
        </is>
      </c>
      <c r="F414" s="30" t="n"/>
      <c r="G414" s="29">
        <f>IFERROR("["&amp;INDEX(고압진공_재고현황!$A:$A,MATCH($D414,고압진공_재고현황!$E:$E,0))&amp;"] "&amp;INDEX(고압진공_재고현황!$D:$D,MATCH($D414,고압진공_재고현황!$E:$E,0)),IFERROR("[조립] "&amp;INDEX(조립자재_재고현황!$D:$D,MATCH($D414,조립자재_재고현황!$E:$E,0)),""))</f>
        <v/>
      </c>
      <c r="H414" s="31">
        <f>IF(G414="","",COUNTIF($G$2:G414,"?*"))</f>
        <v/>
      </c>
    </row>
    <row r="415" ht="48" customHeight="1">
      <c r="A415" s="48" t="inlineStr">
        <is>
          <t>창고</t>
        </is>
      </c>
      <c r="B415" s="28" t="inlineStr">
        <is>
          <t>가방</t>
        </is>
      </c>
      <c r="C415" s="28" t="inlineStr">
        <is>
          <t>DX3000</t>
        </is>
      </c>
      <c r="D415" s="29" t="inlineStr">
        <is>
          <t>가방(로고 없는것)+내부 FOAM(계란판)
[DX3000]</t>
        </is>
      </c>
      <c r="E415" s="28" t="inlineStr">
        <is>
          <t>굿모닝코리아유통</t>
        </is>
      </c>
      <c r="F415" s="30" t="n"/>
      <c r="G415" s="29">
        <f>IFERROR("["&amp;INDEX(고압진공_재고현황!$A:$A,MATCH($D415,고압진공_재고현황!$E:$E,0))&amp;"] "&amp;INDEX(고압진공_재고현황!$D:$D,MATCH($D415,고압진공_재고현황!$E:$E,0)),IFERROR("[조립] "&amp;INDEX(조립자재_재고현황!$D:$D,MATCH($D415,조립자재_재고현황!$E:$E,0)),""))</f>
        <v/>
      </c>
      <c r="H415" s="31">
        <f>IF(G415="","",COUNTIF($G$2:G415,"?*"))</f>
        <v/>
      </c>
    </row>
    <row r="416" ht="48" customHeight="1">
      <c r="A416" s="48" t="inlineStr">
        <is>
          <t>창고</t>
        </is>
      </c>
      <c r="B416" s="28" t="inlineStr">
        <is>
          <t>가방</t>
        </is>
      </c>
      <c r="C416" s="28" t="inlineStr">
        <is>
          <t>DX3000</t>
        </is>
      </c>
      <c r="D416" s="29" t="inlineStr">
        <is>
          <t>가방(로고 없는것)+내장재 X
[DX3000]</t>
        </is>
      </c>
      <c r="E416" s="28" t="inlineStr">
        <is>
          <t>굿모닝코리아유통</t>
        </is>
      </c>
      <c r="F416" s="30" t="n"/>
      <c r="G416" s="29">
        <f>IFERROR("["&amp;INDEX(고압진공_재고현황!$A:$A,MATCH($D416,고압진공_재고현황!$E:$E,0))&amp;"] "&amp;INDEX(고압진공_재고현황!$D:$D,MATCH($D416,고압진공_재고현황!$E:$E,0)),IFERROR("[조립] "&amp;INDEX(조립자재_재고현황!$D:$D,MATCH($D416,조립자재_재고현황!$E:$E,0)),""))</f>
        <v/>
      </c>
      <c r="H416" s="31">
        <f>IF(G416="","",COUNTIF($G$2:G416,"?*"))</f>
        <v/>
      </c>
    </row>
    <row r="417" ht="48" customHeight="1">
      <c r="A417" s="48" t="inlineStr">
        <is>
          <t>창고</t>
        </is>
      </c>
      <c r="B417" s="28" t="inlineStr">
        <is>
          <t>가방</t>
        </is>
      </c>
      <c r="C417" s="28" t="inlineStr">
        <is>
          <t>COCOON</t>
        </is>
      </c>
      <c r="D417" s="29" t="inlineStr">
        <is>
          <t>가방+내부FOAM(계란판)_공용
[COCOON]</t>
        </is>
      </c>
      <c r="E417" s="28" t="inlineStr">
        <is>
          <t>굿모닝코리아유통</t>
        </is>
      </c>
      <c r="F417" s="30" t="n"/>
      <c r="G417" s="29">
        <f>IFERROR("["&amp;INDEX(고압진공_재고현황!$A:$A,MATCH($D417,고압진공_재고현황!$E:$E,0))&amp;"] "&amp;INDEX(고압진공_재고현황!$D:$D,MATCH($D417,고압진공_재고현황!$E:$E,0)),IFERROR("[조립] "&amp;INDEX(조립자재_재고현황!$D:$D,MATCH($D417,조립자재_재고현황!$E:$E,0)),""))</f>
        <v/>
      </c>
      <c r="H417" s="31">
        <f>IF(G417="","",COUNTIF($G$2:G417,"?*"))</f>
        <v/>
      </c>
    </row>
    <row r="418" ht="48" customHeight="1">
      <c r="A418" s="48" t="inlineStr">
        <is>
          <t>창고</t>
        </is>
      </c>
      <c r="B418" s="28" t="inlineStr">
        <is>
          <t>가방</t>
        </is>
      </c>
      <c r="C418" s="28" t="inlineStr">
        <is>
          <t>COCOON</t>
        </is>
      </c>
      <c r="D418" s="29" t="inlineStr">
        <is>
          <t>가방(로고 없는것)+내부 FOAM(계란판)
[COCOON]</t>
        </is>
      </c>
      <c r="E418" s="28" t="inlineStr">
        <is>
          <t>굿모닝코리아유통</t>
        </is>
      </c>
      <c r="F418" s="30" t="n"/>
      <c r="G418" s="29">
        <f>IFERROR("["&amp;INDEX(고압진공_재고현황!$A:$A,MATCH($D418,고압진공_재고현황!$E:$E,0))&amp;"] "&amp;INDEX(고압진공_재고현황!$D:$D,MATCH($D418,고압진공_재고현황!$E:$E,0)),IFERROR("[조립] "&amp;INDEX(조립자재_재고현황!$D:$D,MATCH($D418,조립자재_재고현황!$E:$E,0)),""))</f>
        <v/>
      </c>
      <c r="H418" s="31">
        <f>IF(G418="","",COUNTIF($G$2:G418,"?*"))</f>
        <v/>
      </c>
    </row>
    <row r="419" ht="48" customHeight="1">
      <c r="A419" s="48" t="inlineStr">
        <is>
          <t>창고</t>
        </is>
      </c>
      <c r="B419" s="28" t="inlineStr">
        <is>
          <t>가방</t>
        </is>
      </c>
      <c r="C419" s="28" t="inlineStr">
        <is>
          <t>COCOON</t>
        </is>
      </c>
      <c r="D419" s="29" t="inlineStr">
        <is>
          <t>가방(로고 없는것)+내장재 X
[COCOON]</t>
        </is>
      </c>
      <c r="E419" s="28" t="inlineStr">
        <is>
          <t>굿모닝코리아유통</t>
        </is>
      </c>
      <c r="F419" s="30" t="n"/>
      <c r="G419" s="29">
        <f>IFERROR("["&amp;INDEX(고압진공_재고현황!$A:$A,MATCH($D419,고압진공_재고현황!$E:$E,0))&amp;"] "&amp;INDEX(고압진공_재고현황!$D:$D,MATCH($D419,고압진공_재고현황!$E:$E,0)),IFERROR("[조립] "&amp;INDEX(조립자재_재고현황!$D:$D,MATCH($D419,조립자재_재고현황!$E:$E,0)),""))</f>
        <v/>
      </c>
      <c r="H419" s="31">
        <f>IF(G419="","",COUNTIF($G$2:G419,"?*"))</f>
        <v/>
      </c>
    </row>
    <row r="420" ht="48" customHeight="1">
      <c r="A420" s="48" t="inlineStr">
        <is>
          <t>창고</t>
        </is>
      </c>
      <c r="B420" s="28" t="inlineStr">
        <is>
          <t>가방</t>
        </is>
      </c>
      <c r="C420" s="28" t="inlineStr">
        <is>
          <t>ADX6000</t>
        </is>
      </c>
      <c r="D420" s="29" t="inlineStr">
        <is>
          <t>가방+내부FOAM(계란판)_공용
[ADX6000]</t>
        </is>
      </c>
      <c r="E420" s="28" t="inlineStr">
        <is>
          <t>굿모닝코리아유통</t>
        </is>
      </c>
      <c r="F420" s="30" t="n"/>
      <c r="G420" s="29">
        <f>IFERROR("["&amp;INDEX(고압진공_재고현황!$A:$A,MATCH($D420,고압진공_재고현황!$E:$E,0))&amp;"] "&amp;INDEX(고압진공_재고현황!$D:$D,MATCH($D420,고압진공_재고현황!$E:$E,0)),IFERROR("[조립] "&amp;INDEX(조립자재_재고현황!$D:$D,MATCH($D420,조립자재_재고현황!$E:$E,0)),""))</f>
        <v/>
      </c>
      <c r="H420" s="31">
        <f>IF(G420="","",COUNTIF($G$2:G420,"?*"))</f>
        <v/>
      </c>
    </row>
    <row r="421" ht="48" customHeight="1">
      <c r="A421" s="48" t="inlineStr">
        <is>
          <t>창고</t>
        </is>
      </c>
      <c r="B421" s="28" t="inlineStr">
        <is>
          <t>가방</t>
        </is>
      </c>
      <c r="C421" s="28" t="inlineStr">
        <is>
          <t>ADX6000</t>
        </is>
      </c>
      <c r="D421" s="29" t="inlineStr">
        <is>
          <t>가방 (뱅가드)
[ADX6000]</t>
        </is>
      </c>
      <c r="E421" s="28" t="inlineStr">
        <is>
          <t>수프림</t>
        </is>
      </c>
      <c r="F421" s="30" t="n"/>
      <c r="G421" s="29">
        <f>IFERROR("["&amp;INDEX(고압진공_재고현황!$A:$A,MATCH($D421,고압진공_재고현황!$E:$E,0))&amp;"] "&amp;INDEX(고압진공_재고현황!$D:$D,MATCH($D421,고압진공_재고현황!$E:$E,0)),IFERROR("[조립] "&amp;INDEX(조립자재_재고현황!$D:$D,MATCH($D421,조립자재_재고현황!$E:$E,0)),""))</f>
        <v/>
      </c>
      <c r="H421" s="31">
        <f>IF(G421="","",COUNTIF($G$2:G421,"?*"))</f>
        <v/>
      </c>
    </row>
    <row r="422" ht="48" customHeight="1">
      <c r="A422" s="48" t="inlineStr">
        <is>
          <t>창고</t>
        </is>
      </c>
      <c r="B422" s="28" t="inlineStr">
        <is>
          <t>가방</t>
        </is>
      </c>
      <c r="C422" s="28" t="inlineStr">
        <is>
          <t>ADX6000</t>
        </is>
      </c>
      <c r="D422" s="29" t="inlineStr">
        <is>
          <t>FDXD-810 센서 가방 (뱅가드)
[ADX6000]</t>
        </is>
      </c>
      <c r="E422" s="28" t="inlineStr">
        <is>
          <t>굿모닝코리아유통</t>
        </is>
      </c>
      <c r="F422" s="30" t="n"/>
      <c r="G422" s="29">
        <f>IFERROR("["&amp;INDEX(고압진공_재고현황!$A:$A,MATCH($D422,고압진공_재고현황!$E:$E,0))&amp;"] "&amp;INDEX(고압진공_재고현황!$D:$D,MATCH($D422,고압진공_재고현황!$E:$E,0)),IFERROR("[조립] "&amp;INDEX(조립자재_재고현황!$D:$D,MATCH($D422,조립자재_재고현황!$E:$E,0)),""))</f>
        <v/>
      </c>
      <c r="H422" s="31">
        <f>IF(G422="","",COUNTIF($G$2:G422,"?*"))</f>
        <v/>
      </c>
    </row>
    <row r="423" ht="48" customHeight="1">
      <c r="A423" s="48" t="inlineStr">
        <is>
          <t>창고</t>
        </is>
      </c>
      <c r="B423" s="28" t="inlineStr">
        <is>
          <t>PU FOAM</t>
        </is>
      </c>
      <c r="C423" s="28" t="inlineStr">
        <is>
          <t>DX3000, ADX4000W</t>
        </is>
      </c>
      <c r="D423" s="29" t="inlineStr">
        <is>
          <t>계란판
[DX3000, ADX4000W]</t>
        </is>
      </c>
      <c r="E423" s="28" t="inlineStr">
        <is>
          <t>굿모닝코리아유통</t>
        </is>
      </c>
      <c r="F423" s="30" t="n"/>
      <c r="G423" s="29">
        <f>IFERROR("["&amp;INDEX(고압진공_재고현황!$A:$A,MATCH($D423,고압진공_재고현황!$E:$E,0))&amp;"] "&amp;INDEX(고압진공_재고현황!$D:$D,MATCH($D423,고압진공_재고현황!$E:$E,0)),IFERROR("[조립] "&amp;INDEX(조립자재_재고현황!$D:$D,MATCH($D423,조립자재_재고현황!$E:$E,0)),""))</f>
        <v/>
      </c>
      <c r="H423" s="31">
        <f>IF(G423="","",COUNTIF($G$2:G423,"?*"))</f>
        <v/>
      </c>
    </row>
    <row r="424" ht="48" customHeight="1">
      <c r="A424" s="48" t="inlineStr">
        <is>
          <t>창고</t>
        </is>
      </c>
      <c r="B424" s="28" t="inlineStr">
        <is>
          <t>PU FOAM</t>
        </is>
      </c>
      <c r="C424" s="28" t="inlineStr">
        <is>
          <t>COCOON, ADX6000</t>
        </is>
      </c>
      <c r="D424" s="29" t="inlineStr">
        <is>
          <t>계란판
[COCOON, ADX6000]</t>
        </is>
      </c>
      <c r="E424" s="28" t="inlineStr">
        <is>
          <t>굿모닝코리아유통</t>
        </is>
      </c>
      <c r="F424" s="30" t="n"/>
      <c r="G424" s="29">
        <f>IFERROR("["&amp;INDEX(고압진공_재고현황!$A:$A,MATCH($D424,고압진공_재고현황!$E:$E,0))&amp;"] "&amp;INDEX(고압진공_재고현황!$D:$D,MATCH($D424,고압진공_재고현황!$E:$E,0)),IFERROR("[조립] "&amp;INDEX(조립자재_재고현황!$D:$D,MATCH($D424,조립자재_재고현황!$E:$E,0)),""))</f>
        <v/>
      </c>
      <c r="H424" s="31">
        <f>IF(G424="","",COUNTIF($G$2:G424,"?*"))</f>
        <v/>
      </c>
    </row>
    <row r="425" ht="48" customHeight="1">
      <c r="A425" s="48" t="inlineStr">
        <is>
          <t>창고</t>
        </is>
      </c>
      <c r="B425" s="28" t="inlineStr">
        <is>
          <t>PU FOAM</t>
        </is>
      </c>
      <c r="C425" s="28" t="inlineStr">
        <is>
          <t>DX3000</t>
        </is>
      </c>
      <c r="D425" s="29" t="inlineStr">
        <is>
          <t>가방 내부 폼 (15cm cone)
[DX3000]</t>
        </is>
      </c>
      <c r="E425" s="28" t="inlineStr">
        <is>
          <t>굿모닝코리아유통</t>
        </is>
      </c>
      <c r="F425" s="30" t="n"/>
      <c r="G425" s="29">
        <f>IFERROR("["&amp;INDEX(고압진공_재고현황!$A:$A,MATCH($D425,고압진공_재고현황!$E:$E,0))&amp;"] "&amp;INDEX(고압진공_재고현황!$D:$D,MATCH($D425,고압진공_재고현황!$E:$E,0)),IFERROR("[조립] "&amp;INDEX(조립자재_재고현황!$D:$D,MATCH($D425,조립자재_재고현황!$E:$E,0)),""))</f>
        <v/>
      </c>
      <c r="H425" s="31">
        <f>IF(G425="","",COUNTIF($G$2:G425,"?*"))</f>
        <v/>
      </c>
    </row>
    <row r="426" ht="48" customHeight="1">
      <c r="A426" s="48" t="inlineStr">
        <is>
          <t>창고</t>
        </is>
      </c>
      <c r="B426" s="28" t="inlineStr">
        <is>
          <t>PU FOAM</t>
        </is>
      </c>
      <c r="C426" s="28" t="inlineStr">
        <is>
          <t>DX3000</t>
        </is>
      </c>
      <c r="D426" s="29" t="inlineStr">
        <is>
          <t>가방 내부 폼 (20cm cone용, 20 * 80)
[DX3000]</t>
        </is>
      </c>
      <c r="E426" s="28" t="inlineStr">
        <is>
          <t>굿모닝코리아유통</t>
        </is>
      </c>
      <c r="F426" s="30" t="n"/>
      <c r="G426" s="29">
        <f>IFERROR("["&amp;INDEX(고압진공_재고현황!$A:$A,MATCH($D426,고압진공_재고현황!$E:$E,0))&amp;"] "&amp;INDEX(고압진공_재고현황!$D:$D,MATCH($D426,고압진공_재고현황!$E:$E,0)),IFERROR("[조립] "&amp;INDEX(조립자재_재고현황!$D:$D,MATCH($D426,조립자재_재고현황!$E:$E,0)),""))</f>
        <v/>
      </c>
      <c r="H426" s="31">
        <f>IF(G426="","",COUNTIF($G$2:G426,"?*"))</f>
        <v/>
      </c>
    </row>
    <row r="427" ht="48" customHeight="1">
      <c r="A427" s="48" t="inlineStr">
        <is>
          <t>창고</t>
        </is>
      </c>
      <c r="B427" s="28" t="inlineStr">
        <is>
          <t>PU FOAM</t>
        </is>
      </c>
      <c r="C427" s="28" t="inlineStr">
        <is>
          <t>ADX4000W</t>
        </is>
      </c>
      <c r="D427" s="29" t="inlineStr">
        <is>
          <t>가방 내부 폼 (15cm cone)
[ADX4000W]</t>
        </is>
      </c>
      <c r="E427" s="28" t="inlineStr">
        <is>
          <t>굿모닝코리아유통</t>
        </is>
      </c>
      <c r="F427" s="30" t="n"/>
      <c r="G427" s="29">
        <f>IFERROR("["&amp;INDEX(고압진공_재고현황!$A:$A,MATCH($D427,고압진공_재고현황!$E:$E,0))&amp;"] "&amp;INDEX(고압진공_재고현황!$D:$D,MATCH($D427,고압진공_재고현황!$E:$E,0)),IFERROR("[조립] "&amp;INDEX(조립자재_재고현황!$D:$D,MATCH($D427,조립자재_재고현황!$E:$E,0)),""))</f>
        <v/>
      </c>
      <c r="H427" s="31">
        <f>IF(G427="","",COUNTIF($G$2:G427,"?*"))</f>
        <v/>
      </c>
    </row>
    <row r="428" ht="48" customHeight="1">
      <c r="A428" s="48" t="inlineStr">
        <is>
          <t>창고</t>
        </is>
      </c>
      <c r="B428" s="28" t="inlineStr">
        <is>
          <t>PU FOAM</t>
        </is>
      </c>
      <c r="C428" s="28" t="inlineStr">
        <is>
          <t>ADX4000W</t>
        </is>
      </c>
      <c r="D428" s="29" t="inlineStr">
        <is>
          <t>가방 내부 폼 (20cm cone용, 40 * 60)
[ADX4000W]</t>
        </is>
      </c>
      <c r="E428" s="28" t="inlineStr">
        <is>
          <t>굿모닝코리아유통</t>
        </is>
      </c>
      <c r="F428" s="30" t="n"/>
      <c r="G428" s="29">
        <f>IFERROR("["&amp;INDEX(고압진공_재고현황!$A:$A,MATCH($D428,고압진공_재고현황!$E:$E,0))&amp;"] "&amp;INDEX(고압진공_재고현황!$D:$D,MATCH($D428,고압진공_재고현황!$E:$E,0)),IFERROR("[조립] "&amp;INDEX(조립자재_재고현황!$D:$D,MATCH($D428,조립자재_재고현황!$E:$E,0)),""))</f>
        <v/>
      </c>
      <c r="H428" s="31">
        <f>IF(G428="","",COUNTIF($G$2:G428,"?*"))</f>
        <v/>
      </c>
    </row>
    <row r="429" ht="48" customHeight="1">
      <c r="A429" s="48" t="inlineStr">
        <is>
          <t>창고</t>
        </is>
      </c>
      <c r="B429" s="28" t="inlineStr">
        <is>
          <t>PU FOAM</t>
        </is>
      </c>
      <c r="C429" s="28" t="inlineStr">
        <is>
          <t>COCOON</t>
        </is>
      </c>
      <c r="D429" s="29" t="inlineStr">
        <is>
          <t>가방 내부 폼 상판 (18cm)
[COCOON]</t>
        </is>
      </c>
      <c r="E429" s="28" t="inlineStr">
        <is>
          <t>굿모닝코리아유통</t>
        </is>
      </c>
      <c r="F429" s="30" t="n"/>
      <c r="G429" s="29">
        <f>IFERROR("["&amp;INDEX(고압진공_재고현황!$A:$A,MATCH($D429,고압진공_재고현황!$E:$E,0))&amp;"] "&amp;INDEX(고압진공_재고현황!$D:$D,MATCH($D429,고압진공_재고현황!$E:$E,0)),IFERROR("[조립] "&amp;INDEX(조립자재_재고현황!$D:$D,MATCH($D429,조립자재_재고현황!$E:$E,0)),""))</f>
        <v/>
      </c>
      <c r="H429" s="31">
        <f>IF(G429="","",COUNTIF($G$2:G429,"?*"))</f>
        <v/>
      </c>
    </row>
    <row r="430" ht="48" customHeight="1">
      <c r="A430" s="48" t="inlineStr">
        <is>
          <t>창고</t>
        </is>
      </c>
      <c r="B430" s="28" t="inlineStr">
        <is>
          <t>PU FOAM</t>
        </is>
      </c>
      <c r="C430" s="28" t="inlineStr">
        <is>
          <t>COCOON</t>
        </is>
      </c>
      <c r="D430" s="29" t="inlineStr">
        <is>
          <t>가방 내부 폼 하판 (18cm)
[COCOON]</t>
        </is>
      </c>
      <c r="E430" s="28" t="inlineStr">
        <is>
          <t>굿모닝코리아유통</t>
        </is>
      </c>
      <c r="F430" s="30" t="n"/>
      <c r="G430" s="29">
        <f>IFERROR("["&amp;INDEX(고압진공_재고현황!$A:$A,MATCH($D430,고압진공_재고현황!$E:$E,0))&amp;"] "&amp;INDEX(고압진공_재고현황!$D:$D,MATCH($D430,고압진공_재고현황!$E:$E,0)),IFERROR("[조립] "&amp;INDEX(조립자재_재고현황!$D:$D,MATCH($D430,조립자재_재고현황!$E:$E,0)),""))</f>
        <v/>
      </c>
      <c r="H430" s="31">
        <f>IF(G430="","",COUNTIF($G$2:G430,"?*"))</f>
        <v/>
      </c>
    </row>
    <row r="431" ht="48" customHeight="1">
      <c r="A431" s="48" t="inlineStr">
        <is>
          <t>창고</t>
        </is>
      </c>
      <c r="B431" s="28" t="inlineStr">
        <is>
          <t>PU FOAM</t>
        </is>
      </c>
      <c r="C431" s="28" t="inlineStr">
        <is>
          <t>COCOON</t>
        </is>
      </c>
      <c r="D431" s="29" t="inlineStr">
        <is>
          <t>가방 내부 폼 상판 (20cm)
[COCOON]</t>
        </is>
      </c>
      <c r="E431" s="28" t="inlineStr">
        <is>
          <t>굿모닝코리아유통</t>
        </is>
      </c>
      <c r="F431" s="30" t="n"/>
      <c r="G431" s="29">
        <f>IFERROR("["&amp;INDEX(고압진공_재고현황!$A:$A,MATCH($D431,고압진공_재고현황!$E:$E,0))&amp;"] "&amp;INDEX(고압진공_재고현황!$D:$D,MATCH($D431,고압진공_재고현황!$E:$E,0)),IFERROR("[조립] "&amp;INDEX(조립자재_재고현황!$D:$D,MATCH($D431,조립자재_재고현황!$E:$E,0)),""))</f>
        <v/>
      </c>
      <c r="H431" s="31">
        <f>IF(G431="","",COUNTIF($G$2:G431,"?*"))</f>
        <v/>
      </c>
    </row>
    <row r="432" ht="48" customHeight="1">
      <c r="A432" s="48" t="inlineStr">
        <is>
          <t>창고</t>
        </is>
      </c>
      <c r="B432" s="28" t="inlineStr">
        <is>
          <t>PU FOAM</t>
        </is>
      </c>
      <c r="C432" s="28" t="inlineStr">
        <is>
          <t>COCOON</t>
        </is>
      </c>
      <c r="D432" s="29" t="inlineStr">
        <is>
          <t>가방 내부 폼 하판 (20cm)
[COCOON]</t>
        </is>
      </c>
      <c r="E432" s="28" t="inlineStr">
        <is>
          <t>굿모닝코리아유통</t>
        </is>
      </c>
      <c r="F432" s="30" t="n"/>
      <c r="G432" s="29">
        <f>IFERROR("["&amp;INDEX(고압진공_재고현황!$A:$A,MATCH($D432,고압진공_재고현황!$E:$E,0))&amp;"] "&amp;INDEX(고압진공_재고현황!$D:$D,MATCH($D432,고압진공_재고현황!$E:$E,0)),IFERROR("[조립] "&amp;INDEX(조립자재_재고현황!$D:$D,MATCH($D432,조립자재_재고현황!$E:$E,0)),""))</f>
        <v/>
      </c>
      <c r="H432" s="31">
        <f>IF(G432="","",COUNTIF($G$2:G432,"?*"))</f>
        <v/>
      </c>
    </row>
    <row r="433" ht="48" customHeight="1">
      <c r="A433" s="48" t="inlineStr">
        <is>
          <t>창고</t>
        </is>
      </c>
      <c r="B433" s="28" t="inlineStr">
        <is>
          <t>PU FOAM</t>
        </is>
      </c>
      <c r="C433" s="28" t="inlineStr">
        <is>
          <t>ADX6000FB</t>
        </is>
      </c>
      <c r="D433" s="29" t="inlineStr">
        <is>
          <t>가방 내부 폼 상판 (신형)
[ADX6000FB]</t>
        </is>
      </c>
      <c r="E433" s="28" t="inlineStr">
        <is>
          <t>굿모닝코리아유통</t>
        </is>
      </c>
      <c r="F433" s="30" t="n"/>
      <c r="G433" s="29">
        <f>IFERROR("["&amp;INDEX(고압진공_재고현황!$A:$A,MATCH($D433,고압진공_재고현황!$E:$E,0))&amp;"] "&amp;INDEX(고압진공_재고현황!$D:$D,MATCH($D433,고압진공_재고현황!$E:$E,0)),IFERROR("[조립] "&amp;INDEX(조립자재_재고현황!$D:$D,MATCH($D433,조립자재_재고현황!$E:$E,0)),""))</f>
        <v/>
      </c>
      <c r="H433" s="31">
        <f>IF(G433="","",COUNTIF($G$2:G433,"?*"))</f>
        <v/>
      </c>
    </row>
    <row r="434" ht="48" customHeight="1">
      <c r="A434" s="48" t="inlineStr">
        <is>
          <t>창고</t>
        </is>
      </c>
      <c r="B434" s="28" t="inlineStr">
        <is>
          <t>PU FOAM</t>
        </is>
      </c>
      <c r="C434" s="28" t="inlineStr">
        <is>
          <t>ADX6000FB</t>
        </is>
      </c>
      <c r="D434" s="29" t="inlineStr">
        <is>
          <t>가방 내부 폼 중간판 (신형)
[ADX6000FB]</t>
        </is>
      </c>
      <c r="E434" s="28" t="inlineStr">
        <is>
          <t>굿모닝코리아유통</t>
        </is>
      </c>
      <c r="F434" s="30" t="n"/>
      <c r="G434" s="29">
        <f>IFERROR("["&amp;INDEX(고압진공_재고현황!$A:$A,MATCH($D434,고압진공_재고현황!$E:$E,0))&amp;"] "&amp;INDEX(고압진공_재고현황!$D:$D,MATCH($D434,고압진공_재고현황!$E:$E,0)),IFERROR("[조립] "&amp;INDEX(조립자재_재고현황!$D:$D,MATCH($D434,조립자재_재고현황!$E:$E,0)),""))</f>
        <v/>
      </c>
      <c r="H434" s="31">
        <f>IF(G434="","",COUNTIF($G$2:G434,"?*"))</f>
        <v/>
      </c>
    </row>
    <row r="435" ht="48" customHeight="1">
      <c r="A435" s="48" t="inlineStr">
        <is>
          <t>창고</t>
        </is>
      </c>
      <c r="B435" s="28" t="inlineStr">
        <is>
          <t>PU FOAM</t>
        </is>
      </c>
      <c r="C435" s="28" t="inlineStr">
        <is>
          <t>ADX6000FB</t>
        </is>
      </c>
      <c r="D435" s="29" t="inlineStr">
        <is>
          <t>가방 내부 폼 하판 (신형)
[ADX6000FB]</t>
        </is>
      </c>
      <c r="E435" s="28" t="inlineStr">
        <is>
          <t>굿모닝코리아유통</t>
        </is>
      </c>
      <c r="F435" s="30" t="n"/>
      <c r="G435" s="29">
        <f>IFERROR("["&amp;INDEX(고압진공_재고현황!$A:$A,MATCH($D435,고압진공_재고현황!$E:$E,0))&amp;"] "&amp;INDEX(고압진공_재고현황!$D:$D,MATCH($D435,고압진공_재고현황!$E:$E,0)),IFERROR("[조립] "&amp;INDEX(조립자재_재고현황!$D:$D,MATCH($D435,조립자재_재고현황!$E:$E,0)),""))</f>
        <v/>
      </c>
      <c r="H435" s="31">
        <f>IF(G435="","",COUNTIF($G$2:G435,"?*"))</f>
        <v/>
      </c>
    </row>
    <row r="436" ht="48" customHeight="1">
      <c r="A436" s="48" t="inlineStr">
        <is>
          <t>창고</t>
        </is>
      </c>
      <c r="B436" s="28" t="inlineStr">
        <is>
          <t>PU FOAM</t>
        </is>
      </c>
      <c r="C436" s="28" t="inlineStr">
        <is>
          <t>ADX6000</t>
        </is>
      </c>
      <c r="D436" s="29" t="inlineStr">
        <is>
          <t>가방 내장재 (47 * 36.5 * 2.5T)
[ADX6000]</t>
        </is>
      </c>
      <c r="E436" s="28" t="inlineStr">
        <is>
          <t>굿모닝코리아유통</t>
        </is>
      </c>
      <c r="F436" s="30" t="n"/>
      <c r="G436" s="29">
        <f>IFERROR("["&amp;INDEX(고압진공_재고현황!$A:$A,MATCH($D436,고압진공_재고현황!$E:$E,0))&amp;"] "&amp;INDEX(고압진공_재고현황!$D:$D,MATCH($D436,고압진공_재고현황!$E:$E,0)),IFERROR("[조립] "&amp;INDEX(조립자재_재고현황!$D:$D,MATCH($D436,조립자재_재고현황!$E:$E,0)),""))</f>
        <v/>
      </c>
      <c r="H436" s="31">
        <f>IF(G436="","",COUNTIF($G$2:G436,"?*"))</f>
        <v/>
      </c>
    </row>
    <row r="437" ht="48" customHeight="1">
      <c r="A437" s="48" t="inlineStr">
        <is>
          <t>창고</t>
        </is>
      </c>
      <c r="B437" s="28" t="inlineStr">
        <is>
          <t>PU FOAM</t>
        </is>
      </c>
      <c r="C437" s="28" t="inlineStr">
        <is>
          <t>ADX6000</t>
        </is>
      </c>
      <c r="D437" s="29" t="inlineStr">
        <is>
          <t>가방 내장재 (47 * 36.5 * 5.5T)
[ADX6000]</t>
        </is>
      </c>
      <c r="E437" s="28" t="inlineStr">
        <is>
          <t>굿모닝코리아유통</t>
        </is>
      </c>
      <c r="F437" s="30" t="n"/>
      <c r="G437" s="29">
        <f>IFERROR("["&amp;INDEX(고압진공_재고현황!$A:$A,MATCH($D437,고압진공_재고현황!$E:$E,0))&amp;"] "&amp;INDEX(고압진공_재고현황!$D:$D,MATCH($D437,고압진공_재고현황!$E:$E,0)),IFERROR("[조립] "&amp;INDEX(조립자재_재고현황!$D:$D,MATCH($D437,조립자재_재고현황!$E:$E,0)),""))</f>
        <v/>
      </c>
      <c r="H437" s="31">
        <f>IF(G437="","",COUNTIF($G$2:G437,"?*"))</f>
        <v/>
      </c>
    </row>
    <row r="438" ht="48" customHeight="1">
      <c r="A438" s="48" t="inlineStr">
        <is>
          <t>창고</t>
        </is>
      </c>
      <c r="B438" s="28" t="inlineStr">
        <is>
          <t>PU FOAM</t>
        </is>
      </c>
      <c r="C438" s="28" t="inlineStr">
        <is>
          <t>ADX6000</t>
        </is>
      </c>
      <c r="D438" s="29" t="inlineStr">
        <is>
          <t>가방 내장재 (47 * 36.5 * 7.5T)
[ADX6000]</t>
        </is>
      </c>
      <c r="E438" s="28" t="inlineStr">
        <is>
          <t>굿모닝코리아유통</t>
        </is>
      </c>
      <c r="F438" s="30" t="n"/>
      <c r="G438" s="29">
        <f>IFERROR("["&amp;INDEX(고압진공_재고현황!$A:$A,MATCH($D438,고압진공_재고현황!$E:$E,0))&amp;"] "&amp;INDEX(고압진공_재고현황!$D:$D,MATCH($D438,고압진공_재고현황!$E:$E,0)),IFERROR("[조립] "&amp;INDEX(조립자재_재고현황!$D:$D,MATCH($D438,조립자재_재고현황!$E:$E,0)),""))</f>
        <v/>
      </c>
      <c r="H438" s="31">
        <f>IF(G438="","",COUNTIF($G$2:G438,"?*"))</f>
        <v/>
      </c>
    </row>
    <row r="439" ht="48" customHeight="1">
      <c r="A439" s="48" t="inlineStr">
        <is>
          <t>창고</t>
        </is>
      </c>
      <c r="B439" s="28" t="inlineStr">
        <is>
          <t>PU FOAM</t>
        </is>
      </c>
      <c r="C439" s="28" t="inlineStr">
        <is>
          <t>공용</t>
        </is>
      </c>
      <c r="D439" s="29" t="inlineStr">
        <is>
          <t>센서 내장재 상단 (45 * 55.5 * 2T, 접착 O)
[공용]</t>
        </is>
      </c>
      <c r="E439" s="28" t="inlineStr">
        <is>
          <t>굿모닝코리아유통</t>
        </is>
      </c>
      <c r="F439" s="30" t="n"/>
      <c r="G439" s="29">
        <f>IFERROR("["&amp;INDEX(고압진공_재고현황!$A:$A,MATCH($D439,고압진공_재고현황!$E:$E,0))&amp;"] "&amp;INDEX(고압진공_재고현황!$D:$D,MATCH($D439,고압진공_재고현황!$E:$E,0)),IFERROR("[조립] "&amp;INDEX(조립자재_재고현황!$D:$D,MATCH($D439,조립자재_재고현황!$E:$E,0)),""))</f>
        <v/>
      </c>
      <c r="H439" s="31">
        <f>IF(G439="","",COUNTIF($G$2:G439,"?*"))</f>
        <v/>
      </c>
    </row>
    <row r="440" ht="48" customHeight="1">
      <c r="A440" s="48" t="inlineStr">
        <is>
          <t>창고</t>
        </is>
      </c>
      <c r="B440" s="28" t="inlineStr">
        <is>
          <t>PU FOAM</t>
        </is>
      </c>
      <c r="C440" s="28" t="inlineStr">
        <is>
          <t>공용</t>
        </is>
      </c>
      <c r="D440" s="29" t="inlineStr">
        <is>
          <t>센서 내장재 중간 (45 * 55.5 * 2T, 접착 X)
[공용]</t>
        </is>
      </c>
      <c r="E440" s="28" t="inlineStr">
        <is>
          <t>굿모닝코리아유통</t>
        </is>
      </c>
      <c r="F440" s="30" t="n"/>
      <c r="G440" s="29">
        <f>IFERROR("["&amp;INDEX(고압진공_재고현황!$A:$A,MATCH($D440,고압진공_재고현황!$E:$E,0))&amp;"] "&amp;INDEX(고압진공_재고현황!$D:$D,MATCH($D440,고압진공_재고현황!$E:$E,0)),IFERROR("[조립] "&amp;INDEX(조립자재_재고현황!$D:$D,MATCH($D440,조립자재_재고현황!$E:$E,0)),""))</f>
        <v/>
      </c>
      <c r="H440" s="31">
        <f>IF(G440="","",COUNTIF($G$2:G440,"?*"))</f>
        <v/>
      </c>
    </row>
    <row r="441" ht="48" customHeight="1">
      <c r="A441" s="48" t="inlineStr">
        <is>
          <t>창고</t>
        </is>
      </c>
      <c r="B441" s="28" t="inlineStr">
        <is>
          <t>PU FOAM</t>
        </is>
      </c>
      <c r="C441" s="28" t="inlineStr">
        <is>
          <t>공용</t>
        </is>
      </c>
      <c r="D441" s="29" t="inlineStr">
        <is>
          <t>센서 내장재 하단 (45 * 55.5 * 8T)
[공용]</t>
        </is>
      </c>
      <c r="E441" s="28" t="inlineStr">
        <is>
          <t>굿모닝코리아유통</t>
        </is>
      </c>
      <c r="F441" s="30" t="n"/>
      <c r="G441" s="29">
        <f>IFERROR("["&amp;INDEX(고압진공_재고현황!$A:$A,MATCH($D441,고압진공_재고현황!$E:$E,0))&amp;"] "&amp;INDEX(고압진공_재고현황!$D:$D,MATCH($D441,고압진공_재고현황!$E:$E,0)),IFERROR("[조립] "&amp;INDEX(조립자재_재고현황!$D:$D,MATCH($D441,조립자재_재고현황!$E:$E,0)),""))</f>
        <v/>
      </c>
      <c r="H441" s="31">
        <f>IF(G441="","",COUNTIF($G$2:G441,"?*"))</f>
        <v/>
      </c>
    </row>
    <row r="442" ht="48" customHeight="1">
      <c r="A442" s="48" t="inlineStr">
        <is>
          <t>창고</t>
        </is>
      </c>
      <c r="B442" s="28" t="inlineStr">
        <is>
          <t>PE FOAM</t>
        </is>
      </c>
      <c r="C442" s="28" t="inlineStr">
        <is>
          <t>공용</t>
        </is>
      </c>
      <c r="D442" s="29" t="inlineStr">
        <is>
          <t>체스트 &amp; 베드 스탠드 박스 내장재 상, 하판 (230 * 130 * 30T)
[공용]</t>
        </is>
      </c>
      <c r="E442" s="28" t="inlineStr">
        <is>
          <t>에이팩산업</t>
        </is>
      </c>
      <c r="F442" s="30" t="n"/>
      <c r="G442" s="29">
        <f>IFERROR("["&amp;INDEX(고압진공_재고현황!$A:$A,MATCH($D442,고압진공_재고현황!$E:$E,0))&amp;"] "&amp;INDEX(고압진공_재고현황!$D:$D,MATCH($D442,고압진공_재고현황!$E:$E,0)),IFERROR("[조립] "&amp;INDEX(조립자재_재고현황!$D:$D,MATCH($D442,조립자재_재고현황!$E:$E,0)),""))</f>
        <v/>
      </c>
      <c r="H442" s="31">
        <f>IF(G442="","",COUNTIF($G$2:G442,"?*"))</f>
        <v/>
      </c>
    </row>
    <row r="443" ht="48" customHeight="1">
      <c r="A443" s="48" t="inlineStr">
        <is>
          <t>창고</t>
        </is>
      </c>
      <c r="B443" s="28" t="inlineStr">
        <is>
          <t>PE FOAM</t>
        </is>
      </c>
      <c r="C443" s="28" t="inlineStr">
        <is>
          <t>공용</t>
        </is>
      </c>
      <c r="D443" s="29" t="inlineStr">
        <is>
          <t>체스트 &amp; 베드 스탠드 박스 내장재 좌, 우판 (130 * 980 * 30T)
[공용]</t>
        </is>
      </c>
      <c r="E443" s="28" t="inlineStr">
        <is>
          <t>에이팩산업</t>
        </is>
      </c>
      <c r="F443" s="30" t="n"/>
      <c r="G443" s="29">
        <f>IFERROR("["&amp;INDEX(고압진공_재고현황!$A:$A,MATCH($D443,고압진공_재고현황!$E:$E,0))&amp;"] "&amp;INDEX(고압진공_재고현황!$D:$D,MATCH($D443,고압진공_재고현황!$E:$E,0)),IFERROR("[조립] "&amp;INDEX(조립자재_재고현황!$D:$D,MATCH($D443,조립자재_재고현황!$E:$E,0)),""))</f>
        <v/>
      </c>
      <c r="H443" s="31">
        <f>IF(G443="","",COUNTIF($G$2:G443,"?*"))</f>
        <v/>
      </c>
    </row>
    <row r="444" ht="48" customHeight="1">
      <c r="A444" s="48" t="inlineStr">
        <is>
          <t>창고</t>
        </is>
      </c>
      <c r="B444" s="28" t="inlineStr">
        <is>
          <t>PE FOAM</t>
        </is>
      </c>
      <c r="C444" s="28" t="inlineStr">
        <is>
          <t>공용</t>
        </is>
      </c>
      <c r="D444" s="29" t="inlineStr">
        <is>
          <t>체스트 &amp; 베드 스탠드 박스 내장재 전, 후판 (230 * 920 * 30T)
[공용]</t>
        </is>
      </c>
      <c r="E444" s="28" t="inlineStr">
        <is>
          <t>에이팩산업</t>
        </is>
      </c>
      <c r="F444" s="30" t="n"/>
      <c r="G444" s="29">
        <f>IFERROR("["&amp;INDEX(고압진공_재고현황!$A:$A,MATCH($D444,고압진공_재고현황!$E:$E,0))&amp;"] "&amp;INDEX(고압진공_재고현황!$D:$D,MATCH($D444,고압진공_재고현황!$E:$E,0)),IFERROR("[조립] "&amp;INDEX(조립자재_재고현황!$D:$D,MATCH($D444,조립자재_재고현황!$E:$E,0)),""))</f>
        <v/>
      </c>
      <c r="H444" s="31">
        <f>IF(G444="","",COUNTIF($G$2:G444,"?*"))</f>
        <v/>
      </c>
    </row>
    <row r="445" ht="48" customHeight="1">
      <c r="A445" s="48" t="inlineStr">
        <is>
          <t>창고</t>
        </is>
      </c>
      <c r="B445" s="28" t="inlineStr">
        <is>
          <t>BOX</t>
        </is>
      </c>
      <c r="C445" s="28" t="inlineStr">
        <is>
          <t>DX3000, ADX4000W</t>
        </is>
      </c>
      <c r="D445" s="29" t="inlineStr">
        <is>
          <t>카톤 박스 (495 * 472 * 380)
[DX3000, ADX4000W]</t>
        </is>
      </c>
      <c r="E445" s="28" t="inlineStr">
        <is>
          <t>대성칼라</t>
        </is>
      </c>
      <c r="F445" s="30" t="n"/>
      <c r="G445" s="29">
        <f>IFERROR("["&amp;INDEX(고압진공_재고현황!$A:$A,MATCH($D445,고압진공_재고현황!$E:$E,0))&amp;"] "&amp;INDEX(고압진공_재고현황!$D:$D,MATCH($D445,고압진공_재고현황!$E:$E,0)),IFERROR("[조립] "&amp;INDEX(조립자재_재고현황!$D:$D,MATCH($D445,조립자재_재고현황!$E:$E,0)),""))</f>
        <v/>
      </c>
      <c r="H445" s="31">
        <f>IF(G445="","",COUNTIF($G$2:G445,"?*"))</f>
        <v/>
      </c>
    </row>
    <row r="446" ht="48" customHeight="1">
      <c r="A446" s="48" t="inlineStr">
        <is>
          <t>창고</t>
        </is>
      </c>
      <c r="B446" s="28" t="inlineStr">
        <is>
          <t>BOX</t>
        </is>
      </c>
      <c r="C446" s="28" t="inlineStr">
        <is>
          <t>DX3000, ADX4000W</t>
        </is>
      </c>
      <c r="D446" s="29" t="inlineStr">
        <is>
          <t>영문 박스 (450 * 240 * 360)
[DX3000, ADX4000W]</t>
        </is>
      </c>
      <c r="E446" s="28" t="inlineStr">
        <is>
          <t>대성칼라</t>
        </is>
      </c>
      <c r="F446" s="30" t="n"/>
      <c r="G446" s="29">
        <f>IFERROR("["&amp;INDEX(고압진공_재고현황!$A:$A,MATCH($D446,고압진공_재고현황!$E:$E,0))&amp;"] "&amp;INDEX(고압진공_재고현황!$D:$D,MATCH($D446,고압진공_재고현황!$E:$E,0)),IFERROR("[조립] "&amp;INDEX(조립자재_재고현황!$D:$D,MATCH($D446,조립자재_재고현황!$E:$E,0)),""))</f>
        <v/>
      </c>
      <c r="H446" s="31">
        <f>IF(G446="","",COUNTIF($G$2:G446,"?*"))</f>
        <v/>
      </c>
    </row>
    <row r="447" ht="48" customHeight="1">
      <c r="A447" s="48" t="inlineStr">
        <is>
          <t>창고</t>
        </is>
      </c>
      <c r="B447" s="28" t="inlineStr">
        <is>
          <t>BOX</t>
        </is>
      </c>
      <c r="C447" s="28" t="inlineStr">
        <is>
          <t>COCOON</t>
        </is>
      </c>
      <c r="D447" s="29" t="inlineStr">
        <is>
          <t>카톤 박스 (500 * 460 * 520)
[COCOON]</t>
        </is>
      </c>
      <c r="E447" s="28" t="inlineStr">
        <is>
          <t>대성칼라</t>
        </is>
      </c>
      <c r="F447" s="30" t="n"/>
      <c r="G447" s="29">
        <f>IFERROR("["&amp;INDEX(고압진공_재고현황!$A:$A,MATCH($D447,고압진공_재고현황!$E:$E,0))&amp;"] "&amp;INDEX(고압진공_재고현황!$D:$D,MATCH($D447,고압진공_재고현황!$E:$E,0)),IFERROR("[조립] "&amp;INDEX(조립자재_재고현황!$D:$D,MATCH($D447,조립자재_재고현황!$E:$E,0)),""))</f>
        <v/>
      </c>
      <c r="H447" s="31">
        <f>IF(G447="","",COUNTIF($G$2:G447,"?*"))</f>
        <v/>
      </c>
    </row>
    <row r="448" ht="48" customHeight="1">
      <c r="A448" s="48" t="inlineStr">
        <is>
          <t>창고</t>
        </is>
      </c>
      <c r="B448" s="28" t="inlineStr">
        <is>
          <t>BOX</t>
        </is>
      </c>
      <c r="C448" s="28" t="inlineStr">
        <is>
          <t>COCOON</t>
        </is>
      </c>
      <c r="D448" s="29" t="inlineStr">
        <is>
          <t>영문 박스 (450 * 240 * 490)
[COCOON]</t>
        </is>
      </c>
      <c r="E448" s="28" t="inlineStr">
        <is>
          <t>대성칼라</t>
        </is>
      </c>
      <c r="F448" s="30" t="n"/>
      <c r="G448" s="29">
        <f>IFERROR("["&amp;INDEX(고압진공_재고현황!$A:$A,MATCH($D448,고압진공_재고현황!$E:$E,0))&amp;"] "&amp;INDEX(고압진공_재고현황!$D:$D,MATCH($D448,고압진공_재고현황!$E:$E,0)),IFERROR("[조립] "&amp;INDEX(조립자재_재고현황!$D:$D,MATCH($D448,조립자재_재고현황!$E:$E,0)),""))</f>
        <v/>
      </c>
      <c r="H448" s="31">
        <f>IF(G448="","",COUNTIF($G$2:G448,"?*"))</f>
        <v/>
      </c>
    </row>
    <row r="449" ht="48" customHeight="1">
      <c r="A449" s="48" t="inlineStr">
        <is>
          <t>창고</t>
        </is>
      </c>
      <c r="B449" s="28" t="inlineStr">
        <is>
          <t>BOX</t>
        </is>
      </c>
      <c r="C449" s="28" t="inlineStr">
        <is>
          <t>SOLO</t>
        </is>
      </c>
      <c r="D449" s="29" t="inlineStr">
        <is>
          <t>제품박스(I/N BOX) (KLB.K.KLB (B) 410 * 390 *180)
[SOLO]</t>
        </is>
      </c>
      <c r="E449" s="28" t="inlineStr">
        <is>
          <t>지성수출포장</t>
        </is>
      </c>
      <c r="F449" s="30" t="n"/>
      <c r="G449" s="29">
        <f>IFERROR("["&amp;INDEX(고압진공_재고현황!$A:$A,MATCH($D449,고압진공_재고현황!$E:$E,0))&amp;"] "&amp;INDEX(고압진공_재고현황!$D:$D,MATCH($D449,고압진공_재고현황!$E:$E,0)),IFERROR("[조립] "&amp;INDEX(조립자재_재고현황!$D:$D,MATCH($D449,조립자재_재고현황!$E:$E,0)),""))</f>
        <v/>
      </c>
      <c r="H449" s="31">
        <f>IF(G449="","",COUNTIF($G$2:G449,"?*"))</f>
        <v/>
      </c>
    </row>
    <row r="450" ht="48" customHeight="1">
      <c r="A450" s="48" t="inlineStr">
        <is>
          <t>창고</t>
        </is>
      </c>
      <c r="B450" s="28" t="inlineStr">
        <is>
          <t>BOX</t>
        </is>
      </c>
      <c r="C450" s="28" t="inlineStr">
        <is>
          <t>SOLO</t>
        </is>
      </c>
      <c r="D450" s="29" t="inlineStr">
        <is>
          <t>카톤박스(C/T BOX) (KLB.4K (BA/W) 430 * 380 * 420)
[SOLO]</t>
        </is>
      </c>
      <c r="E450" s="28" t="inlineStr">
        <is>
          <t>지성수출포장</t>
        </is>
      </c>
      <c r="F450" s="30" t="n"/>
      <c r="G450" s="29">
        <f>IFERROR("["&amp;INDEX(고압진공_재고현황!$A:$A,MATCH($D450,고압진공_재고현황!$E:$E,0))&amp;"] "&amp;INDEX(고압진공_재고현황!$D:$D,MATCH($D450,고압진공_재고현황!$E:$E,0)),IFERROR("[조립] "&amp;INDEX(조립자재_재고현황!$D:$D,MATCH($D450,조립자재_재고현황!$E:$E,0)),""))</f>
        <v/>
      </c>
      <c r="H450" s="31">
        <f>IF(G450="","",COUNTIF($G$2:G450,"?*"))</f>
        <v/>
      </c>
    </row>
    <row r="451" ht="48" customHeight="1">
      <c r="A451" s="48" t="inlineStr">
        <is>
          <t>창고</t>
        </is>
      </c>
      <c r="B451" s="28" t="inlineStr">
        <is>
          <t>BOX</t>
        </is>
      </c>
      <c r="C451" s="28" t="inlineStr">
        <is>
          <t>ADX6000</t>
        </is>
      </c>
      <c r="D451" s="29" t="inlineStr">
        <is>
          <t>카톤 박스
[ADX6000]</t>
        </is>
      </c>
      <c r="E451" s="28" t="inlineStr">
        <is>
          <t>제이디자인</t>
        </is>
      </c>
      <c r="F451" s="30" t="n"/>
      <c r="G451" s="29">
        <f>IFERROR("["&amp;INDEX(고압진공_재고현황!$A:$A,MATCH($D451,고압진공_재고현황!$E:$E,0))&amp;"] "&amp;INDEX(고압진공_재고현황!$D:$D,MATCH($D451,고압진공_재고현황!$E:$E,0)),IFERROR("[조립] "&amp;INDEX(조립자재_재고현황!$D:$D,MATCH($D451,조립자재_재고현황!$E:$E,0)),""))</f>
        <v/>
      </c>
      <c r="H451" s="31">
        <f>IF(G451="","",COUNTIF($G$2:G451,"?*"))</f>
        <v/>
      </c>
    </row>
    <row r="452" ht="48" customHeight="1">
      <c r="A452" s="48" t="inlineStr">
        <is>
          <t>창고</t>
        </is>
      </c>
      <c r="B452" s="28" t="inlineStr">
        <is>
          <t>BOX</t>
        </is>
      </c>
      <c r="C452" s="28" t="inlineStr">
        <is>
          <t>ADX6000S</t>
        </is>
      </c>
      <c r="D452" s="29" t="inlineStr">
        <is>
          <t>카톤 박스
[ADX6000S]</t>
        </is>
      </c>
      <c r="E452" s="28" t="inlineStr">
        <is>
          <t>제이디자인</t>
        </is>
      </c>
      <c r="F452" s="30" t="n"/>
      <c r="G452" s="29">
        <f>IFERROR("["&amp;INDEX(고압진공_재고현황!$A:$A,MATCH($D452,고압진공_재고현황!$E:$E,0))&amp;"] "&amp;INDEX(고압진공_재고현황!$D:$D,MATCH($D452,고압진공_재고현황!$E:$E,0)),IFERROR("[조립] "&amp;INDEX(조립자재_재고현황!$D:$D,MATCH($D452,조립자재_재고현황!$E:$E,0)),""))</f>
        <v/>
      </c>
      <c r="H452" s="31">
        <f>IF(G452="","",COUNTIF($G$2:G452,"?*"))</f>
        <v/>
      </c>
    </row>
    <row r="453" ht="48" customHeight="1">
      <c r="A453" s="48" t="inlineStr">
        <is>
          <t>창고</t>
        </is>
      </c>
      <c r="B453" s="28" t="inlineStr">
        <is>
          <t>BOX</t>
        </is>
      </c>
      <c r="C453" s="28" t="inlineStr">
        <is>
          <t>ADX6000S</t>
        </is>
      </c>
      <c r="D453" s="29" t="inlineStr">
        <is>
          <t>제품 박스
[ADX6000S]</t>
        </is>
      </c>
      <c r="E453" s="28" t="inlineStr">
        <is>
          <t>제이디자인</t>
        </is>
      </c>
      <c r="F453" s="30" t="n"/>
      <c r="G453" s="29">
        <f>IFERROR("["&amp;INDEX(고압진공_재고현황!$A:$A,MATCH($D453,고압진공_재고현황!$E:$E,0))&amp;"] "&amp;INDEX(고압진공_재고현황!$D:$D,MATCH($D453,고압진공_재고현황!$E:$E,0)),IFERROR("[조립] "&amp;INDEX(조립자재_재고현황!$D:$D,MATCH($D453,조립자재_재고현황!$E:$E,0)),""))</f>
        <v/>
      </c>
      <c r="H453" s="31">
        <f>IF(G453="","",COUNTIF($G$2:G453,"?*"))</f>
        <v/>
      </c>
    </row>
    <row r="454" ht="48" customHeight="1">
      <c r="A454" s="48" t="inlineStr">
        <is>
          <t>창고</t>
        </is>
      </c>
      <c r="B454" s="28" t="inlineStr">
        <is>
          <t>BOX</t>
        </is>
      </c>
      <c r="C454" s="28" t="inlineStr">
        <is>
          <t>공용</t>
        </is>
      </c>
      <c r="D454" s="29" t="inlineStr">
        <is>
          <t>저가 제품 박스 (小)
[공용]</t>
        </is>
      </c>
      <c r="E454" s="28" t="inlineStr">
        <is>
          <t>제이디자인</t>
        </is>
      </c>
      <c r="F454" s="30" t="n"/>
      <c r="G454" s="29">
        <f>IFERROR("["&amp;INDEX(고압진공_재고현황!$A:$A,MATCH($D454,고압진공_재고현황!$E:$E,0))&amp;"] "&amp;INDEX(고압진공_재고현황!$D:$D,MATCH($D454,고압진공_재고현황!$E:$E,0)),IFERROR("[조립] "&amp;INDEX(조립자재_재고현황!$D:$D,MATCH($D454,조립자재_재고현황!$E:$E,0)),""))</f>
        <v/>
      </c>
      <c r="H454" s="31">
        <f>IF(G454="","",COUNTIF($G$2:G454,"?*"))</f>
        <v/>
      </c>
    </row>
    <row r="455" ht="48" customHeight="1">
      <c r="A455" s="48" t="inlineStr">
        <is>
          <t>창고</t>
        </is>
      </c>
      <c r="B455" s="28" t="inlineStr">
        <is>
          <t>BOX</t>
        </is>
      </c>
      <c r="C455" s="28" t="inlineStr">
        <is>
          <t>공용</t>
        </is>
      </c>
      <c r="D455" s="29" t="inlineStr">
        <is>
          <t>무지 박스 1개 (450 * 260 * 510(H)mm)
[공용]</t>
        </is>
      </c>
      <c r="E455" s="28" t="inlineStr">
        <is>
          <t>박스바다</t>
        </is>
      </c>
      <c r="F455" s="30" t="n"/>
      <c r="G455" s="29">
        <f>IFERROR("["&amp;INDEX(고압진공_재고현황!$A:$A,MATCH($D455,고압진공_재고현황!$E:$E,0))&amp;"] "&amp;INDEX(고압진공_재고현황!$D:$D,MATCH($D455,고압진공_재고현황!$E:$E,0)),IFERROR("[조립] "&amp;INDEX(조립자재_재고현황!$D:$D,MATCH($D455,조립자재_재고현황!$E:$E,0)),""))</f>
        <v/>
      </c>
      <c r="H455" s="31">
        <f>IF(G455="","",COUNTIF($G$2:G455,"?*"))</f>
        <v/>
      </c>
    </row>
    <row r="456" ht="48" customHeight="1">
      <c r="A456" s="48" t="inlineStr">
        <is>
          <t>창고</t>
        </is>
      </c>
      <c r="B456" s="28" t="inlineStr">
        <is>
          <t>BOX</t>
        </is>
      </c>
      <c r="C456" s="28" t="inlineStr">
        <is>
          <t>공용</t>
        </is>
      </c>
      <c r="D456" s="29" t="inlineStr">
        <is>
          <t>무지 박스 2개 (475 * 295 * 220(H)mm)
[공용]</t>
        </is>
      </c>
      <c r="E456" s="28" t="inlineStr">
        <is>
          <t>박스바다</t>
        </is>
      </c>
      <c r="F456" s="30" t="n"/>
      <c r="G456" s="29">
        <f>IFERROR("["&amp;INDEX(고압진공_재고현황!$A:$A,MATCH($D456,고압진공_재고현황!$E:$E,0))&amp;"] "&amp;INDEX(고압진공_재고현황!$D:$D,MATCH($D456,고압진공_재고현황!$E:$E,0)),IFERROR("[조립] "&amp;INDEX(조립자재_재고현황!$D:$D,MATCH($D456,조립자재_재고현황!$E:$E,0)),""))</f>
        <v/>
      </c>
      <c r="H456" s="31">
        <f>IF(G456="","",COUNTIF($G$2:G456,"?*"))</f>
        <v/>
      </c>
    </row>
    <row r="457" ht="48" customHeight="1">
      <c r="A457" s="48" t="inlineStr">
        <is>
          <t>창고</t>
        </is>
      </c>
      <c r="B457" s="28" t="inlineStr">
        <is>
          <t>BOX</t>
        </is>
      </c>
      <c r="C457" s="28" t="inlineStr">
        <is>
          <t>공용</t>
        </is>
      </c>
      <c r="D457" s="29" t="inlineStr">
        <is>
          <t>무지 박스 4개 (475 * 295 * 430(H)mm)
[공용]</t>
        </is>
      </c>
      <c r="E457" s="28" t="inlineStr">
        <is>
          <t>박스바다</t>
        </is>
      </c>
      <c r="F457" s="30" t="n"/>
      <c r="G457" s="29">
        <f>IFERROR("["&amp;INDEX(고압진공_재고현황!$A:$A,MATCH($D457,고압진공_재고현황!$E:$E,0))&amp;"] "&amp;INDEX(고압진공_재고현황!$D:$D,MATCH($D457,고압진공_재고현황!$E:$E,0)),IFERROR("[조립] "&amp;INDEX(조립자재_재고현황!$D:$D,MATCH($D457,조립자재_재고현황!$E:$E,0)),""))</f>
        <v/>
      </c>
      <c r="H457" s="31">
        <f>IF(G457="","",COUNTIF($G$2:G457,"?*"))</f>
        <v/>
      </c>
    </row>
    <row r="458" ht="48" customHeight="1">
      <c r="A458" s="48" t="inlineStr">
        <is>
          <t>창고</t>
        </is>
      </c>
      <c r="B458" s="28" t="inlineStr">
        <is>
          <t>BOX</t>
        </is>
      </c>
      <c r="C458" s="28" t="inlineStr">
        <is>
          <t>공용</t>
        </is>
      </c>
      <c r="D458" s="29" t="inlineStr">
        <is>
          <t>무지 박스 6개 (700 * 300 * 430(H)mm)
[공용]</t>
        </is>
      </c>
      <c r="E458" s="28" t="inlineStr">
        <is>
          <t>박스바다</t>
        </is>
      </c>
      <c r="F458" s="30" t="n"/>
      <c r="G458" s="29">
        <f>IFERROR("["&amp;INDEX(고압진공_재고현황!$A:$A,MATCH($D458,고압진공_재고현황!$E:$E,0))&amp;"] "&amp;INDEX(고압진공_재고현황!$D:$D,MATCH($D458,고압진공_재고현황!$E:$E,0)),IFERROR("[조립] "&amp;INDEX(조립자재_재고현황!$D:$D,MATCH($D458,조립자재_재고현황!$E:$E,0)),""))</f>
        <v/>
      </c>
      <c r="H458" s="31">
        <f>IF(G458="","",COUNTIF($G$2:G458,"?*"))</f>
        <v/>
      </c>
    </row>
    <row r="459" ht="48" customHeight="1">
      <c r="A459" s="48" t="inlineStr">
        <is>
          <t>창고</t>
        </is>
      </c>
      <c r="B459" s="28" t="inlineStr">
        <is>
          <t>BOX</t>
        </is>
      </c>
      <c r="C459" s="28" t="inlineStr">
        <is>
          <t>공용</t>
        </is>
      </c>
      <c r="D459" s="29" t="inlineStr">
        <is>
          <t>Rex 구강 카메라 박스
[공용]</t>
        </is>
      </c>
      <c r="E459" s="28" t="inlineStr">
        <is>
          <t>제이디자인</t>
        </is>
      </c>
      <c r="F459" s="30" t="n"/>
      <c r="G459" s="29">
        <f>IFERROR("["&amp;INDEX(고압진공_재고현황!$A:$A,MATCH($D459,고압진공_재고현황!$E:$E,0))&amp;"] "&amp;INDEX(고압진공_재고현황!$D:$D,MATCH($D459,고압진공_재고현황!$E:$E,0)),IFERROR("[조립] "&amp;INDEX(조립자재_재고현황!$D:$D,MATCH($D459,조립자재_재고현황!$E:$E,0)),""))</f>
        <v/>
      </c>
      <c r="H459" s="31">
        <f>IF(G459="","",COUNTIF($G$2:G459,"?*"))</f>
        <v/>
      </c>
    </row>
    <row r="460" ht="48" customHeight="1">
      <c r="A460" s="48" t="inlineStr">
        <is>
          <t>창고</t>
        </is>
      </c>
      <c r="B460" s="28" t="inlineStr">
        <is>
          <t>BOX</t>
        </is>
      </c>
      <c r="C460" s="28" t="inlineStr">
        <is>
          <t>공용</t>
        </is>
      </c>
      <c r="D460" s="29" t="inlineStr">
        <is>
          <t>Rex2 센서 박스
[공용]</t>
        </is>
      </c>
      <c r="E460" s="28" t="inlineStr">
        <is>
          <t>제이디자인</t>
        </is>
      </c>
      <c r="F460" s="30" t="n"/>
      <c r="G460" s="29">
        <f>IFERROR("["&amp;INDEX(고압진공_재고현황!$A:$A,MATCH($D460,고압진공_재고현황!$E:$E,0))&amp;"] "&amp;INDEX(고압진공_재고현황!$D:$D,MATCH($D460,고압진공_재고현황!$E:$E,0)),IFERROR("[조립] "&amp;INDEX(조립자재_재고현황!$D:$D,MATCH($D460,조립자재_재고현황!$E:$E,0)),""))</f>
        <v/>
      </c>
      <c r="H460" s="31">
        <f>IF(G460="","",COUNTIF($G$2:G460,"?*"))</f>
        <v/>
      </c>
    </row>
    <row r="461" ht="48" customHeight="1">
      <c r="A461" s="48" t="inlineStr">
        <is>
          <t>창고</t>
        </is>
      </c>
      <c r="B461" s="28" t="inlineStr">
        <is>
          <t>BOX</t>
        </is>
      </c>
      <c r="C461" s="28" t="inlineStr">
        <is>
          <t>공용</t>
        </is>
      </c>
      <c r="D461" s="29" t="inlineStr">
        <is>
          <t>ADX6000 센서 무지 박스
[공용]</t>
        </is>
      </c>
      <c r="E461" s="28" t="inlineStr">
        <is>
          <t>박스바다</t>
        </is>
      </c>
      <c r="F461" s="30" t="n"/>
      <c r="G461" s="29">
        <f>IFERROR("["&amp;INDEX(고압진공_재고현황!$A:$A,MATCH($D461,고압진공_재고현황!$E:$E,0))&amp;"] "&amp;INDEX(고압진공_재고현황!$D:$D,MATCH($D461,고압진공_재고현황!$E:$E,0)),IFERROR("[조립] "&amp;INDEX(조립자재_재고현황!$D:$D,MATCH($D461,조립자재_재고현황!$E:$E,0)),""))</f>
        <v/>
      </c>
      <c r="H461" s="31">
        <f>IF(G461="","",COUNTIF($G$2:G461,"?*"))</f>
        <v/>
      </c>
    </row>
    <row r="462" ht="48" customHeight="1">
      <c r="A462" s="48" t="inlineStr">
        <is>
          <t>창고</t>
        </is>
      </c>
      <c r="B462" s="28" t="inlineStr">
        <is>
          <t>BOX</t>
        </is>
      </c>
      <c r="C462" s="28" t="inlineStr">
        <is>
          <t>공용</t>
        </is>
      </c>
      <c r="D462" s="29" t="inlineStr">
        <is>
          <t>체스트 &amp; 베드 스탠드 박스 (1000 * 300 * 150)
[공용]</t>
        </is>
      </c>
      <c r="E462" s="28" t="inlineStr">
        <is>
          <t>지성수출포장</t>
        </is>
      </c>
      <c r="F462" s="30" t="n"/>
      <c r="G462" s="29">
        <f>IFERROR("["&amp;INDEX(고압진공_재고현황!$A:$A,MATCH($D462,고압진공_재고현황!$E:$E,0))&amp;"] "&amp;INDEX(고압진공_재고현황!$D:$D,MATCH($D462,고압진공_재고현황!$E:$E,0)),IFERROR("[조립] "&amp;INDEX(조립자재_재고현황!$D:$D,MATCH($D462,조립자재_재고현황!$E:$E,0)),""))</f>
        <v/>
      </c>
      <c r="H462" s="31">
        <f>IF(G462="","",COUNTIF($G$2:G462,"?*"))</f>
        <v/>
      </c>
    </row>
    <row r="463" ht="48" customHeight="1">
      <c r="A463" s="48" t="inlineStr">
        <is>
          <t>창고</t>
        </is>
      </c>
      <c r="B463" s="28" t="inlineStr">
        <is>
          <t>스티로폼</t>
        </is>
      </c>
      <c r="C463" s="28" t="inlineStr">
        <is>
          <t>ADX6000</t>
        </is>
      </c>
      <c r="D463" s="29" t="inlineStr">
        <is>
          <t>제품박스 상, 하 스티로폼 (60.5 * 27.5 * 3T)
[ADX6000]</t>
        </is>
      </c>
      <c r="E463" s="28" t="inlineStr">
        <is>
          <t>굿모닝코리아유통</t>
        </is>
      </c>
      <c r="F463" s="30" t="n"/>
      <c r="G463" s="29">
        <f>IFERROR("["&amp;INDEX(고압진공_재고현황!$A:$A,MATCH($D463,고압진공_재고현황!$E:$E,0))&amp;"] "&amp;INDEX(고압진공_재고현황!$D:$D,MATCH($D463,고압진공_재고현황!$E:$E,0)),IFERROR("[조립] "&amp;INDEX(조립자재_재고현황!$D:$D,MATCH($D463,조립자재_재고현황!$E:$E,0)),""))</f>
        <v/>
      </c>
      <c r="H463" s="31">
        <f>IF(G463="","",COUNTIF($G$2:G463,"?*"))</f>
        <v/>
      </c>
    </row>
    <row r="464" ht="48" customHeight="1">
      <c r="A464" s="48" t="inlineStr">
        <is>
          <t>창고</t>
        </is>
      </c>
      <c r="B464" s="28" t="inlineStr">
        <is>
          <t>스티로폼</t>
        </is>
      </c>
      <c r="C464" s="28" t="inlineStr">
        <is>
          <t>ADX6000</t>
        </is>
      </c>
      <c r="D464" s="29" t="inlineStr">
        <is>
          <t>제품박스 좁은 스티로폼 (42.5 * 27.5 * 3T)
[ADX6000]</t>
        </is>
      </c>
      <c r="E464" s="28" t="inlineStr">
        <is>
          <t>굿모닝코리아유통</t>
        </is>
      </c>
      <c r="F464" s="30" t="n"/>
      <c r="G464" s="29">
        <f>IFERROR("["&amp;INDEX(고압진공_재고현황!$A:$A,MATCH($D464,고압진공_재고현황!$E:$E,0))&amp;"] "&amp;INDEX(고압진공_재고현황!$D:$D,MATCH($D464,고압진공_재고현황!$E:$E,0)),IFERROR("[조립] "&amp;INDEX(조립자재_재고현황!$D:$D,MATCH($D464,조립자재_재고현황!$E:$E,0)),""))</f>
        <v/>
      </c>
      <c r="H464" s="31">
        <f>IF(G464="","",COUNTIF($G$2:G464,"?*"))</f>
        <v/>
      </c>
    </row>
    <row r="465" ht="48" customHeight="1">
      <c r="A465" s="48" t="inlineStr">
        <is>
          <t>창고</t>
        </is>
      </c>
      <c r="B465" s="28" t="inlineStr">
        <is>
          <t>스티로폼</t>
        </is>
      </c>
      <c r="C465" s="28" t="inlineStr">
        <is>
          <t>ADX6000</t>
        </is>
      </c>
      <c r="D465" s="29" t="inlineStr">
        <is>
          <t>제품박스 넒은 스티로폼 (42.5 * 55 * 3.5T)
[ADX6000]</t>
        </is>
      </c>
      <c r="E465" s="28" t="inlineStr">
        <is>
          <t>굿모닝코리아유통</t>
        </is>
      </c>
      <c r="F465" s="30" t="n"/>
      <c r="G465" s="29">
        <f>IFERROR("["&amp;INDEX(고압진공_재고현황!$A:$A,MATCH($D465,고압진공_재고현황!$E:$E,0))&amp;"] "&amp;INDEX(고압진공_재고현황!$D:$D,MATCH($D465,고압진공_재고현황!$E:$E,0)),IFERROR("[조립] "&amp;INDEX(조립자재_재고현황!$D:$D,MATCH($D465,조립자재_재고현황!$E:$E,0)),""))</f>
        <v/>
      </c>
      <c r="H465" s="31">
        <f>IF(G465="","",COUNTIF($G$2:G465,"?*"))</f>
        <v/>
      </c>
    </row>
    <row r="466" ht="48" customHeight="1">
      <c r="A466" s="48" t="inlineStr">
        <is>
          <t>창고</t>
        </is>
      </c>
      <c r="B466" s="28" t="inlineStr">
        <is>
          <t>스티로폼</t>
        </is>
      </c>
      <c r="C466" s="28" t="inlineStr">
        <is>
          <t>공용</t>
        </is>
      </c>
      <c r="D466" s="29" t="inlineStr">
        <is>
          <t>DR Tech 센서 상, 하 스티로폼 (45.5 * 42 * 3T)
[공용]</t>
        </is>
      </c>
      <c r="E466" s="28" t="inlineStr">
        <is>
          <t>굿모닝코리아유통</t>
        </is>
      </c>
      <c r="F466" s="30" t="n"/>
      <c r="G466" s="29">
        <f>IFERROR("["&amp;INDEX(고압진공_재고현황!$A:$A,MATCH($D466,고압진공_재고현황!$E:$E,0))&amp;"] "&amp;INDEX(고압진공_재고현황!$D:$D,MATCH($D466,고압진공_재고현황!$E:$E,0)),IFERROR("[조립] "&amp;INDEX(조립자재_재고현황!$D:$D,MATCH($D466,조립자재_재고현황!$E:$E,0)),""))</f>
        <v/>
      </c>
      <c r="H466" s="31">
        <f>IF(G466="","",COUNTIF($G$2:G466,"?*"))</f>
        <v/>
      </c>
    </row>
    <row r="467" ht="48" customHeight="1">
      <c r="A467" s="48" t="inlineStr">
        <is>
          <t>창고</t>
        </is>
      </c>
      <c r="B467" s="28" t="inlineStr">
        <is>
          <t>내부폼</t>
        </is>
      </c>
      <c r="C467" s="28" t="inlineStr">
        <is>
          <t>SOLO</t>
        </is>
      </c>
      <c r="D467" s="29" t="inlineStr">
        <is>
          <t>내부폼 (가교 PAD) SET
[SOLO]</t>
        </is>
      </c>
      <c r="E467" s="28" t="inlineStr">
        <is>
          <t>에이팩산업</t>
        </is>
      </c>
      <c r="F467" s="30" t="n"/>
      <c r="G467" s="29">
        <f>IFERROR("["&amp;INDEX(고압진공_재고현황!$A:$A,MATCH($D467,고압진공_재고현황!$E:$E,0))&amp;"] "&amp;INDEX(고압진공_재고현황!$D:$D,MATCH($D467,고압진공_재고현황!$E:$E,0)),IFERROR("[조립] "&amp;INDEX(조립자재_재고현황!$D:$D,MATCH($D467,조립자재_재고현황!$E:$E,0)),""))</f>
        <v/>
      </c>
      <c r="H467" s="31">
        <f>IF(G467="","",COUNTIF($G$2:G467,"?*"))</f>
        <v/>
      </c>
    </row>
    <row r="468" ht="48" customHeight="1">
      <c r="A468" s="48" t="inlineStr">
        <is>
          <t>창고</t>
        </is>
      </c>
      <c r="B468" s="28" t="inlineStr">
        <is>
          <t>에어셀</t>
        </is>
      </c>
      <c r="C468" s="28" t="inlineStr">
        <is>
          <t>DX3000</t>
        </is>
      </c>
      <c r="D468" s="29" t="inlineStr">
        <is>
          <t>에어셀 TOP (JD010211-02)
[DX3000]</t>
        </is>
      </c>
      <c r="E468" s="28" t="inlineStr">
        <is>
          <t>에어패킹</t>
        </is>
      </c>
      <c r="F468" s="30" t="n"/>
      <c r="G468" s="29">
        <f>IFERROR("["&amp;INDEX(고압진공_재고현황!$A:$A,MATCH($D468,고압진공_재고현황!$E:$E,0))&amp;"] "&amp;INDEX(고압진공_재고현황!$D:$D,MATCH($D468,고압진공_재고현황!$E:$E,0)),IFERROR("[조립] "&amp;INDEX(조립자재_재고현황!$D:$D,MATCH($D468,조립자재_재고현황!$E:$E,0)),""))</f>
        <v/>
      </c>
      <c r="H468" s="31">
        <f>IF(G468="","",COUNTIF($G$2:G468,"?*"))</f>
        <v/>
      </c>
    </row>
    <row r="469" ht="48" customHeight="1">
      <c r="A469" s="48" t="inlineStr">
        <is>
          <t>창고</t>
        </is>
      </c>
      <c r="B469" s="28" t="inlineStr">
        <is>
          <t>에어셀</t>
        </is>
      </c>
      <c r="C469" s="28" t="inlineStr">
        <is>
          <t>DX3000</t>
        </is>
      </c>
      <c r="D469" s="29" t="inlineStr">
        <is>
          <t>에어셀 BOTTOM (JD010212-02)
[DX3000]</t>
        </is>
      </c>
      <c r="E469" s="28" t="inlineStr">
        <is>
          <t>에어패킹</t>
        </is>
      </c>
      <c r="F469" s="30" t="n"/>
      <c r="G469" s="29">
        <f>IFERROR("["&amp;INDEX(고압진공_재고현황!$A:$A,MATCH($D469,고압진공_재고현황!$E:$E,0))&amp;"] "&amp;INDEX(고압진공_재고현황!$D:$D,MATCH($D469,고압진공_재고현황!$E:$E,0)),IFERROR("[조립] "&amp;INDEX(조립자재_재고현황!$D:$D,MATCH($D469,조립자재_재고현황!$E:$E,0)),""))</f>
        <v/>
      </c>
      <c r="H469" s="31">
        <f>IF(G469="","",COUNTIF($G$2:G469,"?*"))</f>
        <v/>
      </c>
    </row>
    <row r="470" ht="48" customHeight="1">
      <c r="A470" s="48" t="inlineStr">
        <is>
          <t>창고</t>
        </is>
      </c>
      <c r="B470" s="28" t="inlineStr">
        <is>
          <t>에어셀</t>
        </is>
      </c>
      <c r="C470" s="28" t="inlineStr">
        <is>
          <t>COCOON</t>
        </is>
      </c>
      <c r="D470" s="29" t="inlineStr">
        <is>
          <t>에어셀 TOP (JD010311-01)
[COCOON]</t>
        </is>
      </c>
      <c r="E470" s="28" t="inlineStr">
        <is>
          <t>인디스에어</t>
        </is>
      </c>
      <c r="F470" s="30" t="n"/>
      <c r="G470" s="29">
        <f>IFERROR("["&amp;INDEX(고압진공_재고현황!$A:$A,MATCH($D470,고압진공_재고현황!$E:$E,0))&amp;"] "&amp;INDEX(고압진공_재고현황!$D:$D,MATCH($D470,고압진공_재고현황!$E:$E,0)),IFERROR("[조립] "&amp;INDEX(조립자재_재고현황!$D:$D,MATCH($D470,조립자재_재고현황!$E:$E,0)),""))</f>
        <v/>
      </c>
      <c r="H470" s="31">
        <f>IF(G470="","",COUNTIF($G$2:G470,"?*"))</f>
        <v/>
      </c>
    </row>
    <row r="471" ht="48" customHeight="1">
      <c r="A471" s="48" t="inlineStr">
        <is>
          <t>창고</t>
        </is>
      </c>
      <c r="B471" s="28" t="inlineStr">
        <is>
          <t>에어셀</t>
        </is>
      </c>
      <c r="C471" s="28" t="inlineStr">
        <is>
          <t>COCOON</t>
        </is>
      </c>
      <c r="D471" s="29" t="inlineStr">
        <is>
          <t>에어셀 BOTTOM (JD010312-01)
[COCOON]</t>
        </is>
      </c>
      <c r="E471" s="28" t="inlineStr">
        <is>
          <t>인디스에어</t>
        </is>
      </c>
      <c r="F471" s="30" t="n"/>
      <c r="G471" s="29">
        <f>IFERROR("["&amp;INDEX(고압진공_재고현황!$A:$A,MATCH($D471,고압진공_재고현황!$E:$E,0))&amp;"] "&amp;INDEX(고압진공_재고현황!$D:$D,MATCH($D471,고압진공_재고현황!$E:$E,0)),IFERROR("[조립] "&amp;INDEX(조립자재_재고현황!$D:$D,MATCH($D471,조립자재_재고현황!$E:$E,0)),""))</f>
        <v/>
      </c>
      <c r="H471" s="31">
        <f>IF(G471="","",COUNTIF($G$2:G471,"?*"))</f>
        <v/>
      </c>
    </row>
    <row r="472" ht="48" customHeight="1">
      <c r="A472" s="48" t="inlineStr">
        <is>
          <t>창고</t>
        </is>
      </c>
      <c r="B472" s="28" t="inlineStr">
        <is>
          <t>에어셀</t>
        </is>
      </c>
      <c r="C472" s="28" t="inlineStr">
        <is>
          <t>공용</t>
        </is>
      </c>
      <c r="D472" s="29" t="inlineStr">
        <is>
          <t>저가 박스 에어셀 Main (JD010411-01)
[공용]</t>
        </is>
      </c>
      <c r="E472" s="28" t="inlineStr">
        <is>
          <t>인디스에어</t>
        </is>
      </c>
      <c r="F472" s="30" t="n"/>
      <c r="G472" s="29">
        <f>IFERROR("["&amp;INDEX(고압진공_재고현황!$A:$A,MATCH($D472,고압진공_재고현황!$E:$E,0))&amp;"] "&amp;INDEX(고압진공_재고현황!$D:$D,MATCH($D472,고압진공_재고현황!$E:$E,0)),IFERROR("[조립] "&amp;INDEX(조립자재_재고현황!$D:$D,MATCH($D472,조립자재_재고현황!$E:$E,0)),""))</f>
        <v/>
      </c>
      <c r="H472" s="31">
        <f>IF(G472="","",COUNTIF($G$2:G472,"?*"))</f>
        <v/>
      </c>
    </row>
    <row r="473" ht="48" customHeight="1">
      <c r="A473" s="48" t="inlineStr">
        <is>
          <t>창고</t>
        </is>
      </c>
      <c r="B473" s="28" t="inlineStr">
        <is>
          <t>에어셀</t>
        </is>
      </c>
      <c r="C473" s="28" t="inlineStr">
        <is>
          <t>공용</t>
        </is>
      </c>
      <c r="D473" s="29" t="inlineStr">
        <is>
          <t>저가 박스 에어셀 ACC (JD010412-01)
[공용]</t>
        </is>
      </c>
      <c r="E473" s="28" t="inlineStr">
        <is>
          <t>인디스에어</t>
        </is>
      </c>
      <c r="F473" s="30" t="n"/>
      <c r="G473" s="29">
        <f>IFERROR("["&amp;INDEX(고압진공_재고현황!$A:$A,MATCH($D473,고압진공_재고현황!$E:$E,0))&amp;"] "&amp;INDEX(고압진공_재고현황!$D:$D,MATCH($D473,고압진공_재고현황!$E:$E,0)),IFERROR("[조립] "&amp;INDEX(조립자재_재고현황!$D:$D,MATCH($D473,조립자재_재고현황!$E:$E,0)),""))</f>
        <v/>
      </c>
      <c r="H473" s="31">
        <f>IF(G473="","",COUNTIF($G$2:G473,"?*"))</f>
        <v/>
      </c>
    </row>
    <row r="474" ht="48" customHeight="1">
      <c r="A474" s="48" t="inlineStr">
        <is>
          <t>창고</t>
        </is>
      </c>
      <c r="B474" s="28" t="inlineStr">
        <is>
          <t>넥스트랩</t>
        </is>
      </c>
      <c r="C474" s="28" t="inlineStr">
        <is>
          <t>공용</t>
        </is>
      </c>
      <c r="D474" s="29" t="inlineStr">
        <is>
          <t>넥스트 랩 (포켓)
[공용]</t>
        </is>
      </c>
      <c r="E474" s="28" t="inlineStr">
        <is>
          <t>피엔에스</t>
        </is>
      </c>
      <c r="F474" s="30" t="n"/>
      <c r="G474" s="29">
        <f>IFERROR("["&amp;INDEX(고압진공_재고현황!$A:$A,MATCH($D474,고압진공_재고현황!$E:$E,0))&amp;"] "&amp;INDEX(고압진공_재고현황!$D:$D,MATCH($D474,고압진공_재고현황!$E:$E,0)),IFERROR("[조립] "&amp;INDEX(조립자재_재고현황!$D:$D,MATCH($D474,조립자재_재고현황!$E:$E,0)),""))</f>
        <v/>
      </c>
      <c r="H474" s="31">
        <f>IF(G474="","",COUNTIF($G$2:G474,"?*"))</f>
        <v/>
      </c>
    </row>
    <row r="475" ht="48" customHeight="1">
      <c r="A475" s="48" t="inlineStr">
        <is>
          <t>창고</t>
        </is>
      </c>
      <c r="B475" s="28" t="inlineStr">
        <is>
          <t>넥스트랩</t>
        </is>
      </c>
      <c r="C475" s="28" t="inlineStr">
        <is>
          <t>공용</t>
        </is>
      </c>
      <c r="D475" s="29" t="inlineStr">
        <is>
          <t>넥스트 랩 (포켓 구형)
[공용]</t>
        </is>
      </c>
      <c r="E475" s="28" t="inlineStr">
        <is>
          <t>씨티무역</t>
        </is>
      </c>
      <c r="F475" s="30" t="n"/>
      <c r="G475" s="29">
        <f>IFERROR("["&amp;INDEX(고압진공_재고현황!$A:$A,MATCH($D475,고압진공_재고현황!$E:$E,0))&amp;"] "&amp;INDEX(고압진공_재고현황!$D:$D,MATCH($D475,고압진공_재고현황!$E:$E,0)),IFERROR("[조립] "&amp;INDEX(조립자재_재고현황!$D:$D,MATCH($D475,조립자재_재고현황!$E:$E,0)),""))</f>
        <v/>
      </c>
      <c r="H475" s="31">
        <f>IF(G475="","",COUNTIF($G$2:G475,"?*"))</f>
        <v/>
      </c>
    </row>
    <row r="476" ht="48" customHeight="1">
      <c r="A476" s="48" t="inlineStr">
        <is>
          <t>창고</t>
        </is>
      </c>
      <c r="B476" s="28" t="inlineStr">
        <is>
          <t>넥스트랩</t>
        </is>
      </c>
      <c r="C476" s="28" t="inlineStr">
        <is>
          <t>공용</t>
        </is>
      </c>
      <c r="D476" s="29" t="inlineStr">
        <is>
          <t>넥스트 랩 (포켓 X)
[공용]</t>
        </is>
      </c>
      <c r="E476" s="28" t="inlineStr">
        <is>
          <t>씨티무역</t>
        </is>
      </c>
      <c r="F476" s="30" t="n"/>
      <c r="G476" s="29">
        <f>IFERROR("["&amp;INDEX(고압진공_재고현황!$A:$A,MATCH($D476,고압진공_재고현황!$E:$E,0))&amp;"] "&amp;INDEX(고압진공_재고현황!$D:$D,MATCH($D476,고압진공_재고현황!$E:$E,0)),IFERROR("[조립] "&amp;INDEX(조립자재_재고현황!$D:$D,MATCH($D476,조립자재_재고현황!$E:$E,0)),""))</f>
        <v/>
      </c>
      <c r="H476" s="31">
        <f>IF(G476="","",COUNTIF($G$2:G476,"?*"))</f>
        <v/>
      </c>
    </row>
    <row r="477" ht="48" customHeight="1">
      <c r="A477" s="48" t="inlineStr">
        <is>
          <t>창고</t>
        </is>
      </c>
      <c r="B477" s="28" t="inlineStr">
        <is>
          <t>숄더스트랩</t>
        </is>
      </c>
      <c r="C477" s="28" t="inlineStr">
        <is>
          <t>DX3000</t>
        </is>
      </c>
      <c r="D477" s="29" t="inlineStr">
        <is>
          <t>제품 어깨끈 (구형)
[DX3000]</t>
        </is>
      </c>
      <c r="E477" s="28" t="inlineStr">
        <is>
          <t>굿모닝코리아유통</t>
        </is>
      </c>
      <c r="F477" s="30" t="n"/>
      <c r="G477" s="29">
        <f>IFERROR("["&amp;INDEX(고압진공_재고현황!$A:$A,MATCH($D477,고압진공_재고현황!$E:$E,0))&amp;"] "&amp;INDEX(고압진공_재고현황!$D:$D,MATCH($D477,고압진공_재고현황!$E:$E,0)),IFERROR("[조립] "&amp;INDEX(조립자재_재고현황!$D:$D,MATCH($D477,조립자재_재고현황!$E:$E,0)),""))</f>
        <v/>
      </c>
      <c r="H477" s="31">
        <f>IF(G477="","",COUNTIF($G$2:G477,"?*"))</f>
        <v/>
      </c>
    </row>
    <row r="478" ht="48" customHeight="1">
      <c r="A478" s="48" t="inlineStr">
        <is>
          <t>창고</t>
        </is>
      </c>
      <c r="B478" s="28" t="inlineStr">
        <is>
          <t>숄더스트랩</t>
        </is>
      </c>
      <c r="C478" s="28" t="inlineStr">
        <is>
          <t>DX3000</t>
        </is>
      </c>
      <c r="D478" s="29" t="inlineStr">
        <is>
          <t>가방끈 (일본용)
[DX3000]</t>
        </is>
      </c>
      <c r="E478" s="28" t="inlineStr">
        <is>
          <t>굿모닝코리아유통</t>
        </is>
      </c>
      <c r="F478" s="30" t="n"/>
      <c r="G478" s="29">
        <f>IFERROR("["&amp;INDEX(고압진공_재고현황!$A:$A,MATCH($D478,고압진공_재고현황!$E:$E,0))&amp;"] "&amp;INDEX(고압진공_재고현황!$D:$D,MATCH($D478,고압진공_재고현황!$E:$E,0)),IFERROR("[조립] "&amp;INDEX(조립자재_재고현황!$D:$D,MATCH($D478,조립자재_재고현황!$E:$E,0)),""))</f>
        <v/>
      </c>
      <c r="H478" s="31">
        <f>IF(G478="","",COUNTIF($G$2:G478,"?*"))</f>
        <v/>
      </c>
    </row>
    <row r="479" ht="48" customHeight="1">
      <c r="A479" s="48" t="inlineStr">
        <is>
          <t>창고</t>
        </is>
      </c>
      <c r="B479" s="28" t="inlineStr">
        <is>
          <t>스트랩</t>
        </is>
      </c>
      <c r="C479" s="28" t="inlineStr">
        <is>
          <t>DX3000</t>
        </is>
      </c>
      <c r="D479" s="29" t="inlineStr">
        <is>
          <t>DX3000 핸드 스트랩
[DX3000]</t>
        </is>
      </c>
      <c r="E479" s="28" t="inlineStr">
        <is>
          <t>굿모닝코리아유통</t>
        </is>
      </c>
      <c r="F479" s="30" t="n"/>
      <c r="G479" s="29">
        <f>IFERROR("["&amp;INDEX(고압진공_재고현황!$A:$A,MATCH($D479,고압진공_재고현황!$E:$E,0))&amp;"] "&amp;INDEX(고압진공_재고현황!$D:$D,MATCH($D479,고압진공_재고현황!$E:$E,0)),IFERROR("[조립] "&amp;INDEX(조립자재_재고현황!$D:$D,MATCH($D479,조립자재_재고현황!$E:$E,0)),""))</f>
        <v/>
      </c>
      <c r="H479" s="31">
        <f>IF(G479="","",COUNTIF($G$2:G479,"?*"))</f>
        <v/>
      </c>
    </row>
    <row r="480" ht="48" customHeight="1">
      <c r="A480" s="48" t="inlineStr">
        <is>
          <t>창고</t>
        </is>
      </c>
      <c r="B480" s="28" t="inlineStr">
        <is>
          <t>연아크릴</t>
        </is>
      </c>
      <c r="C480" s="28" t="inlineStr">
        <is>
          <t>공용</t>
        </is>
      </c>
      <c r="D480" s="29" t="inlineStr">
        <is>
          <t>연아크릴 쉴드 8T (153 * ∮65 * 8T)
[공용] (선일쉴드텍)</t>
        </is>
      </c>
      <c r="E480" s="28" t="inlineStr">
        <is>
          <t>선일쉴드텍</t>
        </is>
      </c>
      <c r="F480" s="30" t="n"/>
      <c r="G480" s="29">
        <f>IFERROR("["&amp;INDEX(고압진공_재고현황!$A:$A,MATCH($D480,고압진공_재고현황!$E:$E,0))&amp;"] "&amp;INDEX(고압진공_재고현황!$D:$D,MATCH($D480,고압진공_재고현황!$E:$E,0)),IFERROR("[조립] "&amp;INDEX(조립자재_재고현황!$D:$D,MATCH($D480,조립자재_재고현황!$E:$E,0)),""))</f>
        <v/>
      </c>
      <c r="H480" s="31">
        <f>IF(G480="","",COUNTIF($G$2:G480,"?*"))</f>
        <v/>
      </c>
    </row>
    <row r="481" ht="48" customHeight="1">
      <c r="A481" s="48" t="inlineStr">
        <is>
          <t>창고</t>
        </is>
      </c>
      <c r="B481" s="28" t="inlineStr">
        <is>
          <t>연아크릴</t>
        </is>
      </c>
      <c r="C481" s="28" t="inlineStr">
        <is>
          <t>공용</t>
        </is>
      </c>
      <c r="D481" s="29" t="inlineStr">
        <is>
          <t>연아크릴 쉴드 8T (153 * ∮65 * 8T)
[공용] (중국)</t>
        </is>
      </c>
      <c r="E481" s="28" t="inlineStr">
        <is>
          <t>중국</t>
        </is>
      </c>
      <c r="F481" s="30" t="n"/>
      <c r="G481" s="29">
        <f>IFERROR("["&amp;INDEX(고압진공_재고현황!$A:$A,MATCH($D481,고압진공_재고현황!$E:$E,0))&amp;"] "&amp;INDEX(고압진공_재고현황!$D:$D,MATCH($D481,고압진공_재고현황!$E:$E,0)),IFERROR("[조립] "&amp;INDEX(조립자재_재고현황!$D:$D,MATCH($D481,조립자재_재고현황!$E:$E,0)),""))</f>
        <v/>
      </c>
      <c r="H481" s="31">
        <f>IF(G481="","",COUNTIF($G$2:G481,"?*"))</f>
        <v/>
      </c>
    </row>
    <row r="482" ht="48" customHeight="1">
      <c r="A482" s="48" t="inlineStr">
        <is>
          <t>창고</t>
        </is>
      </c>
      <c r="B482" s="28" t="inlineStr">
        <is>
          <t>연아크릴</t>
        </is>
      </c>
      <c r="C482" s="28" t="inlineStr">
        <is>
          <t>공용</t>
        </is>
      </c>
      <c r="D482" s="29" t="inlineStr">
        <is>
          <t>연아크릴 쉴드 12T (153 * ∮65 * 12T)
[공용] (선일쉴드텍)</t>
        </is>
      </c>
      <c r="E482" s="28" t="inlineStr">
        <is>
          <t>선일쉴드텍</t>
        </is>
      </c>
      <c r="F482" s="30" t="n"/>
      <c r="G482" s="29">
        <f>IFERROR("["&amp;INDEX(고압진공_재고현황!$A:$A,MATCH($D482,고압진공_재고현황!$E:$E,0))&amp;"] "&amp;INDEX(고압진공_재고현황!$D:$D,MATCH($D482,고압진공_재고현황!$E:$E,0)),IFERROR("[조립] "&amp;INDEX(조립자재_재고현황!$D:$D,MATCH($D482,조립자재_재고현황!$E:$E,0)),""))</f>
        <v/>
      </c>
      <c r="H482" s="31">
        <f>IF(G482="","",COUNTIF($G$2:G482,"?*"))</f>
        <v/>
      </c>
    </row>
    <row r="483" ht="48" customHeight="1">
      <c r="A483" s="48" t="inlineStr">
        <is>
          <t>창고</t>
        </is>
      </c>
      <c r="B483" s="28" t="inlineStr">
        <is>
          <t>연아크릴</t>
        </is>
      </c>
      <c r="C483" s="28" t="inlineStr">
        <is>
          <t>공용</t>
        </is>
      </c>
      <c r="D483" s="29" t="inlineStr">
        <is>
          <t>연아크릴 쉴드 12T (153 * ∮65 * 12T)
[공용] (중국)</t>
        </is>
      </c>
      <c r="E483" s="28" t="inlineStr">
        <is>
          <t>중국</t>
        </is>
      </c>
      <c r="F483" s="30" t="n"/>
      <c r="G483" s="29">
        <f>IFERROR("["&amp;INDEX(고압진공_재고현황!$A:$A,MATCH($D483,고압진공_재고현황!$E:$E,0))&amp;"] "&amp;INDEX(고압진공_재고현황!$D:$D,MATCH($D483,고압진공_재고현황!$E:$E,0)),IFERROR("[조립] "&amp;INDEX(조립자재_재고현황!$D:$D,MATCH($D483,조립자재_재고현황!$E:$E,0)),""))</f>
        <v/>
      </c>
      <c r="H483" s="31">
        <f>IF(G483="","",COUNTIF($G$2:G483,"?*"))</f>
        <v/>
      </c>
    </row>
    <row r="484" ht="48" customHeight="1">
      <c r="A484" s="48" t="inlineStr">
        <is>
          <t>창고</t>
        </is>
      </c>
      <c r="B484" s="28" t="inlineStr">
        <is>
          <t>연아크릴</t>
        </is>
      </c>
      <c r="C484" s="28" t="inlineStr">
        <is>
          <t>공용</t>
        </is>
      </c>
      <c r="D484" s="29" t="inlineStr">
        <is>
          <t>연아크릴 쉴드 12T (153 * ∮60 * 12T)
[공용] (선일쉴드텍)</t>
        </is>
      </c>
      <c r="E484" s="28" t="inlineStr">
        <is>
          <t>선일쉴드텍</t>
        </is>
      </c>
      <c r="F484" s="30" t="n"/>
      <c r="G484" s="29">
        <f>IFERROR("["&amp;INDEX(고압진공_재고현황!$A:$A,MATCH($D484,고압진공_재고현황!$E:$E,0))&amp;"] "&amp;INDEX(고압진공_재고현황!$D:$D,MATCH($D484,고압진공_재고현황!$E:$E,0)),IFERROR("[조립] "&amp;INDEX(조립자재_재고현황!$D:$D,MATCH($D484,조립자재_재고현황!$E:$E,0)),""))</f>
        <v/>
      </c>
      <c r="H484" s="31">
        <f>IF(G484="","",COUNTIF($G$2:G484,"?*"))</f>
        <v/>
      </c>
    </row>
    <row r="485" ht="48" customHeight="1">
      <c r="A485" s="48" t="inlineStr">
        <is>
          <t>창고</t>
        </is>
      </c>
      <c r="B485" s="28" t="inlineStr">
        <is>
          <t>연아크릴</t>
        </is>
      </c>
      <c r="C485" s="28" t="inlineStr">
        <is>
          <t>공용</t>
        </is>
      </c>
      <c r="D485" s="29" t="inlineStr">
        <is>
          <t>연아크릴 쉴드 12T (153 * ∮60 * 12T)
[공용] (중국)</t>
        </is>
      </c>
      <c r="E485" s="28" t="inlineStr">
        <is>
          <t>중국</t>
        </is>
      </c>
      <c r="F485" s="30" t="n"/>
      <c r="G485" s="29">
        <f>IFERROR("["&amp;INDEX(고압진공_재고현황!$A:$A,MATCH($D485,고압진공_재고현황!$E:$E,0))&amp;"] "&amp;INDEX(고압진공_재고현황!$D:$D,MATCH($D485,고압진공_재고현황!$E:$E,0)),IFERROR("[조립] "&amp;INDEX(조립자재_재고현황!$D:$D,MATCH($D485,조립자재_재고현황!$E:$E,0)),""))</f>
        <v/>
      </c>
      <c r="H485" s="31">
        <f>IF(G485="","",COUNTIF($G$2:G485,"?*"))</f>
        <v/>
      </c>
    </row>
    <row r="486" ht="48" customHeight="1">
      <c r="A486" s="48" t="inlineStr">
        <is>
          <t>창고</t>
        </is>
      </c>
      <c r="B486" s="28" t="inlineStr">
        <is>
          <t>연아크릴</t>
        </is>
      </c>
      <c r="C486" s="28" t="inlineStr">
        <is>
          <t>ADX6000</t>
        </is>
      </c>
      <c r="D486" s="29" t="inlineStr">
        <is>
          <t>사각 연아크릴 쉴드 (직사각형, 215 * 199mm 8T)
[ADX6000] (선일쉴드텍)</t>
        </is>
      </c>
      <c r="E486" s="28" t="inlineStr">
        <is>
          <t>선일쉴드텍</t>
        </is>
      </c>
      <c r="F486" s="30" t="n"/>
      <c r="G486" s="29">
        <f>IFERROR("["&amp;INDEX(고압진공_재고현황!$A:$A,MATCH($D486,고압진공_재고현황!$E:$E,0))&amp;"] "&amp;INDEX(고압진공_재고현황!$D:$D,MATCH($D486,고압진공_재고현황!$E:$E,0)),IFERROR("[조립] "&amp;INDEX(조립자재_재고현황!$D:$D,MATCH($D486,조립자재_재고현황!$E:$E,0)),""))</f>
        <v/>
      </c>
      <c r="H486" s="31">
        <f>IF(G486="","",COUNTIF($G$2:G486,"?*"))</f>
        <v/>
      </c>
    </row>
    <row r="487" ht="48" customHeight="1">
      <c r="A487" s="48" t="inlineStr">
        <is>
          <t>창고</t>
        </is>
      </c>
      <c r="B487" s="28" t="inlineStr">
        <is>
          <t>연아크릴</t>
        </is>
      </c>
      <c r="C487" s="28" t="inlineStr">
        <is>
          <t>ADX6000</t>
        </is>
      </c>
      <c r="D487" s="29" t="inlineStr">
        <is>
          <t>사각 연아크릴 쉴드 (직사각형, 215 * 199mm 8T)
[ADX6000] (중국)</t>
        </is>
      </c>
      <c r="E487" s="28" t="inlineStr">
        <is>
          <t>중국</t>
        </is>
      </c>
      <c r="F487" s="30" t="n"/>
      <c r="G487" s="29">
        <f>IFERROR("["&amp;INDEX(고압진공_재고현황!$A:$A,MATCH($D487,고압진공_재고현황!$E:$E,0))&amp;"] "&amp;INDEX(고압진공_재고현황!$D:$D,MATCH($D487,고압진공_재고현황!$E:$E,0)),IFERROR("[조립] "&amp;INDEX(조립자재_재고현황!$D:$D,MATCH($D487,조립자재_재고현황!$E:$E,0)),""))</f>
        <v/>
      </c>
      <c r="H487" s="31">
        <f>IF(G487="","",COUNTIF($G$2:G487,"?*"))</f>
        <v/>
      </c>
    </row>
    <row r="488" ht="48" customHeight="1">
      <c r="A488" s="48" t="inlineStr">
        <is>
          <t>창고</t>
        </is>
      </c>
      <c r="B488" s="28" t="inlineStr">
        <is>
          <t>연아크릴</t>
        </is>
      </c>
      <c r="C488" s="28" t="inlineStr">
        <is>
          <t>ADX6000</t>
        </is>
      </c>
      <c r="D488" s="29" t="inlineStr">
        <is>
          <t>사각 연아크릴 쉴드 (정사각형, 215 * 205mm)
[ADX6000]</t>
        </is>
      </c>
      <c r="E488" s="28" t="inlineStr">
        <is>
          <t>선일쉴드텍</t>
        </is>
      </c>
      <c r="F488" s="30" t="n"/>
      <c r="G488" s="29">
        <f>IFERROR("["&amp;INDEX(고압진공_재고현황!$A:$A,MATCH($D488,고압진공_재고현황!$E:$E,0))&amp;"] "&amp;INDEX(고압진공_재고현황!$D:$D,MATCH($D488,고압진공_재고현황!$E:$E,0)),IFERROR("[조립] "&amp;INDEX(조립자재_재고현황!$D:$D,MATCH($D488,조립자재_재고현황!$E:$E,0)),""))</f>
        <v/>
      </c>
      <c r="H488" s="31">
        <f>IF(G488="","",COUNTIF($G$2:G488,"?*"))</f>
        <v/>
      </c>
    </row>
    <row r="489" ht="48" customHeight="1">
      <c r="A489" s="48" t="inlineStr">
        <is>
          <t>창고</t>
        </is>
      </c>
      <c r="B489" s="28" t="inlineStr">
        <is>
          <t>오링</t>
        </is>
      </c>
      <c r="C489" s="28" t="inlineStr">
        <is>
          <t>ADX6000</t>
        </is>
      </c>
      <c r="D489" s="29" t="inlineStr">
        <is>
          <t>연아크릴 실리콘 오링
[ADX6000]</t>
        </is>
      </c>
      <c r="E489" s="28" t="inlineStr">
        <is>
          <t>직구</t>
        </is>
      </c>
      <c r="F489" s="30" t="n"/>
      <c r="G489" s="29">
        <f>IFERROR("["&amp;INDEX(고압진공_재고현황!$A:$A,MATCH($D489,고압진공_재고현황!$E:$E,0))&amp;"] "&amp;INDEX(고압진공_재고현황!$D:$D,MATCH($D489,고압진공_재고현황!$E:$E,0)),IFERROR("[조립] "&amp;INDEX(조립자재_재고현황!$D:$D,MATCH($D489,조립자재_재고현황!$E:$E,0)),""))</f>
        <v/>
      </c>
      <c r="H489" s="31">
        <f>IF(G489="","",COUNTIF($G$2:G489,"?*"))</f>
        <v/>
      </c>
    </row>
    <row r="490" ht="48" customHeight="1">
      <c r="A490" s="48" t="inlineStr">
        <is>
          <t>창고</t>
        </is>
      </c>
      <c r="B490" s="28" t="inlineStr">
        <is>
          <t>오링</t>
        </is>
      </c>
      <c r="C490" s="28" t="inlineStr">
        <is>
          <t>DX3000</t>
        </is>
      </c>
      <c r="D490" s="29" t="inlineStr">
        <is>
          <t>연아크릴 실리콘 오링
[DX3000]</t>
        </is>
      </c>
      <c r="E490" s="28" t="inlineStr">
        <is>
          <t>직구</t>
        </is>
      </c>
      <c r="F490" s="30" t="n"/>
      <c r="G490" s="29">
        <f>IFERROR("["&amp;INDEX(고압진공_재고현황!$A:$A,MATCH($D490,고압진공_재고현황!$E:$E,0))&amp;"] "&amp;INDEX(고압진공_재고현황!$D:$D,MATCH($D490,고압진공_재고현황!$E:$E,0)),IFERROR("[조립] "&amp;INDEX(조립자재_재고현황!$D:$D,MATCH($D490,조립자재_재고현황!$E:$E,0)),""))</f>
        <v/>
      </c>
      <c r="H490" s="31">
        <f>IF(G490="","",COUNTIF($G$2:G490,"?*"))</f>
        <v/>
      </c>
    </row>
    <row r="491" ht="48" customHeight="1">
      <c r="A491" s="48" t="inlineStr">
        <is>
          <t>창고</t>
        </is>
      </c>
      <c r="B491" s="28" t="inlineStr">
        <is>
          <t>오링</t>
        </is>
      </c>
      <c r="C491" s="28" t="inlineStr">
        <is>
          <t>ADX4000W</t>
        </is>
      </c>
      <c r="D491" s="29" t="inlineStr">
        <is>
          <t>연아크릴 실리콘 오링
[ADX4000W]</t>
        </is>
      </c>
      <c r="E491" s="28" t="inlineStr">
        <is>
          <t>직구</t>
        </is>
      </c>
      <c r="F491" s="30" t="n"/>
      <c r="G491" s="29">
        <f>IFERROR("["&amp;INDEX(고압진공_재고현황!$A:$A,MATCH($D491,고압진공_재고현황!$E:$E,0))&amp;"] "&amp;INDEX(고압진공_재고현황!$D:$D,MATCH($D491,고압진공_재고현황!$E:$E,0)),IFERROR("[조립] "&amp;INDEX(조립자재_재고현황!$D:$D,MATCH($D491,조립자재_재고현황!$E:$E,0)),""))</f>
        <v/>
      </c>
      <c r="H491" s="31">
        <f>IF(G491="","",COUNTIF($G$2:G491,"?*"))</f>
        <v/>
      </c>
    </row>
    <row r="492" ht="48" customHeight="1">
      <c r="A492" s="48" t="inlineStr">
        <is>
          <t>창고</t>
        </is>
      </c>
      <c r="B492" s="28" t="inlineStr">
        <is>
          <t>AL 스티커</t>
        </is>
      </c>
      <c r="C492" s="28" t="inlineStr">
        <is>
          <t>DX3000</t>
        </is>
      </c>
      <c r="D492" s="29" t="inlineStr">
        <is>
          <t>IRay D3 NAME PLATE
[DX3000]</t>
        </is>
      </c>
      <c r="E492" s="28" t="inlineStr">
        <is>
          <t>에덴상공사</t>
        </is>
      </c>
      <c r="F492" s="30" t="n"/>
      <c r="G492" s="29">
        <f>IFERROR("["&amp;INDEX(고압진공_재고현황!$A:$A,MATCH($D492,고압진공_재고현황!$E:$E,0))&amp;"] "&amp;INDEX(고압진공_재고현황!$D:$D,MATCH($D492,고압진공_재고현황!$E:$E,0)),IFERROR("[조립] "&amp;INDEX(조립자재_재고현황!$D:$D,MATCH($D492,조립자재_재고현황!$E:$E,0)),""))</f>
        <v/>
      </c>
      <c r="H492" s="31">
        <f>IF(G492="","",COUNTIF($G$2:G492,"?*"))</f>
        <v/>
      </c>
    </row>
    <row r="493" ht="48" customHeight="1">
      <c r="A493" s="48" t="inlineStr">
        <is>
          <t>창고</t>
        </is>
      </c>
      <c r="B493" s="28" t="inlineStr">
        <is>
          <t>AL 스티커</t>
        </is>
      </c>
      <c r="C493" s="28" t="inlineStr">
        <is>
          <t>DX3000</t>
        </is>
      </c>
      <c r="D493" s="29" t="inlineStr">
        <is>
          <t>NAME PLATE
[DX3000]</t>
        </is>
      </c>
      <c r="E493" s="28" t="inlineStr">
        <is>
          <t>에덴상공사</t>
        </is>
      </c>
      <c r="F493" s="30" t="n"/>
      <c r="G493" s="29">
        <f>IFERROR("["&amp;INDEX(고압진공_재고현황!$A:$A,MATCH($D493,고압진공_재고현황!$E:$E,0))&amp;"] "&amp;INDEX(고압진공_재고현황!$D:$D,MATCH($D493,고압진공_재고현황!$E:$E,0)),IFERROR("[조립] "&amp;INDEX(조립자재_재고현황!$D:$D,MATCH($D493,조립자재_재고현황!$E:$E,0)),""))</f>
        <v/>
      </c>
      <c r="H493" s="31">
        <f>IF(G493="","",COUNTIF($G$2:G493,"?*"))</f>
        <v/>
      </c>
    </row>
    <row r="494" ht="48" customHeight="1">
      <c r="A494" s="48" t="inlineStr">
        <is>
          <t>창고</t>
        </is>
      </c>
      <c r="B494" s="28" t="inlineStr">
        <is>
          <t>AL 스티커</t>
        </is>
      </c>
      <c r="C494" s="28" t="inlineStr">
        <is>
          <t>DX3000</t>
        </is>
      </c>
      <c r="D494" s="29" t="inlineStr">
        <is>
          <t>우루과이 NAME PLATE
[DX3000]</t>
        </is>
      </c>
      <c r="E494" s="28" t="inlineStr">
        <is>
          <t>에덴상공사</t>
        </is>
      </c>
      <c r="F494" s="30" t="n"/>
      <c r="G494" s="29">
        <f>IFERROR("["&amp;INDEX(고압진공_재고현황!$A:$A,MATCH($D494,고압진공_재고현황!$E:$E,0))&amp;"] "&amp;INDEX(고압진공_재고현황!$D:$D,MATCH($D494,고압진공_재고현황!$E:$E,0)),IFERROR("[조립] "&amp;INDEX(조립자재_재고현황!$D:$D,MATCH($D494,조립자재_재고현황!$E:$E,0)),""))</f>
        <v/>
      </c>
      <c r="H494" s="31">
        <f>IF(G494="","",COUNTIF($G$2:G494,"?*"))</f>
        <v/>
      </c>
    </row>
    <row r="495" ht="48" customHeight="1">
      <c r="A495" s="48" t="inlineStr">
        <is>
          <t>창고</t>
        </is>
      </c>
      <c r="B495" s="28" t="inlineStr">
        <is>
          <t>AL 스티커</t>
        </is>
      </c>
      <c r="C495" s="28" t="inlineStr">
        <is>
          <t>ADX4000W</t>
        </is>
      </c>
      <c r="D495" s="29" t="inlineStr">
        <is>
          <t>NAME PLATE
[ADX4000W]</t>
        </is>
      </c>
      <c r="E495" s="28" t="inlineStr">
        <is>
          <t>에덴상공사</t>
        </is>
      </c>
      <c r="F495" s="30" t="n"/>
      <c r="G495" s="29">
        <f>IFERROR("["&amp;INDEX(고압진공_재고현황!$A:$A,MATCH($D495,고압진공_재고현황!$E:$E,0))&amp;"] "&amp;INDEX(고압진공_재고현황!$D:$D,MATCH($D495,고압진공_재고현황!$E:$E,0)),IFERROR("[조립] "&amp;INDEX(조립자재_재고현황!$D:$D,MATCH($D495,조립자재_재고현황!$E:$E,0)),""))</f>
        <v/>
      </c>
      <c r="H495" s="31">
        <f>IF(G495="","",COUNTIF($G$2:G495,"?*"))</f>
        <v/>
      </c>
    </row>
    <row r="496" ht="48" customHeight="1">
      <c r="A496" s="48" t="inlineStr">
        <is>
          <t>창고</t>
        </is>
      </c>
      <c r="B496" s="28" t="inlineStr">
        <is>
          <t>AL 스티커</t>
        </is>
      </c>
      <c r="C496" s="28" t="inlineStr">
        <is>
          <t>ADX6000</t>
        </is>
      </c>
      <c r="D496" s="29" t="inlineStr">
        <is>
          <t>ADX6000 NAME PLATE
[ADX6000]</t>
        </is>
      </c>
      <c r="E496" s="28" t="inlineStr">
        <is>
          <t>에덴상공사</t>
        </is>
      </c>
      <c r="F496" s="30" t="n"/>
      <c r="G496" s="29">
        <f>IFERROR("["&amp;INDEX(고압진공_재고현황!$A:$A,MATCH($D496,고압진공_재고현황!$E:$E,0))&amp;"] "&amp;INDEX(고압진공_재고현황!$D:$D,MATCH($D496,고압진공_재고현황!$E:$E,0)),IFERROR("[조립] "&amp;INDEX(조립자재_재고현황!$D:$D,MATCH($D496,조립자재_재고현황!$E:$E,0)),""))</f>
        <v/>
      </c>
      <c r="H496" s="31">
        <f>IF(G496="","",COUNTIF($G$2:G496,"?*"))</f>
        <v/>
      </c>
    </row>
    <row r="497" ht="48" customHeight="1">
      <c r="A497" s="48" t="inlineStr">
        <is>
          <t>창고</t>
        </is>
      </c>
      <c r="B497" s="28" t="inlineStr">
        <is>
          <t>AL 스티커</t>
        </is>
      </c>
      <c r="C497" s="28" t="inlineStr">
        <is>
          <t>ADX6000</t>
        </is>
      </c>
      <c r="D497" s="29" t="inlineStr">
        <is>
          <t>IRay A6 NAME PLATE
[ADX6000]</t>
        </is>
      </c>
      <c r="E497" s="28" t="inlineStr">
        <is>
          <t>에덴상공사</t>
        </is>
      </c>
      <c r="F497" s="30" t="n"/>
      <c r="G497" s="29">
        <f>IFERROR("["&amp;INDEX(고압진공_재고현황!$A:$A,MATCH($D497,고압진공_재고현황!$E:$E,0))&amp;"] "&amp;INDEX(고압진공_재고현황!$D:$D,MATCH($D497,고압진공_재고현황!$E:$E,0)),IFERROR("[조립] "&amp;INDEX(조립자재_재고현황!$D:$D,MATCH($D497,조립자재_재고현황!$E:$E,0)),""))</f>
        <v/>
      </c>
      <c r="H497" s="31">
        <f>IF(G497="","",COUNTIF($G$2:G497,"?*"))</f>
        <v/>
      </c>
    </row>
    <row r="498" ht="48" customHeight="1">
      <c r="A498" s="48" t="inlineStr">
        <is>
          <t>창고</t>
        </is>
      </c>
      <c r="B498" s="28" t="inlineStr">
        <is>
          <t>AL 스티커</t>
        </is>
      </c>
      <c r="C498" s="28" t="inlineStr">
        <is>
          <t>ADX6000</t>
        </is>
      </c>
      <c r="D498" s="29" t="inlineStr">
        <is>
          <t>IRay A6S NAME PLATE
[ADX6000]</t>
        </is>
      </c>
      <c r="E498" s="28" t="inlineStr">
        <is>
          <t>에덴상공사</t>
        </is>
      </c>
      <c r="F498" s="30" t="n"/>
      <c r="G498" s="29">
        <f>IFERROR("["&amp;INDEX(고압진공_재고현황!$A:$A,MATCH($D498,고압진공_재고현황!$E:$E,0))&amp;"] "&amp;INDEX(고압진공_재고현황!$D:$D,MATCH($D498,고압진공_재고현황!$E:$E,0)),IFERROR("[조립] "&amp;INDEX(조립자재_재고현황!$D:$D,MATCH($D498,조립자재_재고현황!$E:$E,0)),""))</f>
        <v/>
      </c>
      <c r="H498" s="31">
        <f>IF(G498="","",COUNTIF($G$2:G498,"?*"))</f>
        <v/>
      </c>
    </row>
    <row r="499" ht="48" customHeight="1">
      <c r="A499" s="48" t="inlineStr">
        <is>
          <t>창고</t>
        </is>
      </c>
      <c r="B499" s="28" t="inlineStr">
        <is>
          <t>AL 스티커</t>
        </is>
      </c>
      <c r="C499" s="28" t="inlineStr">
        <is>
          <t>ADX6000</t>
        </is>
      </c>
      <c r="D499" s="29" t="inlineStr">
        <is>
          <t>DEXCOWIN NAME PLATE (FDXD-810 디텍터용)
[ADX6000]</t>
        </is>
      </c>
      <c r="E499" s="28" t="inlineStr">
        <is>
          <t>에덴상공사</t>
        </is>
      </c>
      <c r="F499" s="30" t="n"/>
      <c r="G499" s="29">
        <f>IFERROR("["&amp;INDEX(고압진공_재고현황!$A:$A,MATCH($D499,고압진공_재고현황!$E:$E,0))&amp;"] "&amp;INDEX(고압진공_재고현황!$D:$D,MATCH($D499,고압진공_재고현황!$E:$E,0)),IFERROR("[조립] "&amp;INDEX(조립자재_재고현황!$D:$D,MATCH($D499,조립자재_재고현황!$E:$E,0)),""))</f>
        <v/>
      </c>
      <c r="H499" s="31">
        <f>IF(G499="","",COUNTIF($G$2:G499,"?*"))</f>
        <v/>
      </c>
    </row>
    <row r="500" ht="48" customHeight="1">
      <c r="A500" s="48" t="inlineStr">
        <is>
          <t>창고</t>
        </is>
      </c>
      <c r="B500" s="28" t="inlineStr">
        <is>
          <t>AL 스티커</t>
        </is>
      </c>
      <c r="C500" s="28" t="inlineStr">
        <is>
          <t>ADX6000</t>
        </is>
      </c>
      <c r="D500" s="29" t="inlineStr">
        <is>
          <t>DEXCOWIN NAME PLATE (뱅가드 가방용)
[ADX6000]</t>
        </is>
      </c>
      <c r="E500" s="28" t="inlineStr">
        <is>
          <t>에덴상공사</t>
        </is>
      </c>
      <c r="F500" s="30" t="n"/>
      <c r="G500" s="29">
        <f>IFERROR("["&amp;INDEX(고압진공_재고현황!$A:$A,MATCH($D500,고압진공_재고현황!$E:$E,0))&amp;"] "&amp;INDEX(고압진공_재고현황!$D:$D,MATCH($D500,고압진공_재고현황!$E:$E,0)),IFERROR("[조립] "&amp;INDEX(조립자재_재고현황!$D:$D,MATCH($D500,조립자재_재고현황!$E:$E,0)),""))</f>
        <v/>
      </c>
      <c r="H500" s="31">
        <f>IF(G500="","",COUNTIF($G$2:G500,"?*"))</f>
        <v/>
      </c>
    </row>
    <row r="501" ht="48" customHeight="1">
      <c r="A501" s="48" t="inlineStr">
        <is>
          <t>창고</t>
        </is>
      </c>
      <c r="B501" s="28" t="inlineStr">
        <is>
          <t>AL 스티커</t>
        </is>
      </c>
      <c r="C501" s="28" t="inlineStr">
        <is>
          <t>공용</t>
        </is>
      </c>
      <c r="D501" s="29" t="inlineStr">
        <is>
          <t>SUS PLATE
[공용]</t>
        </is>
      </c>
      <c r="E501" s="28" t="inlineStr">
        <is>
          <t>에덴상공사</t>
        </is>
      </c>
      <c r="F501" s="30" t="n"/>
      <c r="G501" s="29">
        <f>IFERROR("["&amp;INDEX(고압진공_재고현황!$A:$A,MATCH($D501,고압진공_재고현황!$E:$E,0))&amp;"] "&amp;INDEX(고압진공_재고현황!$D:$D,MATCH($D501,고압진공_재고현황!$E:$E,0)),IFERROR("[조립] "&amp;INDEX(조립자재_재고현황!$D:$D,MATCH($D501,조립자재_재고현황!$E:$E,0)),""))</f>
        <v/>
      </c>
      <c r="H501" s="31">
        <f>IF(G501="","",COUNTIF($G$2:G501,"?*"))</f>
        <v/>
      </c>
    </row>
    <row r="502" ht="48" customHeight="1">
      <c r="A502" s="48" t="inlineStr">
        <is>
          <t>창고</t>
        </is>
      </c>
      <c r="B502" s="28" t="inlineStr">
        <is>
          <t>AL 스티커</t>
        </is>
      </c>
      <c r="C502" s="28" t="inlineStr">
        <is>
          <t>공용</t>
        </is>
      </c>
      <c r="D502" s="29" t="inlineStr">
        <is>
          <t>DEXCOWIN NAME PLATE (DR Tech 센서용)
[공용]</t>
        </is>
      </c>
      <c r="E502" s="28" t="inlineStr">
        <is>
          <t>에덴상공사</t>
        </is>
      </c>
      <c r="F502" s="30" t="n"/>
      <c r="G502" s="29">
        <f>IFERROR("["&amp;INDEX(고압진공_재고현황!$A:$A,MATCH($D502,고압진공_재고현황!$E:$E,0))&amp;"] "&amp;INDEX(고압진공_재고현황!$D:$D,MATCH($D502,고압진공_재고현황!$E:$E,0)),IFERROR("[조립] "&amp;INDEX(조립자재_재고현황!$D:$D,MATCH($D502,조립자재_재고현황!$E:$E,0)),""))</f>
        <v/>
      </c>
      <c r="H502" s="31">
        <f>IF(G502="","",COUNTIF($G$2:G502,"?*"))</f>
        <v/>
      </c>
    </row>
    <row r="503" ht="48" customHeight="1">
      <c r="A503" s="48" t="inlineStr">
        <is>
          <t>창고</t>
        </is>
      </c>
      <c r="B503" s="28" t="inlineStr">
        <is>
          <t>AL 스티커</t>
        </is>
      </c>
      <c r="C503" s="28" t="inlineStr">
        <is>
          <t>공용</t>
        </is>
      </c>
      <c r="D503" s="29" t="inlineStr">
        <is>
          <t>DEXCOWIN NAME PLATE (가방용)
[공용]</t>
        </is>
      </c>
      <c r="E503" s="28" t="inlineStr">
        <is>
          <t>에덴상공사</t>
        </is>
      </c>
      <c r="F503" s="30" t="n"/>
      <c r="G503" s="29">
        <f>IFERROR("["&amp;INDEX(고압진공_재고현황!$A:$A,MATCH($D503,고압진공_재고현황!$E:$E,0))&amp;"] "&amp;INDEX(고압진공_재고현황!$D:$D,MATCH($D503,고압진공_재고현황!$E:$E,0)),IFERROR("[조립] "&amp;INDEX(조립자재_재고현황!$D:$D,MATCH($D503,조립자재_재고현황!$E:$E,0)),""))</f>
        <v/>
      </c>
      <c r="H503" s="31">
        <f>IF(G503="","",COUNTIF($G$2:G503,"?*"))</f>
        <v/>
      </c>
    </row>
    <row r="504" ht="48" customHeight="1">
      <c r="A504" s="48" t="inlineStr">
        <is>
          <t>창고</t>
        </is>
      </c>
      <c r="B504" s="28" t="inlineStr">
        <is>
          <t>에폭시 스티커</t>
        </is>
      </c>
      <c r="C504" s="28" t="inlineStr">
        <is>
          <t>ADX6000S</t>
        </is>
      </c>
      <c r="D504" s="29" t="inlineStr">
        <is>
          <t>손잡이 에폭시 스티커
[ADX6000S]</t>
        </is>
      </c>
      <c r="E504" s="28" t="inlineStr">
        <is>
          <t>거광에폭시</t>
        </is>
      </c>
      <c r="F504" s="30" t="n"/>
      <c r="G504" s="29">
        <f>IFERROR("["&amp;INDEX(고압진공_재고현황!$A:$A,MATCH($D504,고압진공_재고현황!$E:$E,0))&amp;"] "&amp;INDEX(고압진공_재고현황!$D:$D,MATCH($D504,고압진공_재고현황!$E:$E,0)),IFERROR("[조립] "&amp;INDEX(조립자재_재고현황!$D:$D,MATCH($D504,조립자재_재고현황!$E:$E,0)),""))</f>
        <v/>
      </c>
      <c r="H504" s="31">
        <f>IF(G504="","",COUNTIF($G$2:G504,"?*"))</f>
        <v/>
      </c>
    </row>
    <row r="505" ht="48" customHeight="1">
      <c r="A505" s="48" t="inlineStr">
        <is>
          <t>창고</t>
        </is>
      </c>
      <c r="B505" s="28" t="inlineStr">
        <is>
          <t>패드</t>
        </is>
      </c>
      <c r="C505" s="28" t="inlineStr">
        <is>
          <t>공용</t>
        </is>
      </c>
      <c r="D505" s="29" t="inlineStr">
        <is>
          <t>패드
[공용]</t>
        </is>
      </c>
      <c r="E505" s="28" t="inlineStr">
        <is>
          <t>가온패드</t>
        </is>
      </c>
      <c r="F505" s="30" t="n"/>
      <c r="G505" s="29">
        <f>IFERROR("["&amp;INDEX(고압진공_재고현황!$A:$A,MATCH($D505,고압진공_재고현황!$E:$E,0))&amp;"] "&amp;INDEX(고압진공_재고현황!$D:$D,MATCH($D505,고압진공_재고현황!$E:$E,0)),IFERROR("[조립] "&amp;INDEX(조립자재_재고현황!$D:$D,MATCH($D505,조립자재_재고현황!$E:$E,0)),""))</f>
        <v/>
      </c>
      <c r="H505" s="31">
        <f>IF(G505="","",COUNTIF($G$2:G505,"?*"))</f>
        <v/>
      </c>
    </row>
    <row r="506" ht="48" customHeight="1">
      <c r="A506" s="48" t="inlineStr">
        <is>
          <t>창고</t>
        </is>
      </c>
      <c r="B506" s="28" t="inlineStr">
        <is>
          <t>카메라</t>
        </is>
      </c>
      <c r="C506" s="28" t="inlineStr">
        <is>
          <t>공용</t>
        </is>
      </c>
      <c r="D506" s="29" t="inlineStr">
        <is>
          <t>구강 카메라
[공용]</t>
        </is>
      </c>
      <c r="E506" s="28" t="n"/>
      <c r="F506" s="30" t="n"/>
      <c r="G506" s="29">
        <f>IFERROR("["&amp;INDEX(고압진공_재고현황!$A:$A,MATCH($D506,고압진공_재고현황!$E:$E,0))&amp;"] "&amp;INDEX(고압진공_재고현황!$D:$D,MATCH($D506,고압진공_재고현황!$E:$E,0)),IFERROR("[조립] "&amp;INDEX(조립자재_재고현황!$D:$D,MATCH($D506,조립자재_재고현황!$E:$E,0)),""))</f>
        <v/>
      </c>
      <c r="H506" s="31">
        <f>IF(G506="","",COUNTIF($G$2:G506,"?*"))</f>
        <v/>
      </c>
    </row>
    <row r="507" ht="48" customHeight="1">
      <c r="A507" s="48" t="inlineStr">
        <is>
          <t>창고</t>
        </is>
      </c>
      <c r="B507" s="28" t="inlineStr">
        <is>
          <t>센서 케이스</t>
        </is>
      </c>
      <c r="C507" s="28" t="inlineStr">
        <is>
          <t>공용</t>
        </is>
      </c>
      <c r="D507" s="29" t="inlineStr">
        <is>
          <t>330N 센서 케이스
[공용]</t>
        </is>
      </c>
      <c r="E507" s="28" t="inlineStr">
        <is>
          <t>다우정밀</t>
        </is>
      </c>
      <c r="F507" s="30" t="n"/>
      <c r="G507" s="29">
        <f>IFERROR("["&amp;INDEX(고압진공_재고현황!$A:$A,MATCH($D507,고압진공_재고현황!$E:$E,0))&amp;"] "&amp;INDEX(고압진공_재고현황!$D:$D,MATCH($D507,고압진공_재고현황!$E:$E,0)),IFERROR("[조립] "&amp;INDEX(조립자재_재고현황!$D:$D,MATCH($D507,조립자재_재고현황!$E:$E,0)),""))</f>
        <v/>
      </c>
      <c r="H507" s="31">
        <f>IF(G507="","",COUNTIF($G$2:G507,"?*"))</f>
        <v/>
      </c>
    </row>
    <row r="508" ht="48" customHeight="1">
      <c r="A508" s="48" t="inlineStr">
        <is>
          <t>창고</t>
        </is>
      </c>
      <c r="B508" s="28" t="inlineStr">
        <is>
          <t>센서</t>
        </is>
      </c>
      <c r="C508" s="28" t="inlineStr">
        <is>
          <t>공용</t>
        </is>
      </c>
      <c r="D508" s="29" t="inlineStr">
        <is>
          <t>17*17 DRTECH 센서
[공용]</t>
        </is>
      </c>
      <c r="E508" s="28" t="inlineStr">
        <is>
          <t>디알텍</t>
        </is>
      </c>
      <c r="F508" s="30" t="n"/>
      <c r="G508" s="29">
        <f>IFERROR("["&amp;INDEX(고압진공_재고현황!$A:$A,MATCH($D508,고압진공_재고현황!$E:$E,0))&amp;"] "&amp;INDEX(고압진공_재고현황!$D:$D,MATCH($D508,고압진공_재고현황!$E:$E,0)),IFERROR("[조립] "&amp;INDEX(조립자재_재고현황!$D:$D,MATCH($D508,조립자재_재고현황!$E:$E,0)),""))</f>
        <v/>
      </c>
      <c r="H508" s="31">
        <f>IF(G508="","",COUNTIF($G$2:G508,"?*"))</f>
        <v/>
      </c>
    </row>
    <row r="509" ht="48" customHeight="1">
      <c r="A509" s="48" t="inlineStr">
        <is>
          <t>창고</t>
        </is>
      </c>
      <c r="B509" s="28" t="inlineStr">
        <is>
          <t>센서</t>
        </is>
      </c>
      <c r="C509" s="28" t="inlineStr">
        <is>
          <t>공용</t>
        </is>
      </c>
      <c r="D509" s="29" t="inlineStr">
        <is>
          <t>330N DRTECH 센서
[공용]</t>
        </is>
      </c>
      <c r="E509" s="28" t="inlineStr">
        <is>
          <t>디알텍</t>
        </is>
      </c>
      <c r="F509" s="30" t="n"/>
      <c r="G509" s="29">
        <f>IFERROR("["&amp;INDEX(고압진공_재고현황!$A:$A,MATCH($D509,고압진공_재고현황!$E:$E,0))&amp;"] "&amp;INDEX(고압진공_재고현황!$D:$D,MATCH($D509,고압진공_재고현황!$E:$E,0)),IFERROR("[조립] "&amp;INDEX(조립자재_재고현황!$D:$D,MATCH($D509,조립자재_재고현황!$E:$E,0)),""))</f>
        <v/>
      </c>
      <c r="H509" s="31">
        <f>IF(G509="","",COUNTIF($G$2:G509,"?*"))</f>
        <v/>
      </c>
    </row>
    <row r="510" ht="48" customHeight="1">
      <c r="A510" s="48" t="inlineStr">
        <is>
          <t>창고</t>
        </is>
      </c>
      <c r="B510" s="28" t="inlineStr">
        <is>
          <t>센서</t>
        </is>
      </c>
      <c r="C510" s="28" t="inlineStr">
        <is>
          <t>공용</t>
        </is>
      </c>
      <c r="D510" s="29" t="inlineStr">
        <is>
          <t>810 DRTECH 센서
[공용]</t>
        </is>
      </c>
      <c r="E510" s="28" t="inlineStr">
        <is>
          <t>디알텍</t>
        </is>
      </c>
      <c r="F510" s="30" t="n"/>
      <c r="G510" s="29">
        <f>IFERROR("["&amp;INDEX(고압진공_재고현황!$A:$A,MATCH($D510,고압진공_재고현황!$E:$E,0))&amp;"] "&amp;INDEX(고압진공_재고현황!$D:$D,MATCH($D510,고압진공_재고현황!$E:$E,0)),IFERROR("[조립] "&amp;INDEX(조립자재_재고현황!$D:$D,MATCH($D510,조립자재_재고현황!$E:$E,0)),""))</f>
        <v/>
      </c>
      <c r="H510" s="31">
        <f>IF(G510="","",COUNTIF($G$2:G510,"?*"))</f>
        <v/>
      </c>
    </row>
    <row r="511" ht="48" customHeight="1">
      <c r="A511" s="48" t="inlineStr">
        <is>
          <t>창고</t>
        </is>
      </c>
      <c r="B511" s="28" t="inlineStr">
        <is>
          <t>센서</t>
        </is>
      </c>
      <c r="C511" s="28" t="inlineStr">
        <is>
          <t>공용</t>
        </is>
      </c>
      <c r="D511" s="29" t="inlineStr">
        <is>
          <t>HDI 1000 [Rex2 Classic/1.5]
[공용]</t>
        </is>
      </c>
      <c r="E511" s="28" t="inlineStr">
        <is>
          <t>레이언스</t>
        </is>
      </c>
      <c r="F511" s="30" t="n"/>
      <c r="G511" s="29">
        <f>IFERROR("["&amp;INDEX(고압진공_재고현황!$A:$A,MATCH($D511,고압진공_재고현황!$E:$E,0))&amp;"] "&amp;INDEX(고압진공_재고현황!$D:$D,MATCH($D511,고압진공_재고현황!$E:$E,0)),IFERROR("[조립] "&amp;INDEX(조립자재_재고현황!$D:$D,MATCH($D511,조립자재_재고현황!$E:$E,0)),""))</f>
        <v/>
      </c>
      <c r="H511" s="31">
        <f>IF(G511="","",COUNTIF($G$2:G511,"?*"))</f>
        <v/>
      </c>
    </row>
    <row r="512" ht="48" customHeight="1">
      <c r="A512" s="48" t="inlineStr">
        <is>
          <t>창고</t>
        </is>
      </c>
      <c r="B512" s="28" t="inlineStr">
        <is>
          <t>센서</t>
        </is>
      </c>
      <c r="C512" s="28" t="inlineStr">
        <is>
          <t>공용</t>
        </is>
      </c>
      <c r="D512" s="29" t="inlineStr">
        <is>
          <t>HDI 2000 [Rex2 Premium/1.5]
[공용]</t>
        </is>
      </c>
      <c r="E512" s="28" t="inlineStr">
        <is>
          <t>레이언스</t>
        </is>
      </c>
      <c r="F512" s="30" t="n"/>
      <c r="G512" s="29">
        <f>IFERROR("["&amp;INDEX(고압진공_재고현황!$A:$A,MATCH($D512,고압진공_재고현황!$E:$E,0))&amp;"] "&amp;INDEX(고압진공_재고현황!$D:$D,MATCH($D512,고압진공_재고현황!$E:$E,0)),IFERROR("[조립] "&amp;INDEX(조립자재_재고현황!$D:$D,MATCH($D512,조립자재_재고현황!$E:$E,0)),""))</f>
        <v/>
      </c>
      <c r="H512" s="31">
        <f>IF(G512="","",COUNTIF($G$2:G512,"?*"))</f>
        <v/>
      </c>
    </row>
    <row r="513" ht="48" customHeight="1">
      <c r="A513" s="48" t="inlineStr">
        <is>
          <t>창고</t>
        </is>
      </c>
      <c r="B513" s="28" t="inlineStr">
        <is>
          <t>센서</t>
        </is>
      </c>
      <c r="C513" s="28" t="inlineStr">
        <is>
          <t>공용</t>
        </is>
      </c>
      <c r="D513" s="29" t="inlineStr">
        <is>
          <t>HDI 2000 [Rex2 Premium/2.0]
[공용]</t>
        </is>
      </c>
      <c r="E513" s="28" t="inlineStr">
        <is>
          <t>레이언스</t>
        </is>
      </c>
      <c r="F513" s="30" t="n"/>
      <c r="G513" s="29">
        <f>IFERROR("["&amp;INDEX(고압진공_재고현황!$A:$A,MATCH($D513,고압진공_재고현황!$E:$E,0))&amp;"] "&amp;INDEX(고압진공_재고현황!$D:$D,MATCH($D513,고압진공_재고현황!$E:$E,0)),IFERROR("[조립] "&amp;INDEX(조립자재_재고현황!$D:$D,MATCH($D513,조립자재_재고현황!$E:$E,0)),""))</f>
        <v/>
      </c>
      <c r="H513" s="31">
        <f>IF(G513="","",COUNTIF($G$2:G513,"?*"))</f>
        <v/>
      </c>
    </row>
    <row r="514" ht="48" customHeight="1">
      <c r="A514" s="48" t="inlineStr">
        <is>
          <t>창고</t>
        </is>
      </c>
      <c r="B514" s="28" t="inlineStr">
        <is>
          <t>센서</t>
        </is>
      </c>
      <c r="C514" s="28" t="inlineStr">
        <is>
          <t>공용</t>
        </is>
      </c>
      <c r="D514" s="29" t="inlineStr">
        <is>
          <t>HDI-S [Rex2 Premium/1.0]
[공용]</t>
        </is>
      </c>
      <c r="E514" s="28" t="inlineStr">
        <is>
          <t>레이언스</t>
        </is>
      </c>
      <c r="F514" s="30" t="n"/>
      <c r="G514" s="29">
        <f>IFERROR("["&amp;INDEX(고압진공_재고현황!$A:$A,MATCH($D514,고압진공_재고현황!$E:$E,0))&amp;"] "&amp;INDEX(고압진공_재고현황!$D:$D,MATCH($D514,고압진공_재고현황!$E:$E,0)),IFERROR("[조립] "&amp;INDEX(조립자재_재고현황!$D:$D,MATCH($D514,조립자재_재고현황!$E:$E,0)),""))</f>
        <v/>
      </c>
      <c r="H514" s="31">
        <f>IF(G514="","",COUNTIF($G$2:G514,"?*"))</f>
        <v/>
      </c>
    </row>
    <row r="515" ht="48" customHeight="1">
      <c r="A515" s="48" t="inlineStr">
        <is>
          <t>창고</t>
        </is>
      </c>
      <c r="B515" s="28" t="inlineStr">
        <is>
          <t>센서</t>
        </is>
      </c>
      <c r="C515" s="28" t="inlineStr">
        <is>
          <t>공용</t>
        </is>
      </c>
      <c r="D515" s="29" t="inlineStr">
        <is>
          <t>HDI-S [Rex2 Premium/1.5]
[공용]</t>
        </is>
      </c>
      <c r="E515" s="28" t="inlineStr">
        <is>
          <t>레이언스</t>
        </is>
      </c>
      <c r="F515" s="30" t="n"/>
      <c r="G515" s="29">
        <f>IFERROR("["&amp;INDEX(고압진공_재고현황!$A:$A,MATCH($D515,고압진공_재고현황!$E:$E,0))&amp;"] "&amp;INDEX(고압진공_재고현황!$D:$D,MATCH($D515,고압진공_재고현황!$E:$E,0)),IFERROR("[조립] "&amp;INDEX(조립자재_재고현황!$D:$D,MATCH($D515,조립자재_재고현황!$E:$E,0)),""))</f>
        <v/>
      </c>
      <c r="H515" s="31">
        <f>IF(G515="","",COUNTIF($G$2:G515,"?*"))</f>
        <v/>
      </c>
    </row>
    <row r="516" ht="48" customHeight="1">
      <c r="A516" s="48" t="inlineStr">
        <is>
          <t>창고</t>
        </is>
      </c>
      <c r="B516" s="28" t="inlineStr">
        <is>
          <t>센서</t>
        </is>
      </c>
      <c r="C516" s="28" t="inlineStr">
        <is>
          <t>공용</t>
        </is>
      </c>
      <c r="D516" s="29" t="inlineStr">
        <is>
          <t>HDI-S [Rex2 Premium/2.0]
[공용]</t>
        </is>
      </c>
      <c r="E516" s="28" t="inlineStr">
        <is>
          <t>레이언스</t>
        </is>
      </c>
      <c r="F516" s="30" t="n"/>
      <c r="G516" s="29">
        <f>IFERROR("["&amp;INDEX(고압진공_재고현황!$A:$A,MATCH($D516,고압진공_재고현황!$E:$E,0))&amp;"] "&amp;INDEX(고압진공_재고현황!$D:$D,MATCH($D516,고압진공_재고현황!$E:$E,0)),IFERROR("[조립] "&amp;INDEX(조립자재_재고현황!$D:$D,MATCH($D516,조립자재_재고현황!$E:$E,0)),""))</f>
        <v/>
      </c>
      <c r="H516" s="31">
        <f>IF(G516="","",COUNTIF($G$2:G516,"?*"))</f>
        <v/>
      </c>
    </row>
    <row r="517" ht="48" customHeight="1">
      <c r="A517" s="48" t="inlineStr">
        <is>
          <t>창고</t>
        </is>
      </c>
      <c r="B517" s="28" t="inlineStr">
        <is>
          <t>센서</t>
        </is>
      </c>
      <c r="C517" s="28" t="inlineStr">
        <is>
          <t>공용</t>
        </is>
      </c>
      <c r="D517" s="29" t="inlineStr">
        <is>
          <t>CMOS 센서 (#1) (EV71JU215A-C-00B1)
[공용]</t>
        </is>
      </c>
      <c r="E517" s="28" t="inlineStr">
        <is>
          <t>E2V</t>
        </is>
      </c>
      <c r="F517" s="30" t="n"/>
      <c r="G517" s="29">
        <f>IFERROR("["&amp;INDEX(고압진공_재고현황!$A:$A,MATCH($D517,고압진공_재고현황!$E:$E,0))&amp;"] "&amp;INDEX(고압진공_재고현황!$D:$D,MATCH($D517,고압진공_재고현황!$E:$E,0)),IFERROR("[조립] "&amp;INDEX(조립자재_재고현황!$D:$D,MATCH($D517,조립자재_재고현황!$E:$E,0)),""))</f>
        <v/>
      </c>
      <c r="H517" s="31">
        <f>IF(G517="","",COUNTIF($G$2:G517,"?*"))</f>
        <v/>
      </c>
    </row>
    <row r="518" ht="48" customHeight="1">
      <c r="A518" s="48" t="inlineStr">
        <is>
          <t>창고</t>
        </is>
      </c>
      <c r="B518" s="28" t="inlineStr">
        <is>
          <t>센서</t>
        </is>
      </c>
      <c r="C518" s="28" t="inlineStr">
        <is>
          <t>공용</t>
        </is>
      </c>
      <c r="D518" s="29" t="inlineStr">
        <is>
          <t>CMOS 센서 (#2) (EV71JU213A-C-00B1)
[공용]</t>
        </is>
      </c>
      <c r="E518" s="28" t="inlineStr">
        <is>
          <t>E2V</t>
        </is>
      </c>
      <c r="F518" s="30" t="n"/>
      <c r="G518" s="29">
        <f>IFERROR("["&amp;INDEX(고압진공_재고현황!$A:$A,MATCH($D518,고압진공_재고현황!$E:$E,0))&amp;"] "&amp;INDEX(고압진공_재고현황!$D:$D,MATCH($D518,고압진공_재고현황!$E:$E,0)),IFERROR("[조립] "&amp;INDEX(조립자재_재고현황!$D:$D,MATCH($D518,조립자재_재고현황!$E:$E,0)),""))</f>
        <v/>
      </c>
      <c r="H518" s="31">
        <f>IF(G518="","",COUNTIF($G$2:G518,"?*"))</f>
        <v/>
      </c>
    </row>
    <row r="519" ht="48" customHeight="1">
      <c r="A519" s="48" t="inlineStr">
        <is>
          <t>창고</t>
        </is>
      </c>
      <c r="B519" s="28" t="inlineStr">
        <is>
          <t>RUBBER</t>
        </is>
      </c>
      <c r="C519" s="28" t="inlineStr">
        <is>
          <t>공용</t>
        </is>
      </c>
      <c r="D519" s="29" t="inlineStr">
        <is>
          <t>SCREW CAP (RUBBER)
[공용]</t>
        </is>
      </c>
      <c r="E519" s="28" t="inlineStr">
        <is>
          <t>남경화학</t>
        </is>
      </c>
      <c r="F519" s="30" t="n"/>
      <c r="G519" s="29">
        <f>IFERROR("["&amp;INDEX(고압진공_재고현황!$A:$A,MATCH($D519,고압진공_재고현황!$E:$E,0))&amp;"] "&amp;INDEX(고압진공_재고현황!$D:$D,MATCH($D519,고압진공_재고현황!$E:$E,0)),IFERROR("[조립] "&amp;INDEX(조립자재_재고현황!$D:$D,MATCH($D519,조립자재_재고현황!$E:$E,0)),""))</f>
        <v/>
      </c>
      <c r="H519" s="31">
        <f>IF(G519="","",COUNTIF($G$2:G519,"?*"))</f>
        <v/>
      </c>
    </row>
    <row r="520" ht="48" customHeight="1">
      <c r="A520" s="48" t="inlineStr">
        <is>
          <t>창고</t>
        </is>
      </c>
      <c r="B520" s="28" t="inlineStr">
        <is>
          <t>RUBBER</t>
        </is>
      </c>
      <c r="C520" s="28" t="inlineStr">
        <is>
          <t>ADX6000</t>
        </is>
      </c>
      <c r="D520" s="29" t="inlineStr">
        <is>
          <t>Cradle RUBBER (FOOT RUBBER)
[ADX6000]</t>
        </is>
      </c>
      <c r="E520" s="28" t="inlineStr">
        <is>
          <t>남경화학</t>
        </is>
      </c>
      <c r="F520" s="30" t="n"/>
      <c r="G520" s="29">
        <f>IFERROR("["&amp;INDEX(고압진공_재고현황!$A:$A,MATCH($D520,고압진공_재고현황!$E:$E,0))&amp;"] "&amp;INDEX(고압진공_재고현황!$D:$D,MATCH($D520,고압진공_재고현황!$E:$E,0)),IFERROR("[조립] "&amp;INDEX(조립자재_재고현황!$D:$D,MATCH($D520,조립자재_재고현황!$E:$E,0)),""))</f>
        <v/>
      </c>
      <c r="H520" s="31">
        <f>IF(G520="","",COUNTIF($G$2:G520,"?*"))</f>
        <v/>
      </c>
    </row>
    <row r="521" ht="48" customHeight="1">
      <c r="A521" s="48" t="inlineStr">
        <is>
          <t>창고</t>
        </is>
      </c>
      <c r="B521" s="28" t="inlineStr">
        <is>
          <t>볼트캡</t>
        </is>
      </c>
      <c r="C521" s="28" t="inlineStr">
        <is>
          <t>공용</t>
        </is>
      </c>
      <c r="D521" s="29" t="inlineStr">
        <is>
          <t>볼트마개
[공용]</t>
        </is>
      </c>
      <c r="E521" s="28" t="inlineStr">
        <is>
          <t>직구</t>
        </is>
      </c>
      <c r="F521" s="30" t="n"/>
      <c r="G521" s="29">
        <f>IFERROR("["&amp;INDEX(고압진공_재고현황!$A:$A,MATCH($D521,고압진공_재고현황!$E:$E,0))&amp;"] "&amp;INDEX(고압진공_재고현황!$D:$D,MATCH($D521,고압진공_재고현황!$E:$E,0)),IFERROR("[조립] "&amp;INDEX(조립자재_재고현황!$D:$D,MATCH($D521,조립자재_재고현황!$E:$E,0)),""))</f>
        <v/>
      </c>
      <c r="H521" s="31">
        <f>IF(G521="","",COUNTIF($G$2:G521,"?*"))</f>
        <v/>
      </c>
    </row>
    <row r="522" ht="48" customHeight="1">
      <c r="A522" s="48" t="inlineStr">
        <is>
          <t>창고</t>
        </is>
      </c>
      <c r="B522" s="28" t="inlineStr">
        <is>
          <t>ABS</t>
        </is>
      </c>
      <c r="C522" s="28" t="inlineStr">
        <is>
          <t>ADX6000</t>
        </is>
      </c>
      <c r="D522" s="29" t="inlineStr">
        <is>
          <t>스탠드 부속품 (바-부쉬)
[ADX6000]</t>
        </is>
      </c>
      <c r="E522" s="28" t="inlineStr">
        <is>
          <t>에이스힌지텍</t>
        </is>
      </c>
      <c r="F522" s="30" t="n"/>
      <c r="G522" s="29">
        <f>IFERROR("["&amp;INDEX(고압진공_재고현황!$A:$A,MATCH($D522,고압진공_재고현황!$E:$E,0))&amp;"] "&amp;INDEX(고압진공_재고현황!$D:$D,MATCH($D522,고압진공_재고현황!$E:$E,0)),IFERROR("[조립] "&amp;INDEX(조립자재_재고현황!$D:$D,MATCH($D522,조립자재_재고현황!$E:$E,0)),""))</f>
        <v/>
      </c>
      <c r="H522" s="31">
        <f>IF(G522="","",COUNTIF($G$2:G522,"?*"))</f>
        <v/>
      </c>
    </row>
    <row r="523" ht="48" customHeight="1">
      <c r="A523" s="48" t="inlineStr">
        <is>
          <t>창고</t>
        </is>
      </c>
      <c r="B523" s="28" t="inlineStr">
        <is>
          <t>SUS</t>
        </is>
      </c>
      <c r="C523" s="28" t="inlineStr">
        <is>
          <t>ADX6000</t>
        </is>
      </c>
      <c r="D523" s="29" t="inlineStr">
        <is>
          <t>스탠드 부속품 (바-부쉬링)
[ADX6000]</t>
        </is>
      </c>
      <c r="E523" s="28" t="inlineStr">
        <is>
          <t>에이스힌지텍</t>
        </is>
      </c>
      <c r="F523" s="30" t="n"/>
      <c r="G523" s="29">
        <f>IFERROR("["&amp;INDEX(고압진공_재고현황!$A:$A,MATCH($D523,고압진공_재고현황!$E:$E,0))&amp;"] "&amp;INDEX(고압진공_재고현황!$D:$D,MATCH($D523,고압진공_재고현황!$E:$E,0)),IFERROR("[조립] "&amp;INDEX(조립자재_재고현황!$D:$D,MATCH($D523,조립자재_재고현황!$E:$E,0)),""))</f>
        <v/>
      </c>
      <c r="H523" s="31">
        <f>IF(G523="","",COUNTIF($G$2:G523,"?*"))</f>
        <v/>
      </c>
    </row>
    <row r="524" ht="48" customHeight="1">
      <c r="A524" s="48" t="inlineStr">
        <is>
          <t>창고</t>
        </is>
      </c>
      <c r="B524" s="28" t="inlineStr">
        <is>
          <t>브라켓</t>
        </is>
      </c>
      <c r="C524" s="28" t="inlineStr">
        <is>
          <t>ADX6000</t>
        </is>
      </c>
      <c r="D524" s="29" t="inlineStr">
        <is>
          <t>스탠드 브라켓(암연결용)
[ADX6000]</t>
        </is>
      </c>
      <c r="E524" s="28" t="inlineStr">
        <is>
          <t>에이스힌지텍</t>
        </is>
      </c>
      <c r="F524" s="30" t="n"/>
      <c r="G524" s="29">
        <f>IFERROR("["&amp;INDEX(고압진공_재고현황!$A:$A,MATCH($D524,고압진공_재고현황!$E:$E,0))&amp;"] "&amp;INDEX(고압진공_재고현황!$D:$D,MATCH($D524,고압진공_재고현황!$E:$E,0)),IFERROR("[조립] "&amp;INDEX(조립자재_재고현황!$D:$D,MATCH($D524,조립자재_재고현황!$E:$E,0)),""))</f>
        <v/>
      </c>
      <c r="H524" s="31">
        <f>IF(G524="","",COUNTIF($G$2:G524,"?*"))</f>
        <v/>
      </c>
    </row>
    <row r="525" ht="48" customHeight="1">
      <c r="A525" s="48" t="inlineStr">
        <is>
          <t>창고</t>
        </is>
      </c>
      <c r="B525" s="28" t="inlineStr">
        <is>
          <t>브라켓</t>
        </is>
      </c>
      <c r="C525" s="28" t="inlineStr">
        <is>
          <t>ADX6000</t>
        </is>
      </c>
      <c r="D525" s="29" t="inlineStr">
        <is>
          <t>스탠드 브라켓(제품용)
[ADX6000]</t>
        </is>
      </c>
      <c r="E525" s="28" t="inlineStr">
        <is>
          <t>다우정밀</t>
        </is>
      </c>
      <c r="F525" s="30" t="n"/>
      <c r="G525" s="29">
        <f>IFERROR("["&amp;INDEX(고압진공_재고현황!$A:$A,MATCH($D525,고압진공_재고현황!$E:$E,0))&amp;"] "&amp;INDEX(고압진공_재고현황!$D:$D,MATCH($D525,고압진공_재고현황!$E:$E,0)),IFERROR("[조립] "&amp;INDEX(조립자재_재고현황!$D:$D,MATCH($D525,조립자재_재고현황!$E:$E,0)),""))</f>
        <v/>
      </c>
      <c r="H525" s="31">
        <f>IF(G525="","",COUNTIF($G$2:G525,"?*"))</f>
        <v/>
      </c>
    </row>
    <row r="526" ht="48" customHeight="1">
      <c r="A526" s="48" t="inlineStr">
        <is>
          <t>창고</t>
        </is>
      </c>
      <c r="B526" s="28" t="inlineStr">
        <is>
          <t>제품 거치대</t>
        </is>
      </c>
      <c r="C526" s="28" t="inlineStr">
        <is>
          <t>ADX4000W</t>
        </is>
      </c>
      <c r="D526" s="29" t="inlineStr">
        <is>
          <t>스탠드홀드 (은색)
[ADX4000W]</t>
        </is>
      </c>
      <c r="E526" s="28" t="inlineStr">
        <is>
          <t>제이케이시스템</t>
        </is>
      </c>
      <c r="F526" s="30" t="n"/>
      <c r="G526" s="29">
        <f>IFERROR("["&amp;INDEX(고압진공_재고현황!$A:$A,MATCH($D526,고압진공_재고현황!$E:$E,0))&amp;"] "&amp;INDEX(고압진공_재고현황!$D:$D,MATCH($D526,고압진공_재고현황!$E:$E,0)),IFERROR("[조립] "&amp;INDEX(조립자재_재고현황!$D:$D,MATCH($D526,조립자재_재고현황!$E:$E,0)),""))</f>
        <v/>
      </c>
      <c r="H526" s="31">
        <f>IF(G526="","",COUNTIF($G$2:G526,"?*"))</f>
        <v/>
      </c>
    </row>
    <row r="527" ht="48" customHeight="1">
      <c r="A527" s="48" t="inlineStr">
        <is>
          <t>창고</t>
        </is>
      </c>
      <c r="B527" s="28" t="inlineStr">
        <is>
          <t>제품 거치대</t>
        </is>
      </c>
      <c r="C527" s="28" t="inlineStr">
        <is>
          <t>DX3000</t>
        </is>
      </c>
      <c r="D527" s="29" t="inlineStr">
        <is>
          <t>스탠드홀드
[DX3000]</t>
        </is>
      </c>
      <c r="E527" s="28" t="inlineStr">
        <is>
          <t>제이케이시스템</t>
        </is>
      </c>
      <c r="F527" s="30" t="n"/>
      <c r="G527" s="29">
        <f>IFERROR("["&amp;INDEX(고압진공_재고현황!$A:$A,MATCH($D527,고압진공_재고현황!$E:$E,0))&amp;"] "&amp;INDEX(고압진공_재고현황!$D:$D,MATCH($D527,고압진공_재고현황!$E:$E,0)),IFERROR("[조립] "&amp;INDEX(조립자재_재고현황!$D:$D,MATCH($D527,조립자재_재고현황!$E:$E,0)),""))</f>
        <v/>
      </c>
      <c r="H527" s="31">
        <f>IF(G527="","",COUNTIF($G$2:G527,"?*"))</f>
        <v/>
      </c>
    </row>
    <row r="528" ht="48" customHeight="1">
      <c r="A528" s="48" t="inlineStr">
        <is>
          <t>창고</t>
        </is>
      </c>
      <c r="B528" s="28" t="inlineStr">
        <is>
          <t>제품 거치대</t>
        </is>
      </c>
      <c r="C528" s="28" t="inlineStr">
        <is>
          <t>ADX4000W</t>
        </is>
      </c>
      <c r="D528" s="29" t="inlineStr">
        <is>
          <t>스탠드홀드(신형) (흰색)
[ADX4000W]</t>
        </is>
      </c>
      <c r="E528" s="28" t="inlineStr">
        <is>
          <t>제이케이시스템</t>
        </is>
      </c>
      <c r="F528" s="30" t="n"/>
      <c r="G528" s="29">
        <f>IFERROR("["&amp;INDEX(고압진공_재고현황!$A:$A,MATCH($D528,고압진공_재고현황!$E:$E,0))&amp;"] "&amp;INDEX(고압진공_재고현황!$D:$D,MATCH($D528,고압진공_재고현황!$E:$E,0)),IFERROR("[조립] "&amp;INDEX(조립자재_재고현황!$D:$D,MATCH($D528,조립자재_재고현황!$E:$E,0)),""))</f>
        <v/>
      </c>
      <c r="H528" s="31">
        <f>IF(G528="","",COUNTIF($G$2:G528,"?*"))</f>
        <v/>
      </c>
    </row>
    <row r="529" ht="48" customHeight="1">
      <c r="A529" s="48" t="inlineStr">
        <is>
          <t>창고</t>
        </is>
      </c>
      <c r="B529" s="28" t="inlineStr">
        <is>
          <t>ABS 난연</t>
        </is>
      </c>
      <c r="C529" s="28" t="inlineStr">
        <is>
          <t>DX3000, ADX4000W</t>
        </is>
      </c>
      <c r="D529" s="29" t="inlineStr">
        <is>
          <t>배터리 거치대 사출 SETS
[DX3000, ADX4000W]</t>
        </is>
      </c>
      <c r="E529" s="28" t="inlineStr">
        <is>
          <t>다성 ENG</t>
        </is>
      </c>
      <c r="F529" s="30" t="n"/>
      <c r="G529" s="29">
        <f>IFERROR("["&amp;INDEX(고압진공_재고현황!$A:$A,MATCH($D529,고압진공_재고현황!$E:$E,0))&amp;"] "&amp;INDEX(고압진공_재고현황!$D:$D,MATCH($D529,고압진공_재고현황!$E:$E,0)),IFERROR("[조립] "&amp;INDEX(조립자재_재고현황!$D:$D,MATCH($D529,조립자재_재고현황!$E:$E,0)),""))</f>
        <v/>
      </c>
      <c r="H529" s="31">
        <f>IF(G529="","",COUNTIF($G$2:G529,"?*"))</f>
        <v/>
      </c>
    </row>
    <row r="530" ht="48" customHeight="1">
      <c r="A530" s="48" t="inlineStr">
        <is>
          <t>창고</t>
        </is>
      </c>
      <c r="B530" s="28" t="inlineStr">
        <is>
          <t>신주</t>
        </is>
      </c>
      <c r="C530" s="28" t="inlineStr">
        <is>
          <t>DX3000, ADX4000W</t>
        </is>
      </c>
      <c r="D530" s="29" t="inlineStr">
        <is>
          <t>배터리 거치대용 신주핀
[DX3000, ADX4000W]</t>
        </is>
      </c>
      <c r="E530" s="28" t="inlineStr">
        <is>
          <t>다우정밀</t>
        </is>
      </c>
      <c r="F530" s="30" t="n"/>
      <c r="G530" s="29">
        <f>IFERROR("["&amp;INDEX(고압진공_재고현황!$A:$A,MATCH($D530,고압진공_재고현황!$E:$E,0))&amp;"] "&amp;INDEX(고압진공_재고현황!$D:$D,MATCH($D530,고압진공_재고현황!$E:$E,0)),IFERROR("[조립] "&amp;INDEX(조립자재_재고현황!$D:$D,MATCH($D530,조립자재_재고현황!$E:$E,0)),""))</f>
        <v/>
      </c>
      <c r="H530" s="31">
        <f>IF(G530="","",COUNTIF($G$2:G530,"?*"))</f>
        <v/>
      </c>
    </row>
    <row r="531" ht="48" customHeight="1">
      <c r="A531" s="48" t="inlineStr">
        <is>
          <t>창고</t>
        </is>
      </c>
      <c r="B531" s="28" t="inlineStr">
        <is>
          <t>브라켓</t>
        </is>
      </c>
      <c r="C531" s="28" t="inlineStr">
        <is>
          <t>공용</t>
        </is>
      </c>
      <c r="D531" s="29" t="inlineStr">
        <is>
          <t>스탠드 브라켓 조인트 셋트
[공용]</t>
        </is>
      </c>
      <c r="E531" s="28" t="inlineStr">
        <is>
          <t>제이케이시스템</t>
        </is>
      </c>
      <c r="F531" s="30" t="n"/>
      <c r="G531" s="29">
        <f>IFERROR("["&amp;INDEX(고압진공_재고현황!$A:$A,MATCH($D531,고압진공_재고현황!$E:$E,0))&amp;"] "&amp;INDEX(고압진공_재고현황!$D:$D,MATCH($D531,고압진공_재고현황!$E:$E,0)),IFERROR("[조립] "&amp;INDEX(조립자재_재고현황!$D:$D,MATCH($D531,조립자재_재고현황!$E:$E,0)),""))</f>
        <v/>
      </c>
      <c r="H531" s="31">
        <f>IF(G531="","",COUNTIF($G$2:G531,"?*"))</f>
        <v/>
      </c>
    </row>
    <row r="532" ht="48" customHeight="1">
      <c r="A532" s="48" t="inlineStr">
        <is>
          <t>창고</t>
        </is>
      </c>
      <c r="B532" s="28" t="inlineStr">
        <is>
          <t>브라켓</t>
        </is>
      </c>
      <c r="C532" s="28" t="inlineStr">
        <is>
          <t>공용</t>
        </is>
      </c>
      <c r="D532" s="29" t="inlineStr">
        <is>
          <t>스탠드 브라켓 족의학용
[공용]</t>
        </is>
      </c>
      <c r="E532" s="28" t="inlineStr">
        <is>
          <t>제이케이시스템</t>
        </is>
      </c>
      <c r="F532" s="30" t="n"/>
      <c r="G532" s="29">
        <f>IFERROR("["&amp;INDEX(고압진공_재고현황!$A:$A,MATCH($D532,고압진공_재고현황!$E:$E,0))&amp;"] "&amp;INDEX(고압진공_재고현황!$D:$D,MATCH($D532,고압진공_재고현황!$E:$E,0)),IFERROR("[조립] "&amp;INDEX(조립자재_재고현황!$D:$D,MATCH($D532,조립자재_재고현황!$E:$E,0)),""))</f>
        <v/>
      </c>
      <c r="H532" s="31">
        <f>IF(G532="","",COUNTIF($G$2:G532,"?*"))</f>
        <v/>
      </c>
    </row>
    <row r="533" ht="48" customHeight="1">
      <c r="A533" s="48" t="inlineStr">
        <is>
          <t>창고</t>
        </is>
      </c>
      <c r="B533" s="28" t="inlineStr">
        <is>
          <t>브라켓</t>
        </is>
      </c>
      <c r="C533" s="28" t="inlineStr">
        <is>
          <t>ADX6000</t>
        </is>
      </c>
      <c r="D533" s="29" t="inlineStr">
        <is>
          <t>국내용 스탠드 브라켓 1. BLOCK
[ADX6000]</t>
        </is>
      </c>
      <c r="E533" s="28" t="inlineStr">
        <is>
          <t>제이케이시스템</t>
        </is>
      </c>
      <c r="F533" s="30" t="n"/>
      <c r="G533" s="29">
        <f>IFERROR("["&amp;INDEX(고압진공_재고현황!$A:$A,MATCH($D533,고압진공_재고현황!$E:$E,0))&amp;"] "&amp;INDEX(고압진공_재고현황!$D:$D,MATCH($D533,고압진공_재고현황!$E:$E,0)),IFERROR("[조립] "&amp;INDEX(조립자재_재고현황!$D:$D,MATCH($D533,조립자재_재고현황!$E:$E,0)),""))</f>
        <v/>
      </c>
      <c r="H533" s="31">
        <f>IF(G533="","",COUNTIF($G$2:G533,"?*"))</f>
        <v/>
      </c>
    </row>
    <row r="534" ht="48" customHeight="1">
      <c r="A534" s="48" t="inlineStr">
        <is>
          <t>창고</t>
        </is>
      </c>
      <c r="B534" s="28" t="inlineStr">
        <is>
          <t>브라켓</t>
        </is>
      </c>
      <c r="C534" s="28" t="inlineStr">
        <is>
          <t>ADX6000</t>
        </is>
      </c>
      <c r="D534" s="29" t="inlineStr">
        <is>
          <t>국내용 스탠드 브라켓 2. ARM
[ADX6000]</t>
        </is>
      </c>
      <c r="E534" s="28" t="inlineStr">
        <is>
          <t>제이케이시스템</t>
        </is>
      </c>
      <c r="F534" s="30" t="n"/>
      <c r="G534" s="29">
        <f>IFERROR("["&amp;INDEX(고압진공_재고현황!$A:$A,MATCH($D534,고압진공_재고현황!$E:$E,0))&amp;"] "&amp;INDEX(고압진공_재고현황!$D:$D,MATCH($D534,고압진공_재고현황!$E:$E,0)),IFERROR("[조립] "&amp;INDEX(조립자재_재고현황!$D:$D,MATCH($D534,조립자재_재고현황!$E:$E,0)),""))</f>
        <v/>
      </c>
      <c r="H534" s="31">
        <f>IF(G534="","",COUNTIF($G$2:G534,"?*"))</f>
        <v/>
      </c>
    </row>
    <row r="535" ht="48" customHeight="1">
      <c r="A535" s="48" t="inlineStr">
        <is>
          <t>창고</t>
        </is>
      </c>
      <c r="B535" s="28" t="inlineStr">
        <is>
          <t>브라켓</t>
        </is>
      </c>
      <c r="C535" s="28" t="inlineStr">
        <is>
          <t>ADX6000</t>
        </is>
      </c>
      <c r="D535" s="29" t="inlineStr">
        <is>
          <t>국내용 스탠드 브라켓 3. TILT BODY
[ADX6000]</t>
        </is>
      </c>
      <c r="E535" s="28" t="inlineStr">
        <is>
          <t>제이케이시스템</t>
        </is>
      </c>
      <c r="F535" s="30" t="n"/>
      <c r="G535" s="29">
        <f>IFERROR("["&amp;INDEX(고압진공_재고현황!$A:$A,MATCH($D535,고압진공_재고현황!$E:$E,0))&amp;"] "&amp;INDEX(고압진공_재고현황!$D:$D,MATCH($D535,고압진공_재고현황!$E:$E,0)),IFERROR("[조립] "&amp;INDEX(조립자재_재고현황!$D:$D,MATCH($D535,조립자재_재고현황!$E:$E,0)),""))</f>
        <v/>
      </c>
      <c r="H535" s="31">
        <f>IF(G535="","",COUNTIF($G$2:G535,"?*"))</f>
        <v/>
      </c>
    </row>
    <row r="536" ht="48" customHeight="1">
      <c r="A536" s="48" t="inlineStr">
        <is>
          <t>창고</t>
        </is>
      </c>
      <c r="B536" s="28" t="inlineStr">
        <is>
          <t>브라켓</t>
        </is>
      </c>
      <c r="C536" s="28" t="inlineStr">
        <is>
          <t>ADX6000</t>
        </is>
      </c>
      <c r="D536" s="29" t="inlineStr">
        <is>
          <t>국내용 스탠드 브라켓 4. BASE
[ADX6000]</t>
        </is>
      </c>
      <c r="E536" s="28" t="inlineStr">
        <is>
          <t>제이케이시스템</t>
        </is>
      </c>
      <c r="F536" s="30" t="n"/>
      <c r="G536" s="29">
        <f>IFERROR("["&amp;INDEX(고압진공_재고현황!$A:$A,MATCH($D536,고압진공_재고현황!$E:$E,0))&amp;"] "&amp;INDEX(고압진공_재고현황!$D:$D,MATCH($D536,고압진공_재고현황!$E:$E,0)),IFERROR("[조립] "&amp;INDEX(조립자재_재고현황!$D:$D,MATCH($D536,조립자재_재고현황!$E:$E,0)),""))</f>
        <v/>
      </c>
      <c r="H536" s="31">
        <f>IF(G536="","",COUNTIF($G$2:G536,"?*"))</f>
        <v/>
      </c>
    </row>
    <row r="537" ht="48" customHeight="1">
      <c r="A537" s="48" t="inlineStr">
        <is>
          <t>창고</t>
        </is>
      </c>
      <c r="B537" s="28" t="inlineStr">
        <is>
          <t>브라켓</t>
        </is>
      </c>
      <c r="C537" s="28" t="inlineStr">
        <is>
          <t>ADX6000</t>
        </is>
      </c>
      <c r="D537" s="29" t="inlineStr">
        <is>
          <t>국내용 스탠드 브라켓 5. SHAFT
[ADX6000]</t>
        </is>
      </c>
      <c r="E537" s="28" t="inlineStr">
        <is>
          <t>제이케이시스템</t>
        </is>
      </c>
      <c r="F537" s="30" t="n"/>
      <c r="G537" s="29">
        <f>IFERROR("["&amp;INDEX(고압진공_재고현황!$A:$A,MATCH($D537,고압진공_재고현황!$E:$E,0))&amp;"] "&amp;INDEX(고압진공_재고현황!$D:$D,MATCH($D537,고압진공_재고현황!$E:$E,0)),IFERROR("[조립] "&amp;INDEX(조립자재_재고현황!$D:$D,MATCH($D537,조립자재_재고현황!$E:$E,0)),""))</f>
        <v/>
      </c>
      <c r="H537" s="31">
        <f>IF(G537="","",COUNTIF($G$2:G537,"?*"))</f>
        <v/>
      </c>
    </row>
    <row r="538" ht="48" customHeight="1">
      <c r="A538" s="48" t="inlineStr">
        <is>
          <t>창고</t>
        </is>
      </c>
      <c r="B538" s="28" t="inlineStr">
        <is>
          <t>브라켓</t>
        </is>
      </c>
      <c r="C538" s="28" t="inlineStr">
        <is>
          <t>ADX6000</t>
        </is>
      </c>
      <c r="D538" s="29" t="inlineStr">
        <is>
          <t>국내용 스탠드 브라켓 6. PUSH PLATE
[ADX6000]</t>
        </is>
      </c>
      <c r="E538" s="28" t="inlineStr">
        <is>
          <t>제이케이시스템</t>
        </is>
      </c>
      <c r="F538" s="30" t="n"/>
      <c r="G538" s="29">
        <f>IFERROR("["&amp;INDEX(고압진공_재고현황!$A:$A,MATCH($D538,고압진공_재고현황!$E:$E,0))&amp;"] "&amp;INDEX(고압진공_재고현황!$D:$D,MATCH($D538,고압진공_재고현황!$E:$E,0)),IFERROR("[조립] "&amp;INDEX(조립자재_재고현황!$D:$D,MATCH($D538,조립자재_재고현황!$E:$E,0)),""))</f>
        <v/>
      </c>
      <c r="H538" s="31">
        <f>IF(G538="","",COUNTIF($G$2:G538,"?*"))</f>
        <v/>
      </c>
    </row>
    <row r="539" ht="48" customHeight="1">
      <c r="A539" s="48" t="inlineStr">
        <is>
          <t>창고</t>
        </is>
      </c>
      <c r="B539" s="28" t="inlineStr">
        <is>
          <t>브라켓</t>
        </is>
      </c>
      <c r="C539" s="28" t="inlineStr">
        <is>
          <t>ADX6000</t>
        </is>
      </c>
      <c r="D539" s="29" t="inlineStr">
        <is>
          <t>국내용 스탠드 브라켓 7. EASY LOCK PLATE
[ADX6000]</t>
        </is>
      </c>
      <c r="E539" s="28" t="inlineStr">
        <is>
          <t>제이케이시스템</t>
        </is>
      </c>
      <c r="F539" s="30" t="n"/>
      <c r="G539" s="29">
        <f>IFERROR("["&amp;INDEX(고압진공_재고현황!$A:$A,MATCH($D539,고압진공_재고현황!$E:$E,0))&amp;"] "&amp;INDEX(고압진공_재고현황!$D:$D,MATCH($D539,고압진공_재고현황!$E:$E,0)),IFERROR("[조립] "&amp;INDEX(조립자재_재고현황!$D:$D,MATCH($D539,조립자재_재고현황!$E:$E,0)),""))</f>
        <v/>
      </c>
      <c r="H539" s="31">
        <f>IF(G539="","",COUNTIF($G$2:G539,"?*"))</f>
        <v/>
      </c>
    </row>
    <row r="540" ht="48" customHeight="1">
      <c r="A540" s="48" t="inlineStr">
        <is>
          <t>창고</t>
        </is>
      </c>
      <c r="B540" s="28" t="inlineStr">
        <is>
          <t>브라켓</t>
        </is>
      </c>
      <c r="C540" s="28" t="inlineStr">
        <is>
          <t>ADX6000</t>
        </is>
      </c>
      <c r="D540" s="29" t="inlineStr">
        <is>
          <t>국내용 스탠드 브라켓 8. MOUNT
[ADX6000]</t>
        </is>
      </c>
      <c r="E540" s="28" t="inlineStr">
        <is>
          <t>제이케이시스템</t>
        </is>
      </c>
      <c r="F540" s="30" t="n"/>
      <c r="G540" s="29">
        <f>IFERROR("["&amp;INDEX(고압진공_재고현황!$A:$A,MATCH($D540,고압진공_재고현황!$E:$E,0))&amp;"] "&amp;INDEX(고압진공_재고현황!$D:$D,MATCH($D540,고압진공_재고현황!$E:$E,0)),IFERROR("[조립] "&amp;INDEX(조립자재_재고현황!$D:$D,MATCH($D540,조립자재_재고현황!$E:$E,0)),""))</f>
        <v/>
      </c>
      <c r="H540" s="31">
        <f>IF(G540="","",COUNTIF($G$2:G540,"?*"))</f>
        <v/>
      </c>
    </row>
    <row r="541" ht="48" customHeight="1">
      <c r="A541" s="48" t="inlineStr">
        <is>
          <t>창고</t>
        </is>
      </c>
      <c r="B541" s="28" t="inlineStr">
        <is>
          <t>브라켓</t>
        </is>
      </c>
      <c r="C541" s="28" t="inlineStr">
        <is>
          <t>ADX6000</t>
        </is>
      </c>
      <c r="D541" s="29" t="inlineStr">
        <is>
          <t>국내용 스탠드 브라켓 9. 조임 손잡이
[ADX6000]</t>
        </is>
      </c>
      <c r="E541" s="28" t="inlineStr">
        <is>
          <t>제이케이시스템</t>
        </is>
      </c>
      <c r="F541" s="30" t="n"/>
      <c r="G541" s="29">
        <f>IFERROR("["&amp;INDEX(고압진공_재고현황!$A:$A,MATCH($D541,고압진공_재고현황!$E:$E,0))&amp;"] "&amp;INDEX(고압진공_재고현황!$D:$D,MATCH($D541,고압진공_재고현황!$E:$E,0)),IFERROR("[조립] "&amp;INDEX(조립자재_재고현황!$D:$D,MATCH($D541,조립자재_재고현황!$E:$E,0)),""))</f>
        <v/>
      </c>
      <c r="H541" s="31">
        <f>IF(G541="","",COUNTIF($G$2:G541,"?*"))</f>
        <v/>
      </c>
    </row>
    <row r="542" ht="48" customHeight="1">
      <c r="A542" s="48" t="inlineStr">
        <is>
          <t>창고</t>
        </is>
      </c>
      <c r="B542" s="28" t="inlineStr">
        <is>
          <t>전자 각도기</t>
        </is>
      </c>
      <c r="C542" s="28" t="inlineStr">
        <is>
          <t>ADX6000S</t>
        </is>
      </c>
      <c r="D542" s="29" t="inlineStr">
        <is>
          <t>전자 각도기
[ADX6000S]</t>
        </is>
      </c>
      <c r="E542" s="28" t="inlineStr">
        <is>
          <t>제이케이시스템</t>
        </is>
      </c>
      <c r="F542" s="30" t="n"/>
      <c r="G542" s="29">
        <f>IFERROR("["&amp;INDEX(고압진공_재고현황!$A:$A,MATCH($D542,고압진공_재고현황!$E:$E,0))&amp;"] "&amp;INDEX(고압진공_재고현황!$D:$D,MATCH($D542,고압진공_재고현황!$E:$E,0)),IFERROR("[조립] "&amp;INDEX(조립자재_재고현황!$D:$D,MATCH($D542,조립자재_재고현황!$E:$E,0)),""))</f>
        <v/>
      </c>
      <c r="H542" s="31">
        <f>IF(G542="","",COUNTIF($G$2:G542,"?*"))</f>
        <v/>
      </c>
    </row>
    <row r="543" ht="48" customHeight="1">
      <c r="A543" s="48" t="inlineStr">
        <is>
          <t>창고</t>
        </is>
      </c>
      <c r="B543" s="28" t="inlineStr">
        <is>
          <t>AL 거치대</t>
        </is>
      </c>
      <c r="C543" s="28" t="inlineStr">
        <is>
          <t>ADX6000</t>
        </is>
      </c>
      <c r="D543" s="29" t="inlineStr">
        <is>
          <t>각도기 거치대
[ADX6000]</t>
        </is>
      </c>
      <c r="E543" s="28" t="inlineStr">
        <is>
          <t>다우정밀</t>
        </is>
      </c>
      <c r="F543" s="30" t="n"/>
      <c r="G543" s="29">
        <f>IFERROR("["&amp;INDEX(고압진공_재고현황!$A:$A,MATCH($D543,고압진공_재고현황!$E:$E,0))&amp;"] "&amp;INDEX(고압진공_재고현황!$D:$D,MATCH($D543,고압진공_재고현황!$E:$E,0)),IFERROR("[조립] "&amp;INDEX(조립자재_재고현황!$D:$D,MATCH($D543,조립자재_재고현황!$E:$E,0)),""))</f>
        <v/>
      </c>
      <c r="H543" s="31">
        <f>IF(G543="","",COUNTIF($G$2:G543,"?*"))</f>
        <v/>
      </c>
    </row>
    <row r="544" ht="48" customHeight="1">
      <c r="A544" s="48" t="inlineStr">
        <is>
          <t>창고</t>
        </is>
      </c>
      <c r="B544" s="28" t="inlineStr">
        <is>
          <t>SUS</t>
        </is>
      </c>
      <c r="C544" s="28" t="inlineStr">
        <is>
          <t>ADX6000</t>
        </is>
      </c>
      <c r="D544" s="29" t="inlineStr">
        <is>
          <t>각도기 내부 철판
[ADX6000]</t>
        </is>
      </c>
      <c r="E544" s="28" t="inlineStr">
        <is>
          <t>다우정밀</t>
        </is>
      </c>
      <c r="F544" s="30" t="n"/>
      <c r="G544" s="29">
        <f>IFERROR("["&amp;INDEX(고압진공_재고현황!$A:$A,MATCH($D544,고압진공_재고현황!$E:$E,0))&amp;"] "&amp;INDEX(고압진공_재고현황!$D:$D,MATCH($D544,고압진공_재고현황!$E:$E,0)),IFERROR("[조립] "&amp;INDEX(조립자재_재고현황!$D:$D,MATCH($D544,조립자재_재고현황!$E:$E,0)),""))</f>
        <v/>
      </c>
      <c r="H544" s="31">
        <f>IF(G544="","",COUNTIF($G$2:G544,"?*"))</f>
        <v/>
      </c>
    </row>
    <row r="545" ht="48" customHeight="1">
      <c r="A545" s="48" t="inlineStr">
        <is>
          <t>창고</t>
        </is>
      </c>
      <c r="B545" s="28" t="inlineStr">
        <is>
          <t>ABS 난연</t>
        </is>
      </c>
      <c r="C545" s="28" t="inlineStr">
        <is>
          <t>ADX6000</t>
        </is>
      </c>
      <c r="D545" s="29" t="inlineStr">
        <is>
          <t>각도기 홀더
[ADX6000]</t>
        </is>
      </c>
      <c r="E545" s="28" t="inlineStr">
        <is>
          <t>제이케이시스템</t>
        </is>
      </c>
      <c r="F545" s="30" t="n"/>
      <c r="G545" s="29">
        <f>IFERROR("["&amp;INDEX(고압진공_재고현황!$A:$A,MATCH($D545,고압진공_재고현황!$E:$E,0))&amp;"] "&amp;INDEX(고압진공_재고현황!$D:$D,MATCH($D545,고압진공_재고현황!$E:$E,0)),IFERROR("[조립] "&amp;INDEX(조립자재_재고현황!$D:$D,MATCH($D545,조립자재_재고현황!$E:$E,0)),""))</f>
        <v/>
      </c>
      <c r="H545" s="31">
        <f>IF(G545="","",COUNTIF($G$2:G545,"?*"))</f>
        <v/>
      </c>
    </row>
    <row r="546" ht="48" customHeight="1">
      <c r="A546" s="48" t="inlineStr">
        <is>
          <t>창고</t>
        </is>
      </c>
      <c r="B546" s="28" t="inlineStr">
        <is>
          <t>아크릴</t>
        </is>
      </c>
      <c r="C546" s="28" t="inlineStr">
        <is>
          <t>ADX6000S</t>
        </is>
      </c>
      <c r="D546" s="29" t="inlineStr">
        <is>
          <t>사각 줄자 가이드
[ADX6000S]</t>
        </is>
      </c>
      <c r="E546" s="28" t="inlineStr">
        <is>
          <t>아크릴최가</t>
        </is>
      </c>
      <c r="F546" s="30" t="n"/>
      <c r="G546" s="29">
        <f>IFERROR("["&amp;INDEX(고압진공_재고현황!$A:$A,MATCH($D546,고압진공_재고현황!$E:$E,0))&amp;"] "&amp;INDEX(고압진공_재고현황!$D:$D,MATCH($D546,고압진공_재고현황!$E:$E,0)),IFERROR("[조립] "&amp;INDEX(조립자재_재고현황!$D:$D,MATCH($D546,조립자재_재고현황!$E:$E,0)),""))</f>
        <v/>
      </c>
      <c r="H546" s="31">
        <f>IF(G546="","",COUNTIF($G$2:G546,"?*"))</f>
        <v/>
      </c>
    </row>
    <row r="547" ht="48" customHeight="1">
      <c r="A547" s="48" t="inlineStr">
        <is>
          <t>창고</t>
        </is>
      </c>
      <c r="B547" s="28" t="inlineStr">
        <is>
          <t>완제품</t>
        </is>
      </c>
      <c r="C547" s="28" t="inlineStr">
        <is>
          <t>공용</t>
        </is>
      </c>
      <c r="D547" s="29" t="inlineStr">
        <is>
          <t>AlmyT STAND BODY SET
[공용]</t>
        </is>
      </c>
      <c r="E547" s="28" t="inlineStr">
        <is>
          <t>에이스힌지텍</t>
        </is>
      </c>
      <c r="F547" s="30" t="n"/>
      <c r="G547" s="29">
        <f>IFERROR("["&amp;INDEX(고압진공_재고현황!$A:$A,MATCH($D547,고압진공_재고현황!$E:$E,0))&amp;"] "&amp;INDEX(고압진공_재고현황!$D:$D,MATCH($D547,고압진공_재고현황!$E:$E,0)),IFERROR("[조립] "&amp;INDEX(조립자재_재고현황!$D:$D,MATCH($D547,조립자재_재고현황!$E:$E,0)),""))</f>
        <v/>
      </c>
      <c r="H547" s="31">
        <f>IF(G547="","",COUNTIF($G$2:G547,"?*"))</f>
        <v/>
      </c>
    </row>
    <row r="548" ht="48" customHeight="1">
      <c r="A548" s="48" t="inlineStr">
        <is>
          <t>창고</t>
        </is>
      </c>
      <c r="B548" s="28" t="inlineStr">
        <is>
          <t>완제품</t>
        </is>
      </c>
      <c r="C548" s="28" t="inlineStr">
        <is>
          <t>공용</t>
        </is>
      </c>
      <c r="D548" s="29" t="inlineStr">
        <is>
          <t>AlmyT STAND ACC SET
[공용]</t>
        </is>
      </c>
      <c r="E548" s="28" t="inlineStr">
        <is>
          <t>에이스힌지텍</t>
        </is>
      </c>
      <c r="F548" s="30" t="n"/>
      <c r="G548" s="29">
        <f>IFERROR("["&amp;INDEX(고압진공_재고현황!$A:$A,MATCH($D548,고압진공_재고현황!$E:$E,0))&amp;"] "&amp;INDEX(고압진공_재고현황!$D:$D,MATCH($D548,고압진공_재고현황!$E:$E,0)),IFERROR("[조립] "&amp;INDEX(조립자재_재고현황!$D:$D,MATCH($D548,조립자재_재고현황!$E:$E,0)),""))</f>
        <v/>
      </c>
      <c r="H548" s="31">
        <f>IF(G548="","",COUNTIF($G$2:G548,"?*"))</f>
        <v/>
      </c>
    </row>
    <row r="549" ht="48" customHeight="1">
      <c r="A549" s="48" t="inlineStr">
        <is>
          <t>창고</t>
        </is>
      </c>
      <c r="B549" s="28" t="inlineStr">
        <is>
          <t>완제품</t>
        </is>
      </c>
      <c r="C549" s="28" t="inlineStr">
        <is>
          <t>공용</t>
        </is>
      </c>
      <c r="D549" s="29" t="inlineStr">
        <is>
          <t>체스트 &amp; 베드 스탠드
[공용]</t>
        </is>
      </c>
      <c r="E549" s="28" t="inlineStr">
        <is>
          <t>로움텍</t>
        </is>
      </c>
      <c r="F549" s="30" t="n"/>
      <c r="G549" s="29">
        <f>IFERROR("["&amp;INDEX(고압진공_재고현황!$A:$A,MATCH($D549,고압진공_재고현황!$E:$E,0))&amp;"] "&amp;INDEX(고압진공_재고현황!$D:$D,MATCH($D549,고압진공_재고현황!$E:$E,0)),IFERROR("[조립] "&amp;INDEX(조립자재_재고현황!$D:$D,MATCH($D549,조립자재_재고현황!$E:$E,0)),""))</f>
        <v/>
      </c>
      <c r="H549" s="31">
        <f>IF(G549="","",COUNTIF($G$2:G549,"?*"))</f>
        <v/>
      </c>
    </row>
    <row r="550" ht="48" customHeight="1">
      <c r="A550" s="48" t="inlineStr">
        <is>
          <t>창고</t>
        </is>
      </c>
      <c r="B550" s="28" t="inlineStr">
        <is>
          <t>완제품</t>
        </is>
      </c>
      <c r="C550" s="28" t="inlineStr">
        <is>
          <t>공용</t>
        </is>
      </c>
      <c r="D550" s="29" t="inlineStr">
        <is>
          <t>체스트 &amp; 베드 암 파이프
[공용]</t>
        </is>
      </c>
      <c r="E550" s="28" t="inlineStr">
        <is>
          <t>로움텍</t>
        </is>
      </c>
      <c r="F550" s="30" t="n"/>
      <c r="G550" s="29">
        <f>IFERROR("["&amp;INDEX(고압진공_재고현황!$A:$A,MATCH($D550,고압진공_재고현황!$E:$E,0))&amp;"] "&amp;INDEX(고압진공_재고현황!$D:$D,MATCH($D550,고압진공_재고현황!$E:$E,0)),IFERROR("[조립] "&amp;INDEX(조립자재_재고현황!$D:$D,MATCH($D550,조립자재_재고현황!$E:$E,0)),""))</f>
        <v/>
      </c>
      <c r="H550" s="31">
        <f>IF(G550="","",COUNTIF($G$2:G550,"?*"))</f>
        <v/>
      </c>
    </row>
    <row r="551" ht="48" customHeight="1">
      <c r="A551" s="48" t="inlineStr">
        <is>
          <t>창고</t>
        </is>
      </c>
      <c r="B551" s="28" t="inlineStr">
        <is>
          <t>완제품</t>
        </is>
      </c>
      <c r="C551" s="28" t="inlineStr">
        <is>
          <t>공용</t>
        </is>
      </c>
      <c r="D551" s="29" t="inlineStr">
        <is>
          <t>체스트 &amp; 베드 조인트 암
[공용]</t>
        </is>
      </c>
      <c r="E551" s="28" t="inlineStr">
        <is>
          <t>로움텍</t>
        </is>
      </c>
      <c r="F551" s="30" t="n"/>
      <c r="G551" s="29">
        <f>IFERROR("["&amp;INDEX(고압진공_재고현황!$A:$A,MATCH($D551,고압진공_재고현황!$E:$E,0))&amp;"] "&amp;INDEX(고압진공_재고현황!$D:$D,MATCH($D551,고압진공_재고현황!$E:$E,0)),IFERROR("[조립] "&amp;INDEX(조립자재_재고현황!$D:$D,MATCH($D551,조립자재_재고현황!$E:$E,0)),""))</f>
        <v/>
      </c>
      <c r="H551" s="31">
        <f>IF(G551="","",COUNTIF($G$2:G551,"?*"))</f>
        <v/>
      </c>
    </row>
    <row r="552" ht="48" customHeight="1">
      <c r="A552" s="48" t="inlineStr">
        <is>
          <t>창고</t>
        </is>
      </c>
      <c r="B552" s="28" t="inlineStr">
        <is>
          <t>완제품</t>
        </is>
      </c>
      <c r="C552" s="28" t="inlineStr">
        <is>
          <t>공용</t>
        </is>
      </c>
      <c r="D552" s="29" t="inlineStr">
        <is>
          <t>체스트 &amp; 베드 픽스 블럭 A, B (육각 렌치 3, 5)
[공용]</t>
        </is>
      </c>
      <c r="E552" s="28" t="inlineStr">
        <is>
          <t>로움텍</t>
        </is>
      </c>
      <c r="F552" s="30" t="n"/>
      <c r="G552" s="29">
        <f>IFERROR("["&amp;INDEX(고압진공_재고현황!$A:$A,MATCH($D552,고압진공_재고현황!$E:$E,0))&amp;"] "&amp;INDEX(고압진공_재고현황!$D:$D,MATCH($D552,고압진공_재고현황!$E:$E,0)),IFERROR("[조립] "&amp;INDEX(조립자재_재고현황!$D:$D,MATCH($D552,조립자재_재고현황!$E:$E,0)),""))</f>
        <v/>
      </c>
      <c r="H552" s="31">
        <f>IF(G552="","",COUNTIF($G$2:G552,"?*"))</f>
        <v/>
      </c>
    </row>
    <row r="553" ht="48" customHeight="1">
      <c r="A553" s="48" t="inlineStr">
        <is>
          <t>창고</t>
        </is>
      </c>
      <c r="B553" s="28" t="inlineStr">
        <is>
          <t>완제품</t>
        </is>
      </c>
      <c r="C553" s="28" t="inlineStr">
        <is>
          <t>공용</t>
        </is>
      </c>
      <c r="D553" s="29" t="inlineStr">
        <is>
          <t>접이식 스탠드 SET (정형외과용)
[공용]</t>
        </is>
      </c>
      <c r="E553" s="28" t="inlineStr">
        <is>
          <t>로움텍</t>
        </is>
      </c>
      <c r="F553" s="30" t="n"/>
      <c r="G553" s="29">
        <f>IFERROR("["&amp;INDEX(고압진공_재고현황!$A:$A,MATCH($D553,고압진공_재고현황!$E:$E,0))&amp;"] "&amp;INDEX(고압진공_재고현황!$D:$D,MATCH($D553,고압진공_재고현황!$E:$E,0)),IFERROR("[조립] "&amp;INDEX(조립자재_재고현황!$D:$D,MATCH($D553,조립자재_재고현황!$E:$E,0)),""))</f>
        <v/>
      </c>
      <c r="H553" s="31">
        <f>IF(G553="","",COUNTIF($G$2:G553,"?*"))</f>
        <v/>
      </c>
    </row>
    <row r="554" ht="48" customHeight="1">
      <c r="A554" s="48" t="inlineStr">
        <is>
          <t>창고</t>
        </is>
      </c>
      <c r="B554" s="28" t="inlineStr">
        <is>
          <t>유선리모콘</t>
        </is>
      </c>
      <c r="C554" s="28" t="inlineStr">
        <is>
          <t>공용</t>
        </is>
      </c>
      <c r="D554" s="29" t="inlineStr">
        <is>
          <t>REMOTE CONTROL (RW20, 3m + 샘플 1EA)
[공용]</t>
        </is>
      </c>
      <c r="E554" s="28" t="inlineStr">
        <is>
          <t>중국</t>
        </is>
      </c>
      <c r="F554" s="30" t="n"/>
      <c r="G554" s="29">
        <f>IFERROR("["&amp;INDEX(고압진공_재고현황!$A:$A,MATCH($D554,고압진공_재고현황!$E:$E,0))&amp;"] "&amp;INDEX(고압진공_재고현황!$D:$D,MATCH($D554,고압진공_재고현황!$E:$E,0)),IFERROR("[조립] "&amp;INDEX(조립자재_재고현황!$D:$D,MATCH($D554,조립자재_재고현황!$E:$E,0)),""))</f>
        <v/>
      </c>
      <c r="H554" s="31">
        <f>IF(G554="","",COUNTIF($G$2:G554,"?*"))</f>
        <v/>
      </c>
    </row>
    <row r="555" ht="48" customHeight="1">
      <c r="A555" s="48" t="inlineStr">
        <is>
          <t>창고</t>
        </is>
      </c>
      <c r="B555" s="28" t="inlineStr">
        <is>
          <t>유선리모콘</t>
        </is>
      </c>
      <c r="C555" s="28" t="inlineStr">
        <is>
          <t>공용</t>
        </is>
      </c>
      <c r="D555" s="29" t="inlineStr">
        <is>
          <t>FOOT SWITCH
[공용]</t>
        </is>
      </c>
      <c r="E555" s="28" t="inlineStr">
        <is>
          <t>직구</t>
        </is>
      </c>
      <c r="F555" s="30" t="n"/>
      <c r="G555" s="29">
        <f>IFERROR("["&amp;INDEX(고압진공_재고현황!$A:$A,MATCH($D555,고압진공_재고현황!$E:$E,0))&amp;"] "&amp;INDEX(고압진공_재고현황!$D:$D,MATCH($D555,고압진공_재고현황!$E:$E,0)),IFERROR("[조립] "&amp;INDEX(조립자재_재고현황!$D:$D,MATCH($D555,조립자재_재고현황!$E:$E,0)),""))</f>
        <v/>
      </c>
      <c r="H555" s="31">
        <f>IF(G555="","",COUNTIF($G$2:G555,"?*"))</f>
        <v/>
      </c>
    </row>
    <row r="556" ht="48" customHeight="1">
      <c r="A556" s="48" t="inlineStr">
        <is>
          <t>창고</t>
        </is>
      </c>
      <c r="B556" s="28" t="inlineStr">
        <is>
          <t>스위치</t>
        </is>
      </c>
      <c r="C556" s="28" t="inlineStr">
        <is>
          <t>공용</t>
        </is>
      </c>
      <c r="D556" s="29" t="inlineStr">
        <is>
          <t>리드스위치
[공용]</t>
        </is>
      </c>
      <c r="E556" s="28" t="inlineStr">
        <is>
          <t>HLP</t>
        </is>
      </c>
      <c r="F556" s="30" t="n"/>
      <c r="G556" s="29">
        <f>IFERROR("["&amp;INDEX(고압진공_재고현황!$A:$A,MATCH($D556,고압진공_재고현황!$E:$E,0))&amp;"] "&amp;INDEX(고압진공_재고현황!$D:$D,MATCH($D556,고압진공_재고현황!$E:$E,0)),IFERROR("[조립] "&amp;INDEX(조립자재_재고현황!$D:$D,MATCH($D556,조립자재_재고현황!$E:$E,0)),""))</f>
        <v/>
      </c>
      <c r="H556" s="31">
        <f>IF(G556="","",COUNTIF($G$2:G556,"?*"))</f>
        <v/>
      </c>
    </row>
    <row r="557" ht="48" customHeight="1">
      <c r="A557" s="48" t="inlineStr">
        <is>
          <t>창고</t>
        </is>
      </c>
      <c r="B557" s="28" t="inlineStr">
        <is>
          <t>오링</t>
        </is>
      </c>
      <c r="C557" s="28" t="inlineStr">
        <is>
          <t>공용</t>
        </is>
      </c>
      <c r="D557" s="29" t="inlineStr">
        <is>
          <t>쉴드 오링 (AN-036, 60∮)
[공용]</t>
        </is>
      </c>
      <c r="E557" s="28" t="inlineStr">
        <is>
          <t>직구</t>
        </is>
      </c>
      <c r="F557" s="30" t="n"/>
      <c r="G557" s="29">
        <f>IFERROR("["&amp;INDEX(고압진공_재고현황!$A:$A,MATCH($D557,고압진공_재고현황!$E:$E,0))&amp;"] "&amp;INDEX(고압진공_재고현황!$D:$D,MATCH($D557,고압진공_재고현황!$E:$E,0)),IFERROR("[조립] "&amp;INDEX(조립자재_재고현황!$D:$D,MATCH($D557,조립자재_재고현황!$E:$E,0)),""))</f>
        <v/>
      </c>
      <c r="H557" s="31">
        <f>IF(G557="","",COUNTIF($G$2:G557,"?*"))</f>
        <v/>
      </c>
    </row>
    <row r="558" ht="48" customHeight="1">
      <c r="A558" s="48" t="inlineStr">
        <is>
          <t>창고</t>
        </is>
      </c>
      <c r="B558" s="28" t="inlineStr">
        <is>
          <t>라벨</t>
        </is>
      </c>
      <c r="C558" s="28" t="inlineStr">
        <is>
          <t>ADX4000W</t>
        </is>
      </c>
      <c r="D558" s="29" t="inlineStr">
        <is>
          <t>OS라이센서 라벨 (Windows Embedded Standard 7 "E")
[ADX4000W]</t>
        </is>
      </c>
      <c r="E558" s="28" t="inlineStr">
        <is>
          <t>한컴MDS</t>
        </is>
      </c>
      <c r="F558" s="30" t="n"/>
      <c r="G558" s="29">
        <f>IFERROR("["&amp;INDEX(고압진공_재고현황!$A:$A,MATCH($D558,고압진공_재고현황!$E:$E,0))&amp;"] "&amp;INDEX(고압진공_재고현황!$D:$D,MATCH($D558,고압진공_재고현황!$E:$E,0)),IFERROR("[조립] "&amp;INDEX(조립자재_재고현황!$D:$D,MATCH($D558,조립자재_재고현황!$E:$E,0)),""))</f>
        <v/>
      </c>
      <c r="H558" s="31">
        <f>IF(G558="","",COUNTIF($G$2:G558,"?*"))</f>
        <v/>
      </c>
    </row>
    <row r="559" ht="48" customHeight="1">
      <c r="A559" s="48" t="inlineStr">
        <is>
          <t>창고</t>
        </is>
      </c>
      <c r="B559" s="28" t="inlineStr">
        <is>
          <t>실리콘</t>
        </is>
      </c>
      <c r="C559" s="28" t="inlineStr">
        <is>
          <t>DX3000</t>
        </is>
      </c>
      <c r="D559" s="29" t="inlineStr">
        <is>
          <t>실리콘 캡 (LSR 투명 실리콘)
[DX3000]</t>
        </is>
      </c>
      <c r="E559" s="28" t="inlineStr">
        <is>
          <t>가연테크</t>
        </is>
      </c>
      <c r="F559" s="30" t="n"/>
      <c r="G559" s="29">
        <f>IFERROR("["&amp;INDEX(고압진공_재고현황!$A:$A,MATCH($D559,고압진공_재고현황!$E:$E,0))&amp;"] "&amp;INDEX(고압진공_재고현황!$D:$D,MATCH($D559,고압진공_재고현황!$E:$E,0)),IFERROR("[조립] "&amp;INDEX(조립자재_재고현황!$D:$D,MATCH($D559,조립자재_재고현황!$E:$E,0)),""))</f>
        <v/>
      </c>
      <c r="H559" s="31">
        <f>IF(G559="","",COUNTIF($G$2:G559,"?*"))</f>
        <v/>
      </c>
    </row>
    <row r="560" ht="48" customHeight="1">
      <c r="A560" s="48" t="inlineStr">
        <is>
          <t>창고</t>
        </is>
      </c>
      <c r="B560" s="28" t="inlineStr">
        <is>
          <t>ABS 난연</t>
        </is>
      </c>
      <c r="C560" s="28" t="inlineStr">
        <is>
          <t>DX3000</t>
        </is>
      </c>
      <c r="D560" s="29" t="inlineStr">
        <is>
          <t>Battery Pack (사급자재)
[DX3000]</t>
        </is>
      </c>
      <c r="E560" s="28" t="inlineStr">
        <is>
          <t>천우</t>
        </is>
      </c>
      <c r="F560" s="30" t="n"/>
      <c r="G560" s="29">
        <f>IFERROR("["&amp;INDEX(고압진공_재고현황!$A:$A,MATCH($D560,고압진공_재고현황!$E:$E,0))&amp;"] "&amp;INDEX(고압진공_재고현황!$D:$D,MATCH($D560,고압진공_재고현황!$E:$E,0)),IFERROR("[조립] "&amp;INDEX(조립자재_재고현황!$D:$D,MATCH($D560,조립자재_재고현황!$E:$E,0)),""))</f>
        <v/>
      </c>
      <c r="H560" s="31">
        <f>IF(G560="","",COUNTIF($G$2:G560,"?*"))</f>
        <v/>
      </c>
    </row>
    <row r="561" ht="48" customHeight="1">
      <c r="A561" s="48" t="inlineStr">
        <is>
          <t>창고</t>
        </is>
      </c>
      <c r="B561" s="28" t="inlineStr">
        <is>
          <t>ABS 난연</t>
        </is>
      </c>
      <c r="C561" s="28" t="inlineStr">
        <is>
          <t>DX3000</t>
        </is>
      </c>
      <c r="D561" s="29" t="inlineStr">
        <is>
          <t>Battery Case (사급자재)
[DX3000]</t>
        </is>
      </c>
      <c r="E561" s="28" t="inlineStr">
        <is>
          <t>천우</t>
        </is>
      </c>
      <c r="F561" s="30" t="n"/>
      <c r="G561" s="29">
        <f>IFERROR("["&amp;INDEX(고압진공_재고현황!$A:$A,MATCH($D561,고압진공_재고현황!$E:$E,0))&amp;"] "&amp;INDEX(고압진공_재고현황!$D:$D,MATCH($D561,고압진공_재고현황!$E:$E,0)),IFERROR("[조립] "&amp;INDEX(조립자재_재고현황!$D:$D,MATCH($D561,조립자재_재고현황!$E:$E,0)),""))</f>
        <v/>
      </c>
      <c r="H561" s="31">
        <f>IF(G561="","",COUNTIF($G$2:G561,"?*"))</f>
        <v/>
      </c>
    </row>
    <row r="562" ht="48" customHeight="1">
      <c r="A562" s="48" t="inlineStr">
        <is>
          <t>창고</t>
        </is>
      </c>
      <c r="B562" s="28" t="inlineStr">
        <is>
          <t>신주</t>
        </is>
      </c>
      <c r="C562" s="28" t="inlineStr">
        <is>
          <t>공용</t>
        </is>
      </c>
      <c r="D562" s="29" t="inlineStr">
        <is>
          <t>배터리 내부 단자 (사급자재)
[공용]</t>
        </is>
      </c>
      <c r="E562" s="28" t="inlineStr">
        <is>
          <t>해진정밀</t>
        </is>
      </c>
      <c r="F562" s="30" t="n"/>
      <c r="G562" s="29">
        <f>IFERROR("["&amp;INDEX(고압진공_재고현황!$A:$A,MATCH($D562,고압진공_재고현황!$E:$E,0))&amp;"] "&amp;INDEX(고압진공_재고현황!$D:$D,MATCH($D562,고압진공_재고현황!$E:$E,0)),IFERROR("[조립] "&amp;INDEX(조립자재_재고현황!$D:$D,MATCH($D562,조립자재_재고현황!$E:$E,0)),""))</f>
        <v/>
      </c>
      <c r="H562" s="31">
        <f>IF(G562="","",COUNTIF($G$2:G562,"?*"))</f>
        <v/>
      </c>
    </row>
    <row r="563" ht="48" customHeight="1">
      <c r="A563" s="48" t="inlineStr">
        <is>
          <t>창고</t>
        </is>
      </c>
      <c r="B563" s="28" t="inlineStr">
        <is>
          <t>BOARD</t>
        </is>
      </c>
      <c r="C563" s="28" t="inlineStr">
        <is>
          <t>ADX6000</t>
        </is>
      </c>
      <c r="D563" s="29" t="inlineStr">
        <is>
          <t>고압베어 B/D (구형 고압보드)
[ADX6000]</t>
        </is>
      </c>
      <c r="E563" s="28" t="inlineStr">
        <is>
          <t>한샘디지텍</t>
        </is>
      </c>
      <c r="F563" s="30" t="n"/>
      <c r="G563" s="29">
        <f>IFERROR("["&amp;INDEX(고압진공_재고현황!$A:$A,MATCH($D563,고압진공_재고현황!$E:$E,0))&amp;"] "&amp;INDEX(고압진공_재고현황!$D:$D,MATCH($D563,고압진공_재고현황!$E:$E,0)),IFERROR("[조립] "&amp;INDEX(조립자재_재고현황!$D:$D,MATCH($D563,조립자재_재고현황!$E:$E,0)),""))</f>
        <v/>
      </c>
      <c r="H563" s="31">
        <f>IF(G563="","",COUNTIF($G$2:G563,"?*"))</f>
        <v/>
      </c>
    </row>
    <row r="564" ht="48" customHeight="1">
      <c r="A564" s="48" t="inlineStr">
        <is>
          <t>창고</t>
        </is>
      </c>
      <c r="B564" s="28" t="inlineStr">
        <is>
          <t>BOARD</t>
        </is>
      </c>
      <c r="C564" s="28" t="inlineStr">
        <is>
          <t>ADX6000</t>
        </is>
      </c>
      <c r="D564" s="29" t="inlineStr">
        <is>
          <t>8핀 B/D (구형 8핀 보드)
[ADX6000]</t>
        </is>
      </c>
      <c r="E564" s="28" t="inlineStr">
        <is>
          <t>한샘디지텍</t>
        </is>
      </c>
      <c r="F564" s="30" t="n"/>
      <c r="G564" s="29">
        <f>IFERROR("["&amp;INDEX(고압진공_재고현황!$A:$A,MATCH($D564,고압진공_재고현황!$E:$E,0))&amp;"] "&amp;INDEX(고압진공_재고현황!$D:$D,MATCH($D564,고압진공_재고현황!$E:$E,0)),IFERROR("[조립] "&amp;INDEX(조립자재_재고현황!$D:$D,MATCH($D564,조립자재_재고현황!$E:$E,0)),""))</f>
        <v/>
      </c>
      <c r="H564" s="31">
        <f>IF(G564="","",COUNTIF($G$2:G564,"?*"))</f>
        <v/>
      </c>
    </row>
    <row r="565" ht="48" customHeight="1">
      <c r="A565" s="48" t="inlineStr">
        <is>
          <t>창고</t>
        </is>
      </c>
      <c r="B565" s="28" t="inlineStr">
        <is>
          <t>다이오드</t>
        </is>
      </c>
      <c r="C565" s="28" t="inlineStr">
        <is>
          <t>SOLO</t>
        </is>
      </c>
      <c r="D565" s="29" t="inlineStr">
        <is>
          <t>고압 다이오드 (SPF01-15)
[SOLO]</t>
        </is>
      </c>
      <c r="E565" s="28" t="inlineStr">
        <is>
          <t>비지티</t>
        </is>
      </c>
      <c r="F565" s="30" t="n"/>
      <c r="G565" s="29">
        <f>IFERROR("["&amp;INDEX(고압진공_재고현황!$A:$A,MATCH($D565,고압진공_재고현황!$E:$E,0))&amp;"] "&amp;INDEX(고압진공_재고현황!$D:$D,MATCH($D565,고압진공_재고현황!$E:$E,0)),IFERROR("[조립] "&amp;INDEX(조립자재_재고현황!$D:$D,MATCH($D565,조립자재_재고현황!$E:$E,0)),""))</f>
        <v/>
      </c>
      <c r="H565" s="31">
        <f>IF(G565="","",COUNTIF($G$2:G565,"?*"))</f>
        <v/>
      </c>
    </row>
    <row r="566" ht="48" customHeight="1">
      <c r="A566" s="48" t="inlineStr">
        <is>
          <t>창고</t>
        </is>
      </c>
      <c r="B566" s="28" t="inlineStr">
        <is>
          <t>세라믹</t>
        </is>
      </c>
      <c r="C566" s="28" t="inlineStr">
        <is>
          <t>SOLO</t>
        </is>
      </c>
      <c r="D566" s="29" t="inlineStr">
        <is>
          <t>고압용 칩 세라믹 콘덴서 (2220J6K00222KXT)
[SOLO]</t>
        </is>
      </c>
      <c r="E566" s="28" t="inlineStr">
        <is>
          <t>비지티</t>
        </is>
      </c>
      <c r="F566" s="30" t="n"/>
      <c r="G566" s="29">
        <f>IFERROR("["&amp;INDEX(고압진공_재고현황!$A:$A,MATCH($D566,고압진공_재고현황!$E:$E,0))&amp;"] "&amp;INDEX(고압진공_재고현황!$D:$D,MATCH($D566,고압진공_재고현황!$E:$E,0)),IFERROR("[조립] "&amp;INDEX(조립자재_재고현황!$D:$D,MATCH($D566,조립자재_재고현황!$E:$E,0)),""))</f>
        <v/>
      </c>
      <c r="H566" s="31">
        <f>IF(G566="","",COUNTIF($G$2:G566,"?*"))</f>
        <v/>
      </c>
    </row>
    <row r="567" ht="48" customHeight="1">
      <c r="A567" s="48" t="inlineStr">
        <is>
          <t>창고</t>
        </is>
      </c>
      <c r="B567" s="28" t="inlineStr">
        <is>
          <t>HDPE</t>
        </is>
      </c>
      <c r="C567" s="28" t="inlineStr">
        <is>
          <t>SOLO</t>
        </is>
      </c>
      <c r="D567" s="29" t="inlineStr">
        <is>
          <t>세라믹 튜브 하우징 파이프 (HDPE)
[SOLO]</t>
        </is>
      </c>
      <c r="E567" s="28" t="inlineStr">
        <is>
          <t>용봉화학</t>
        </is>
      </c>
      <c r="F567" s="30" t="n"/>
      <c r="G567" s="29">
        <f>IFERROR("["&amp;INDEX(고압진공_재고현황!$A:$A,MATCH($D567,고압진공_재고현황!$E:$E,0))&amp;"] "&amp;INDEX(고압진공_재고현황!$D:$D,MATCH($D567,고압진공_재고현황!$E:$E,0)),IFERROR("[조립] "&amp;INDEX(조립자재_재고현황!$D:$D,MATCH($D567,조립자재_재고현황!$E:$E,0)),""))</f>
        <v/>
      </c>
      <c r="H567" s="31">
        <f>IF(G567="","",COUNTIF($G$2:G567,"?*"))</f>
        <v/>
      </c>
    </row>
    <row r="568" ht="48" customHeight="1">
      <c r="A568" s="48" t="inlineStr">
        <is>
          <t>창고</t>
        </is>
      </c>
      <c r="B568" s="28" t="inlineStr">
        <is>
          <t>HDPE</t>
        </is>
      </c>
      <c r="C568" s="28" t="inlineStr">
        <is>
          <t>SOLO</t>
        </is>
      </c>
      <c r="D568" s="29" t="inlineStr">
        <is>
          <t>내부 케이스 (HDPE)
[SOLO]</t>
        </is>
      </c>
      <c r="E568" s="28" t="inlineStr">
        <is>
          <t>용봉화학</t>
        </is>
      </c>
      <c r="F568" s="30" t="n"/>
      <c r="G568" s="29">
        <f>IFERROR("["&amp;INDEX(고압진공_재고현황!$A:$A,MATCH($D568,고압진공_재고현황!$E:$E,0))&amp;"] "&amp;INDEX(고압진공_재고현황!$D:$D,MATCH($D568,고압진공_재고현황!$E:$E,0)),IFERROR("[조립] "&amp;INDEX(조립자재_재고현황!$D:$D,MATCH($D568,조립자재_재고현황!$E:$E,0)),""))</f>
        <v/>
      </c>
      <c r="H568" s="31">
        <f>IF(G568="","",COUNTIF($G$2:G568,"?*"))</f>
        <v/>
      </c>
    </row>
    <row r="569" ht="48" customHeight="1">
      <c r="A569" s="48" t="inlineStr">
        <is>
          <t>창고</t>
        </is>
      </c>
      <c r="B569" s="28" t="inlineStr">
        <is>
          <t>HDPE</t>
        </is>
      </c>
      <c r="C569" s="28" t="inlineStr">
        <is>
          <t>SOLO</t>
        </is>
      </c>
      <c r="D569" s="29" t="inlineStr">
        <is>
          <t>고압 격벽 (HDPE)
[SOLO]</t>
        </is>
      </c>
      <c r="E569" s="28" t="inlineStr">
        <is>
          <t>용봉화학</t>
        </is>
      </c>
      <c r="F569" s="30" t="n"/>
      <c r="G569" s="29">
        <f>IFERROR("["&amp;INDEX(고압진공_재고현황!$A:$A,MATCH($D569,고압진공_재고현황!$E:$E,0))&amp;"] "&amp;INDEX(고압진공_재고현황!$D:$D,MATCH($D569,고압진공_재고현황!$E:$E,0)),IFERROR("[조립] "&amp;INDEX(조립자재_재고현황!$D:$D,MATCH($D569,조립자재_재고현황!$E:$E,0)),""))</f>
        <v/>
      </c>
      <c r="H569" s="31">
        <f>IF(G569="","",COUNTIF($G$2:G569,"?*"))</f>
        <v/>
      </c>
    </row>
    <row r="570" ht="48" customHeight="1">
      <c r="A570" s="48" t="inlineStr">
        <is>
          <t>창고</t>
        </is>
      </c>
      <c r="B570" s="28" t="inlineStr">
        <is>
          <t>AL</t>
        </is>
      </c>
      <c r="C570" s="28" t="inlineStr">
        <is>
          <t>SOLO</t>
        </is>
      </c>
      <c r="D570" s="29" t="inlineStr">
        <is>
          <t>에이밍 필터 (0.5T * Φ40 에이밍 은경 추가 필터)
[SOLO]</t>
        </is>
      </c>
      <c r="E570" s="28" t="n"/>
      <c r="F570" s="30" t="n"/>
      <c r="G570" s="29">
        <f>IFERROR("["&amp;INDEX(고압진공_재고현황!$A:$A,MATCH($D570,고압진공_재고현황!$E:$E,0))&amp;"] "&amp;INDEX(고압진공_재고현황!$D:$D,MATCH($D570,고압진공_재고현황!$E:$E,0)),IFERROR("[조립] "&amp;INDEX(조립자재_재고현황!$D:$D,MATCH($D570,조립자재_재고현황!$E:$E,0)),""))</f>
        <v/>
      </c>
      <c r="H570" s="31">
        <f>IF(G570="","",COUNTIF($G$2:G570,"?*"))</f>
        <v/>
      </c>
    </row>
    <row r="571" ht="48" customHeight="1">
      <c r="A571" s="48" t="inlineStr">
        <is>
          <t>창고</t>
        </is>
      </c>
      <c r="B571" s="28" t="inlineStr">
        <is>
          <t>PCB</t>
        </is>
      </c>
      <c r="C571" s="28" t="inlineStr">
        <is>
          <t>COCOON</t>
        </is>
      </c>
      <c r="D571" s="29" t="inlineStr">
        <is>
          <t>CTR B/D (ST용)
[COCOON]</t>
        </is>
      </c>
      <c r="E571" s="28" t="inlineStr">
        <is>
          <t>HLP</t>
        </is>
      </c>
      <c r="F571" s="30" t="n"/>
      <c r="G571" s="29">
        <f>IFERROR("["&amp;INDEX(고압진공_재고현황!$A:$A,MATCH($D571,고압진공_재고현황!$E:$E,0))&amp;"] "&amp;INDEX(고압진공_재고현황!$D:$D,MATCH($D571,고압진공_재고현황!$E:$E,0)),IFERROR("[조립] "&amp;INDEX(조립자재_재고현황!$D:$D,MATCH($D571,조립자재_재고현황!$E:$E,0)),""))</f>
        <v/>
      </c>
      <c r="H571" s="31">
        <f>IF(G571="","",COUNTIF($G$2:G571,"?*"))</f>
        <v/>
      </c>
    </row>
    <row r="572" ht="48" customHeight="1">
      <c r="A572" s="48" t="inlineStr">
        <is>
          <t>창고</t>
        </is>
      </c>
      <c r="B572" s="28" t="inlineStr">
        <is>
          <t>PCB</t>
        </is>
      </c>
      <c r="C572" s="28" t="inlineStr">
        <is>
          <t>ADX4000W</t>
        </is>
      </c>
      <c r="D572" s="29" t="inlineStr">
        <is>
          <t>CTR B/D (구형)
[ADX4000W]</t>
        </is>
      </c>
      <c r="E572" s="28" t="n"/>
      <c r="F572" s="30" t="n"/>
      <c r="G572" s="29">
        <f>IFERROR("["&amp;INDEX(고압진공_재고현황!$A:$A,MATCH($D572,고압진공_재고현황!$E:$E,0))&amp;"] "&amp;INDEX(고압진공_재고현황!$D:$D,MATCH($D572,고압진공_재고현황!$E:$E,0)),IFERROR("[조립] "&amp;INDEX(조립자재_재고현황!$D:$D,MATCH($D572,조립자재_재고현황!$E:$E,0)),""))</f>
        <v/>
      </c>
      <c r="H572" s="31">
        <f>IF(G572="","",COUNTIF($G$2:G572,"?*"))</f>
        <v/>
      </c>
    </row>
    <row r="573" ht="48" customHeight="1">
      <c r="A573" s="48" t="inlineStr">
        <is>
          <t>창고</t>
        </is>
      </c>
      <c r="B573" s="28" t="inlineStr">
        <is>
          <t>PANEL</t>
        </is>
      </c>
      <c r="C573" s="28" t="inlineStr">
        <is>
          <t>DX3000</t>
        </is>
      </c>
      <c r="D573" s="29" t="inlineStr">
        <is>
          <t>OLED PANEL
[DX3000]</t>
        </is>
      </c>
      <c r="E573" s="28" t="inlineStr">
        <is>
          <t>HLP</t>
        </is>
      </c>
      <c r="F573" s="30" t="n"/>
      <c r="G573" s="29">
        <f>IFERROR("["&amp;INDEX(고압진공_재고현황!$A:$A,MATCH($D573,고압진공_재고현황!$E:$E,0))&amp;"] "&amp;INDEX(고압진공_재고현황!$D:$D,MATCH($D573,고압진공_재고현황!$E:$E,0)),IFERROR("[조립] "&amp;INDEX(조립자재_재고현황!$D:$D,MATCH($D573,조립자재_재고현황!$E:$E,0)),""))</f>
        <v/>
      </c>
      <c r="H573" s="31">
        <f>IF(G573="","",COUNTIF($G$2:G573,"?*"))</f>
        <v/>
      </c>
    </row>
    <row r="574" ht="48" customHeight="1">
      <c r="A574" s="48" t="inlineStr">
        <is>
          <t>창고</t>
        </is>
      </c>
      <c r="B574" s="28" t="inlineStr">
        <is>
          <t>ABS 난연</t>
        </is>
      </c>
      <c r="C574" s="28" t="inlineStr">
        <is>
          <t>DX3000</t>
        </is>
      </c>
      <c r="D574" s="29" t="inlineStr">
        <is>
          <t>OLED GUIDE (ABS 난연 블랙)
[DX3000]</t>
        </is>
      </c>
      <c r="E574" s="28" t="inlineStr">
        <is>
          <t>뉴퓨처</t>
        </is>
      </c>
      <c r="F574" s="30" t="n"/>
      <c r="G574" s="29">
        <f>IFERROR("["&amp;INDEX(고압진공_재고현황!$A:$A,MATCH($D574,고압진공_재고현황!$E:$E,0))&amp;"] "&amp;INDEX(고압진공_재고현황!$D:$D,MATCH($D574,고압진공_재고현황!$E:$E,0)),IFERROR("[조립] "&amp;INDEX(조립자재_재고현황!$D:$D,MATCH($D574,조립자재_재고현황!$E:$E,0)),""))</f>
        <v/>
      </c>
      <c r="H574" s="31">
        <f>IF(G574="","",COUNTIF($G$2:G574,"?*"))</f>
        <v/>
      </c>
    </row>
    <row r="575" ht="48" customHeight="1">
      <c r="A575" s="48" t="inlineStr">
        <is>
          <t>창고</t>
        </is>
      </c>
      <c r="B575" s="28" t="inlineStr">
        <is>
          <t>PCB</t>
        </is>
      </c>
      <c r="C575" s="28" t="inlineStr">
        <is>
          <t>DX3000</t>
        </is>
      </c>
      <c r="D575" s="29" t="inlineStr">
        <is>
          <t>EX B/D (원버턴)
[DX3000]</t>
        </is>
      </c>
      <c r="E575" s="28" t="inlineStr">
        <is>
          <t>HLP</t>
        </is>
      </c>
      <c r="F575" s="30" t="n"/>
      <c r="G575" s="29">
        <f>IFERROR("["&amp;INDEX(고압진공_재고현황!$A:$A,MATCH($D575,고압진공_재고현황!$E:$E,0))&amp;"] "&amp;INDEX(고압진공_재고현황!$D:$D,MATCH($D575,고압진공_재고현황!$E:$E,0)),IFERROR("[조립] "&amp;INDEX(조립자재_재고현황!$D:$D,MATCH($D575,조립자재_재고현황!$E:$E,0)),""))</f>
        <v/>
      </c>
      <c r="H575" s="31">
        <f>IF(G575="","",COUNTIF($G$2:G575,"?*"))</f>
        <v/>
      </c>
    </row>
    <row r="576" ht="48" customHeight="1">
      <c r="A576" s="48" t="inlineStr">
        <is>
          <t>창고</t>
        </is>
      </c>
      <c r="B576" s="28" t="inlineStr">
        <is>
          <t>CABLE</t>
        </is>
      </c>
      <c r="C576" s="28" t="inlineStr">
        <is>
          <t>DX3000</t>
        </is>
      </c>
      <c r="D576" s="29" t="inlineStr">
        <is>
          <t>FFC 10핀
[DX3000]</t>
        </is>
      </c>
      <c r="E576" s="28" t="inlineStr">
        <is>
          <t>HLP</t>
        </is>
      </c>
      <c r="F576" s="30" t="n"/>
      <c r="G576" s="29">
        <f>IFERROR("["&amp;INDEX(고압진공_재고현황!$A:$A,MATCH($D576,고압진공_재고현황!$E:$E,0))&amp;"] "&amp;INDEX(고압진공_재고현황!$D:$D,MATCH($D576,고압진공_재고현황!$E:$E,0)),IFERROR("[조립] "&amp;INDEX(조립자재_재고현황!$D:$D,MATCH($D576,조립자재_재고현황!$E:$E,0)),""))</f>
        <v/>
      </c>
      <c r="H576" s="31">
        <f>IF(G576="","",COUNTIF($G$2:G576,"?*"))</f>
        <v/>
      </c>
    </row>
    <row r="577" ht="48" customHeight="1">
      <c r="A577" s="48" t="inlineStr">
        <is>
          <t>창고</t>
        </is>
      </c>
      <c r="B577" s="28" t="inlineStr">
        <is>
          <t>CABLE</t>
        </is>
      </c>
      <c r="C577" s="28" t="inlineStr">
        <is>
          <t>COCOON</t>
        </is>
      </c>
      <c r="D577" s="29" t="inlineStr">
        <is>
          <t>하네스 3-1번 (FFC CABLE 1mm*30P*200*A CTR BD*OP BD FFC CABLE (같은 방향) (구형, 신형))
[COCOON]</t>
        </is>
      </c>
      <c r="E577" s="28" t="inlineStr">
        <is>
          <t>HLP</t>
        </is>
      </c>
      <c r="F577" s="30" t="n"/>
      <c r="G577" s="29">
        <f>IFERROR("["&amp;INDEX(고압진공_재고현황!$A:$A,MATCH($D577,고압진공_재고현황!$E:$E,0))&amp;"] "&amp;INDEX(고압진공_재고현황!$D:$D,MATCH($D577,고압진공_재고현황!$E:$E,0)),IFERROR("[조립] "&amp;INDEX(조립자재_재고현황!$D:$D,MATCH($D577,조립자재_재고현황!$E:$E,0)),""))</f>
        <v/>
      </c>
      <c r="H577" s="31">
        <f>IF(G577="","",COUNTIF($G$2:G577,"?*"))</f>
        <v/>
      </c>
    </row>
    <row r="578" ht="48" customHeight="1">
      <c r="A578" s="48" t="inlineStr">
        <is>
          <t>창고</t>
        </is>
      </c>
      <c r="B578" s="28" t="inlineStr">
        <is>
          <t>CABLE</t>
        </is>
      </c>
      <c r="C578" s="28" t="inlineStr">
        <is>
          <t>COCOON</t>
        </is>
      </c>
      <c r="D578" s="29" t="inlineStr">
        <is>
          <t>하네스 12번 (FLAT 30P 2.0mm, L=205mm, 1:1 CTR BD * OP BD 연결 30핀)
[COCOON]</t>
        </is>
      </c>
      <c r="E578" s="28" t="inlineStr">
        <is>
          <t>HLP</t>
        </is>
      </c>
      <c r="F578" s="30" t="n"/>
      <c r="G578" s="29">
        <f>IFERROR("["&amp;INDEX(고압진공_재고현황!$A:$A,MATCH($D578,고압진공_재고현황!$E:$E,0))&amp;"] "&amp;INDEX(고압진공_재고현황!$D:$D,MATCH($D578,고압진공_재고현황!$E:$E,0)),IFERROR("[조립] "&amp;INDEX(조립자재_재고현황!$D:$D,MATCH($D578,조립자재_재고현황!$E:$E,0)),""))</f>
        <v/>
      </c>
      <c r="H578" s="31">
        <f>IF(G578="","",COUNTIF($G$2:G578,"?*"))</f>
        <v/>
      </c>
    </row>
    <row r="579" ht="48" customHeight="1">
      <c r="A579" s="48" t="inlineStr">
        <is>
          <t>창고</t>
        </is>
      </c>
      <c r="B579" s="28" t="inlineStr">
        <is>
          <t>CABLE</t>
        </is>
      </c>
      <c r="C579" s="28" t="inlineStr">
        <is>
          <t>COCOON</t>
        </is>
      </c>
      <c r="D579" s="29" t="inlineStr">
        <is>
          <t>하네스 7-1번 (12505HS-05 70mm OP BD+TOUCH BD 5핀)
[COCOON]</t>
        </is>
      </c>
      <c r="E579" s="28" t="inlineStr">
        <is>
          <t>HLP</t>
        </is>
      </c>
      <c r="F579" s="30" t="n"/>
      <c r="G579" s="29">
        <f>IFERROR("["&amp;INDEX(고압진공_재고현황!$A:$A,MATCH($D579,고압진공_재고현황!$E:$E,0))&amp;"] "&amp;INDEX(고압진공_재고현황!$D:$D,MATCH($D579,고압진공_재고현황!$E:$E,0)),IFERROR("[조립] "&amp;INDEX(조립자재_재고현황!$D:$D,MATCH($D579,조립자재_재고현황!$E:$E,0)),""))</f>
        <v/>
      </c>
      <c r="H579" s="31">
        <f>IF(G579="","",COUNTIF($G$2:G579,"?*"))</f>
        <v/>
      </c>
    </row>
    <row r="580" ht="48" customHeight="1">
      <c r="A580" s="48" t="inlineStr">
        <is>
          <t>창고</t>
        </is>
      </c>
      <c r="B580" s="28" t="inlineStr">
        <is>
          <t>PCB</t>
        </is>
      </c>
      <c r="C580" s="28" t="inlineStr">
        <is>
          <t>COCOON</t>
        </is>
      </c>
      <c r="D580" s="29" t="inlineStr">
        <is>
          <t>POWER BD
[COCOON]</t>
        </is>
      </c>
      <c r="E580" s="28" t="inlineStr">
        <is>
          <t>HLP</t>
        </is>
      </c>
      <c r="F580" s="30" t="n"/>
      <c r="G580" s="29">
        <f>IFERROR("["&amp;INDEX(고압진공_재고현황!$A:$A,MATCH($D580,고압진공_재고현황!$E:$E,0))&amp;"] "&amp;INDEX(고압진공_재고현황!$D:$D,MATCH($D580,고압진공_재고현황!$E:$E,0)),IFERROR("[조립] "&amp;INDEX(조립자재_재고현황!$D:$D,MATCH($D580,조립자재_재고현황!$E:$E,0)),""))</f>
        <v/>
      </c>
      <c r="H580" s="31">
        <f>IF(G580="","",COUNTIF($G$2:G580,"?*"))</f>
        <v/>
      </c>
    </row>
    <row r="581" ht="48" customHeight="1">
      <c r="A581" s="48" t="inlineStr">
        <is>
          <t>창고</t>
        </is>
      </c>
      <c r="B581" s="28" t="inlineStr">
        <is>
          <t>PCB</t>
        </is>
      </c>
      <c r="C581" s="28" t="inlineStr">
        <is>
          <t>ADX6000</t>
        </is>
      </c>
      <c r="D581" s="29" t="inlineStr">
        <is>
          <t>CTR B/D
[ADX6000]</t>
        </is>
      </c>
      <c r="E581" s="28" t="inlineStr">
        <is>
          <t>HLP</t>
        </is>
      </c>
      <c r="F581" s="30" t="n"/>
      <c r="G581" s="29">
        <f>IFERROR("["&amp;INDEX(고압진공_재고현황!$A:$A,MATCH($D581,고압진공_재고현황!$E:$E,0))&amp;"] "&amp;INDEX(고압진공_재고현황!$D:$D,MATCH($D581,고압진공_재고현황!$E:$E,0)),IFERROR("[조립] "&amp;INDEX(조립자재_재고현황!$D:$D,MATCH($D581,조립자재_재고현황!$E:$E,0)),""))</f>
        <v/>
      </c>
      <c r="H581" s="31">
        <f>IF(G581="","",COUNTIF($G$2:G581,"?*"))</f>
        <v/>
      </c>
    </row>
    <row r="582" ht="48" customHeight="1">
      <c r="A582" s="48" t="inlineStr">
        <is>
          <t>창고</t>
        </is>
      </c>
      <c r="B582" s="28" t="inlineStr">
        <is>
          <t>PCB</t>
        </is>
      </c>
      <c r="C582" s="28" t="inlineStr">
        <is>
          <t>ADX6000</t>
        </is>
      </c>
      <c r="D582" s="29" t="inlineStr">
        <is>
          <t>INNER USB B/D
[ADX6000]</t>
        </is>
      </c>
      <c r="E582" s="28" t="inlineStr">
        <is>
          <t>HLP</t>
        </is>
      </c>
      <c r="F582" s="30" t="n"/>
      <c r="G582" s="29">
        <f>IFERROR("["&amp;INDEX(고압진공_재고현황!$A:$A,MATCH($D582,고압진공_재고현황!$E:$E,0))&amp;"] "&amp;INDEX(고압진공_재고현황!$D:$D,MATCH($D582,고압진공_재고현황!$E:$E,0)),IFERROR("[조립] "&amp;INDEX(조립자재_재고현황!$D:$D,MATCH($D582,조립자재_재고현황!$E:$E,0)),""))</f>
        <v/>
      </c>
      <c r="H582" s="31">
        <f>IF(G582="","",COUNTIF($G$2:G582,"?*"))</f>
        <v/>
      </c>
    </row>
    <row r="583" ht="48" customHeight="1">
      <c r="A583" s="48" t="inlineStr">
        <is>
          <t>창고</t>
        </is>
      </c>
      <c r="B583" s="28" t="inlineStr">
        <is>
          <t>PCB</t>
        </is>
      </c>
      <c r="C583" s="28" t="inlineStr">
        <is>
          <t>ADX6000</t>
        </is>
      </c>
      <c r="D583" s="29" t="inlineStr">
        <is>
          <t>LCD B/D
[ADX6000]</t>
        </is>
      </c>
      <c r="E583" s="28" t="inlineStr">
        <is>
          <t>HLP</t>
        </is>
      </c>
      <c r="F583" s="30" t="n"/>
      <c r="G583" s="29">
        <f>IFERROR("["&amp;INDEX(고압진공_재고현황!$A:$A,MATCH($D583,고압진공_재고현황!$E:$E,0))&amp;"] "&amp;INDEX(고압진공_재고현황!$D:$D,MATCH($D583,고압진공_재고현황!$E:$E,0)),IFERROR("[조립] "&amp;INDEX(조립자재_재고현황!$D:$D,MATCH($D583,조립자재_재고현황!$E:$E,0)),""))</f>
        <v/>
      </c>
      <c r="H583" s="31">
        <f>IF(G583="","",COUNTIF($G$2:G583,"?*"))</f>
        <v/>
      </c>
    </row>
    <row r="584" ht="48" customHeight="1">
      <c r="A584" s="48" t="inlineStr">
        <is>
          <t>창고</t>
        </is>
      </c>
      <c r="B584" s="28" t="inlineStr">
        <is>
          <t>PCB</t>
        </is>
      </c>
      <c r="C584" s="28" t="inlineStr">
        <is>
          <t>ADX6000</t>
        </is>
      </c>
      <c r="D584" s="29" t="inlineStr">
        <is>
          <t>Carrier B/D (구형 KONTRON)
[ADX6000]</t>
        </is>
      </c>
      <c r="E584" s="28" t="inlineStr">
        <is>
          <t>비씨엠테크</t>
        </is>
      </c>
      <c r="F584" s="30" t="n"/>
      <c r="G584" s="29">
        <f>IFERROR("["&amp;INDEX(고압진공_재고현황!$A:$A,MATCH($D584,고압진공_재고현황!$E:$E,0))&amp;"] "&amp;INDEX(고압진공_재고현황!$D:$D,MATCH($D584,고압진공_재고현황!$E:$E,0)),IFERROR("[조립] "&amp;INDEX(조립자재_재고현황!$D:$D,MATCH($D584,조립자재_재고현황!$E:$E,0)),""))</f>
        <v/>
      </c>
      <c r="H584" s="31">
        <f>IF(G584="","",COUNTIF($G$2:G584,"?*"))</f>
        <v/>
      </c>
    </row>
    <row r="585" ht="48" customHeight="1">
      <c r="A585" s="48" t="inlineStr">
        <is>
          <t>창고</t>
        </is>
      </c>
      <c r="B585" s="28" t="inlineStr">
        <is>
          <t>PCB</t>
        </is>
      </c>
      <c r="C585" s="28" t="inlineStr">
        <is>
          <t>ADX6000</t>
        </is>
      </c>
      <c r="D585" s="29" t="inlineStr">
        <is>
          <t>Carrier B/D (신형 DFI)
[ADX6000]</t>
        </is>
      </c>
      <c r="E585" s="28" t="inlineStr">
        <is>
          <t>비씨엠테크</t>
        </is>
      </c>
      <c r="F585" s="30" t="n"/>
      <c r="G585" s="29">
        <f>IFERROR("["&amp;INDEX(고압진공_재고현황!$A:$A,MATCH($D585,고압진공_재고현황!$E:$E,0))&amp;"] "&amp;INDEX(고압진공_재고현황!$D:$D,MATCH($D585,고압진공_재고현황!$E:$E,0)),IFERROR("[조립] "&amp;INDEX(조립자재_재고현황!$D:$D,MATCH($D585,조립자재_재고현황!$E:$E,0)),""))</f>
        <v/>
      </c>
      <c r="H585" s="31">
        <f>IF(G585="","",COUNTIF($G$2:G585,"?*"))</f>
        <v/>
      </c>
    </row>
    <row r="586" ht="48" customHeight="1">
      <c r="A586" s="48" t="inlineStr">
        <is>
          <t>창고</t>
        </is>
      </c>
      <c r="B586" s="28" t="inlineStr">
        <is>
          <t>PCB</t>
        </is>
      </c>
      <c r="C586" s="28" t="inlineStr">
        <is>
          <t>ADX6000S</t>
        </is>
      </c>
      <c r="D586" s="29" t="inlineStr">
        <is>
          <t>ETC CARRIER BD
[ADX6000S]</t>
        </is>
      </c>
      <c r="E586" s="28" t="inlineStr">
        <is>
          <t>HLP</t>
        </is>
      </c>
      <c r="F586" s="30" t="n"/>
      <c r="G586" s="29">
        <f>IFERROR("["&amp;INDEX(고압진공_재고현황!$A:$A,MATCH($D586,고압진공_재고현황!$E:$E,0))&amp;"] "&amp;INDEX(고압진공_재고현황!$D:$D,MATCH($D586,고압진공_재고현황!$E:$E,0)),IFERROR("[조립] "&amp;INDEX(조립자재_재고현황!$D:$D,MATCH($D586,조립자재_재고현황!$E:$E,0)),""))</f>
        <v/>
      </c>
      <c r="H586" s="31">
        <f>IF(G586="","",COUNTIF($G$2:G586,"?*"))</f>
        <v/>
      </c>
    </row>
    <row r="587" ht="48" customHeight="1">
      <c r="A587" s="48" t="inlineStr">
        <is>
          <t>창고</t>
        </is>
      </c>
      <c r="B587" s="28" t="inlineStr">
        <is>
          <t>PCB</t>
        </is>
      </c>
      <c r="C587" s="28" t="inlineStr">
        <is>
          <t>ADX6000S</t>
        </is>
      </c>
      <c r="D587" s="29" t="inlineStr">
        <is>
          <t>ETC CARRIER MINI BD
[ADX6000S]</t>
        </is>
      </c>
      <c r="E587" s="28" t="inlineStr">
        <is>
          <t>HLP</t>
        </is>
      </c>
      <c r="F587" s="30" t="n"/>
      <c r="G587" s="29">
        <f>IFERROR("["&amp;INDEX(고압진공_재고현황!$A:$A,MATCH($D587,고압진공_재고현황!$E:$E,0))&amp;"] "&amp;INDEX(고압진공_재고현황!$D:$D,MATCH($D587,고압진공_재고현황!$E:$E,0)),IFERROR("[조립] "&amp;INDEX(조립자재_재고현황!$D:$D,MATCH($D587,조립자재_재고현황!$E:$E,0)),""))</f>
        <v/>
      </c>
      <c r="H587" s="31">
        <f>IF(G587="","",COUNTIF($G$2:G587,"?*"))</f>
        <v/>
      </c>
    </row>
    <row r="588" ht="48" customHeight="1">
      <c r="A588" s="48" t="inlineStr">
        <is>
          <t>창고</t>
        </is>
      </c>
      <c r="B588" s="28" t="inlineStr">
        <is>
          <t>PCB</t>
        </is>
      </c>
      <c r="C588" s="28" t="inlineStr">
        <is>
          <t>ADX6000</t>
        </is>
      </c>
      <c r="D588" s="29" t="inlineStr">
        <is>
          <t>Front Micro B/D
[ADX6000]</t>
        </is>
      </c>
      <c r="E588" s="28" t="inlineStr">
        <is>
          <t>HLP</t>
        </is>
      </c>
      <c r="F588" s="30" t="n"/>
      <c r="G588" s="29">
        <f>IFERROR("["&amp;INDEX(고압진공_재고현황!$A:$A,MATCH($D588,고압진공_재고현황!$E:$E,0))&amp;"] "&amp;INDEX(고압진공_재고현황!$D:$D,MATCH($D588,고압진공_재고현황!$E:$E,0)),IFERROR("[조립] "&amp;INDEX(조립자재_재고현황!$D:$D,MATCH($D588,조립자재_재고현황!$E:$E,0)),""))</f>
        <v/>
      </c>
      <c r="H588" s="31">
        <f>IF(G588="","",COUNTIF($G$2:G588,"?*"))</f>
        <v/>
      </c>
    </row>
    <row r="589" ht="48" customHeight="1">
      <c r="A589" s="48" t="inlineStr">
        <is>
          <t>창고</t>
        </is>
      </c>
      <c r="B589" s="28" t="inlineStr">
        <is>
          <t>PCB</t>
        </is>
      </c>
      <c r="C589" s="28" t="inlineStr">
        <is>
          <t>ADX6000</t>
        </is>
      </c>
      <c r="D589" s="29" t="inlineStr">
        <is>
          <t>Front Connector B/D
[ADX6000]</t>
        </is>
      </c>
      <c r="E589" s="28" t="inlineStr">
        <is>
          <t>HLP</t>
        </is>
      </c>
      <c r="F589" s="30" t="n"/>
      <c r="G589" s="29">
        <f>IFERROR("["&amp;INDEX(고압진공_재고현황!$A:$A,MATCH($D589,고압진공_재고현황!$E:$E,0))&amp;"] "&amp;INDEX(고압진공_재고현황!$D:$D,MATCH($D589,고압진공_재고현황!$E:$E,0)),IFERROR("[조립] "&amp;INDEX(조립자재_재고현황!$D:$D,MATCH($D589,조립자재_재고현황!$E:$E,0)),""))</f>
        <v/>
      </c>
      <c r="H589" s="31">
        <f>IF(G589="","",COUNTIF($G$2:G589,"?*"))</f>
        <v/>
      </c>
    </row>
    <row r="590" ht="48" customHeight="1">
      <c r="A590" s="48" t="inlineStr">
        <is>
          <t>창고</t>
        </is>
      </c>
      <c r="B590" s="28" t="inlineStr">
        <is>
          <t>PCB</t>
        </is>
      </c>
      <c r="C590" s="28" t="inlineStr">
        <is>
          <t>ADX6000S</t>
        </is>
      </c>
      <c r="D590" s="29" t="inlineStr">
        <is>
          <t>ETC FRONT BD
[ADX6000S]</t>
        </is>
      </c>
      <c r="E590" s="28" t="inlineStr">
        <is>
          <t>HLP</t>
        </is>
      </c>
      <c r="F590" s="30" t="n"/>
      <c r="G590" s="29">
        <f>IFERROR("["&amp;INDEX(고압진공_재고현황!$A:$A,MATCH($D590,고압진공_재고현황!$E:$E,0))&amp;"] "&amp;INDEX(고압진공_재고현황!$D:$D,MATCH($D590,고압진공_재고현황!$E:$E,0)),IFERROR("[조립] "&amp;INDEX(조립자재_재고현황!$D:$D,MATCH($D590,조립자재_재고현황!$E:$E,0)),""))</f>
        <v/>
      </c>
      <c r="H590" s="31">
        <f>IF(G590="","",COUNTIF($G$2:G590,"?*"))</f>
        <v/>
      </c>
    </row>
    <row r="591" ht="48" customHeight="1">
      <c r="A591" s="48" t="inlineStr">
        <is>
          <t>창고</t>
        </is>
      </c>
      <c r="B591" s="28" t="inlineStr">
        <is>
          <t>PCB</t>
        </is>
      </c>
      <c r="C591" s="28" t="inlineStr">
        <is>
          <t>ADX6000S</t>
        </is>
      </c>
      <c r="D591" s="29" t="inlineStr">
        <is>
          <t>ETC FRONT BD (리모콘 포트 수정 신형)
[ADX6000S]</t>
        </is>
      </c>
      <c r="E591" s="28" t="inlineStr">
        <is>
          <t>HLP</t>
        </is>
      </c>
      <c r="F591" s="30" t="n"/>
      <c r="G591" s="29">
        <f>IFERROR("["&amp;INDEX(고압진공_재고현황!$A:$A,MATCH($D591,고압진공_재고현황!$E:$E,0))&amp;"] "&amp;INDEX(고압진공_재고현황!$D:$D,MATCH($D591,고압진공_재고현황!$E:$E,0)),IFERROR("[조립] "&amp;INDEX(조립자재_재고현황!$D:$D,MATCH($D591,조립자재_재고현황!$E:$E,0)),""))</f>
        <v/>
      </c>
      <c r="H591" s="31">
        <f>IF(G591="","",COUNTIF($G$2:G591,"?*"))</f>
        <v/>
      </c>
    </row>
    <row r="592" ht="48" customHeight="1">
      <c r="A592" s="48" t="inlineStr">
        <is>
          <t>창고</t>
        </is>
      </c>
      <c r="B592" s="28" t="inlineStr">
        <is>
          <t>PCB</t>
        </is>
      </c>
      <c r="C592" s="28" t="inlineStr">
        <is>
          <t>ADX6000</t>
        </is>
      </c>
      <c r="D592" s="29" t="inlineStr">
        <is>
          <t>컬리메이터 LED B/D (신형 LED 작은것)
[ADX6000]</t>
        </is>
      </c>
      <c r="E592" s="28" t="inlineStr">
        <is>
          <t>HLP</t>
        </is>
      </c>
      <c r="F592" s="30" t="n"/>
      <c r="G592" s="29">
        <f>IFERROR("["&amp;INDEX(고압진공_재고현황!$A:$A,MATCH($D592,고압진공_재고현황!$E:$E,0))&amp;"] "&amp;INDEX(고압진공_재고현황!$D:$D,MATCH($D592,고압진공_재고현황!$E:$E,0)),IFERROR("[조립] "&amp;INDEX(조립자재_재고현황!$D:$D,MATCH($D592,조립자재_재고현황!$E:$E,0)),""))</f>
        <v/>
      </c>
      <c r="H592" s="31">
        <f>IF(G592="","",COUNTIF($G$2:G592,"?*"))</f>
        <v/>
      </c>
    </row>
    <row r="593" ht="48" customHeight="1">
      <c r="A593" s="48" t="inlineStr">
        <is>
          <t>창고</t>
        </is>
      </c>
      <c r="B593" s="28" t="inlineStr">
        <is>
          <t>PCB</t>
        </is>
      </c>
      <c r="C593" s="28" t="inlineStr">
        <is>
          <t>ADX6000</t>
        </is>
      </c>
      <c r="D593" s="29" t="inlineStr">
        <is>
          <t>컬리메이터 LED B/D (신형 LED, 밝기 수정)
[ADX6000]</t>
        </is>
      </c>
      <c r="E593" s="28" t="inlineStr">
        <is>
          <t>HLP</t>
        </is>
      </c>
      <c r="F593" s="30" t="n"/>
      <c r="G593" s="29">
        <f>IFERROR("["&amp;INDEX(고압진공_재고현황!$A:$A,MATCH($D593,고압진공_재고현황!$E:$E,0))&amp;"] "&amp;INDEX(고압진공_재고현황!$D:$D,MATCH($D593,고압진공_재고현황!$E:$E,0)),IFERROR("[조립] "&amp;INDEX(조립자재_재고현황!$D:$D,MATCH($D593,조립자재_재고현황!$E:$E,0)),""))</f>
        <v/>
      </c>
      <c r="H593" s="31">
        <f>IF(G593="","",COUNTIF($G$2:G593,"?*"))</f>
        <v/>
      </c>
    </row>
    <row r="594" ht="48" customHeight="1">
      <c r="A594" s="48" t="inlineStr">
        <is>
          <t>창고</t>
        </is>
      </c>
      <c r="B594" s="28" t="inlineStr">
        <is>
          <t>PCB</t>
        </is>
      </c>
      <c r="C594" s="28" t="inlineStr">
        <is>
          <t>ADX6000</t>
        </is>
      </c>
      <c r="D594" s="29" t="inlineStr">
        <is>
          <t>ETC EX BATTERY BD
[ADX6000]</t>
        </is>
      </c>
      <c r="E594" s="28" t="inlineStr">
        <is>
          <t>HLP</t>
        </is>
      </c>
      <c r="F594" s="30" t="n"/>
      <c r="G594" s="29">
        <f>IFERROR("["&amp;INDEX(고압진공_재고현황!$A:$A,MATCH($D594,고압진공_재고현황!$E:$E,0))&amp;"] "&amp;INDEX(고압진공_재고현황!$D:$D,MATCH($D594,고압진공_재고현황!$E:$E,0)),IFERROR("[조립] "&amp;INDEX(조립자재_재고현황!$D:$D,MATCH($D594,조립자재_재고현황!$E:$E,0)),""))</f>
        <v/>
      </c>
      <c r="H594" s="31">
        <f>IF(G594="","",COUNTIF($G$2:G594,"?*"))</f>
        <v/>
      </c>
    </row>
    <row r="595" ht="48" customHeight="1">
      <c r="A595" s="48" t="inlineStr">
        <is>
          <t>창고</t>
        </is>
      </c>
      <c r="B595" s="28" t="inlineStr">
        <is>
          <t>PCB</t>
        </is>
      </c>
      <c r="C595" s="28" t="inlineStr">
        <is>
          <t>ADX6000</t>
        </is>
      </c>
      <c r="D595" s="29" t="inlineStr">
        <is>
          <t>ETC RESIST BD
[ADX6000]</t>
        </is>
      </c>
      <c r="E595" s="28" t="inlineStr">
        <is>
          <t>HLP</t>
        </is>
      </c>
      <c r="F595" s="30" t="n"/>
      <c r="G595" s="29">
        <f>IFERROR("["&amp;INDEX(고압진공_재고현황!$A:$A,MATCH($D595,고압진공_재고현황!$E:$E,0))&amp;"] "&amp;INDEX(고압진공_재고현황!$D:$D,MATCH($D595,고압진공_재고현황!$E:$E,0)),IFERROR("[조립] "&amp;INDEX(조립자재_재고현황!$D:$D,MATCH($D595,조립자재_재고현황!$E:$E,0)),""))</f>
        <v/>
      </c>
      <c r="H595" s="31">
        <f>IF(G595="","",COUNTIF($G$2:G595,"?*"))</f>
        <v/>
      </c>
    </row>
    <row r="596" ht="48" customHeight="1">
      <c r="A596" s="48" t="inlineStr">
        <is>
          <t>창고</t>
        </is>
      </c>
      <c r="B596" s="28" t="inlineStr">
        <is>
          <t>PCB</t>
        </is>
      </c>
      <c r="C596" s="28" t="inlineStr">
        <is>
          <t>ADX6000</t>
        </is>
      </c>
      <c r="D596" s="29" t="inlineStr">
        <is>
          <t>ETC CAP BANK BD
[ADX6000]</t>
        </is>
      </c>
      <c r="E596" s="28" t="inlineStr">
        <is>
          <t>HLP</t>
        </is>
      </c>
      <c r="F596" s="30" t="n"/>
      <c r="G596" s="29">
        <f>IFERROR("["&amp;INDEX(고압진공_재고현황!$A:$A,MATCH($D596,고압진공_재고현황!$E:$E,0))&amp;"] "&amp;INDEX(고압진공_재고현황!$D:$D,MATCH($D596,고압진공_재고현황!$E:$E,0)),IFERROR("[조립] "&amp;INDEX(조립자재_재고현황!$D:$D,MATCH($D596,조립자재_재고현황!$E:$E,0)),""))</f>
        <v/>
      </c>
      <c r="H596" s="31">
        <f>IF(G596="","",COUNTIF($G$2:G596,"?*"))</f>
        <v/>
      </c>
    </row>
    <row r="597" ht="48" customHeight="1">
      <c r="A597" s="48" t="inlineStr">
        <is>
          <t>창고</t>
        </is>
      </c>
      <c r="B597" s="28" t="inlineStr">
        <is>
          <t>PCB</t>
        </is>
      </c>
      <c r="C597" s="28" t="inlineStr">
        <is>
          <t>ADX6000</t>
        </is>
      </c>
      <c r="D597" s="29" t="inlineStr">
        <is>
          <t>LED DRIVER B/D (V1.0.0)
[ADX6000]</t>
        </is>
      </c>
      <c r="E597" s="28" t="inlineStr">
        <is>
          <t>HLP</t>
        </is>
      </c>
      <c r="F597" s="30" t="n"/>
      <c r="G597" s="29">
        <f>IFERROR("["&amp;INDEX(고압진공_재고현황!$A:$A,MATCH($D597,고압진공_재고현황!$E:$E,0))&amp;"] "&amp;INDEX(고압진공_재고현황!$D:$D,MATCH($D597,고압진공_재고현황!$E:$E,0)),IFERROR("[조립] "&amp;INDEX(조립자재_재고현황!$D:$D,MATCH($D597,조립자재_재고현황!$E:$E,0)),""))</f>
        <v/>
      </c>
      <c r="H597" s="31">
        <f>IF(G597="","",COUNTIF($G$2:G597,"?*"))</f>
        <v/>
      </c>
    </row>
    <row r="598" ht="48" customHeight="1">
      <c r="A598" s="48" t="inlineStr">
        <is>
          <t>창고</t>
        </is>
      </c>
      <c r="B598" s="28" t="inlineStr">
        <is>
          <t>PCB</t>
        </is>
      </c>
      <c r="C598" s="28" t="inlineStr">
        <is>
          <t>ADX6000</t>
        </is>
      </c>
      <c r="D598" s="29" t="inlineStr">
        <is>
          <t>DRTech FDXD-810, FLAATZ-N330 CTR Battery B/D (구형)
[ADX6000]</t>
        </is>
      </c>
      <c r="E598" s="28" t="inlineStr">
        <is>
          <t>HLP</t>
        </is>
      </c>
      <c r="F598" s="30" t="n"/>
      <c r="G598" s="29">
        <f>IFERROR("["&amp;INDEX(고압진공_재고현황!$A:$A,MATCH($D598,고압진공_재고현황!$E:$E,0))&amp;"] "&amp;INDEX(고압진공_재고현황!$D:$D,MATCH($D598,고압진공_재고현황!$E:$E,0)),IFERROR("[조립] "&amp;INDEX(조립자재_재고현황!$D:$D,MATCH($D598,조립자재_재고현황!$E:$E,0)),""))</f>
        <v/>
      </c>
      <c r="H598" s="31">
        <f>IF(G598="","",COUNTIF($G$2:G598,"?*"))</f>
        <v/>
      </c>
    </row>
    <row r="599" ht="48" customHeight="1">
      <c r="A599" s="48" t="inlineStr">
        <is>
          <t>창고</t>
        </is>
      </c>
      <c r="B599" s="28" t="inlineStr">
        <is>
          <t>PCB</t>
        </is>
      </c>
      <c r="C599" s="28" t="inlineStr">
        <is>
          <t>ADX6000</t>
        </is>
      </c>
      <c r="D599" s="29" t="inlineStr">
        <is>
          <t>DRTech FDXD-810, FLAATZ-N330 CTR Battery B/D (신형)
[ADX6000]</t>
        </is>
      </c>
      <c r="E599" s="28" t="inlineStr">
        <is>
          <t>HLP</t>
        </is>
      </c>
      <c r="F599" s="30" t="n"/>
      <c r="G599" s="29">
        <f>IFERROR("["&amp;INDEX(고압진공_재고현황!$A:$A,MATCH($D599,고압진공_재고현황!$E:$E,0))&amp;"] "&amp;INDEX(고압진공_재고현황!$D:$D,MATCH($D599,고압진공_재고현황!$E:$E,0)),IFERROR("[조립] "&amp;INDEX(조립자재_재고현황!$D:$D,MATCH($D599,조립자재_재고현황!$E:$E,0)),""))</f>
        <v/>
      </c>
      <c r="H599" s="31">
        <f>IF(G599="","",COUNTIF($G$2:G599,"?*"))</f>
        <v/>
      </c>
    </row>
    <row r="600" ht="48" customHeight="1">
      <c r="A600" s="48" t="inlineStr">
        <is>
          <t>창고</t>
        </is>
      </c>
      <c r="B600" s="28" t="inlineStr">
        <is>
          <t>CABLE</t>
        </is>
      </c>
      <c r="C600" s="28" t="inlineStr">
        <is>
          <t>ADX6000</t>
        </is>
      </c>
      <c r="D600" s="29" t="inlineStr">
        <is>
          <t>FFC (16핀) (82mm)
[ADX6000]</t>
        </is>
      </c>
      <c r="E600" s="28" t="inlineStr">
        <is>
          <t>HLP</t>
        </is>
      </c>
      <c r="F600" s="30" t="n"/>
      <c r="G600" s="29">
        <f>IFERROR("["&amp;INDEX(고압진공_재고현황!$A:$A,MATCH($D600,고압진공_재고현황!$E:$E,0))&amp;"] "&amp;INDEX(고압진공_재고현황!$D:$D,MATCH($D600,고압진공_재고현황!$E:$E,0)),IFERROR("[조립] "&amp;INDEX(조립자재_재고현황!$D:$D,MATCH($D600,조립자재_재고현황!$E:$E,0)),""))</f>
        <v/>
      </c>
      <c r="H600" s="31">
        <f>IF(G600="","",COUNTIF($G$2:G600,"?*"))</f>
        <v/>
      </c>
    </row>
    <row r="601" ht="48" customHeight="1">
      <c r="A601" s="48" t="inlineStr">
        <is>
          <t>창고</t>
        </is>
      </c>
      <c r="B601" s="28" t="inlineStr">
        <is>
          <t>CABLE</t>
        </is>
      </c>
      <c r="C601" s="28" t="inlineStr">
        <is>
          <t>ADX6000</t>
        </is>
      </c>
      <c r="D601" s="29" t="inlineStr">
        <is>
          <t>하네스 8번 (YH396-04V - 2EA CAP BANK 케이블 / 120mm)
[ADX6000]</t>
        </is>
      </c>
      <c r="E601" s="28" t="inlineStr">
        <is>
          <t>HLP</t>
        </is>
      </c>
      <c r="F601" s="30" t="n"/>
      <c r="G601" s="29">
        <f>IFERROR("["&amp;INDEX(고압진공_재고현황!$A:$A,MATCH($D601,고압진공_재고현황!$E:$E,0))&amp;"] "&amp;INDEX(고압진공_재고현황!$D:$D,MATCH($D601,고압진공_재고현황!$E:$E,0)),IFERROR("[조립] "&amp;INDEX(조립자재_재고현황!$D:$D,MATCH($D601,조립자재_재고현황!$E:$E,0)),""))</f>
        <v/>
      </c>
      <c r="H601" s="31">
        <f>IF(G601="","",COUNTIF($G$2:G601,"?*"))</f>
        <v/>
      </c>
    </row>
    <row r="602" ht="48" customHeight="1">
      <c r="A602" s="48" t="inlineStr">
        <is>
          <t>창고</t>
        </is>
      </c>
      <c r="B602" s="28" t="inlineStr">
        <is>
          <t>CABLE</t>
        </is>
      </c>
      <c r="C602" s="28" t="inlineStr">
        <is>
          <t>ADX6000S</t>
        </is>
      </c>
      <c r="D602" s="29" t="inlineStr">
        <is>
          <t>하네스 9번 (12505HS-03 Carrier Mini BD 케이블 / 100mm)
[ADX6000S]</t>
        </is>
      </c>
      <c r="E602" s="28" t="inlineStr">
        <is>
          <t>HLP</t>
        </is>
      </c>
      <c r="F602" s="30" t="n"/>
      <c r="G602" s="29">
        <f>IFERROR("["&amp;INDEX(고압진공_재고현황!$A:$A,MATCH($D602,고압진공_재고현황!$E:$E,0))&amp;"] "&amp;INDEX(고압진공_재고현황!$D:$D,MATCH($D602,고압진공_재고현황!$E:$E,0)),IFERROR("[조립] "&amp;INDEX(조립자재_재고현황!$D:$D,MATCH($D602,조립자재_재고현황!$E:$E,0)),""))</f>
        <v/>
      </c>
      <c r="H602" s="31">
        <f>IF(G602="","",COUNTIF($G$2:G602,"?*"))</f>
        <v/>
      </c>
    </row>
    <row r="603" ht="48" customHeight="1">
      <c r="A603" s="48" t="inlineStr">
        <is>
          <t>창고</t>
        </is>
      </c>
      <c r="B603" s="28" t="inlineStr">
        <is>
          <t>CABLE</t>
        </is>
      </c>
      <c r="C603" s="28" t="inlineStr">
        <is>
          <t>ADX6000</t>
        </is>
      </c>
      <c r="D603" s="29" t="inlineStr">
        <is>
          <t>하네스 12번 (YH396-04V - 1EA 외부단자 케이블 / 200mm)
[ADX6000]</t>
        </is>
      </c>
      <c r="E603" s="28" t="inlineStr">
        <is>
          <t>HLP</t>
        </is>
      </c>
      <c r="F603" s="30" t="n"/>
      <c r="G603" s="29">
        <f>IFERROR("["&amp;INDEX(고압진공_재고현황!$A:$A,MATCH($D603,고압진공_재고현황!$E:$E,0))&amp;"] "&amp;INDEX(고압진공_재고현황!$D:$D,MATCH($D603,고압진공_재고현황!$E:$E,0)),IFERROR("[조립] "&amp;INDEX(조립자재_재고현황!$D:$D,MATCH($D603,조립자재_재고현황!$E:$E,0)),""))</f>
        <v/>
      </c>
      <c r="H603" s="31">
        <f>IF(G603="","",COUNTIF($G$2:G603,"?*"))</f>
        <v/>
      </c>
    </row>
    <row r="604" ht="48" customHeight="1">
      <c r="A604" s="48" t="inlineStr">
        <is>
          <t>창고</t>
        </is>
      </c>
      <c r="B604" s="28" t="inlineStr">
        <is>
          <t>CABLE</t>
        </is>
      </c>
      <c r="C604" s="28" t="inlineStr">
        <is>
          <t>ADX6000</t>
        </is>
      </c>
      <c r="D604" s="29" t="inlineStr">
        <is>
          <t>하네스 13번 (DC Connector Cable 외부배터리 케이블 / 360mm)
[ADX6000]</t>
        </is>
      </c>
      <c r="E604" s="28" t="inlineStr">
        <is>
          <t>HLP</t>
        </is>
      </c>
      <c r="F604" s="30" t="n"/>
      <c r="G604" s="29">
        <f>IFERROR("["&amp;INDEX(고압진공_재고현황!$A:$A,MATCH($D604,고압진공_재고현황!$E:$E,0))&amp;"] "&amp;INDEX(고압진공_재고현황!$D:$D,MATCH($D604,고압진공_재고현황!$E:$E,0)),IFERROR("[조립] "&amp;INDEX(조립자재_재고현황!$D:$D,MATCH($D604,조립자재_재고현황!$E:$E,0)),""))</f>
        <v/>
      </c>
      <c r="H604" s="31">
        <f>IF(G604="","",COUNTIF($G$2:G604,"?*"))</f>
        <v/>
      </c>
    </row>
    <row r="605" ht="48" customHeight="1">
      <c r="A605" s="48" t="inlineStr">
        <is>
          <t>창고</t>
        </is>
      </c>
      <c r="B605" s="28" t="inlineStr">
        <is>
          <t>CABLE</t>
        </is>
      </c>
      <c r="C605" s="28" t="inlineStr">
        <is>
          <t>ADX6000</t>
        </is>
      </c>
      <c r="D605" s="29" t="inlineStr">
        <is>
          <t>USB Connector Wire Harness (4핀) (100mm)
[ADX6000]</t>
        </is>
      </c>
      <c r="E605" s="28" t="inlineStr">
        <is>
          <t>HLP</t>
        </is>
      </c>
      <c r="F605" s="30" t="n"/>
      <c r="G605" s="29">
        <f>IFERROR("["&amp;INDEX(고압진공_재고현황!$A:$A,MATCH($D605,고압진공_재고현황!$E:$E,0))&amp;"] "&amp;INDEX(고압진공_재고현황!$D:$D,MATCH($D605,고압진공_재고현황!$E:$E,0)),IFERROR("[조립] "&amp;INDEX(조립자재_재고현황!$D:$D,MATCH($D605,조립자재_재고현황!$E:$E,0)),""))</f>
        <v/>
      </c>
      <c r="H605" s="31">
        <f>IF(G605="","",COUNTIF($G$2:G605,"?*"))</f>
        <v/>
      </c>
    </row>
    <row r="606" ht="48" customHeight="1">
      <c r="A606" s="48" t="inlineStr">
        <is>
          <t>창고</t>
        </is>
      </c>
      <c r="B606" s="28" t="inlineStr">
        <is>
          <t>CABLE</t>
        </is>
      </c>
      <c r="C606" s="28" t="inlineStr">
        <is>
          <t>ADX6000</t>
        </is>
      </c>
      <c r="D606" s="29" t="inlineStr">
        <is>
          <t>Front USB Wire Harness (4핀) (80mm)
[ADX6000]</t>
        </is>
      </c>
      <c r="E606" s="28" t="inlineStr">
        <is>
          <t>HLP</t>
        </is>
      </c>
      <c r="F606" s="30" t="n"/>
      <c r="G606" s="29">
        <f>IFERROR("["&amp;INDEX(고압진공_재고현황!$A:$A,MATCH($D606,고압진공_재고현황!$E:$E,0))&amp;"] "&amp;INDEX(고압진공_재고현황!$D:$D,MATCH($D606,고압진공_재고현황!$E:$E,0)),IFERROR("[조립] "&amp;INDEX(조립자재_재고현황!$D:$D,MATCH($D606,조립자재_재고현황!$E:$E,0)),""))</f>
        <v/>
      </c>
      <c r="H606" s="31">
        <f>IF(G606="","",COUNTIF($G$2:G606,"?*"))</f>
        <v/>
      </c>
    </row>
    <row r="607" ht="48" customHeight="1">
      <c r="A607" s="48" t="inlineStr">
        <is>
          <t>창고</t>
        </is>
      </c>
      <c r="B607" s="28" t="inlineStr">
        <is>
          <t>CABLE</t>
        </is>
      </c>
      <c r="C607" s="28" t="inlineStr">
        <is>
          <t>ADX6000</t>
        </is>
      </c>
      <c r="D607" s="29" t="inlineStr">
        <is>
          <t>RS422 통신 Wire Harness (6핀) (120mm)
[ADX6000]</t>
        </is>
      </c>
      <c r="E607" s="28" t="inlineStr">
        <is>
          <t>HLP</t>
        </is>
      </c>
      <c r="F607" s="30" t="n"/>
      <c r="G607" s="29">
        <f>IFERROR("["&amp;INDEX(고압진공_재고현황!$A:$A,MATCH($D607,고압진공_재고현황!$E:$E,0))&amp;"] "&amp;INDEX(고압진공_재고현황!$D:$D,MATCH($D607,고압진공_재고현황!$E:$E,0)),IFERROR("[조립] "&amp;INDEX(조립자재_재고현황!$D:$D,MATCH($D607,조립자재_재고현황!$E:$E,0)),""))</f>
        <v/>
      </c>
      <c r="H607" s="31">
        <f>IF(G607="","",COUNTIF($G$2:G607,"?*"))</f>
        <v/>
      </c>
    </row>
    <row r="608" ht="48" customHeight="1">
      <c r="A608" s="48" t="inlineStr">
        <is>
          <t>창고</t>
        </is>
      </c>
      <c r="B608" s="28" t="inlineStr">
        <is>
          <t>CABLE</t>
        </is>
      </c>
      <c r="C608" s="28" t="inlineStr">
        <is>
          <t>ADX6000</t>
        </is>
      </c>
      <c r="D608" s="29" t="inlineStr">
        <is>
          <t>PC Connector Wire Harness (7핀) (100mm, 140mm, 200mm)
[ADX6000]</t>
        </is>
      </c>
      <c r="E608" s="28" t="inlineStr">
        <is>
          <t>HLP</t>
        </is>
      </c>
      <c r="F608" s="30" t="n"/>
      <c r="G608" s="29">
        <f>IFERROR("["&amp;INDEX(고압진공_재고현황!$A:$A,MATCH($D608,고압진공_재고현황!$E:$E,0))&amp;"] "&amp;INDEX(고압진공_재고현황!$D:$D,MATCH($D608,고압진공_재고현황!$E:$E,0)),IFERROR("[조립] "&amp;INDEX(조립자재_재고현황!$D:$D,MATCH($D608,조립자재_재고현황!$E:$E,0)),""))</f>
        <v/>
      </c>
      <c r="H608" s="31">
        <f>IF(G608="","",COUNTIF($G$2:G608,"?*"))</f>
        <v/>
      </c>
    </row>
    <row r="609" ht="48" customHeight="1">
      <c r="A609" s="48" t="inlineStr">
        <is>
          <t>창고</t>
        </is>
      </c>
      <c r="B609" s="28" t="inlineStr">
        <is>
          <t>PANEL</t>
        </is>
      </c>
      <c r="C609" s="28" t="inlineStr">
        <is>
          <t>ADX6000S</t>
        </is>
      </c>
      <c r="D609" s="29" t="inlineStr">
        <is>
          <t>4.3" LCD (IEC266lite-43, OS 영문)
[ADX6000S]</t>
        </is>
      </c>
      <c r="E609" s="28" t="inlineStr">
        <is>
          <t>에이치앤에스</t>
        </is>
      </c>
      <c r="F609" s="30" t="n"/>
      <c r="G609" s="29">
        <f>IFERROR("["&amp;INDEX(고압진공_재고현황!$A:$A,MATCH($D609,고압진공_재고현황!$E:$E,0))&amp;"] "&amp;INDEX(고압진공_재고현황!$D:$D,MATCH($D609,고압진공_재고현황!$E:$E,0)),IFERROR("[조립] "&amp;INDEX(조립자재_재고현황!$D:$D,MATCH($D609,조립자재_재고현황!$E:$E,0)),""))</f>
        <v/>
      </c>
      <c r="H609" s="31">
        <f>IF(G609="","",COUNTIF($G$2:G609,"?*"))</f>
        <v/>
      </c>
    </row>
    <row r="610" ht="48" customHeight="1">
      <c r="A610" s="48" t="inlineStr">
        <is>
          <t>창고</t>
        </is>
      </c>
      <c r="B610" s="28" t="inlineStr">
        <is>
          <t>MODULE</t>
        </is>
      </c>
      <c r="C610" s="28" t="inlineStr">
        <is>
          <t>ADX6000S</t>
        </is>
      </c>
      <c r="D610" s="29" t="inlineStr">
        <is>
          <t>4.3" Module (IEC266lite-43, OS 영문)
[ADX6000S]</t>
        </is>
      </c>
      <c r="E610" s="28" t="inlineStr">
        <is>
          <t>에이치앤에스</t>
        </is>
      </c>
      <c r="F610" s="30" t="n"/>
      <c r="G610" s="29">
        <f>IFERROR("["&amp;INDEX(고압진공_재고현황!$A:$A,MATCH($D610,고압진공_재고현황!$E:$E,0))&amp;"] "&amp;INDEX(고압진공_재고현황!$D:$D,MATCH($D610,고압진공_재고현황!$E:$E,0)),IFERROR("[조립] "&amp;INDEX(조립자재_재고현황!$D:$D,MATCH($D610,조립자재_재고현황!$E:$E,0)),""))</f>
        <v/>
      </c>
      <c r="H610" s="31">
        <f>IF(G610="","",COUNTIF($G$2:G610,"?*"))</f>
        <v/>
      </c>
    </row>
    <row r="611" ht="48" customHeight="1">
      <c r="A611" s="48" t="inlineStr">
        <is>
          <t>창고</t>
        </is>
      </c>
      <c r="B611" s="28" t="inlineStr">
        <is>
          <t>ABS 난연</t>
        </is>
      </c>
      <c r="C611" s="28" t="inlineStr">
        <is>
          <t>ADX6000</t>
        </is>
      </c>
      <c r="D611" s="29" t="inlineStr">
        <is>
          <t>컬리메이터 REAR 사출 (ABS 난연 화이트 + 스프레이)
[ADX6000]</t>
        </is>
      </c>
      <c r="E611" s="28" t="inlineStr">
        <is>
          <t>천우</t>
        </is>
      </c>
      <c r="F611" s="30" t="n"/>
      <c r="G611" s="29">
        <f>IFERROR("["&amp;INDEX(고압진공_재고현황!$A:$A,MATCH($D611,고압진공_재고현황!$E:$E,0))&amp;"] "&amp;INDEX(고압진공_재고현황!$D:$D,MATCH($D611,고압진공_재고현황!$E:$E,0)),IFERROR("[조립] "&amp;INDEX(조립자재_재고현황!$D:$D,MATCH($D611,조립자재_재고현황!$E:$E,0)),""))</f>
        <v/>
      </c>
      <c r="H611" s="31">
        <f>IF(G611="","",COUNTIF($G$2:G611,"?*"))</f>
        <v/>
      </c>
    </row>
    <row r="612" ht="48" customHeight="1">
      <c r="A612" s="48" t="inlineStr">
        <is>
          <t>창고</t>
        </is>
      </c>
      <c r="B612" s="28" t="inlineStr">
        <is>
          <t>ABS 난연</t>
        </is>
      </c>
      <c r="C612" s="28" t="inlineStr">
        <is>
          <t>ADX6000</t>
        </is>
      </c>
      <c r="D612" s="29" t="inlineStr">
        <is>
          <t>컬리메이터 내부하우징 사출 (ABS 난연 화이트 + 스프레이)
[ADX6000]</t>
        </is>
      </c>
      <c r="E612" s="28" t="inlineStr">
        <is>
          <t>천우</t>
        </is>
      </c>
      <c r="F612" s="30" t="n"/>
      <c r="G612" s="29">
        <f>IFERROR("["&amp;INDEX(고압진공_재고현황!$A:$A,MATCH($D612,고압진공_재고현황!$E:$E,0))&amp;"] "&amp;INDEX(고압진공_재고현황!$D:$D,MATCH($D612,고압진공_재고현황!$E:$E,0)),IFERROR("[조립] "&amp;INDEX(조립자재_재고현황!$D:$D,MATCH($D612,조립자재_재고현황!$E:$E,0)),""))</f>
        <v/>
      </c>
      <c r="H612" s="31">
        <f>IF(G612="","",COUNTIF($G$2:G612,"?*"))</f>
        <v/>
      </c>
    </row>
    <row r="613" ht="48" customHeight="1">
      <c r="A613" s="48" t="inlineStr">
        <is>
          <t>창고</t>
        </is>
      </c>
      <c r="B613" s="28" t="inlineStr">
        <is>
          <t>ABS 난연</t>
        </is>
      </c>
      <c r="C613" s="28" t="inlineStr">
        <is>
          <t>ADX6000</t>
        </is>
      </c>
      <c r="D613" s="29" t="inlineStr">
        <is>
          <t>컬리메이터 내부브릿지 사출 (ABS 난연 화이트 + 스프레이)
[ADX6000]</t>
        </is>
      </c>
      <c r="E613" s="28" t="inlineStr">
        <is>
          <t>천우</t>
        </is>
      </c>
      <c r="F613" s="30" t="n"/>
      <c r="G613" s="29">
        <f>IFERROR("["&amp;INDEX(고압진공_재고현황!$A:$A,MATCH($D613,고압진공_재고현황!$E:$E,0))&amp;"] "&amp;INDEX(고압진공_재고현황!$D:$D,MATCH($D613,고압진공_재고현황!$E:$E,0)),IFERROR("[조립] "&amp;INDEX(조립자재_재고현황!$D:$D,MATCH($D613,조립자재_재고현황!$E:$E,0)),""))</f>
        <v/>
      </c>
      <c r="H613" s="31">
        <f>IF(G613="","",COUNTIF($G$2:G613,"?*"))</f>
        <v/>
      </c>
    </row>
    <row r="614" ht="48" customHeight="1">
      <c r="A614" s="48" t="inlineStr">
        <is>
          <t>창고</t>
        </is>
      </c>
      <c r="B614" s="28" t="inlineStr">
        <is>
          <t>ABS 난연</t>
        </is>
      </c>
      <c r="C614" s="28" t="inlineStr">
        <is>
          <t>ADX6000</t>
        </is>
      </c>
      <c r="D614" s="29" t="inlineStr">
        <is>
          <t>컬리메이터 MIRROR 거치대 사출 (ABS 난연 화이트 + 스프레이 블랙)
[ADX6000]</t>
        </is>
      </c>
      <c r="E614" s="28" t="inlineStr">
        <is>
          <t>천우</t>
        </is>
      </c>
      <c r="F614" s="30" t="n"/>
      <c r="G614" s="29">
        <f>IFERROR("["&amp;INDEX(고압진공_재고현황!$A:$A,MATCH($D614,고압진공_재고현황!$E:$E,0))&amp;"] "&amp;INDEX(고압진공_재고현황!$D:$D,MATCH($D614,고압진공_재고현황!$E:$E,0)),IFERROR("[조립] "&amp;INDEX(조립자재_재고현황!$D:$D,MATCH($D614,조립자재_재고현황!$E:$E,0)),""))</f>
        <v/>
      </c>
      <c r="H614" s="31">
        <f>IF(G614="","",COUNTIF($G$2:G614,"?*"))</f>
        <v/>
      </c>
    </row>
    <row r="615" ht="48" customHeight="1">
      <c r="A615" s="48" t="inlineStr">
        <is>
          <t>창고</t>
        </is>
      </c>
      <c r="B615" s="28" t="inlineStr">
        <is>
          <t>ABS 난연</t>
        </is>
      </c>
      <c r="C615" s="28" t="inlineStr">
        <is>
          <t>ADX6000</t>
        </is>
      </c>
      <c r="D615" s="29" t="inlineStr">
        <is>
          <t>Micro USB 사출 가이드 (ABS 난연 화이트 + 스프레이)
[ADX6000]</t>
        </is>
      </c>
      <c r="E615" s="28" t="inlineStr">
        <is>
          <t>천우</t>
        </is>
      </c>
      <c r="F615" s="30" t="n"/>
      <c r="G615" s="29">
        <f>IFERROR("["&amp;INDEX(고압진공_재고현황!$A:$A,MATCH($D615,고압진공_재고현황!$E:$E,0))&amp;"] "&amp;INDEX(고압진공_재고현황!$D:$D,MATCH($D615,고압진공_재고현황!$E:$E,0)),IFERROR("[조립] "&amp;INDEX(조립자재_재고현황!$D:$D,MATCH($D615,조립자재_재고현황!$E:$E,0)),""))</f>
        <v/>
      </c>
      <c r="H615" s="31">
        <f>IF(G615="","",COUNTIF($G$2:G615,"?*"))</f>
        <v/>
      </c>
    </row>
    <row r="616" ht="48" customHeight="1">
      <c r="A616" s="48" t="inlineStr">
        <is>
          <t>창고</t>
        </is>
      </c>
      <c r="B616" s="28" t="inlineStr">
        <is>
          <t>아크릴</t>
        </is>
      </c>
      <c r="C616" s="28" t="inlineStr">
        <is>
          <t>ADX6000</t>
        </is>
      </c>
      <c r="D616" s="29" t="inlineStr">
        <is>
          <t>아크릴 은경 (아크릴 + 불량42)
[ADX6000]</t>
        </is>
      </c>
      <c r="E616" s="28" t="inlineStr">
        <is>
          <t>아크릴최가</t>
        </is>
      </c>
      <c r="F616" s="30" t="n"/>
      <c r="G616" s="29">
        <f>IFERROR("["&amp;INDEX(고압진공_재고현황!$A:$A,MATCH($D616,고압진공_재고현황!$E:$E,0))&amp;"] "&amp;INDEX(고압진공_재고현황!$D:$D,MATCH($D616,고압진공_재고현황!$E:$E,0)),IFERROR("[조립] "&amp;INDEX(조립자재_재고현황!$D:$D,MATCH($D616,조립자재_재고현황!$E:$E,0)),""))</f>
        <v/>
      </c>
      <c r="H616" s="31">
        <f>IF(G616="","",COUNTIF($G$2:G616,"?*"))</f>
        <v/>
      </c>
    </row>
    <row r="617" ht="48" customHeight="1">
      <c r="A617" s="48" t="inlineStr">
        <is>
          <t>창고</t>
        </is>
      </c>
      <c r="B617" s="28" t="inlineStr">
        <is>
          <t>AL + STEEL</t>
        </is>
      </c>
      <c r="C617" s="28" t="inlineStr">
        <is>
          <t>ADX6000</t>
        </is>
      </c>
      <c r="D617" s="29" t="inlineStr">
        <is>
          <t>스킨가드 FRAME (AL 가공 + 흑색 아노다이징)
[ADX6000]</t>
        </is>
      </c>
      <c r="E617" s="28" t="inlineStr">
        <is>
          <t>제이케이시스템</t>
        </is>
      </c>
      <c r="F617" s="30" t="n"/>
      <c r="G617" s="29">
        <f>IFERROR("["&amp;INDEX(고압진공_재고현황!$A:$A,MATCH($D617,고압진공_재고현황!$E:$E,0))&amp;"] "&amp;INDEX(고압진공_재고현황!$D:$D,MATCH($D617,고압진공_재고현황!$E:$E,0)),IFERROR("[조립] "&amp;INDEX(조립자재_재고현황!$D:$D,MATCH($D617,조립자재_재고현황!$E:$E,0)),""))</f>
        <v/>
      </c>
      <c r="H617" s="31">
        <f>IF(G617="","",COUNTIF($G$2:G617,"?*"))</f>
        <v/>
      </c>
    </row>
    <row r="618" ht="48" customHeight="1">
      <c r="A618" s="48" t="inlineStr">
        <is>
          <t>창고</t>
        </is>
      </c>
      <c r="B618" s="28" t="inlineStr">
        <is>
          <t>AL + STEEL</t>
        </is>
      </c>
      <c r="C618" s="28" t="inlineStr">
        <is>
          <t>ADX6000</t>
        </is>
      </c>
      <c r="D618" s="29" t="inlineStr">
        <is>
          <t>스킨가드 BODY (벨크로, AL 가공)
[ADX6000]</t>
        </is>
      </c>
      <c r="E618" s="28" t="inlineStr">
        <is>
          <t>제이케이시스템</t>
        </is>
      </c>
      <c r="F618" s="30" t="n"/>
      <c r="G618" s="29">
        <f>IFERROR("["&amp;INDEX(고압진공_재고현황!$A:$A,MATCH($D618,고압진공_재고현황!$E:$E,0))&amp;"] "&amp;INDEX(고압진공_재고현황!$D:$D,MATCH($D618,고압진공_재고현황!$E:$E,0)),IFERROR("[조립] "&amp;INDEX(조립자재_재고현황!$D:$D,MATCH($D618,조립자재_재고현황!$E:$E,0)),""))</f>
        <v/>
      </c>
      <c r="H618" s="31">
        <f>IF(G618="","",COUNTIF($G$2:G618,"?*"))</f>
        <v/>
      </c>
    </row>
    <row r="619" ht="48" customHeight="1">
      <c r="A619" s="48" t="inlineStr">
        <is>
          <t>창고</t>
        </is>
      </c>
      <c r="B619" s="28" t="inlineStr">
        <is>
          <t>AL + STEEL</t>
        </is>
      </c>
      <c r="C619" s="28" t="inlineStr">
        <is>
          <t>ADX6000</t>
        </is>
      </c>
      <c r="D619" s="29" t="inlineStr">
        <is>
          <t>스킨가드 구형
[ADX6000]</t>
        </is>
      </c>
      <c r="E619" s="28" t="inlineStr">
        <is>
          <t>제이케이시스템</t>
        </is>
      </c>
      <c r="F619" s="30" t="n"/>
      <c r="G619" s="29">
        <f>IFERROR("["&amp;INDEX(고압진공_재고현황!$A:$A,MATCH($D619,고압진공_재고현황!$E:$E,0))&amp;"] "&amp;INDEX(고압진공_재고현황!$D:$D,MATCH($D619,고압진공_재고현황!$E:$E,0)),IFERROR("[조립] "&amp;INDEX(조립자재_재고현황!$D:$D,MATCH($D619,조립자재_재고현황!$E:$E,0)),""))</f>
        <v/>
      </c>
      <c r="H619" s="31">
        <f>IF(G619="","",COUNTIF($G$2:G619,"?*"))</f>
        <v/>
      </c>
    </row>
    <row r="620" ht="48" customHeight="1">
      <c r="A620" s="48" t="inlineStr">
        <is>
          <t>창고</t>
        </is>
      </c>
      <c r="B620" s="28" t="inlineStr">
        <is>
          <t>AL</t>
        </is>
      </c>
      <c r="C620" s="28" t="inlineStr">
        <is>
          <t>ADX6000</t>
        </is>
      </c>
      <c r="D620" s="29" t="inlineStr">
        <is>
          <t>Top Block (AL 가공 + 흑색 아노다이징)
[ADX6000]</t>
        </is>
      </c>
      <c r="E620" s="28" t="inlineStr">
        <is>
          <t>제이케이시스템</t>
        </is>
      </c>
      <c r="F620" s="30" t="n"/>
      <c r="G620" s="29">
        <f>IFERROR("["&amp;INDEX(고압진공_재고현황!$A:$A,MATCH($D620,고압진공_재고현황!$E:$E,0))&amp;"] "&amp;INDEX(고압진공_재고현황!$D:$D,MATCH($D620,고압진공_재고현황!$E:$E,0)),IFERROR("[조립] "&amp;INDEX(조립자재_재고현황!$D:$D,MATCH($D620,조립자재_재고현황!$E:$E,0)),""))</f>
        <v/>
      </c>
      <c r="H620" s="31">
        <f>IF(G620="","",COUNTIF($G$2:G620,"?*"))</f>
        <v/>
      </c>
    </row>
    <row r="621" ht="48" customHeight="1">
      <c r="A621" s="48" t="inlineStr">
        <is>
          <t>창고</t>
        </is>
      </c>
      <c r="B621" s="28" t="inlineStr">
        <is>
          <t>AL</t>
        </is>
      </c>
      <c r="C621" s="28" t="inlineStr">
        <is>
          <t>ADX6000</t>
        </is>
      </c>
      <c r="D621" s="29" t="inlineStr">
        <is>
          <t>알루미늄 브라켓 4 hole (AL 가공 + 백색 아노다이징)
[ADX6000]</t>
        </is>
      </c>
      <c r="E621" s="28" t="inlineStr">
        <is>
          <t>제이케이시스템</t>
        </is>
      </c>
      <c r="F621" s="30" t="n"/>
      <c r="G621" s="29">
        <f>IFERROR("["&amp;INDEX(고압진공_재고현황!$A:$A,MATCH($D621,고압진공_재고현황!$E:$E,0))&amp;"] "&amp;INDEX(고압진공_재고현황!$D:$D,MATCH($D621,고압진공_재고현황!$E:$E,0)),IFERROR("[조립] "&amp;INDEX(조립자재_재고현황!$D:$D,MATCH($D621,조립자재_재고현황!$E:$E,0)),""))</f>
        <v/>
      </c>
      <c r="H621" s="31">
        <f>IF(G621="","",COUNTIF($G$2:G621,"?*"))</f>
        <v/>
      </c>
    </row>
    <row r="622" ht="48" customHeight="1">
      <c r="A622" s="48" t="inlineStr">
        <is>
          <t>창고</t>
        </is>
      </c>
      <c r="B622" s="28" t="inlineStr">
        <is>
          <t>AL</t>
        </is>
      </c>
      <c r="C622" s="28" t="inlineStr">
        <is>
          <t>ADX6000</t>
        </is>
      </c>
      <c r="D622" s="29" t="inlineStr">
        <is>
          <t>컬리메이터 LED 알루미늄 가이드 (AL 가공 + 흑색 아노다이징)
[ADX6000]</t>
        </is>
      </c>
      <c r="E622" s="28" t="inlineStr">
        <is>
          <t>다우정밀</t>
        </is>
      </c>
      <c r="F622" s="30" t="n"/>
      <c r="G622" s="29">
        <f>IFERROR("["&amp;INDEX(고압진공_재고현황!$A:$A,MATCH($D622,고압진공_재고현황!$E:$E,0))&amp;"] "&amp;INDEX(고압진공_재고현황!$D:$D,MATCH($D622,고압진공_재고현황!$E:$E,0)),IFERROR("[조립] "&amp;INDEX(조립자재_재고현황!$D:$D,MATCH($D622,조립자재_재고현황!$E:$E,0)),""))</f>
        <v/>
      </c>
      <c r="H622" s="31">
        <f>IF(G622="","",COUNTIF($G$2:G622,"?*"))</f>
        <v/>
      </c>
    </row>
    <row r="623" ht="48" customHeight="1">
      <c r="A623" s="48" t="inlineStr">
        <is>
          <t>창고</t>
        </is>
      </c>
      <c r="B623" s="28" t="inlineStr">
        <is>
          <t>RUBBER</t>
        </is>
      </c>
      <c r="C623" s="28" t="inlineStr">
        <is>
          <t>ADX6000</t>
        </is>
      </c>
      <c r="D623" s="29" t="inlineStr">
        <is>
          <t>외부전원 연결 DC잭 고무링 (RUBBER)
[ADX6000]</t>
        </is>
      </c>
      <c r="E623" s="28" t="inlineStr">
        <is>
          <t>직구</t>
        </is>
      </c>
      <c r="F623" s="30" t="n"/>
      <c r="G623" s="29">
        <f>IFERROR("["&amp;INDEX(고압진공_재고현황!$A:$A,MATCH($D623,고압진공_재고현황!$E:$E,0))&amp;"] "&amp;INDEX(고압진공_재고현황!$D:$D,MATCH($D623,고압진공_재고현황!$E:$E,0)),IFERROR("[조립] "&amp;INDEX(조립자재_재고현황!$D:$D,MATCH($D623,조립자재_재고현황!$E:$E,0)),""))</f>
        <v/>
      </c>
      <c r="H623" s="31">
        <f>IF(G623="","",COUNTIF($G$2:G623,"?*"))</f>
        <v/>
      </c>
    </row>
    <row r="624" ht="48" customHeight="1">
      <c r="A624" s="48" t="inlineStr">
        <is>
          <t>창고</t>
        </is>
      </c>
      <c r="B624" s="28" t="inlineStr">
        <is>
          <t>RUBBER</t>
        </is>
      </c>
      <c r="C624" s="28" t="inlineStr">
        <is>
          <t>ADX6000</t>
        </is>
      </c>
      <c r="D624" s="29" t="inlineStr">
        <is>
          <t>외부전원 연결 DC잭 너트
[ADX6000]</t>
        </is>
      </c>
      <c r="E624" s="28" t="inlineStr">
        <is>
          <t>직구</t>
        </is>
      </c>
      <c r="F624" s="30" t="n"/>
      <c r="G624" s="29">
        <f>IFERROR("["&amp;INDEX(고압진공_재고현황!$A:$A,MATCH($D624,고압진공_재고현황!$E:$E,0))&amp;"] "&amp;INDEX(고압진공_재고현황!$D:$D,MATCH($D624,고압진공_재고현황!$E:$E,0)),IFERROR("[조립] "&amp;INDEX(조립자재_재고현황!$D:$D,MATCH($D624,조립자재_재고현황!$E:$E,0)),""))</f>
        <v/>
      </c>
      <c r="H624" s="31">
        <f>IF(G624="","",COUNTIF($G$2:G624,"?*"))</f>
        <v/>
      </c>
    </row>
    <row r="625" ht="48" customHeight="1">
      <c r="A625" s="48" t="inlineStr">
        <is>
          <t>창고</t>
        </is>
      </c>
      <c r="B625" s="28" t="inlineStr">
        <is>
          <t>스티커</t>
        </is>
      </c>
      <c r="C625" s="28" t="inlineStr">
        <is>
          <t>ADX6000</t>
        </is>
      </c>
      <c r="D625" s="29" t="inlineStr">
        <is>
          <t>Front Port Sticker
[ADX6000]</t>
        </is>
      </c>
      <c r="E625" s="28" t="inlineStr">
        <is>
          <t>그라피아스크린</t>
        </is>
      </c>
      <c r="F625" s="30" t="n"/>
      <c r="G625" s="29">
        <f>IFERROR("["&amp;INDEX(고압진공_재고현황!$A:$A,MATCH($D625,고압진공_재고현황!$E:$E,0))&amp;"] "&amp;INDEX(고압진공_재고현황!$D:$D,MATCH($D625,고압진공_재고현황!$E:$E,0)),IFERROR("[조립] "&amp;INDEX(조립자재_재고현황!$D:$D,MATCH($D625,조립자재_재고현황!$E:$E,0)),""))</f>
        <v/>
      </c>
      <c r="H625" s="31">
        <f>IF(G625="","",COUNTIF($G$2:G625,"?*"))</f>
        <v/>
      </c>
    </row>
    <row r="626" ht="48" customHeight="1">
      <c r="A626" s="48" t="inlineStr">
        <is>
          <t>창고</t>
        </is>
      </c>
      <c r="B626" s="28" t="inlineStr">
        <is>
          <t>스티커</t>
        </is>
      </c>
      <c r="C626" s="28" t="inlineStr">
        <is>
          <t>ADX6000S</t>
        </is>
      </c>
      <c r="D626" s="29" t="inlineStr">
        <is>
          <t>Front Port Sticker
[ADX6000S]</t>
        </is>
      </c>
      <c r="E626" s="28" t="inlineStr">
        <is>
          <t>그라피아스크린</t>
        </is>
      </c>
      <c r="F626" s="30" t="n"/>
      <c r="G626" s="29">
        <f>IFERROR("["&amp;INDEX(고압진공_재고현황!$A:$A,MATCH($D626,고압진공_재고현황!$E:$E,0))&amp;"] "&amp;INDEX(고압진공_재고현황!$D:$D,MATCH($D626,고압진공_재고현황!$E:$E,0)),IFERROR("[조립] "&amp;INDEX(조립자재_재고현황!$D:$D,MATCH($D626,조립자재_재고현황!$E:$E,0)),""))</f>
        <v/>
      </c>
      <c r="H626" s="31">
        <f>IF(G626="","",COUNTIF($G$2:G626,"?*"))</f>
        <v/>
      </c>
    </row>
    <row r="627" ht="48" customHeight="1">
      <c r="A627" s="48" t="inlineStr">
        <is>
          <t>창고</t>
        </is>
      </c>
      <c r="B627" s="28" t="inlineStr">
        <is>
          <t>스티커</t>
        </is>
      </c>
      <c r="C627" s="28" t="inlineStr">
        <is>
          <t>ADX6000S</t>
        </is>
      </c>
      <c r="D627" s="29" t="inlineStr">
        <is>
          <t>Front Port Sticker (USB 포트 제거형)
[ADX6000S]</t>
        </is>
      </c>
      <c r="E627" s="28" t="inlineStr">
        <is>
          <t>그라피아스크린</t>
        </is>
      </c>
      <c r="F627" s="30" t="n"/>
      <c r="G627" s="29">
        <f>IFERROR("["&amp;INDEX(고압진공_재고현황!$A:$A,MATCH($D627,고압진공_재고현황!$E:$E,0))&amp;"] "&amp;INDEX(고압진공_재고현황!$D:$D,MATCH($D627,고압진공_재고현황!$E:$E,0)),IFERROR("[조립] "&amp;INDEX(조립자재_재고현황!$D:$D,MATCH($D627,조립자재_재고현황!$E:$E,0)),""))</f>
        <v/>
      </c>
      <c r="H627" s="31">
        <f>IF(G627="","",COUNTIF($G$2:G627,"?*"))</f>
        <v/>
      </c>
    </row>
    <row r="628" ht="48" customHeight="1">
      <c r="A628" s="48" t="inlineStr">
        <is>
          <t>창고</t>
        </is>
      </c>
      <c r="B628" s="28" t="inlineStr">
        <is>
          <t>인조가죽</t>
        </is>
      </c>
      <c r="C628" s="28" t="inlineStr">
        <is>
          <t>ADX6000</t>
        </is>
      </c>
      <c r="D628" s="29" t="inlineStr">
        <is>
          <t>가죽 손잡이 (탈착배터리 터치펜 O) (인조 가죽)
[ADX6000]</t>
        </is>
      </c>
      <c r="E628" s="28" t="inlineStr">
        <is>
          <t>굿모닝코리아유통</t>
        </is>
      </c>
      <c r="F628" s="30" t="n"/>
      <c r="G628" s="29">
        <f>IFERROR("["&amp;INDEX(고압진공_재고현황!$A:$A,MATCH($D628,고압진공_재고현황!$E:$E,0))&amp;"] "&amp;INDEX(고압진공_재고현황!$D:$D,MATCH($D628,고압진공_재고현황!$E:$E,0)),IFERROR("[조립] "&amp;INDEX(조립자재_재고현황!$D:$D,MATCH($D628,조립자재_재고현황!$E:$E,0)),""))</f>
        <v/>
      </c>
      <c r="H628" s="31">
        <f>IF(G628="","",COUNTIF($G$2:G628,"?*"))</f>
        <v/>
      </c>
    </row>
    <row r="629" ht="48" customHeight="1">
      <c r="A629" s="48" t="inlineStr">
        <is>
          <t>창고</t>
        </is>
      </c>
      <c r="B629" s="28" t="inlineStr">
        <is>
          <t>인조가죽</t>
        </is>
      </c>
      <c r="C629" s="28" t="inlineStr">
        <is>
          <t>ADX6000</t>
        </is>
      </c>
      <c r="D629" s="29" t="inlineStr">
        <is>
          <t>가죽 손잡이 (외부배터리) (인조 가죽)
[ADX6000]</t>
        </is>
      </c>
      <c r="E629" s="28" t="inlineStr">
        <is>
          <t>굿모닝코리아유통</t>
        </is>
      </c>
      <c r="F629" s="30" t="n"/>
      <c r="G629" s="29">
        <f>IFERROR("["&amp;INDEX(고압진공_재고현황!$A:$A,MATCH($D629,고압진공_재고현황!$E:$E,0))&amp;"] "&amp;INDEX(고압진공_재고현황!$D:$D,MATCH($D629,고압진공_재고현황!$E:$E,0)),IFERROR("[조립] "&amp;INDEX(조립자재_재고현황!$D:$D,MATCH($D629,조립자재_재고현황!$E:$E,0)),""))</f>
        <v/>
      </c>
      <c r="H629" s="31">
        <f>IF(G629="","",COUNTIF($G$2:G629,"?*"))</f>
        <v/>
      </c>
    </row>
    <row r="630" ht="48" customHeight="1">
      <c r="A630" s="48" t="inlineStr">
        <is>
          <t>창고</t>
        </is>
      </c>
      <c r="B630" s="28" t="inlineStr">
        <is>
          <t>ABS 난연</t>
        </is>
      </c>
      <c r="C630" s="28" t="inlineStr">
        <is>
          <t>ADX6000</t>
        </is>
      </c>
      <c r="D630" s="29" t="inlineStr">
        <is>
          <t>BODY LEFT 사출(외부배터리 사출커팅) (ABS 난연 화이트 + 스프레이 AS용)
[ADX6000]</t>
        </is>
      </c>
      <c r="E630" s="28" t="inlineStr">
        <is>
          <t>천우</t>
        </is>
      </c>
      <c r="F630" s="30" t="n"/>
      <c r="G630" s="29">
        <f>IFERROR("["&amp;INDEX(고압진공_재고현황!$A:$A,MATCH($D630,고압진공_재고현황!$E:$E,0))&amp;"] "&amp;INDEX(고압진공_재고현황!$D:$D,MATCH($D630,고압진공_재고현황!$E:$E,0)),IFERROR("[조립] "&amp;INDEX(조립자재_재고현황!$D:$D,MATCH($D630,조립자재_재고현황!$E:$E,0)),""))</f>
        <v/>
      </c>
      <c r="H630" s="31">
        <f>IF(G630="","",COUNTIF($G$2:G630,"?*"))</f>
        <v/>
      </c>
    </row>
    <row r="631" ht="48" customHeight="1">
      <c r="A631" s="48" t="inlineStr">
        <is>
          <t>창고</t>
        </is>
      </c>
      <c r="B631" s="28" t="inlineStr">
        <is>
          <t>ABS 난연</t>
        </is>
      </c>
      <c r="C631" s="28" t="inlineStr">
        <is>
          <t>ADX6000</t>
        </is>
      </c>
      <c r="D631" s="29" t="inlineStr">
        <is>
          <t>BODY RIGHT 사출(외부배터리용) (ABS 난연 화이트 + 스프레이 AS용)
[ADX6000]</t>
        </is>
      </c>
      <c r="E631" s="28" t="inlineStr">
        <is>
          <t>천우</t>
        </is>
      </c>
      <c r="F631" s="30" t="n"/>
      <c r="G631" s="29">
        <f>IFERROR("["&amp;INDEX(고압진공_재고현황!$A:$A,MATCH($D631,고압진공_재고현황!$E:$E,0))&amp;"] "&amp;INDEX(고압진공_재고현황!$D:$D,MATCH($D631,고압진공_재고현황!$E:$E,0)),IFERROR("[조립] "&amp;INDEX(조립자재_재고현황!$D:$D,MATCH($D631,조립자재_재고현황!$E:$E,0)),""))</f>
        <v/>
      </c>
      <c r="H631" s="31">
        <f>IF(G631="","",COUNTIF($G$2:G631,"?*"))</f>
        <v/>
      </c>
    </row>
    <row r="632" ht="48" customHeight="1">
      <c r="A632" s="48" t="inlineStr">
        <is>
          <t>창고</t>
        </is>
      </c>
      <c r="B632" s="28" t="inlineStr">
        <is>
          <t>재공품</t>
        </is>
      </c>
      <c r="C632" s="28" t="inlineStr">
        <is>
          <t>ADX6000S</t>
        </is>
      </c>
      <c r="D632" s="29" t="inlineStr">
        <is>
          <t>RIGHT Ass'y
[ADX6000S]</t>
        </is>
      </c>
      <c r="E632" s="28" t="inlineStr">
        <is>
          <t>덱스코윈</t>
        </is>
      </c>
      <c r="F632" s="30" t="n"/>
      <c r="G632" s="29">
        <f>IFERROR("["&amp;INDEX(고압진공_재고현황!$A:$A,MATCH($D632,고압진공_재고현황!$E:$E,0))&amp;"] "&amp;INDEX(고압진공_재고현황!$D:$D,MATCH($D632,고압진공_재고현황!$E:$E,0)),IFERROR("[조립] "&amp;INDEX(조립자재_재고현황!$D:$D,MATCH($D632,조립자재_재고현황!$E:$E,0)),""))</f>
        <v/>
      </c>
      <c r="H632" s="31">
        <f>IF(G632="","",COUNTIF($G$2:G632,"?*"))</f>
        <v/>
      </c>
    </row>
    <row r="633" ht="48" customHeight="1">
      <c r="A633" s="48" t="inlineStr">
        <is>
          <t>창고</t>
        </is>
      </c>
      <c r="B633" s="28" t="inlineStr">
        <is>
          <t>재공품</t>
        </is>
      </c>
      <c r="C633" s="28" t="inlineStr">
        <is>
          <t>ADX6000S</t>
        </is>
      </c>
      <c r="D633" s="29" t="inlineStr">
        <is>
          <t>컬리메이터 내부하우징 사출 + 납
[ADX6000S]</t>
        </is>
      </c>
      <c r="E633" s="28" t="inlineStr">
        <is>
          <t>덱스코윈</t>
        </is>
      </c>
      <c r="F633" s="30" t="n"/>
      <c r="G633" s="29">
        <f>IFERROR("["&amp;INDEX(고압진공_재고현황!$A:$A,MATCH($D633,고압진공_재고현황!$E:$E,0))&amp;"] "&amp;INDEX(고압진공_재고현황!$D:$D,MATCH($D633,고압진공_재고현황!$E:$E,0)),IFERROR("[조립] "&amp;INDEX(조립자재_재고현황!$D:$D,MATCH($D633,조립자재_재고현황!$E:$E,0)),""))</f>
        <v/>
      </c>
      <c r="H633" s="31">
        <f>IF(G633="","",COUNTIF($G$2:G633,"?*"))</f>
        <v/>
      </c>
    </row>
    <row r="634" ht="48" customHeight="1">
      <c r="A634" s="48" t="inlineStr">
        <is>
          <t>창고</t>
        </is>
      </c>
      <c r="B634" s="28" t="inlineStr">
        <is>
          <t>AL + STEEL</t>
        </is>
      </c>
      <c r="C634" s="28" t="inlineStr">
        <is>
          <t>DX3000</t>
        </is>
      </c>
      <c r="D634" s="29" t="inlineStr">
        <is>
          <t>SKIN GUARD FRAME
[DX3000]</t>
        </is>
      </c>
      <c r="E634" s="28" t="inlineStr">
        <is>
          <t>제이케이시스템</t>
        </is>
      </c>
      <c r="F634" s="30" t="n"/>
      <c r="G634" s="29">
        <f>IFERROR("["&amp;INDEX(고압진공_재고현황!$A:$A,MATCH($D634,고압진공_재고현황!$E:$E,0))&amp;"] "&amp;INDEX(고압진공_재고현황!$D:$D,MATCH($D634,고압진공_재고현황!$E:$E,0)),IFERROR("[조립] "&amp;INDEX(조립자재_재고현황!$D:$D,MATCH($D634,조립자재_재고현황!$E:$E,0)),""))</f>
        <v/>
      </c>
      <c r="H634" s="31">
        <f>IF(G634="","",COUNTIF($G$2:G634,"?*"))</f>
        <v/>
      </c>
    </row>
    <row r="635" ht="48" customHeight="1">
      <c r="A635" s="48" t="inlineStr">
        <is>
          <t>창고</t>
        </is>
      </c>
      <c r="B635" s="28" t="inlineStr">
        <is>
          <t>AL + STEEL</t>
        </is>
      </c>
      <c r="C635" s="28" t="inlineStr">
        <is>
          <t>DX3000</t>
        </is>
      </c>
      <c r="D635" s="29" t="inlineStr">
        <is>
          <t>BOTTOM BLOCK
[DX3000]</t>
        </is>
      </c>
      <c r="E635" s="28" t="inlineStr">
        <is>
          <t>제이케이시스템</t>
        </is>
      </c>
      <c r="F635" s="30" t="n"/>
      <c r="G635" s="29">
        <f>IFERROR("["&amp;INDEX(고압진공_재고현황!$A:$A,MATCH($D635,고압진공_재고현황!$E:$E,0))&amp;"] "&amp;INDEX(고압진공_재고현황!$D:$D,MATCH($D635,고압진공_재고현황!$E:$E,0)),IFERROR("[조립] "&amp;INDEX(조립자재_재고현황!$D:$D,MATCH($D635,조립자재_재고현황!$E:$E,0)),""))</f>
        <v/>
      </c>
      <c r="H635" s="31">
        <f>IF(G635="","",COUNTIF($G$2:G635,"?*"))</f>
        <v/>
      </c>
    </row>
    <row r="636" ht="48" customHeight="1">
      <c r="B636" s="32" t="n"/>
      <c r="C636" s="32" t="n"/>
      <c r="D636" s="33" t="n"/>
      <c r="E636" s="33" t="n"/>
      <c r="F636" s="34" t="n"/>
      <c r="G636" s="35" t="n"/>
      <c r="H636" s="34" t="n"/>
    </row>
  </sheetData>
  <conditionalFormatting sqref="B2:G635">
    <cfRule type="expression" priority="1" dxfId="0">
      <formula>AND($G2&lt;&gt;"",ISERROR($G2)=FALSE)</formula>
    </cfRule>
  </conditionalFormatting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1"/>
  <sheetViews>
    <sheetView topLeftCell="A1" zoomScale="100" zoomScaleNormal="100" workbookViewId="0">
      <pane ySplit="1" topLeftCell="A2" activePane="bottomLeft" state="frozen"/>
      <selection activeCell="A1" sqref="A1"/>
    </sheetView>
  </sheetViews>
  <sheetFormatPr baseColWidth="8" defaultRowHeight="16.5"/>
  <cols>
    <col width="14" customWidth="1" min="1" max="1"/>
    <col width="22" customWidth="1" min="2" max="2"/>
    <col width="3.25" customWidth="1" min="3" max="3"/>
    <col width="14" customWidth="1" min="4" max="4"/>
    <col width="22" customWidth="1" min="5" max="5"/>
    <col width="3.25" customWidth="1" min="6" max="6"/>
    <col width="14" customWidth="1" min="7" max="7"/>
    <col width="3.25" customWidth="1" min="8" max="8"/>
    <col width="52" customWidth="1" min="9" max="10"/>
    <col width="3.25" bestFit="1" customWidth="1" min="11" max="11"/>
    <col width="14" customWidth="1" min="12" max="12"/>
    <col width="22" customWidth="1" min="13" max="13"/>
    <col width="52" customWidth="1" min="14" max="14"/>
    <col width="3.25" bestFit="1" customWidth="1" min="15" max="15"/>
    <col hidden="1" width="6" customWidth="1" min="16" max="16"/>
    <col width="8.375" customWidth="1" min="17" max="31"/>
  </cols>
  <sheetData>
    <row r="1" ht="24" customHeight="1">
      <c r="A1" s="36" t="inlineStr">
        <is>
          <t>생산부 분류</t>
        </is>
      </c>
      <c r="B1" s="36" t="inlineStr">
        <is>
          <t>생산부 모델</t>
        </is>
      </c>
      <c r="C1" s="37" t="n"/>
      <c r="D1" s="38" t="inlineStr">
        <is>
          <t>창고 분류</t>
        </is>
      </c>
      <c r="E1" s="38" t="inlineStr">
        <is>
          <t>창고 모델</t>
        </is>
      </c>
      <c r="F1" s="37" t="n"/>
      <c r="G1" s="38" t="inlineStr">
        <is>
          <t>공급처</t>
        </is>
      </c>
      <c r="H1" s="37" t="n"/>
      <c r="I1" s="38" t="inlineStr">
        <is>
          <t>생산부 품명</t>
        </is>
      </c>
      <c r="J1" s="38" t="inlineStr">
        <is>
          <t>창고 품명</t>
        </is>
      </c>
      <c r="K1" s="39" t="n"/>
      <c r="L1" s="40" t="inlineStr">
        <is>
          <t>확정 분류</t>
        </is>
      </c>
      <c r="M1" s="40" t="inlineStr">
        <is>
          <t>확정 모델</t>
        </is>
      </c>
      <c r="N1" s="40" t="inlineStr">
        <is>
          <t>확정 품명</t>
        </is>
      </c>
      <c r="O1" s="39" t="n"/>
      <c r="P1" s="41" t="inlineStr">
        <is>
          <t>#</t>
        </is>
      </c>
      <c r="Q1" s="42" t="n"/>
      <c r="R1" s="42" t="n"/>
      <c r="S1" s="42" t="n"/>
      <c r="T1" s="42" t="n"/>
      <c r="U1" s="42" t="n"/>
    </row>
    <row r="2" ht="48" customHeight="1">
      <c r="A2" s="43">
        <f>IF($J2="","",IFERROR(INDEX(고압진공_재고현황!$B:$B,MATCH($J2,고압진공_재고현황!$E:$E,0)),IFERROR(INDEX(조립자재_재고현황!$B:$B,MATCH($J2,조립자재_재고현황!$E:$E,0)),"")))</f>
        <v/>
      </c>
      <c r="B2" s="43">
        <f>IF($J2="","",IFERROR(INDEX(고압진공_재고현황!$C:$C,MATCH($J2,고압진공_재고현황!$E:$E,0)),IFERROR(INDEX(조립자재_재고현황!$C:$C,MATCH($J2,조립자재_재고현황!$E:$E,0)),"")))</f>
        <v/>
      </c>
      <c r="C2" s="44" t="n"/>
      <c r="D2" s="43">
        <f>IF($P2="","",INDEX(창고_재고현황!$B:$B,$P2))</f>
        <v/>
      </c>
      <c r="E2" s="43">
        <f>IF($P2="","",INDEX(창고_재고현황!$C:$C,$P2))</f>
        <v/>
      </c>
      <c r="F2" s="44" t="n"/>
      <c r="G2" s="43">
        <f>IF($P2="","",IF(INDEX(창고_재고현황!$E:$E,$P2)=0,"",INDEX(창고_재고현황!$E:$E,$P2)))</f>
        <v/>
      </c>
      <c r="H2" s="44" t="n"/>
      <c r="I2" s="45">
        <f>IF($J2="","",IFERROR(INDEX(고압진공_재고현황!$D:$D,MATCH($J2,고압진공_재고현황!$E:$E,0)),IFERROR(INDEX(조립자재_재고현황!$D:$D,MATCH($J2,조립자재_재고현황!$E:$E,0)),"")))</f>
        <v/>
      </c>
      <c r="J2" s="45">
        <f>IF($P2="","",INDEX(창고_재고현황!$D:$D,$P2))</f>
        <v/>
      </c>
      <c r="K2" s="44" t="n"/>
      <c r="L2" s="46" t="n"/>
      <c r="M2" s="46" t="n"/>
      <c r="N2" s="47" t="n"/>
      <c r="O2" s="44" t="n"/>
      <c r="P2" s="44">
        <f>IFERROR(MATCH(ROWS($P$2:P2),창고_재고현황!$H:$H,0),"")</f>
        <v/>
      </c>
      <c r="Q2" s="42" t="n"/>
      <c r="R2" s="42" t="n"/>
      <c r="S2" s="42" t="n"/>
      <c r="T2" s="42" t="n"/>
      <c r="U2" s="42" t="n"/>
    </row>
    <row r="3" ht="48" customHeight="1">
      <c r="A3" s="43">
        <f>IF($J3="","",IFERROR(INDEX(고압진공_재고현황!$B:$B,MATCH($J3,고압진공_재고현황!$E:$E,0)),IFERROR(INDEX(조립자재_재고현황!$B:$B,MATCH($J3,조립자재_재고현황!$E:$E,0)),"")))</f>
        <v/>
      </c>
      <c r="B3" s="43">
        <f>IF($J3="","",IFERROR(INDEX(고압진공_재고현황!$C:$C,MATCH($J3,고압진공_재고현황!$E:$E,0)),IFERROR(INDEX(조립자재_재고현황!$C:$C,MATCH($J3,조립자재_재고현황!$E:$E,0)),"")))</f>
        <v/>
      </c>
      <c r="C3" s="44" t="n"/>
      <c r="D3" s="43">
        <f>IF($P3="","",INDEX(창고_재고현황!$B:$B,$P3))</f>
        <v/>
      </c>
      <c r="E3" s="43">
        <f>IF($P3="","",INDEX(창고_재고현황!$C:$C,$P3))</f>
        <v/>
      </c>
      <c r="F3" s="44" t="n"/>
      <c r="G3" s="43">
        <f>IF($P3="","",IF(INDEX(창고_재고현황!$E:$E,$P3)=0,"",INDEX(창고_재고현황!$E:$E,$P3)))</f>
        <v/>
      </c>
      <c r="H3" s="44" t="n"/>
      <c r="I3" s="45">
        <f>IF($J3="","",IFERROR(INDEX(고압진공_재고현황!$D:$D,MATCH($J3,고압진공_재고현황!$E:$E,0)),IFERROR(INDEX(조립자재_재고현황!$D:$D,MATCH($J3,조립자재_재고현황!$E:$E,0)),"")))</f>
        <v/>
      </c>
      <c r="J3" s="45">
        <f>IF($P3="","",INDEX(창고_재고현황!$D:$D,$P3))</f>
        <v/>
      </c>
      <c r="K3" s="44" t="n"/>
      <c r="L3" s="46" t="n"/>
      <c r="M3" s="46" t="n"/>
      <c r="N3" s="47" t="n"/>
      <c r="O3" s="44" t="n"/>
      <c r="P3" s="44">
        <f>IFERROR(MATCH(ROWS($P$2:P3),창고_재고현황!$H:$H,0),"")</f>
        <v/>
      </c>
      <c r="Q3" s="42" t="n"/>
      <c r="R3" s="42" t="n"/>
      <c r="S3" s="42" t="n"/>
      <c r="T3" s="42" t="n"/>
      <c r="U3" s="42" t="n"/>
    </row>
    <row r="4" ht="48" customHeight="1">
      <c r="A4" s="43">
        <f>IF($J4="","",IFERROR(INDEX(고압진공_재고현황!$B:$B,MATCH($J4,고압진공_재고현황!$E:$E,0)),IFERROR(INDEX(조립자재_재고현황!$B:$B,MATCH($J4,조립자재_재고현황!$E:$E,0)),"")))</f>
        <v/>
      </c>
      <c r="B4" s="43">
        <f>IF($J4="","",IFERROR(INDEX(고압진공_재고현황!$C:$C,MATCH($J4,고압진공_재고현황!$E:$E,0)),IFERROR(INDEX(조립자재_재고현황!$C:$C,MATCH($J4,조립자재_재고현황!$E:$E,0)),"")))</f>
        <v/>
      </c>
      <c r="C4" s="44" t="n"/>
      <c r="D4" s="43">
        <f>IF($P4="","",INDEX(창고_재고현황!$B:$B,$P4))</f>
        <v/>
      </c>
      <c r="E4" s="43">
        <f>IF($P4="","",INDEX(창고_재고현황!$C:$C,$P4))</f>
        <v/>
      </c>
      <c r="F4" s="44" t="n"/>
      <c r="G4" s="43">
        <f>IF($P4="","",IF(INDEX(창고_재고현황!$E:$E,$P4)=0,"",INDEX(창고_재고현황!$E:$E,$P4)))</f>
        <v/>
      </c>
      <c r="H4" s="44" t="n"/>
      <c r="I4" s="45">
        <f>IF($J4="","",IFERROR(INDEX(고압진공_재고현황!$D:$D,MATCH($J4,고압진공_재고현황!$E:$E,0)),IFERROR(INDEX(조립자재_재고현황!$D:$D,MATCH($J4,조립자재_재고현황!$E:$E,0)),"")))</f>
        <v/>
      </c>
      <c r="J4" s="45">
        <f>IF($P4="","",INDEX(창고_재고현황!$D:$D,$P4))</f>
        <v/>
      </c>
      <c r="K4" s="44" t="n"/>
      <c r="L4" s="46" t="n"/>
      <c r="M4" s="46" t="n"/>
      <c r="N4" s="47" t="n"/>
      <c r="O4" s="44" t="n"/>
      <c r="P4" s="44">
        <f>IFERROR(MATCH(ROWS($P$2:P4),창고_재고현황!$H:$H,0),"")</f>
        <v/>
      </c>
      <c r="Q4" s="42" t="n"/>
      <c r="R4" s="42" t="n"/>
      <c r="S4" s="42" t="n"/>
      <c r="T4" s="42" t="n"/>
      <c r="U4" s="42" t="n"/>
    </row>
    <row r="5" ht="48" customHeight="1">
      <c r="A5" s="43">
        <f>IF($J5="","",IFERROR(INDEX(고압진공_재고현황!$B:$B,MATCH($J5,고압진공_재고현황!$E:$E,0)),IFERROR(INDEX(조립자재_재고현황!$B:$B,MATCH($J5,조립자재_재고현황!$E:$E,0)),"")))</f>
        <v/>
      </c>
      <c r="B5" s="43">
        <f>IF($J5="","",IFERROR(INDEX(고압진공_재고현황!$C:$C,MATCH($J5,고압진공_재고현황!$E:$E,0)),IFERROR(INDEX(조립자재_재고현황!$C:$C,MATCH($J5,조립자재_재고현황!$E:$E,0)),"")))</f>
        <v/>
      </c>
      <c r="C5" s="44" t="n"/>
      <c r="D5" s="43">
        <f>IF($P5="","",INDEX(창고_재고현황!$B:$B,$P5))</f>
        <v/>
      </c>
      <c r="E5" s="43">
        <f>IF($P5="","",INDEX(창고_재고현황!$C:$C,$P5))</f>
        <v/>
      </c>
      <c r="F5" s="44" t="n"/>
      <c r="G5" s="43">
        <f>IF($P5="","",IF(INDEX(창고_재고현황!$E:$E,$P5)=0,"",INDEX(창고_재고현황!$E:$E,$P5)))</f>
        <v/>
      </c>
      <c r="H5" s="44" t="n"/>
      <c r="I5" s="45">
        <f>IF($J5="","",IFERROR(INDEX(고압진공_재고현황!$D:$D,MATCH($J5,고압진공_재고현황!$E:$E,0)),IFERROR(INDEX(조립자재_재고현황!$D:$D,MATCH($J5,조립자재_재고현황!$E:$E,0)),"")))</f>
        <v/>
      </c>
      <c r="J5" s="45">
        <f>IF($P5="","",INDEX(창고_재고현황!$D:$D,$P5))</f>
        <v/>
      </c>
      <c r="K5" s="44" t="n"/>
      <c r="L5" s="46" t="n"/>
      <c r="M5" s="46" t="n"/>
      <c r="N5" s="47" t="n"/>
      <c r="O5" s="44" t="n"/>
      <c r="P5" s="44">
        <f>IFERROR(MATCH(ROWS($P$2:P5),창고_재고현황!$H:$H,0),"")</f>
        <v/>
      </c>
      <c r="Q5" s="42" t="n"/>
      <c r="R5" s="42" t="n"/>
      <c r="S5" s="42" t="n"/>
      <c r="T5" s="42" t="n"/>
      <c r="U5" s="42" t="n"/>
    </row>
    <row r="6" ht="48" customHeight="1">
      <c r="A6" s="43">
        <f>IF($J6="","",IFERROR(INDEX(고압진공_재고현황!$B:$B,MATCH($J6,고압진공_재고현황!$E:$E,0)),IFERROR(INDEX(조립자재_재고현황!$B:$B,MATCH($J6,조립자재_재고현황!$E:$E,0)),"")))</f>
        <v/>
      </c>
      <c r="B6" s="43">
        <f>IF($J6="","",IFERROR(INDEX(고압진공_재고현황!$C:$C,MATCH($J6,고압진공_재고현황!$E:$E,0)),IFERROR(INDEX(조립자재_재고현황!$C:$C,MATCH($J6,조립자재_재고현황!$E:$E,0)),"")))</f>
        <v/>
      </c>
      <c r="C6" s="44" t="n"/>
      <c r="D6" s="43">
        <f>IF($P6="","",INDEX(창고_재고현황!$B:$B,$P6))</f>
        <v/>
      </c>
      <c r="E6" s="43">
        <f>IF($P6="","",INDEX(창고_재고현황!$C:$C,$P6))</f>
        <v/>
      </c>
      <c r="F6" s="44" t="n"/>
      <c r="G6" s="43">
        <f>IF($P6="","",IF(INDEX(창고_재고현황!$E:$E,$P6)=0,"",INDEX(창고_재고현황!$E:$E,$P6)))</f>
        <v/>
      </c>
      <c r="H6" s="44" t="n"/>
      <c r="I6" s="45">
        <f>IF($J6="","",IFERROR(INDEX(고압진공_재고현황!$D:$D,MATCH($J6,고압진공_재고현황!$E:$E,0)),IFERROR(INDEX(조립자재_재고현황!$D:$D,MATCH($J6,조립자재_재고현황!$E:$E,0)),"")))</f>
        <v/>
      </c>
      <c r="J6" s="45">
        <f>IF($P6="","",INDEX(창고_재고현황!$D:$D,$P6))</f>
        <v/>
      </c>
      <c r="K6" s="44" t="n"/>
      <c r="L6" s="46" t="n"/>
      <c r="M6" s="46" t="n"/>
      <c r="N6" s="47" t="n"/>
      <c r="O6" s="44" t="n"/>
      <c r="P6" s="44">
        <f>IFERROR(MATCH(ROWS($P$2:P6),창고_재고현황!$H:$H,0),"")</f>
        <v/>
      </c>
      <c r="Q6" s="42" t="n"/>
      <c r="R6" s="42" t="n"/>
      <c r="S6" s="42" t="n"/>
      <c r="T6" s="42" t="n"/>
      <c r="U6" s="42" t="n"/>
    </row>
    <row r="7" ht="48" customHeight="1">
      <c r="A7" s="43">
        <f>IF($J7="","",IFERROR(INDEX(고압진공_재고현황!$B:$B,MATCH($J7,고압진공_재고현황!$E:$E,0)),IFERROR(INDEX(조립자재_재고현황!$B:$B,MATCH($J7,조립자재_재고현황!$E:$E,0)),"")))</f>
        <v/>
      </c>
      <c r="B7" s="43">
        <f>IF($J7="","",IFERROR(INDEX(고압진공_재고현황!$C:$C,MATCH($J7,고압진공_재고현황!$E:$E,0)),IFERROR(INDEX(조립자재_재고현황!$C:$C,MATCH($J7,조립자재_재고현황!$E:$E,0)),"")))</f>
        <v/>
      </c>
      <c r="C7" s="44" t="n"/>
      <c r="D7" s="43">
        <f>IF($P7="","",INDEX(창고_재고현황!$B:$B,$P7))</f>
        <v/>
      </c>
      <c r="E7" s="43">
        <f>IF($P7="","",INDEX(창고_재고현황!$C:$C,$P7))</f>
        <v/>
      </c>
      <c r="F7" s="44" t="n"/>
      <c r="G7" s="43">
        <f>IF($P7="","",IF(INDEX(창고_재고현황!$E:$E,$P7)=0,"",INDEX(창고_재고현황!$E:$E,$P7)))</f>
        <v/>
      </c>
      <c r="H7" s="44" t="n"/>
      <c r="I7" s="45">
        <f>IF($J7="","",IFERROR(INDEX(고압진공_재고현황!$D:$D,MATCH($J7,고압진공_재고현황!$E:$E,0)),IFERROR(INDEX(조립자재_재고현황!$D:$D,MATCH($J7,조립자재_재고현황!$E:$E,0)),"")))</f>
        <v/>
      </c>
      <c r="J7" s="45">
        <f>IF($P7="","",INDEX(창고_재고현황!$D:$D,$P7))</f>
        <v/>
      </c>
      <c r="K7" s="44" t="n"/>
      <c r="L7" s="46" t="n"/>
      <c r="M7" s="46" t="n"/>
      <c r="N7" s="47" t="n"/>
      <c r="O7" s="44" t="n"/>
      <c r="P7" s="44">
        <f>IFERROR(MATCH(ROWS($P$2:P7),창고_재고현황!$H:$H,0),"")</f>
        <v/>
      </c>
      <c r="Q7" s="42" t="n"/>
      <c r="R7" s="42" t="n"/>
      <c r="S7" s="42" t="n"/>
      <c r="T7" s="42" t="n"/>
      <c r="U7" s="42" t="n"/>
    </row>
    <row r="8" ht="48" customHeight="1">
      <c r="A8" s="43">
        <f>IF($J8="","",IFERROR(INDEX(고압진공_재고현황!$B:$B,MATCH($J8,고압진공_재고현황!$E:$E,0)),IFERROR(INDEX(조립자재_재고현황!$B:$B,MATCH($J8,조립자재_재고현황!$E:$E,0)),"")))</f>
        <v/>
      </c>
      <c r="B8" s="43">
        <f>IF($J8="","",IFERROR(INDEX(고압진공_재고현황!$C:$C,MATCH($J8,고압진공_재고현황!$E:$E,0)),IFERROR(INDEX(조립자재_재고현황!$C:$C,MATCH($J8,조립자재_재고현황!$E:$E,0)),"")))</f>
        <v/>
      </c>
      <c r="C8" s="44" t="n"/>
      <c r="D8" s="43">
        <f>IF($P8="","",INDEX(창고_재고현황!$B:$B,$P8))</f>
        <v/>
      </c>
      <c r="E8" s="43">
        <f>IF($P8="","",INDEX(창고_재고현황!$C:$C,$P8))</f>
        <v/>
      </c>
      <c r="F8" s="44" t="n"/>
      <c r="G8" s="43">
        <f>IF($P8="","",IF(INDEX(창고_재고현황!$E:$E,$P8)=0,"",INDEX(창고_재고현황!$E:$E,$P8)))</f>
        <v/>
      </c>
      <c r="H8" s="44" t="n"/>
      <c r="I8" s="45">
        <f>IF($J8="","",IFERROR(INDEX(고압진공_재고현황!$D:$D,MATCH($J8,고압진공_재고현황!$E:$E,0)),IFERROR(INDEX(조립자재_재고현황!$D:$D,MATCH($J8,조립자재_재고현황!$E:$E,0)),"")))</f>
        <v/>
      </c>
      <c r="J8" s="45">
        <f>IF($P8="","",INDEX(창고_재고현황!$D:$D,$P8))</f>
        <v/>
      </c>
      <c r="K8" s="44" t="n"/>
      <c r="L8" s="46" t="n"/>
      <c r="M8" s="46" t="n"/>
      <c r="N8" s="47" t="n"/>
      <c r="O8" s="44" t="n"/>
      <c r="P8" s="44">
        <f>IFERROR(MATCH(ROWS($P$2:P8),창고_재고현황!$H:$H,0),"")</f>
        <v/>
      </c>
      <c r="Q8" s="42" t="n"/>
      <c r="R8" s="42" t="n"/>
      <c r="S8" s="42" t="n"/>
      <c r="T8" s="42" t="n"/>
      <c r="U8" s="42" t="n"/>
    </row>
    <row r="9" ht="48" customHeight="1">
      <c r="A9" s="43">
        <f>IF($J9="","",IFERROR(INDEX(고압진공_재고현황!$B:$B,MATCH($J9,고압진공_재고현황!$E:$E,0)),IFERROR(INDEX(조립자재_재고현황!$B:$B,MATCH($J9,조립자재_재고현황!$E:$E,0)),"")))</f>
        <v/>
      </c>
      <c r="B9" s="43">
        <f>IF($J9="","",IFERROR(INDEX(고압진공_재고현황!$C:$C,MATCH($J9,고압진공_재고현황!$E:$E,0)),IFERROR(INDEX(조립자재_재고현황!$C:$C,MATCH($J9,조립자재_재고현황!$E:$E,0)),"")))</f>
        <v/>
      </c>
      <c r="C9" s="44" t="n"/>
      <c r="D9" s="43">
        <f>IF($P9="","",INDEX(창고_재고현황!$B:$B,$P9))</f>
        <v/>
      </c>
      <c r="E9" s="43">
        <f>IF($P9="","",INDEX(창고_재고현황!$C:$C,$P9))</f>
        <v/>
      </c>
      <c r="F9" s="44" t="n"/>
      <c r="G9" s="43">
        <f>IF($P9="","",IF(INDEX(창고_재고현황!$E:$E,$P9)=0,"",INDEX(창고_재고현황!$E:$E,$P9)))</f>
        <v/>
      </c>
      <c r="H9" s="44" t="n"/>
      <c r="I9" s="45">
        <f>IF($J9="","",IFERROR(INDEX(고압진공_재고현황!$D:$D,MATCH($J9,고압진공_재고현황!$E:$E,0)),IFERROR(INDEX(조립자재_재고현황!$D:$D,MATCH($J9,조립자재_재고현황!$E:$E,0)),"")))</f>
        <v/>
      </c>
      <c r="J9" s="45">
        <f>IF($P9="","",INDEX(창고_재고현황!$D:$D,$P9))</f>
        <v/>
      </c>
      <c r="K9" s="44" t="n"/>
      <c r="L9" s="46" t="n"/>
      <c r="M9" s="46" t="n"/>
      <c r="N9" s="47" t="n"/>
      <c r="O9" s="44" t="n"/>
      <c r="P9" s="44">
        <f>IFERROR(MATCH(ROWS($P$2:P9),창고_재고현황!$H:$H,0),"")</f>
        <v/>
      </c>
      <c r="Q9" s="42" t="n"/>
      <c r="R9" s="42" t="n"/>
      <c r="S9" s="42" t="n"/>
      <c r="T9" s="42" t="n"/>
      <c r="U9" s="42" t="n"/>
    </row>
    <row r="10" ht="48" customHeight="1">
      <c r="A10" s="43">
        <f>IF($J10="","",IFERROR(INDEX(고압진공_재고현황!$B:$B,MATCH($J10,고압진공_재고현황!$E:$E,0)),IFERROR(INDEX(조립자재_재고현황!$B:$B,MATCH($J10,조립자재_재고현황!$E:$E,0)),"")))</f>
        <v/>
      </c>
      <c r="B10" s="43">
        <f>IF($J10="","",IFERROR(INDEX(고압진공_재고현황!$C:$C,MATCH($J10,고압진공_재고현황!$E:$E,0)),IFERROR(INDEX(조립자재_재고현황!$C:$C,MATCH($J10,조립자재_재고현황!$E:$E,0)),"")))</f>
        <v/>
      </c>
      <c r="C10" s="44" t="n"/>
      <c r="D10" s="43">
        <f>IF($P10="","",INDEX(창고_재고현황!$B:$B,$P10))</f>
        <v/>
      </c>
      <c r="E10" s="43">
        <f>IF($P10="","",INDEX(창고_재고현황!$C:$C,$P10))</f>
        <v/>
      </c>
      <c r="F10" s="44" t="n"/>
      <c r="G10" s="43">
        <f>IF($P10="","",IF(INDEX(창고_재고현황!$E:$E,$P10)=0,"",INDEX(창고_재고현황!$E:$E,$P10)))</f>
        <v/>
      </c>
      <c r="H10" s="44" t="n"/>
      <c r="I10" s="45">
        <f>IF($J10="","",IFERROR(INDEX(고압진공_재고현황!$D:$D,MATCH($J10,고압진공_재고현황!$E:$E,0)),IFERROR(INDEX(조립자재_재고현황!$D:$D,MATCH($J10,조립자재_재고현황!$E:$E,0)),"")))</f>
        <v/>
      </c>
      <c r="J10" s="45">
        <f>IF($P10="","",INDEX(창고_재고현황!$D:$D,$P10))</f>
        <v/>
      </c>
      <c r="K10" s="44" t="n"/>
      <c r="L10" s="46" t="n"/>
      <c r="M10" s="46" t="n"/>
      <c r="N10" s="47" t="n"/>
      <c r="O10" s="44" t="n"/>
      <c r="P10" s="44">
        <f>IFERROR(MATCH(ROWS($P$2:P10),창고_재고현황!$H:$H,0),"")</f>
        <v/>
      </c>
      <c r="Q10" s="42" t="n"/>
      <c r="R10" s="42" t="n"/>
      <c r="S10" s="42" t="n"/>
      <c r="T10" s="42" t="n"/>
      <c r="U10" s="42" t="n"/>
    </row>
    <row r="11" ht="48" customHeight="1">
      <c r="A11" s="43">
        <f>IF($J11="","",IFERROR(INDEX(고압진공_재고현황!$B:$B,MATCH($J11,고압진공_재고현황!$E:$E,0)),IFERROR(INDEX(조립자재_재고현황!$B:$B,MATCH($J11,조립자재_재고현황!$E:$E,0)),"")))</f>
        <v/>
      </c>
      <c r="B11" s="43">
        <f>IF($J11="","",IFERROR(INDEX(고압진공_재고현황!$C:$C,MATCH($J11,고압진공_재고현황!$E:$E,0)),IFERROR(INDEX(조립자재_재고현황!$C:$C,MATCH($J11,조립자재_재고현황!$E:$E,0)),"")))</f>
        <v/>
      </c>
      <c r="C11" s="44" t="n"/>
      <c r="D11" s="43">
        <f>IF($P11="","",INDEX(창고_재고현황!$B:$B,$P11))</f>
        <v/>
      </c>
      <c r="E11" s="43">
        <f>IF($P11="","",INDEX(창고_재고현황!$C:$C,$P11))</f>
        <v/>
      </c>
      <c r="F11" s="44" t="n"/>
      <c r="G11" s="43">
        <f>IF($P11="","",IF(INDEX(창고_재고현황!$E:$E,$P11)=0,"",INDEX(창고_재고현황!$E:$E,$P11)))</f>
        <v/>
      </c>
      <c r="H11" s="44" t="n"/>
      <c r="I11" s="45">
        <f>IF($J11="","",IFERROR(INDEX(고압진공_재고현황!$D:$D,MATCH($J11,고압진공_재고현황!$E:$E,0)),IFERROR(INDEX(조립자재_재고현황!$D:$D,MATCH($J11,조립자재_재고현황!$E:$E,0)),"")))</f>
        <v/>
      </c>
      <c r="J11" s="45">
        <f>IF($P11="","",INDEX(창고_재고현황!$D:$D,$P11))</f>
        <v/>
      </c>
      <c r="K11" s="44" t="n"/>
      <c r="L11" s="46" t="n"/>
      <c r="M11" s="46" t="n"/>
      <c r="N11" s="47" t="n"/>
      <c r="O11" s="44" t="n"/>
      <c r="P11" s="44">
        <f>IFERROR(MATCH(ROWS($P$2:P11),창고_재고현황!$H:$H,0),"")</f>
        <v/>
      </c>
      <c r="Q11" s="42" t="n"/>
      <c r="R11" s="42" t="n"/>
      <c r="S11" s="42" t="n"/>
      <c r="T11" s="42" t="n"/>
      <c r="U11" s="42" t="n"/>
    </row>
    <row r="12" ht="48" customHeight="1">
      <c r="A12" s="43">
        <f>IF($J12="","",IFERROR(INDEX(고압진공_재고현황!$B:$B,MATCH($J12,고압진공_재고현황!$E:$E,0)),IFERROR(INDEX(조립자재_재고현황!$B:$B,MATCH($J12,조립자재_재고현황!$E:$E,0)),"")))</f>
        <v/>
      </c>
      <c r="B12" s="43">
        <f>IF($J12="","",IFERROR(INDEX(고압진공_재고현황!$C:$C,MATCH($J12,고압진공_재고현황!$E:$E,0)),IFERROR(INDEX(조립자재_재고현황!$C:$C,MATCH($J12,조립자재_재고현황!$E:$E,0)),"")))</f>
        <v/>
      </c>
      <c r="C12" s="44" t="n"/>
      <c r="D12" s="43">
        <f>IF($P12="","",INDEX(창고_재고현황!$B:$B,$P12))</f>
        <v/>
      </c>
      <c r="E12" s="43">
        <f>IF($P12="","",INDEX(창고_재고현황!$C:$C,$P12))</f>
        <v/>
      </c>
      <c r="F12" s="44" t="n"/>
      <c r="G12" s="43">
        <f>IF($P12="","",IF(INDEX(창고_재고현황!$E:$E,$P12)=0,"",INDEX(창고_재고현황!$E:$E,$P12)))</f>
        <v/>
      </c>
      <c r="H12" s="44" t="n"/>
      <c r="I12" s="45">
        <f>IF($J12="","",IFERROR(INDEX(고압진공_재고현황!$D:$D,MATCH($J12,고압진공_재고현황!$E:$E,0)),IFERROR(INDEX(조립자재_재고현황!$D:$D,MATCH($J12,조립자재_재고현황!$E:$E,0)),"")))</f>
        <v/>
      </c>
      <c r="J12" s="45">
        <f>IF($P12="","",INDEX(창고_재고현황!$D:$D,$P12))</f>
        <v/>
      </c>
      <c r="K12" s="44" t="n"/>
      <c r="L12" s="46" t="n"/>
      <c r="M12" s="46" t="n"/>
      <c r="N12" s="47" t="n"/>
      <c r="O12" s="44" t="n"/>
      <c r="P12" s="44">
        <f>IFERROR(MATCH(ROWS($P$2:P12),창고_재고현황!$H:$H,0),"")</f>
        <v/>
      </c>
      <c r="Q12" s="42" t="n"/>
      <c r="R12" s="42" t="n"/>
      <c r="S12" s="42" t="n"/>
      <c r="T12" s="42" t="n"/>
      <c r="U12" s="42" t="n"/>
    </row>
    <row r="13" ht="48" customHeight="1">
      <c r="A13" s="43">
        <f>IF($J13="","",IFERROR(INDEX(고압진공_재고현황!$B:$B,MATCH($J13,고압진공_재고현황!$E:$E,0)),IFERROR(INDEX(조립자재_재고현황!$B:$B,MATCH($J13,조립자재_재고현황!$E:$E,0)),"")))</f>
        <v/>
      </c>
      <c r="B13" s="43">
        <f>IF($J13="","",IFERROR(INDEX(고압진공_재고현황!$C:$C,MATCH($J13,고압진공_재고현황!$E:$E,0)),IFERROR(INDEX(조립자재_재고현황!$C:$C,MATCH($J13,조립자재_재고현황!$E:$E,0)),"")))</f>
        <v/>
      </c>
      <c r="C13" s="44" t="n"/>
      <c r="D13" s="43">
        <f>IF($P13="","",INDEX(창고_재고현황!$B:$B,$P13))</f>
        <v/>
      </c>
      <c r="E13" s="43">
        <f>IF($P13="","",INDEX(창고_재고현황!$C:$C,$P13))</f>
        <v/>
      </c>
      <c r="F13" s="44" t="n"/>
      <c r="G13" s="43">
        <f>IF($P13="","",IF(INDEX(창고_재고현황!$E:$E,$P13)=0,"",INDEX(창고_재고현황!$E:$E,$P13)))</f>
        <v/>
      </c>
      <c r="H13" s="44" t="n"/>
      <c r="I13" s="45">
        <f>IF($J13="","",IFERROR(INDEX(고압진공_재고현황!$D:$D,MATCH($J13,고압진공_재고현황!$E:$E,0)),IFERROR(INDEX(조립자재_재고현황!$D:$D,MATCH($J13,조립자재_재고현황!$E:$E,0)),"")))</f>
        <v/>
      </c>
      <c r="J13" s="45">
        <f>IF($P13="","",INDEX(창고_재고현황!$D:$D,$P13))</f>
        <v/>
      </c>
      <c r="K13" s="44" t="n"/>
      <c r="L13" s="46" t="n"/>
      <c r="M13" s="46" t="n"/>
      <c r="N13" s="47" t="n"/>
      <c r="O13" s="44" t="n"/>
      <c r="P13" s="44">
        <f>IFERROR(MATCH(ROWS($P$2:P13),창고_재고현황!$H:$H,0),"")</f>
        <v/>
      </c>
      <c r="Q13" s="42" t="n"/>
      <c r="R13" s="42" t="n"/>
      <c r="S13" s="42" t="n"/>
      <c r="T13" s="42" t="n"/>
      <c r="U13" s="42" t="n"/>
    </row>
    <row r="14" ht="48" customHeight="1">
      <c r="A14" s="43">
        <f>IF($J14="","",IFERROR(INDEX(고압진공_재고현황!$B:$B,MATCH($J14,고압진공_재고현황!$E:$E,0)),IFERROR(INDEX(조립자재_재고현황!$B:$B,MATCH($J14,조립자재_재고현황!$E:$E,0)),"")))</f>
        <v/>
      </c>
      <c r="B14" s="43">
        <f>IF($J14="","",IFERROR(INDEX(고압진공_재고현황!$C:$C,MATCH($J14,고압진공_재고현황!$E:$E,0)),IFERROR(INDEX(조립자재_재고현황!$C:$C,MATCH($J14,조립자재_재고현황!$E:$E,0)),"")))</f>
        <v/>
      </c>
      <c r="C14" s="44" t="n"/>
      <c r="D14" s="43">
        <f>IF($P14="","",INDEX(창고_재고현황!$B:$B,$P14))</f>
        <v/>
      </c>
      <c r="E14" s="43">
        <f>IF($P14="","",INDEX(창고_재고현황!$C:$C,$P14))</f>
        <v/>
      </c>
      <c r="F14" s="44" t="n"/>
      <c r="G14" s="43">
        <f>IF($P14="","",IF(INDEX(창고_재고현황!$E:$E,$P14)=0,"",INDEX(창고_재고현황!$E:$E,$P14)))</f>
        <v/>
      </c>
      <c r="H14" s="44" t="n"/>
      <c r="I14" s="45">
        <f>IF($J14="","",IFERROR(INDEX(고압진공_재고현황!$D:$D,MATCH($J14,고압진공_재고현황!$E:$E,0)),IFERROR(INDEX(조립자재_재고현황!$D:$D,MATCH($J14,조립자재_재고현황!$E:$E,0)),"")))</f>
        <v/>
      </c>
      <c r="J14" s="45">
        <f>IF($P14="","",INDEX(창고_재고현황!$D:$D,$P14))</f>
        <v/>
      </c>
      <c r="K14" s="44" t="n"/>
      <c r="L14" s="46" t="n"/>
      <c r="M14" s="46" t="n"/>
      <c r="N14" s="47" t="n"/>
      <c r="O14" s="44" t="n"/>
      <c r="P14" s="44">
        <f>IFERROR(MATCH(ROWS($P$2:P14),창고_재고현황!$H:$H,0),"")</f>
        <v/>
      </c>
      <c r="Q14" s="42" t="n"/>
      <c r="R14" s="42" t="n"/>
      <c r="S14" s="42" t="n"/>
      <c r="T14" s="42" t="n"/>
      <c r="U14" s="42" t="n"/>
    </row>
    <row r="15" ht="48" customHeight="1">
      <c r="A15" s="43">
        <f>IF($J15="","",IFERROR(INDEX(고압진공_재고현황!$B:$B,MATCH($J15,고압진공_재고현황!$E:$E,0)),IFERROR(INDEX(조립자재_재고현황!$B:$B,MATCH($J15,조립자재_재고현황!$E:$E,0)),"")))</f>
        <v/>
      </c>
      <c r="B15" s="43">
        <f>IF($J15="","",IFERROR(INDEX(고압진공_재고현황!$C:$C,MATCH($J15,고압진공_재고현황!$E:$E,0)),IFERROR(INDEX(조립자재_재고현황!$C:$C,MATCH($J15,조립자재_재고현황!$E:$E,0)),"")))</f>
        <v/>
      </c>
      <c r="C15" s="44" t="n"/>
      <c r="D15" s="43">
        <f>IF($P15="","",INDEX(창고_재고현황!$B:$B,$P15))</f>
        <v/>
      </c>
      <c r="E15" s="43">
        <f>IF($P15="","",INDEX(창고_재고현황!$C:$C,$P15))</f>
        <v/>
      </c>
      <c r="F15" s="44" t="n"/>
      <c r="G15" s="43">
        <f>IF($P15="","",IF(INDEX(창고_재고현황!$E:$E,$P15)=0,"",INDEX(창고_재고현황!$E:$E,$P15)))</f>
        <v/>
      </c>
      <c r="H15" s="44" t="n"/>
      <c r="I15" s="45">
        <f>IF($J15="","",IFERROR(INDEX(고압진공_재고현황!$D:$D,MATCH($J15,고압진공_재고현황!$E:$E,0)),IFERROR(INDEX(조립자재_재고현황!$D:$D,MATCH($J15,조립자재_재고현황!$E:$E,0)),"")))</f>
        <v/>
      </c>
      <c r="J15" s="45">
        <f>IF($P15="","",INDEX(창고_재고현황!$D:$D,$P15))</f>
        <v/>
      </c>
      <c r="K15" s="44" t="n"/>
      <c r="L15" s="46" t="n"/>
      <c r="M15" s="46" t="n"/>
      <c r="N15" s="47" t="n"/>
      <c r="O15" s="44" t="n"/>
      <c r="P15" s="44">
        <f>IFERROR(MATCH(ROWS($P$2:P15),창고_재고현황!$H:$H,0),"")</f>
        <v/>
      </c>
      <c r="Q15" s="42" t="n"/>
      <c r="R15" s="42" t="n"/>
      <c r="S15" s="42" t="n"/>
      <c r="T15" s="42" t="n"/>
      <c r="U15" s="42" t="n"/>
    </row>
    <row r="16" ht="48" customHeight="1">
      <c r="A16" s="43">
        <f>IF($J16="","",IFERROR(INDEX(고압진공_재고현황!$B:$B,MATCH($J16,고압진공_재고현황!$E:$E,0)),IFERROR(INDEX(조립자재_재고현황!$B:$B,MATCH($J16,조립자재_재고현황!$E:$E,0)),"")))</f>
        <v/>
      </c>
      <c r="B16" s="43">
        <f>IF($J16="","",IFERROR(INDEX(고압진공_재고현황!$C:$C,MATCH($J16,고압진공_재고현황!$E:$E,0)),IFERROR(INDEX(조립자재_재고현황!$C:$C,MATCH($J16,조립자재_재고현황!$E:$E,0)),"")))</f>
        <v/>
      </c>
      <c r="C16" s="44" t="n"/>
      <c r="D16" s="43">
        <f>IF($P16="","",INDEX(창고_재고현황!$B:$B,$P16))</f>
        <v/>
      </c>
      <c r="E16" s="43">
        <f>IF($P16="","",INDEX(창고_재고현황!$C:$C,$P16))</f>
        <v/>
      </c>
      <c r="F16" s="44" t="n"/>
      <c r="G16" s="43">
        <f>IF($P16="","",IF(INDEX(창고_재고현황!$E:$E,$P16)=0,"",INDEX(창고_재고현황!$E:$E,$P16)))</f>
        <v/>
      </c>
      <c r="H16" s="44" t="n"/>
      <c r="I16" s="45">
        <f>IF($J16="","",IFERROR(INDEX(고압진공_재고현황!$D:$D,MATCH($J16,고압진공_재고현황!$E:$E,0)),IFERROR(INDEX(조립자재_재고현황!$D:$D,MATCH($J16,조립자재_재고현황!$E:$E,0)),"")))</f>
        <v/>
      </c>
      <c r="J16" s="45">
        <f>IF($P16="","",INDEX(창고_재고현황!$D:$D,$P16))</f>
        <v/>
      </c>
      <c r="K16" s="44" t="n"/>
      <c r="L16" s="46" t="n"/>
      <c r="M16" s="46" t="n"/>
      <c r="N16" s="47" t="n"/>
      <c r="O16" s="44" t="n"/>
      <c r="P16" s="44">
        <f>IFERROR(MATCH(ROWS($P$2:P16),창고_재고현황!$H:$H,0),"")</f>
        <v/>
      </c>
      <c r="Q16" s="42" t="n"/>
      <c r="R16" s="42" t="n"/>
      <c r="S16" s="42" t="n"/>
      <c r="T16" s="42" t="n"/>
      <c r="U16" s="42" t="n"/>
    </row>
    <row r="17" ht="48" customHeight="1">
      <c r="A17" s="43">
        <f>IF($J17="","",IFERROR(INDEX(고압진공_재고현황!$B:$B,MATCH($J17,고압진공_재고현황!$E:$E,0)),IFERROR(INDEX(조립자재_재고현황!$B:$B,MATCH($J17,조립자재_재고현황!$E:$E,0)),"")))</f>
        <v/>
      </c>
      <c r="B17" s="43">
        <f>IF($J17="","",IFERROR(INDEX(고압진공_재고현황!$C:$C,MATCH($J17,고압진공_재고현황!$E:$E,0)),IFERROR(INDEX(조립자재_재고현황!$C:$C,MATCH($J17,조립자재_재고현황!$E:$E,0)),"")))</f>
        <v/>
      </c>
      <c r="C17" s="44" t="n"/>
      <c r="D17" s="43">
        <f>IF($P17="","",INDEX(창고_재고현황!$B:$B,$P17))</f>
        <v/>
      </c>
      <c r="E17" s="43">
        <f>IF($P17="","",INDEX(창고_재고현황!$C:$C,$P17))</f>
        <v/>
      </c>
      <c r="F17" s="44" t="n"/>
      <c r="G17" s="43">
        <f>IF($P17="","",IF(INDEX(창고_재고현황!$E:$E,$P17)=0,"",INDEX(창고_재고현황!$E:$E,$P17)))</f>
        <v/>
      </c>
      <c r="H17" s="44" t="n"/>
      <c r="I17" s="45">
        <f>IF($J17="","",IFERROR(INDEX(고압진공_재고현황!$D:$D,MATCH($J17,고압진공_재고현황!$E:$E,0)),IFERROR(INDEX(조립자재_재고현황!$D:$D,MATCH($J17,조립자재_재고현황!$E:$E,0)),"")))</f>
        <v/>
      </c>
      <c r="J17" s="45">
        <f>IF($P17="","",INDEX(창고_재고현황!$D:$D,$P17))</f>
        <v/>
      </c>
      <c r="K17" s="44" t="n"/>
      <c r="L17" s="46" t="n"/>
      <c r="M17" s="46" t="n"/>
      <c r="N17" s="47" t="n"/>
      <c r="O17" s="44" t="n"/>
      <c r="P17" s="44">
        <f>IFERROR(MATCH(ROWS($P$2:P17),창고_재고현황!$H:$H,0),"")</f>
        <v/>
      </c>
      <c r="Q17" s="42" t="n"/>
      <c r="R17" s="42" t="n"/>
      <c r="S17" s="42" t="n"/>
      <c r="T17" s="42" t="n"/>
      <c r="U17" s="42" t="n"/>
    </row>
    <row r="18" ht="48" customHeight="1">
      <c r="A18" s="43">
        <f>IF($J18="","",IFERROR(INDEX(고압진공_재고현황!$B:$B,MATCH($J18,고압진공_재고현황!$E:$E,0)),IFERROR(INDEX(조립자재_재고현황!$B:$B,MATCH($J18,조립자재_재고현황!$E:$E,0)),"")))</f>
        <v/>
      </c>
      <c r="B18" s="43">
        <f>IF($J18="","",IFERROR(INDEX(고압진공_재고현황!$C:$C,MATCH($J18,고압진공_재고현황!$E:$E,0)),IFERROR(INDEX(조립자재_재고현황!$C:$C,MATCH($J18,조립자재_재고현황!$E:$E,0)),"")))</f>
        <v/>
      </c>
      <c r="C18" s="44" t="n"/>
      <c r="D18" s="43">
        <f>IF($P18="","",INDEX(창고_재고현황!$B:$B,$P18))</f>
        <v/>
      </c>
      <c r="E18" s="43">
        <f>IF($P18="","",INDEX(창고_재고현황!$C:$C,$P18))</f>
        <v/>
      </c>
      <c r="F18" s="44" t="n"/>
      <c r="G18" s="43">
        <f>IF($P18="","",IF(INDEX(창고_재고현황!$E:$E,$P18)=0,"",INDEX(창고_재고현황!$E:$E,$P18)))</f>
        <v/>
      </c>
      <c r="H18" s="44" t="n"/>
      <c r="I18" s="45">
        <f>IF($J18="","",IFERROR(INDEX(고압진공_재고현황!$D:$D,MATCH($J18,고압진공_재고현황!$E:$E,0)),IFERROR(INDEX(조립자재_재고현황!$D:$D,MATCH($J18,조립자재_재고현황!$E:$E,0)),"")))</f>
        <v/>
      </c>
      <c r="J18" s="45">
        <f>IF($P18="","",INDEX(창고_재고현황!$D:$D,$P18))</f>
        <v/>
      </c>
      <c r="K18" s="44" t="n"/>
      <c r="L18" s="46" t="n"/>
      <c r="M18" s="46" t="n"/>
      <c r="N18" s="47" t="n"/>
      <c r="O18" s="44" t="n"/>
      <c r="P18" s="44">
        <f>IFERROR(MATCH(ROWS($P$2:P18),창고_재고현황!$H:$H,0),"")</f>
        <v/>
      </c>
      <c r="Q18" s="42" t="n"/>
      <c r="R18" s="42" t="n"/>
      <c r="S18" s="42" t="n"/>
      <c r="T18" s="42" t="n"/>
      <c r="U18" s="42" t="n"/>
    </row>
    <row r="19" ht="48" customHeight="1">
      <c r="A19" s="43">
        <f>IF($J19="","",IFERROR(INDEX(고압진공_재고현황!$B:$B,MATCH($J19,고압진공_재고현황!$E:$E,0)),IFERROR(INDEX(조립자재_재고현황!$B:$B,MATCH($J19,조립자재_재고현황!$E:$E,0)),"")))</f>
        <v/>
      </c>
      <c r="B19" s="43">
        <f>IF($J19="","",IFERROR(INDEX(고압진공_재고현황!$C:$C,MATCH($J19,고압진공_재고현황!$E:$E,0)),IFERROR(INDEX(조립자재_재고현황!$C:$C,MATCH($J19,조립자재_재고현황!$E:$E,0)),"")))</f>
        <v/>
      </c>
      <c r="C19" s="44" t="n"/>
      <c r="D19" s="43">
        <f>IF($P19="","",INDEX(창고_재고현황!$B:$B,$P19))</f>
        <v/>
      </c>
      <c r="E19" s="43">
        <f>IF($P19="","",INDEX(창고_재고현황!$C:$C,$P19))</f>
        <v/>
      </c>
      <c r="F19" s="44" t="n"/>
      <c r="G19" s="43">
        <f>IF($P19="","",IF(INDEX(창고_재고현황!$E:$E,$P19)=0,"",INDEX(창고_재고현황!$E:$E,$P19)))</f>
        <v/>
      </c>
      <c r="H19" s="44" t="n"/>
      <c r="I19" s="45">
        <f>IF($J19="","",IFERROR(INDEX(고압진공_재고현황!$D:$D,MATCH($J19,고압진공_재고현황!$E:$E,0)),IFERROR(INDEX(조립자재_재고현황!$D:$D,MATCH($J19,조립자재_재고현황!$E:$E,0)),"")))</f>
        <v/>
      </c>
      <c r="J19" s="45">
        <f>IF($P19="","",INDEX(창고_재고현황!$D:$D,$P19))</f>
        <v/>
      </c>
      <c r="K19" s="44" t="n"/>
      <c r="L19" s="46" t="n"/>
      <c r="M19" s="46" t="n"/>
      <c r="N19" s="47" t="n"/>
      <c r="O19" s="44" t="n"/>
      <c r="P19" s="44">
        <f>IFERROR(MATCH(ROWS($P$2:P19),창고_재고현황!$H:$H,0),"")</f>
        <v/>
      </c>
      <c r="Q19" s="42" t="n"/>
      <c r="R19" s="42" t="n"/>
      <c r="S19" s="42" t="n"/>
      <c r="T19" s="42" t="n"/>
      <c r="U19" s="42" t="n"/>
    </row>
    <row r="20" ht="48" customHeight="1">
      <c r="A20" s="43">
        <f>IF($J20="","",IFERROR(INDEX(고압진공_재고현황!$B:$B,MATCH($J20,고압진공_재고현황!$E:$E,0)),IFERROR(INDEX(조립자재_재고현황!$B:$B,MATCH($J20,조립자재_재고현황!$E:$E,0)),"")))</f>
        <v/>
      </c>
      <c r="B20" s="43">
        <f>IF($J20="","",IFERROR(INDEX(고압진공_재고현황!$C:$C,MATCH($J20,고압진공_재고현황!$E:$E,0)),IFERROR(INDEX(조립자재_재고현황!$C:$C,MATCH($J20,조립자재_재고현황!$E:$E,0)),"")))</f>
        <v/>
      </c>
      <c r="C20" s="44" t="n"/>
      <c r="D20" s="43">
        <f>IF($P20="","",INDEX(창고_재고현황!$B:$B,$P20))</f>
        <v/>
      </c>
      <c r="E20" s="43">
        <f>IF($P20="","",INDEX(창고_재고현황!$C:$C,$P20))</f>
        <v/>
      </c>
      <c r="F20" s="44" t="n"/>
      <c r="G20" s="43">
        <f>IF($P20="","",IF(INDEX(창고_재고현황!$E:$E,$P20)=0,"",INDEX(창고_재고현황!$E:$E,$P20)))</f>
        <v/>
      </c>
      <c r="H20" s="44" t="n"/>
      <c r="I20" s="45">
        <f>IF($J20="","",IFERROR(INDEX(고압진공_재고현황!$D:$D,MATCH($J20,고압진공_재고현황!$E:$E,0)),IFERROR(INDEX(조립자재_재고현황!$D:$D,MATCH($J20,조립자재_재고현황!$E:$E,0)),"")))</f>
        <v/>
      </c>
      <c r="J20" s="45">
        <f>IF($P20="","",INDEX(창고_재고현황!$D:$D,$P20))</f>
        <v/>
      </c>
      <c r="K20" s="44" t="n"/>
      <c r="L20" s="46" t="n"/>
      <c r="M20" s="46" t="n"/>
      <c r="N20" s="47" t="n"/>
      <c r="O20" s="44" t="n"/>
      <c r="P20" s="44">
        <f>IFERROR(MATCH(ROWS($P$2:P20),창고_재고현황!$H:$H,0),"")</f>
        <v/>
      </c>
      <c r="Q20" s="42" t="n"/>
      <c r="R20" s="42" t="n"/>
      <c r="S20" s="42" t="n"/>
      <c r="T20" s="42" t="n"/>
      <c r="U20" s="42" t="n"/>
    </row>
    <row r="21" ht="48" customHeight="1">
      <c r="A21" s="43">
        <f>IF($J21="","",IFERROR(INDEX(고압진공_재고현황!$B:$B,MATCH($J21,고압진공_재고현황!$E:$E,0)),IFERROR(INDEX(조립자재_재고현황!$B:$B,MATCH($J21,조립자재_재고현황!$E:$E,0)),"")))</f>
        <v/>
      </c>
      <c r="B21" s="43">
        <f>IF($J21="","",IFERROR(INDEX(고압진공_재고현황!$C:$C,MATCH($J21,고압진공_재고현황!$E:$E,0)),IFERROR(INDEX(조립자재_재고현황!$C:$C,MATCH($J21,조립자재_재고현황!$E:$E,0)),"")))</f>
        <v/>
      </c>
      <c r="C21" s="44" t="n"/>
      <c r="D21" s="43">
        <f>IF($P21="","",INDEX(창고_재고현황!$B:$B,$P21))</f>
        <v/>
      </c>
      <c r="E21" s="43">
        <f>IF($P21="","",INDEX(창고_재고현황!$C:$C,$P21))</f>
        <v/>
      </c>
      <c r="F21" s="44" t="n"/>
      <c r="G21" s="43">
        <f>IF($P21="","",IF(INDEX(창고_재고현황!$E:$E,$P21)=0,"",INDEX(창고_재고현황!$E:$E,$P21)))</f>
        <v/>
      </c>
      <c r="H21" s="44" t="n"/>
      <c r="I21" s="45">
        <f>IF($J21="","",IFERROR(INDEX(고압진공_재고현황!$D:$D,MATCH($J21,고압진공_재고현황!$E:$E,0)),IFERROR(INDEX(조립자재_재고현황!$D:$D,MATCH($J21,조립자재_재고현황!$E:$E,0)),"")))</f>
        <v/>
      </c>
      <c r="J21" s="45">
        <f>IF($P21="","",INDEX(창고_재고현황!$D:$D,$P21))</f>
        <v/>
      </c>
      <c r="K21" s="44" t="n"/>
      <c r="L21" s="46" t="n"/>
      <c r="M21" s="46" t="n"/>
      <c r="N21" s="47" t="n"/>
      <c r="O21" s="44" t="n"/>
      <c r="P21" s="44">
        <f>IFERROR(MATCH(ROWS($P$2:P21),창고_재고현황!$H:$H,0),"")</f>
        <v/>
      </c>
      <c r="Q21" s="42" t="n"/>
      <c r="R21" s="42" t="n"/>
      <c r="S21" s="42" t="n"/>
      <c r="T21" s="42" t="n"/>
      <c r="U21" s="42" t="n"/>
    </row>
    <row r="22" ht="48" customHeight="1">
      <c r="A22" s="43">
        <f>IF($J22="","",IFERROR(INDEX(고압진공_재고현황!$B:$B,MATCH($J22,고압진공_재고현황!$E:$E,0)),IFERROR(INDEX(조립자재_재고현황!$B:$B,MATCH($J22,조립자재_재고현황!$E:$E,0)),"")))</f>
        <v/>
      </c>
      <c r="B22" s="43">
        <f>IF($J22="","",IFERROR(INDEX(고압진공_재고현황!$C:$C,MATCH($J22,고압진공_재고현황!$E:$E,0)),IFERROR(INDEX(조립자재_재고현황!$C:$C,MATCH($J22,조립자재_재고현황!$E:$E,0)),"")))</f>
        <v/>
      </c>
      <c r="C22" s="44" t="n"/>
      <c r="D22" s="43">
        <f>IF($P22="","",INDEX(창고_재고현황!$B:$B,$P22))</f>
        <v/>
      </c>
      <c r="E22" s="43">
        <f>IF($P22="","",INDEX(창고_재고현황!$C:$C,$P22))</f>
        <v/>
      </c>
      <c r="F22" s="44" t="n"/>
      <c r="G22" s="43">
        <f>IF($P22="","",IF(INDEX(창고_재고현황!$E:$E,$P22)=0,"",INDEX(창고_재고현황!$E:$E,$P22)))</f>
        <v/>
      </c>
      <c r="H22" s="44" t="n"/>
      <c r="I22" s="45">
        <f>IF($J22="","",IFERROR(INDEX(고압진공_재고현황!$D:$D,MATCH($J22,고압진공_재고현황!$E:$E,0)),IFERROR(INDEX(조립자재_재고현황!$D:$D,MATCH($J22,조립자재_재고현황!$E:$E,0)),"")))</f>
        <v/>
      </c>
      <c r="J22" s="45">
        <f>IF($P22="","",INDEX(창고_재고현황!$D:$D,$P22))</f>
        <v/>
      </c>
      <c r="K22" s="44" t="n"/>
      <c r="L22" s="46" t="n"/>
      <c r="M22" s="46" t="n"/>
      <c r="N22" s="47" t="n"/>
      <c r="O22" s="44" t="n"/>
      <c r="P22" s="44">
        <f>IFERROR(MATCH(ROWS($P$2:P22),창고_재고현황!$H:$H,0),"")</f>
        <v/>
      </c>
      <c r="Q22" s="42" t="n"/>
      <c r="R22" s="42" t="n"/>
      <c r="S22" s="42" t="n"/>
      <c r="T22" s="42" t="n"/>
      <c r="U22" s="42" t="n"/>
    </row>
    <row r="23" ht="48" customHeight="1">
      <c r="A23" s="43">
        <f>IF($J23="","",IFERROR(INDEX(고압진공_재고현황!$B:$B,MATCH($J23,고압진공_재고현황!$E:$E,0)),IFERROR(INDEX(조립자재_재고현황!$B:$B,MATCH($J23,조립자재_재고현황!$E:$E,0)),"")))</f>
        <v/>
      </c>
      <c r="B23" s="43">
        <f>IF($J23="","",IFERROR(INDEX(고압진공_재고현황!$C:$C,MATCH($J23,고압진공_재고현황!$E:$E,0)),IFERROR(INDEX(조립자재_재고현황!$C:$C,MATCH($J23,조립자재_재고현황!$E:$E,0)),"")))</f>
        <v/>
      </c>
      <c r="C23" s="44" t="n"/>
      <c r="D23" s="43">
        <f>IF($P23="","",INDEX(창고_재고현황!$B:$B,$P23))</f>
        <v/>
      </c>
      <c r="E23" s="43">
        <f>IF($P23="","",INDEX(창고_재고현황!$C:$C,$P23))</f>
        <v/>
      </c>
      <c r="F23" s="44" t="n"/>
      <c r="G23" s="43">
        <f>IF($P23="","",IF(INDEX(창고_재고현황!$E:$E,$P23)=0,"",INDEX(창고_재고현황!$E:$E,$P23)))</f>
        <v/>
      </c>
      <c r="H23" s="44" t="n"/>
      <c r="I23" s="45">
        <f>IF($J23="","",IFERROR(INDEX(고압진공_재고현황!$D:$D,MATCH($J23,고압진공_재고현황!$E:$E,0)),IFERROR(INDEX(조립자재_재고현황!$D:$D,MATCH($J23,조립자재_재고현황!$E:$E,0)),"")))</f>
        <v/>
      </c>
      <c r="J23" s="45">
        <f>IF($P23="","",INDEX(창고_재고현황!$D:$D,$P23))</f>
        <v/>
      </c>
      <c r="K23" s="44" t="n"/>
      <c r="L23" s="46" t="n"/>
      <c r="M23" s="46" t="n"/>
      <c r="N23" s="47" t="n"/>
      <c r="O23" s="44" t="n"/>
      <c r="P23" s="44">
        <f>IFERROR(MATCH(ROWS($P$2:P23),창고_재고현황!$H:$H,0),"")</f>
        <v/>
      </c>
      <c r="Q23" s="42" t="n"/>
      <c r="R23" s="42" t="n"/>
      <c r="S23" s="42" t="n"/>
      <c r="T23" s="42" t="n"/>
      <c r="U23" s="42" t="n"/>
    </row>
    <row r="24" ht="48" customHeight="1">
      <c r="A24" s="43">
        <f>IF($J24="","",IFERROR(INDEX(고압진공_재고현황!$B:$B,MATCH($J24,고압진공_재고현황!$E:$E,0)),IFERROR(INDEX(조립자재_재고현황!$B:$B,MATCH($J24,조립자재_재고현황!$E:$E,0)),"")))</f>
        <v/>
      </c>
      <c r="B24" s="43">
        <f>IF($J24="","",IFERROR(INDEX(고압진공_재고현황!$C:$C,MATCH($J24,고압진공_재고현황!$E:$E,0)),IFERROR(INDEX(조립자재_재고현황!$C:$C,MATCH($J24,조립자재_재고현황!$E:$E,0)),"")))</f>
        <v/>
      </c>
      <c r="C24" s="44" t="n"/>
      <c r="D24" s="43">
        <f>IF($P24="","",INDEX(창고_재고현황!$B:$B,$P24))</f>
        <v/>
      </c>
      <c r="E24" s="43">
        <f>IF($P24="","",INDEX(창고_재고현황!$C:$C,$P24))</f>
        <v/>
      </c>
      <c r="F24" s="44" t="n"/>
      <c r="G24" s="43">
        <f>IF($P24="","",IF(INDEX(창고_재고현황!$E:$E,$P24)=0,"",INDEX(창고_재고현황!$E:$E,$P24)))</f>
        <v/>
      </c>
      <c r="H24" s="44" t="n"/>
      <c r="I24" s="45">
        <f>IF($J24="","",IFERROR(INDEX(고압진공_재고현황!$D:$D,MATCH($J24,고압진공_재고현황!$E:$E,0)),IFERROR(INDEX(조립자재_재고현황!$D:$D,MATCH($J24,조립자재_재고현황!$E:$E,0)),"")))</f>
        <v/>
      </c>
      <c r="J24" s="45">
        <f>IF($P24="","",INDEX(창고_재고현황!$D:$D,$P24))</f>
        <v/>
      </c>
      <c r="K24" s="44" t="n"/>
      <c r="L24" s="46" t="n"/>
      <c r="M24" s="46" t="n"/>
      <c r="N24" s="47" t="n"/>
      <c r="O24" s="44" t="n"/>
      <c r="P24" s="44">
        <f>IFERROR(MATCH(ROWS($P$2:P24),창고_재고현황!$H:$H,0),"")</f>
        <v/>
      </c>
      <c r="Q24" s="42" t="n"/>
      <c r="R24" s="42" t="n"/>
      <c r="S24" s="42" t="n"/>
      <c r="T24" s="42" t="n"/>
      <c r="U24" s="42" t="n"/>
    </row>
    <row r="25" ht="48" customHeight="1">
      <c r="A25" s="43">
        <f>IF($J25="","",IFERROR(INDEX(고압진공_재고현황!$B:$B,MATCH($J25,고압진공_재고현황!$E:$E,0)),IFERROR(INDEX(조립자재_재고현황!$B:$B,MATCH($J25,조립자재_재고현황!$E:$E,0)),"")))</f>
        <v/>
      </c>
      <c r="B25" s="43">
        <f>IF($J25="","",IFERROR(INDEX(고압진공_재고현황!$C:$C,MATCH($J25,고압진공_재고현황!$E:$E,0)),IFERROR(INDEX(조립자재_재고현황!$C:$C,MATCH($J25,조립자재_재고현황!$E:$E,0)),"")))</f>
        <v/>
      </c>
      <c r="C25" s="44" t="n"/>
      <c r="D25" s="43">
        <f>IF($P25="","",INDEX(창고_재고현황!$B:$B,$P25))</f>
        <v/>
      </c>
      <c r="E25" s="43">
        <f>IF($P25="","",INDEX(창고_재고현황!$C:$C,$P25))</f>
        <v/>
      </c>
      <c r="F25" s="44" t="n"/>
      <c r="G25" s="43">
        <f>IF($P25="","",IF(INDEX(창고_재고현황!$E:$E,$P25)=0,"",INDEX(창고_재고현황!$E:$E,$P25)))</f>
        <v/>
      </c>
      <c r="H25" s="44" t="n"/>
      <c r="I25" s="45">
        <f>IF($J25="","",IFERROR(INDEX(고압진공_재고현황!$D:$D,MATCH($J25,고압진공_재고현황!$E:$E,0)),IFERROR(INDEX(조립자재_재고현황!$D:$D,MATCH($J25,조립자재_재고현황!$E:$E,0)),"")))</f>
        <v/>
      </c>
      <c r="J25" s="45">
        <f>IF($P25="","",INDEX(창고_재고현황!$D:$D,$P25))</f>
        <v/>
      </c>
      <c r="K25" s="44" t="n"/>
      <c r="L25" s="46" t="n"/>
      <c r="M25" s="46" t="n"/>
      <c r="N25" s="47" t="n"/>
      <c r="O25" s="44" t="n"/>
      <c r="P25" s="44">
        <f>IFERROR(MATCH(ROWS($P$2:P25),창고_재고현황!$H:$H,0),"")</f>
        <v/>
      </c>
      <c r="Q25" s="42" t="n"/>
      <c r="R25" s="42" t="n"/>
      <c r="S25" s="42" t="n"/>
      <c r="T25" s="42" t="n"/>
      <c r="U25" s="42" t="n"/>
    </row>
    <row r="26" ht="48" customHeight="1">
      <c r="A26" s="43">
        <f>IF($J26="","",IFERROR(INDEX(고압진공_재고현황!$B:$B,MATCH($J26,고압진공_재고현황!$E:$E,0)),IFERROR(INDEX(조립자재_재고현황!$B:$B,MATCH($J26,조립자재_재고현황!$E:$E,0)),"")))</f>
        <v/>
      </c>
      <c r="B26" s="43">
        <f>IF($J26="","",IFERROR(INDEX(고압진공_재고현황!$C:$C,MATCH($J26,고압진공_재고현황!$E:$E,0)),IFERROR(INDEX(조립자재_재고현황!$C:$C,MATCH($J26,조립자재_재고현황!$E:$E,0)),"")))</f>
        <v/>
      </c>
      <c r="C26" s="44" t="n"/>
      <c r="D26" s="43">
        <f>IF($P26="","",INDEX(창고_재고현황!$B:$B,$P26))</f>
        <v/>
      </c>
      <c r="E26" s="43">
        <f>IF($P26="","",INDEX(창고_재고현황!$C:$C,$P26))</f>
        <v/>
      </c>
      <c r="F26" s="44" t="n"/>
      <c r="G26" s="43">
        <f>IF($P26="","",IF(INDEX(창고_재고현황!$E:$E,$P26)=0,"",INDEX(창고_재고현황!$E:$E,$P26)))</f>
        <v/>
      </c>
      <c r="H26" s="44" t="n"/>
      <c r="I26" s="45">
        <f>IF($J26="","",IFERROR(INDEX(고압진공_재고현황!$D:$D,MATCH($J26,고압진공_재고현황!$E:$E,0)),IFERROR(INDEX(조립자재_재고현황!$D:$D,MATCH($J26,조립자재_재고현황!$E:$E,0)),"")))</f>
        <v/>
      </c>
      <c r="J26" s="45">
        <f>IF($P26="","",INDEX(창고_재고현황!$D:$D,$P26))</f>
        <v/>
      </c>
      <c r="K26" s="44" t="n"/>
      <c r="L26" s="46" t="n"/>
      <c r="M26" s="46" t="n"/>
      <c r="N26" s="47" t="n"/>
      <c r="O26" s="44" t="n"/>
      <c r="P26" s="44">
        <f>IFERROR(MATCH(ROWS($P$2:P26),창고_재고현황!$H:$H,0),"")</f>
        <v/>
      </c>
      <c r="Q26" s="42" t="n"/>
      <c r="R26" s="42" t="n"/>
      <c r="S26" s="42" t="n"/>
      <c r="T26" s="42" t="n"/>
      <c r="U26" s="42" t="n"/>
    </row>
    <row r="27" ht="48" customHeight="1">
      <c r="A27" s="43">
        <f>IF($J27="","",IFERROR(INDEX(고압진공_재고현황!$B:$B,MATCH($J27,고압진공_재고현황!$E:$E,0)),IFERROR(INDEX(조립자재_재고현황!$B:$B,MATCH($J27,조립자재_재고현황!$E:$E,0)),"")))</f>
        <v/>
      </c>
      <c r="B27" s="43">
        <f>IF($J27="","",IFERROR(INDEX(고압진공_재고현황!$C:$C,MATCH($J27,고압진공_재고현황!$E:$E,0)),IFERROR(INDEX(조립자재_재고현황!$C:$C,MATCH($J27,조립자재_재고현황!$E:$E,0)),"")))</f>
        <v/>
      </c>
      <c r="C27" s="44" t="n"/>
      <c r="D27" s="43">
        <f>IF($P27="","",INDEX(창고_재고현황!$B:$B,$P27))</f>
        <v/>
      </c>
      <c r="E27" s="43">
        <f>IF($P27="","",INDEX(창고_재고현황!$C:$C,$P27))</f>
        <v/>
      </c>
      <c r="F27" s="44" t="n"/>
      <c r="G27" s="43">
        <f>IF($P27="","",IF(INDEX(창고_재고현황!$E:$E,$P27)=0,"",INDEX(창고_재고현황!$E:$E,$P27)))</f>
        <v/>
      </c>
      <c r="H27" s="44" t="n"/>
      <c r="I27" s="45">
        <f>IF($J27="","",IFERROR(INDEX(고압진공_재고현황!$D:$D,MATCH($J27,고압진공_재고현황!$E:$E,0)),IFERROR(INDEX(조립자재_재고현황!$D:$D,MATCH($J27,조립자재_재고현황!$E:$E,0)),"")))</f>
        <v/>
      </c>
      <c r="J27" s="45">
        <f>IF($P27="","",INDEX(창고_재고현황!$D:$D,$P27))</f>
        <v/>
      </c>
      <c r="K27" s="44" t="n"/>
      <c r="L27" s="46" t="n"/>
      <c r="M27" s="46" t="n"/>
      <c r="N27" s="47" t="n"/>
      <c r="O27" s="44" t="n"/>
      <c r="P27" s="44">
        <f>IFERROR(MATCH(ROWS($P$2:P27),창고_재고현황!$H:$H,0),"")</f>
        <v/>
      </c>
      <c r="Q27" s="42" t="n"/>
      <c r="R27" s="42" t="n"/>
      <c r="S27" s="42" t="n"/>
      <c r="T27" s="42" t="n"/>
      <c r="U27" s="42" t="n"/>
    </row>
    <row r="28" ht="48" customHeight="1">
      <c r="A28" s="43">
        <f>IF($J28="","",IFERROR(INDEX(고압진공_재고현황!$B:$B,MATCH($J28,고압진공_재고현황!$E:$E,0)),IFERROR(INDEX(조립자재_재고현황!$B:$B,MATCH($J28,조립자재_재고현황!$E:$E,0)),"")))</f>
        <v/>
      </c>
      <c r="B28" s="43">
        <f>IF($J28="","",IFERROR(INDEX(고압진공_재고현황!$C:$C,MATCH($J28,고압진공_재고현황!$E:$E,0)),IFERROR(INDEX(조립자재_재고현황!$C:$C,MATCH($J28,조립자재_재고현황!$E:$E,0)),"")))</f>
        <v/>
      </c>
      <c r="C28" s="44" t="n"/>
      <c r="D28" s="43">
        <f>IF($P28="","",INDEX(창고_재고현황!$B:$B,$P28))</f>
        <v/>
      </c>
      <c r="E28" s="43">
        <f>IF($P28="","",INDEX(창고_재고현황!$C:$C,$P28))</f>
        <v/>
      </c>
      <c r="F28" s="44" t="n"/>
      <c r="G28" s="43">
        <f>IF($P28="","",IF(INDEX(창고_재고현황!$E:$E,$P28)=0,"",INDEX(창고_재고현황!$E:$E,$P28)))</f>
        <v/>
      </c>
      <c r="H28" s="44" t="n"/>
      <c r="I28" s="45">
        <f>IF($J28="","",IFERROR(INDEX(고압진공_재고현황!$D:$D,MATCH($J28,고압진공_재고현황!$E:$E,0)),IFERROR(INDEX(조립자재_재고현황!$D:$D,MATCH($J28,조립자재_재고현황!$E:$E,0)),"")))</f>
        <v/>
      </c>
      <c r="J28" s="45">
        <f>IF($P28="","",INDEX(창고_재고현황!$D:$D,$P28))</f>
        <v/>
      </c>
      <c r="K28" s="44" t="n"/>
      <c r="L28" s="46" t="n"/>
      <c r="M28" s="46" t="n"/>
      <c r="N28" s="47" t="n"/>
      <c r="O28" s="44" t="n"/>
      <c r="P28" s="44">
        <f>IFERROR(MATCH(ROWS($P$2:P28),창고_재고현황!$H:$H,0),"")</f>
        <v/>
      </c>
      <c r="Q28" s="42" t="n"/>
      <c r="R28" s="42" t="n"/>
      <c r="S28" s="42" t="n"/>
      <c r="T28" s="42" t="n"/>
      <c r="U28" s="42" t="n"/>
    </row>
    <row r="29" ht="48" customHeight="1">
      <c r="A29" s="43">
        <f>IF($J29="","",IFERROR(INDEX(고압진공_재고현황!$B:$B,MATCH($J29,고압진공_재고현황!$E:$E,0)),IFERROR(INDEX(조립자재_재고현황!$B:$B,MATCH($J29,조립자재_재고현황!$E:$E,0)),"")))</f>
        <v/>
      </c>
      <c r="B29" s="43">
        <f>IF($J29="","",IFERROR(INDEX(고압진공_재고현황!$C:$C,MATCH($J29,고압진공_재고현황!$E:$E,0)),IFERROR(INDEX(조립자재_재고현황!$C:$C,MATCH($J29,조립자재_재고현황!$E:$E,0)),"")))</f>
        <v/>
      </c>
      <c r="C29" s="44" t="n"/>
      <c r="D29" s="43">
        <f>IF($P29="","",INDEX(창고_재고현황!$B:$B,$P29))</f>
        <v/>
      </c>
      <c r="E29" s="43">
        <f>IF($P29="","",INDEX(창고_재고현황!$C:$C,$P29))</f>
        <v/>
      </c>
      <c r="F29" s="44" t="n"/>
      <c r="G29" s="43">
        <f>IF($P29="","",IF(INDEX(창고_재고현황!$E:$E,$P29)=0,"",INDEX(창고_재고현황!$E:$E,$P29)))</f>
        <v/>
      </c>
      <c r="H29" s="44" t="n"/>
      <c r="I29" s="45">
        <f>IF($J29="","",IFERROR(INDEX(고압진공_재고현황!$D:$D,MATCH($J29,고압진공_재고현황!$E:$E,0)),IFERROR(INDEX(조립자재_재고현황!$D:$D,MATCH($J29,조립자재_재고현황!$E:$E,0)),"")))</f>
        <v/>
      </c>
      <c r="J29" s="45">
        <f>IF($P29="","",INDEX(창고_재고현황!$D:$D,$P29))</f>
        <v/>
      </c>
      <c r="K29" s="44" t="n"/>
      <c r="L29" s="46" t="n"/>
      <c r="M29" s="46" t="n"/>
      <c r="N29" s="47" t="n"/>
      <c r="O29" s="44" t="n"/>
      <c r="P29" s="44">
        <f>IFERROR(MATCH(ROWS($P$2:P29),창고_재고현황!$H:$H,0),"")</f>
        <v/>
      </c>
      <c r="Q29" s="42" t="n"/>
      <c r="R29" s="42" t="n"/>
      <c r="S29" s="42" t="n"/>
      <c r="T29" s="42" t="n"/>
      <c r="U29" s="42" t="n"/>
    </row>
    <row r="30" ht="48" customHeight="1">
      <c r="A30" s="43">
        <f>IF($J30="","",IFERROR(INDEX(고압진공_재고현황!$B:$B,MATCH($J30,고압진공_재고현황!$E:$E,0)),IFERROR(INDEX(조립자재_재고현황!$B:$B,MATCH($J30,조립자재_재고현황!$E:$E,0)),"")))</f>
        <v/>
      </c>
      <c r="B30" s="43">
        <f>IF($J30="","",IFERROR(INDEX(고압진공_재고현황!$C:$C,MATCH($J30,고압진공_재고현황!$E:$E,0)),IFERROR(INDEX(조립자재_재고현황!$C:$C,MATCH($J30,조립자재_재고현황!$E:$E,0)),"")))</f>
        <v/>
      </c>
      <c r="C30" s="44" t="n"/>
      <c r="D30" s="43">
        <f>IF($P30="","",INDEX(창고_재고현황!$B:$B,$P30))</f>
        <v/>
      </c>
      <c r="E30" s="43">
        <f>IF($P30="","",INDEX(창고_재고현황!$C:$C,$P30))</f>
        <v/>
      </c>
      <c r="F30" s="44" t="n"/>
      <c r="G30" s="43">
        <f>IF($P30="","",IF(INDEX(창고_재고현황!$E:$E,$P30)=0,"",INDEX(창고_재고현황!$E:$E,$P30)))</f>
        <v/>
      </c>
      <c r="H30" s="44" t="n"/>
      <c r="I30" s="45">
        <f>IF($J30="","",IFERROR(INDEX(고압진공_재고현황!$D:$D,MATCH($J30,고압진공_재고현황!$E:$E,0)),IFERROR(INDEX(조립자재_재고현황!$D:$D,MATCH($J30,조립자재_재고현황!$E:$E,0)),"")))</f>
        <v/>
      </c>
      <c r="J30" s="45">
        <f>IF($P30="","",INDEX(창고_재고현황!$D:$D,$P30))</f>
        <v/>
      </c>
      <c r="K30" s="44" t="n"/>
      <c r="L30" s="46" t="n"/>
      <c r="M30" s="46" t="n"/>
      <c r="N30" s="47" t="n"/>
      <c r="O30" s="44" t="n"/>
      <c r="P30" s="44">
        <f>IFERROR(MATCH(ROWS($P$2:P30),창고_재고현황!$H:$H,0),"")</f>
        <v/>
      </c>
      <c r="Q30" s="42" t="n"/>
      <c r="R30" s="42" t="n"/>
      <c r="S30" s="42" t="n"/>
      <c r="T30" s="42" t="n"/>
      <c r="U30" s="42" t="n"/>
    </row>
    <row r="31" ht="48" customHeight="1">
      <c r="A31" s="43">
        <f>IF($J31="","",IFERROR(INDEX(고압진공_재고현황!$B:$B,MATCH($J31,고압진공_재고현황!$E:$E,0)),IFERROR(INDEX(조립자재_재고현황!$B:$B,MATCH($J31,조립자재_재고현황!$E:$E,0)),"")))</f>
        <v/>
      </c>
      <c r="B31" s="43">
        <f>IF($J31="","",IFERROR(INDEX(고압진공_재고현황!$C:$C,MATCH($J31,고압진공_재고현황!$E:$E,0)),IFERROR(INDEX(조립자재_재고현황!$C:$C,MATCH($J31,조립자재_재고현황!$E:$E,0)),"")))</f>
        <v/>
      </c>
      <c r="C31" s="44" t="n"/>
      <c r="D31" s="43">
        <f>IF($P31="","",INDEX(창고_재고현황!$B:$B,$P31))</f>
        <v/>
      </c>
      <c r="E31" s="43">
        <f>IF($P31="","",INDEX(창고_재고현황!$C:$C,$P31))</f>
        <v/>
      </c>
      <c r="F31" s="44" t="n"/>
      <c r="G31" s="43">
        <f>IF($P31="","",IF(INDEX(창고_재고현황!$E:$E,$P31)=0,"",INDEX(창고_재고현황!$E:$E,$P31)))</f>
        <v/>
      </c>
      <c r="H31" s="44" t="n"/>
      <c r="I31" s="45">
        <f>IF($J31="","",IFERROR(INDEX(고압진공_재고현황!$D:$D,MATCH($J31,고압진공_재고현황!$E:$E,0)),IFERROR(INDEX(조립자재_재고현황!$D:$D,MATCH($J31,조립자재_재고현황!$E:$E,0)),"")))</f>
        <v/>
      </c>
      <c r="J31" s="45">
        <f>IF($P31="","",INDEX(창고_재고현황!$D:$D,$P31))</f>
        <v/>
      </c>
      <c r="K31" s="44" t="n"/>
      <c r="L31" s="46" t="n"/>
      <c r="M31" s="46" t="n"/>
      <c r="N31" s="47" t="n"/>
      <c r="O31" s="44" t="n"/>
      <c r="P31" s="44">
        <f>IFERROR(MATCH(ROWS($P$2:P31),창고_재고현황!$H:$H,0),"")</f>
        <v/>
      </c>
      <c r="Q31" s="42" t="n"/>
      <c r="R31" s="42" t="n"/>
      <c r="S31" s="42" t="n"/>
      <c r="T31" s="42" t="n"/>
      <c r="U31" s="42" t="n"/>
    </row>
    <row r="32" ht="48" customHeight="1">
      <c r="A32" s="43">
        <f>IF($J32="","",IFERROR(INDEX(고압진공_재고현황!$B:$B,MATCH($J32,고압진공_재고현황!$E:$E,0)),IFERROR(INDEX(조립자재_재고현황!$B:$B,MATCH($J32,조립자재_재고현황!$E:$E,0)),"")))</f>
        <v/>
      </c>
      <c r="B32" s="43">
        <f>IF($J32="","",IFERROR(INDEX(고압진공_재고현황!$C:$C,MATCH($J32,고압진공_재고현황!$E:$E,0)),IFERROR(INDEX(조립자재_재고현황!$C:$C,MATCH($J32,조립자재_재고현황!$E:$E,0)),"")))</f>
        <v/>
      </c>
      <c r="C32" s="44" t="n"/>
      <c r="D32" s="43">
        <f>IF($P32="","",INDEX(창고_재고현황!$B:$B,$P32))</f>
        <v/>
      </c>
      <c r="E32" s="43">
        <f>IF($P32="","",INDEX(창고_재고현황!$C:$C,$P32))</f>
        <v/>
      </c>
      <c r="F32" s="44" t="n"/>
      <c r="G32" s="43">
        <f>IF($P32="","",IF(INDEX(창고_재고현황!$E:$E,$P32)=0,"",INDEX(창고_재고현황!$E:$E,$P32)))</f>
        <v/>
      </c>
      <c r="H32" s="44" t="n"/>
      <c r="I32" s="45">
        <f>IF($J32="","",IFERROR(INDEX(고압진공_재고현황!$D:$D,MATCH($J32,고압진공_재고현황!$E:$E,0)),IFERROR(INDEX(조립자재_재고현황!$D:$D,MATCH($J32,조립자재_재고현황!$E:$E,0)),"")))</f>
        <v/>
      </c>
      <c r="J32" s="45">
        <f>IF($P32="","",INDEX(창고_재고현황!$D:$D,$P32))</f>
        <v/>
      </c>
      <c r="K32" s="44" t="n"/>
      <c r="L32" s="46" t="n"/>
      <c r="M32" s="46" t="n"/>
      <c r="N32" s="47" t="n"/>
      <c r="O32" s="44" t="n"/>
      <c r="P32" s="44">
        <f>IFERROR(MATCH(ROWS($P$2:P32),창고_재고현황!$H:$H,0),"")</f>
        <v/>
      </c>
      <c r="Q32" s="42" t="n"/>
      <c r="R32" s="42" t="n"/>
      <c r="S32" s="42" t="n"/>
      <c r="T32" s="42" t="n"/>
      <c r="U32" s="42" t="n"/>
    </row>
    <row r="33" ht="48" customHeight="1">
      <c r="A33" s="43">
        <f>IF($J33="","",IFERROR(INDEX(고압진공_재고현황!$B:$B,MATCH($J33,고압진공_재고현황!$E:$E,0)),IFERROR(INDEX(조립자재_재고현황!$B:$B,MATCH($J33,조립자재_재고현황!$E:$E,0)),"")))</f>
        <v/>
      </c>
      <c r="B33" s="43">
        <f>IF($J33="","",IFERROR(INDEX(고압진공_재고현황!$C:$C,MATCH($J33,고압진공_재고현황!$E:$E,0)),IFERROR(INDEX(조립자재_재고현황!$C:$C,MATCH($J33,조립자재_재고현황!$E:$E,0)),"")))</f>
        <v/>
      </c>
      <c r="C33" s="44" t="n"/>
      <c r="D33" s="43">
        <f>IF($P33="","",INDEX(창고_재고현황!$B:$B,$P33))</f>
        <v/>
      </c>
      <c r="E33" s="43">
        <f>IF($P33="","",INDEX(창고_재고현황!$C:$C,$P33))</f>
        <v/>
      </c>
      <c r="F33" s="44" t="n"/>
      <c r="G33" s="43">
        <f>IF($P33="","",IF(INDEX(창고_재고현황!$E:$E,$P33)=0,"",INDEX(창고_재고현황!$E:$E,$P33)))</f>
        <v/>
      </c>
      <c r="H33" s="44" t="n"/>
      <c r="I33" s="45">
        <f>IF($J33="","",IFERROR(INDEX(고압진공_재고현황!$D:$D,MATCH($J33,고압진공_재고현황!$E:$E,0)),IFERROR(INDEX(조립자재_재고현황!$D:$D,MATCH($J33,조립자재_재고현황!$E:$E,0)),"")))</f>
        <v/>
      </c>
      <c r="J33" s="45">
        <f>IF($P33="","",INDEX(창고_재고현황!$D:$D,$P33))</f>
        <v/>
      </c>
      <c r="K33" s="44" t="n"/>
      <c r="L33" s="46" t="n"/>
      <c r="M33" s="46" t="n"/>
      <c r="N33" s="47" t="n"/>
      <c r="O33" s="44" t="n"/>
      <c r="P33" s="44">
        <f>IFERROR(MATCH(ROWS($P$2:P33),창고_재고현황!$H:$H,0),"")</f>
        <v/>
      </c>
      <c r="Q33" s="42" t="n"/>
      <c r="R33" s="42" t="n"/>
      <c r="S33" s="42" t="n"/>
      <c r="T33" s="42" t="n"/>
      <c r="U33" s="42" t="n"/>
    </row>
    <row r="34" ht="48" customHeight="1">
      <c r="A34" s="43">
        <f>IF($J34="","",IFERROR(INDEX(고압진공_재고현황!$B:$B,MATCH($J34,고압진공_재고현황!$E:$E,0)),IFERROR(INDEX(조립자재_재고현황!$B:$B,MATCH($J34,조립자재_재고현황!$E:$E,0)),"")))</f>
        <v/>
      </c>
      <c r="B34" s="43">
        <f>IF($J34="","",IFERROR(INDEX(고압진공_재고현황!$C:$C,MATCH($J34,고압진공_재고현황!$E:$E,0)),IFERROR(INDEX(조립자재_재고현황!$C:$C,MATCH($J34,조립자재_재고현황!$E:$E,0)),"")))</f>
        <v/>
      </c>
      <c r="C34" s="44" t="n"/>
      <c r="D34" s="43">
        <f>IF($P34="","",INDEX(창고_재고현황!$B:$B,$P34))</f>
        <v/>
      </c>
      <c r="E34" s="43">
        <f>IF($P34="","",INDEX(창고_재고현황!$C:$C,$P34))</f>
        <v/>
      </c>
      <c r="F34" s="44" t="n"/>
      <c r="G34" s="43">
        <f>IF($P34="","",IF(INDEX(창고_재고현황!$E:$E,$P34)=0,"",INDEX(창고_재고현황!$E:$E,$P34)))</f>
        <v/>
      </c>
      <c r="H34" s="44" t="n"/>
      <c r="I34" s="45">
        <f>IF($J34="","",IFERROR(INDEX(고압진공_재고현황!$D:$D,MATCH($J34,고압진공_재고현황!$E:$E,0)),IFERROR(INDEX(조립자재_재고현황!$D:$D,MATCH($J34,조립자재_재고현황!$E:$E,0)),"")))</f>
        <v/>
      </c>
      <c r="J34" s="45">
        <f>IF($P34="","",INDEX(창고_재고현황!$D:$D,$P34))</f>
        <v/>
      </c>
      <c r="K34" s="44" t="n"/>
      <c r="L34" s="46" t="n"/>
      <c r="M34" s="46" t="n"/>
      <c r="N34" s="47" t="n"/>
      <c r="O34" s="44" t="n"/>
      <c r="P34" s="44">
        <f>IFERROR(MATCH(ROWS($P$2:P34),창고_재고현황!$H:$H,0),"")</f>
        <v/>
      </c>
      <c r="Q34" s="42" t="n"/>
      <c r="R34" s="42" t="n"/>
      <c r="S34" s="42" t="n"/>
      <c r="T34" s="42" t="n"/>
      <c r="U34" s="42" t="n"/>
    </row>
    <row r="35" ht="48" customHeight="1">
      <c r="A35" s="43">
        <f>IF($J35="","",IFERROR(INDEX(고압진공_재고현황!$B:$B,MATCH($J35,고압진공_재고현황!$E:$E,0)),IFERROR(INDEX(조립자재_재고현황!$B:$B,MATCH($J35,조립자재_재고현황!$E:$E,0)),"")))</f>
        <v/>
      </c>
      <c r="B35" s="43">
        <f>IF($J35="","",IFERROR(INDEX(고압진공_재고현황!$C:$C,MATCH($J35,고압진공_재고현황!$E:$E,0)),IFERROR(INDEX(조립자재_재고현황!$C:$C,MATCH($J35,조립자재_재고현황!$E:$E,0)),"")))</f>
        <v/>
      </c>
      <c r="C35" s="44" t="n"/>
      <c r="D35" s="43">
        <f>IF($P35="","",INDEX(창고_재고현황!$B:$B,$P35))</f>
        <v/>
      </c>
      <c r="E35" s="43">
        <f>IF($P35="","",INDEX(창고_재고현황!$C:$C,$P35))</f>
        <v/>
      </c>
      <c r="F35" s="44" t="n"/>
      <c r="G35" s="43">
        <f>IF($P35="","",IF(INDEX(창고_재고현황!$E:$E,$P35)=0,"",INDEX(창고_재고현황!$E:$E,$P35)))</f>
        <v/>
      </c>
      <c r="H35" s="44" t="n"/>
      <c r="I35" s="45">
        <f>IF($J35="","",IFERROR(INDEX(고압진공_재고현황!$D:$D,MATCH($J35,고압진공_재고현황!$E:$E,0)),IFERROR(INDEX(조립자재_재고현황!$D:$D,MATCH($J35,조립자재_재고현황!$E:$E,0)),"")))</f>
        <v/>
      </c>
      <c r="J35" s="45">
        <f>IF($P35="","",INDEX(창고_재고현황!$D:$D,$P35))</f>
        <v/>
      </c>
      <c r="K35" s="44" t="n"/>
      <c r="L35" s="46" t="n"/>
      <c r="M35" s="46" t="n"/>
      <c r="N35" s="47" t="n"/>
      <c r="O35" s="44" t="n"/>
      <c r="P35" s="44">
        <f>IFERROR(MATCH(ROWS($P$2:P35),창고_재고현황!$H:$H,0),"")</f>
        <v/>
      </c>
      <c r="Q35" s="42" t="n"/>
      <c r="R35" s="42" t="n"/>
      <c r="S35" s="42" t="n"/>
      <c r="T35" s="42" t="n"/>
      <c r="U35" s="42" t="n"/>
    </row>
    <row r="36" ht="48" customHeight="1">
      <c r="A36" s="43">
        <f>IF($J36="","",IFERROR(INDEX(고압진공_재고현황!$B:$B,MATCH($J36,고압진공_재고현황!$E:$E,0)),IFERROR(INDEX(조립자재_재고현황!$B:$B,MATCH($J36,조립자재_재고현황!$E:$E,0)),"")))</f>
        <v/>
      </c>
      <c r="B36" s="43">
        <f>IF($J36="","",IFERROR(INDEX(고압진공_재고현황!$C:$C,MATCH($J36,고압진공_재고현황!$E:$E,0)),IFERROR(INDEX(조립자재_재고현황!$C:$C,MATCH($J36,조립자재_재고현황!$E:$E,0)),"")))</f>
        <v/>
      </c>
      <c r="C36" s="44" t="n"/>
      <c r="D36" s="43">
        <f>IF($P36="","",INDEX(창고_재고현황!$B:$B,$P36))</f>
        <v/>
      </c>
      <c r="E36" s="43">
        <f>IF($P36="","",INDEX(창고_재고현황!$C:$C,$P36))</f>
        <v/>
      </c>
      <c r="F36" s="44" t="n"/>
      <c r="G36" s="43">
        <f>IF($P36="","",IF(INDEX(창고_재고현황!$E:$E,$P36)=0,"",INDEX(창고_재고현황!$E:$E,$P36)))</f>
        <v/>
      </c>
      <c r="H36" s="44" t="n"/>
      <c r="I36" s="45">
        <f>IF($J36="","",IFERROR(INDEX(고압진공_재고현황!$D:$D,MATCH($J36,고압진공_재고현황!$E:$E,0)),IFERROR(INDEX(조립자재_재고현황!$D:$D,MATCH($J36,조립자재_재고현황!$E:$E,0)),"")))</f>
        <v/>
      </c>
      <c r="J36" s="45">
        <f>IF($P36="","",INDEX(창고_재고현황!$D:$D,$P36))</f>
        <v/>
      </c>
      <c r="K36" s="44" t="n"/>
      <c r="L36" s="46" t="n"/>
      <c r="M36" s="46" t="n"/>
      <c r="N36" s="47" t="n"/>
      <c r="O36" s="44" t="n"/>
      <c r="P36" s="44">
        <f>IFERROR(MATCH(ROWS($P$2:P36),창고_재고현황!$H:$H,0),"")</f>
        <v/>
      </c>
      <c r="Q36" s="42" t="n"/>
      <c r="R36" s="42" t="n"/>
      <c r="S36" s="42" t="n"/>
      <c r="T36" s="42" t="n"/>
      <c r="U36" s="42" t="n"/>
    </row>
    <row r="37" ht="48" customHeight="1">
      <c r="A37" s="43">
        <f>IF($J37="","",IFERROR(INDEX(고압진공_재고현황!$B:$B,MATCH($J37,고압진공_재고현황!$E:$E,0)),IFERROR(INDEX(조립자재_재고현황!$B:$B,MATCH($J37,조립자재_재고현황!$E:$E,0)),"")))</f>
        <v/>
      </c>
      <c r="B37" s="43">
        <f>IF($J37="","",IFERROR(INDEX(고압진공_재고현황!$C:$C,MATCH($J37,고압진공_재고현황!$E:$E,0)),IFERROR(INDEX(조립자재_재고현황!$C:$C,MATCH($J37,조립자재_재고현황!$E:$E,0)),"")))</f>
        <v/>
      </c>
      <c r="C37" s="44" t="n"/>
      <c r="D37" s="43">
        <f>IF($P37="","",INDEX(창고_재고현황!$B:$B,$P37))</f>
        <v/>
      </c>
      <c r="E37" s="43">
        <f>IF($P37="","",INDEX(창고_재고현황!$C:$C,$P37))</f>
        <v/>
      </c>
      <c r="F37" s="44" t="n"/>
      <c r="G37" s="43">
        <f>IF($P37="","",IF(INDEX(창고_재고현황!$E:$E,$P37)=0,"",INDEX(창고_재고현황!$E:$E,$P37)))</f>
        <v/>
      </c>
      <c r="H37" s="44" t="n"/>
      <c r="I37" s="45">
        <f>IF($J37="","",IFERROR(INDEX(고압진공_재고현황!$D:$D,MATCH($J37,고압진공_재고현황!$E:$E,0)),IFERROR(INDEX(조립자재_재고현황!$D:$D,MATCH($J37,조립자재_재고현황!$E:$E,0)),"")))</f>
        <v/>
      </c>
      <c r="J37" s="45">
        <f>IF($P37="","",INDEX(창고_재고현황!$D:$D,$P37))</f>
        <v/>
      </c>
      <c r="K37" s="44" t="n"/>
      <c r="L37" s="46" t="n"/>
      <c r="M37" s="46" t="n"/>
      <c r="N37" s="47" t="n"/>
      <c r="O37" s="44" t="n"/>
      <c r="P37" s="44">
        <f>IFERROR(MATCH(ROWS($P$2:P37),창고_재고현황!$H:$H,0),"")</f>
        <v/>
      </c>
      <c r="Q37" s="42" t="n"/>
      <c r="R37" s="42" t="n"/>
      <c r="S37" s="42" t="n"/>
      <c r="T37" s="42" t="n"/>
      <c r="U37" s="42" t="n"/>
    </row>
    <row r="38" ht="48" customHeight="1">
      <c r="A38" s="43">
        <f>IF($J38="","",IFERROR(INDEX(고압진공_재고현황!$B:$B,MATCH($J38,고압진공_재고현황!$E:$E,0)),IFERROR(INDEX(조립자재_재고현황!$B:$B,MATCH($J38,조립자재_재고현황!$E:$E,0)),"")))</f>
        <v/>
      </c>
      <c r="B38" s="43">
        <f>IF($J38="","",IFERROR(INDEX(고압진공_재고현황!$C:$C,MATCH($J38,고압진공_재고현황!$E:$E,0)),IFERROR(INDEX(조립자재_재고현황!$C:$C,MATCH($J38,조립자재_재고현황!$E:$E,0)),"")))</f>
        <v/>
      </c>
      <c r="C38" s="44" t="n"/>
      <c r="D38" s="43">
        <f>IF($P38="","",INDEX(창고_재고현황!$B:$B,$P38))</f>
        <v/>
      </c>
      <c r="E38" s="43">
        <f>IF($P38="","",INDEX(창고_재고현황!$C:$C,$P38))</f>
        <v/>
      </c>
      <c r="F38" s="44" t="n"/>
      <c r="G38" s="43">
        <f>IF($P38="","",IF(INDEX(창고_재고현황!$E:$E,$P38)=0,"",INDEX(창고_재고현황!$E:$E,$P38)))</f>
        <v/>
      </c>
      <c r="H38" s="44" t="n"/>
      <c r="I38" s="45">
        <f>IF($J38="","",IFERROR(INDEX(고압진공_재고현황!$D:$D,MATCH($J38,고압진공_재고현황!$E:$E,0)),IFERROR(INDEX(조립자재_재고현황!$D:$D,MATCH($J38,조립자재_재고현황!$E:$E,0)),"")))</f>
        <v/>
      </c>
      <c r="J38" s="45">
        <f>IF($P38="","",INDEX(창고_재고현황!$D:$D,$P38))</f>
        <v/>
      </c>
      <c r="K38" s="44" t="n"/>
      <c r="L38" s="46" t="n"/>
      <c r="M38" s="46" t="n"/>
      <c r="N38" s="47" t="n"/>
      <c r="O38" s="44" t="n"/>
      <c r="P38" s="44">
        <f>IFERROR(MATCH(ROWS($P$2:P38),창고_재고현황!$H:$H,0),"")</f>
        <v/>
      </c>
      <c r="Q38" s="42" t="n"/>
      <c r="R38" s="42" t="n"/>
      <c r="S38" s="42" t="n"/>
      <c r="T38" s="42" t="n"/>
      <c r="U38" s="42" t="n"/>
    </row>
    <row r="39" ht="48" customHeight="1">
      <c r="A39" s="43">
        <f>IF($J39="","",IFERROR(INDEX(고압진공_재고현황!$B:$B,MATCH($J39,고압진공_재고현황!$E:$E,0)),IFERROR(INDEX(조립자재_재고현황!$B:$B,MATCH($J39,조립자재_재고현황!$E:$E,0)),"")))</f>
        <v/>
      </c>
      <c r="B39" s="43">
        <f>IF($J39="","",IFERROR(INDEX(고압진공_재고현황!$C:$C,MATCH($J39,고압진공_재고현황!$E:$E,0)),IFERROR(INDEX(조립자재_재고현황!$C:$C,MATCH($J39,조립자재_재고현황!$E:$E,0)),"")))</f>
        <v/>
      </c>
      <c r="C39" s="44" t="n"/>
      <c r="D39" s="43">
        <f>IF($P39="","",INDEX(창고_재고현황!$B:$B,$P39))</f>
        <v/>
      </c>
      <c r="E39" s="43">
        <f>IF($P39="","",INDEX(창고_재고현황!$C:$C,$P39))</f>
        <v/>
      </c>
      <c r="F39" s="44" t="n"/>
      <c r="G39" s="43">
        <f>IF($P39="","",IF(INDEX(창고_재고현황!$E:$E,$P39)=0,"",INDEX(창고_재고현황!$E:$E,$P39)))</f>
        <v/>
      </c>
      <c r="H39" s="44" t="n"/>
      <c r="I39" s="45">
        <f>IF($J39="","",IFERROR(INDEX(고압진공_재고현황!$D:$D,MATCH($J39,고압진공_재고현황!$E:$E,0)),IFERROR(INDEX(조립자재_재고현황!$D:$D,MATCH($J39,조립자재_재고현황!$E:$E,0)),"")))</f>
        <v/>
      </c>
      <c r="J39" s="45">
        <f>IF($P39="","",INDEX(창고_재고현황!$D:$D,$P39))</f>
        <v/>
      </c>
      <c r="K39" s="44" t="n"/>
      <c r="L39" s="46" t="n"/>
      <c r="M39" s="46" t="n"/>
      <c r="N39" s="47" t="n"/>
      <c r="O39" s="44" t="n"/>
      <c r="P39" s="44">
        <f>IFERROR(MATCH(ROWS($P$2:P39),창고_재고현황!$H:$H,0),"")</f>
        <v/>
      </c>
      <c r="Q39" s="42" t="n"/>
      <c r="R39" s="42" t="n"/>
      <c r="S39" s="42" t="n"/>
      <c r="T39" s="42" t="n"/>
      <c r="U39" s="42" t="n"/>
    </row>
    <row r="40" ht="48" customHeight="1">
      <c r="A40" s="43">
        <f>IF($J40="","",IFERROR(INDEX(고압진공_재고현황!$B:$B,MATCH($J40,고압진공_재고현황!$E:$E,0)),IFERROR(INDEX(조립자재_재고현황!$B:$B,MATCH($J40,조립자재_재고현황!$E:$E,0)),"")))</f>
        <v/>
      </c>
      <c r="B40" s="43">
        <f>IF($J40="","",IFERROR(INDEX(고압진공_재고현황!$C:$C,MATCH($J40,고압진공_재고현황!$E:$E,0)),IFERROR(INDEX(조립자재_재고현황!$C:$C,MATCH($J40,조립자재_재고현황!$E:$E,0)),"")))</f>
        <v/>
      </c>
      <c r="C40" s="44" t="n"/>
      <c r="D40" s="43">
        <f>IF($P40="","",INDEX(창고_재고현황!$B:$B,$P40))</f>
        <v/>
      </c>
      <c r="E40" s="43">
        <f>IF($P40="","",INDEX(창고_재고현황!$C:$C,$P40))</f>
        <v/>
      </c>
      <c r="F40" s="44" t="n"/>
      <c r="G40" s="43">
        <f>IF($P40="","",IF(INDEX(창고_재고현황!$E:$E,$P40)=0,"",INDEX(창고_재고현황!$E:$E,$P40)))</f>
        <v/>
      </c>
      <c r="H40" s="44" t="n"/>
      <c r="I40" s="45">
        <f>IF($J40="","",IFERROR(INDEX(고압진공_재고현황!$D:$D,MATCH($J40,고압진공_재고현황!$E:$E,0)),IFERROR(INDEX(조립자재_재고현황!$D:$D,MATCH($J40,조립자재_재고현황!$E:$E,0)),"")))</f>
        <v/>
      </c>
      <c r="J40" s="45">
        <f>IF($P40="","",INDEX(창고_재고현황!$D:$D,$P40))</f>
        <v/>
      </c>
      <c r="K40" s="44" t="n"/>
      <c r="L40" s="46" t="n"/>
      <c r="M40" s="46" t="n"/>
      <c r="N40" s="47" t="n"/>
      <c r="O40" s="44" t="n"/>
      <c r="P40" s="44">
        <f>IFERROR(MATCH(ROWS($P$2:P40),창고_재고현황!$H:$H,0),"")</f>
        <v/>
      </c>
      <c r="Q40" s="42" t="n"/>
      <c r="R40" s="42" t="n"/>
      <c r="S40" s="42" t="n"/>
      <c r="T40" s="42" t="n"/>
      <c r="U40" s="42" t="n"/>
    </row>
    <row r="41" ht="48" customHeight="1">
      <c r="A41" s="43">
        <f>IF($J41="","",IFERROR(INDEX(고압진공_재고현황!$B:$B,MATCH($J41,고압진공_재고현황!$E:$E,0)),IFERROR(INDEX(조립자재_재고현황!$B:$B,MATCH($J41,조립자재_재고현황!$E:$E,0)),"")))</f>
        <v/>
      </c>
      <c r="B41" s="43">
        <f>IF($J41="","",IFERROR(INDEX(고압진공_재고현황!$C:$C,MATCH($J41,고압진공_재고현황!$E:$E,0)),IFERROR(INDEX(조립자재_재고현황!$C:$C,MATCH($J41,조립자재_재고현황!$E:$E,0)),"")))</f>
        <v/>
      </c>
      <c r="C41" s="44" t="n"/>
      <c r="D41" s="43">
        <f>IF($P41="","",INDEX(창고_재고현황!$B:$B,$P41))</f>
        <v/>
      </c>
      <c r="E41" s="43">
        <f>IF($P41="","",INDEX(창고_재고현황!$C:$C,$P41))</f>
        <v/>
      </c>
      <c r="F41" s="44" t="n"/>
      <c r="G41" s="43">
        <f>IF($P41="","",IF(INDEX(창고_재고현황!$E:$E,$P41)=0,"",INDEX(창고_재고현황!$E:$E,$P41)))</f>
        <v/>
      </c>
      <c r="H41" s="44" t="n"/>
      <c r="I41" s="45">
        <f>IF($J41="","",IFERROR(INDEX(고압진공_재고현황!$D:$D,MATCH($J41,고압진공_재고현황!$E:$E,0)),IFERROR(INDEX(조립자재_재고현황!$D:$D,MATCH($J41,조립자재_재고현황!$E:$E,0)),"")))</f>
        <v/>
      </c>
      <c r="J41" s="45">
        <f>IF($P41="","",INDEX(창고_재고현황!$D:$D,$P41))</f>
        <v/>
      </c>
      <c r="K41" s="44" t="n"/>
      <c r="L41" s="46" t="n"/>
      <c r="M41" s="46" t="n"/>
      <c r="N41" s="47" t="n"/>
      <c r="O41" s="44" t="n"/>
      <c r="P41" s="44">
        <f>IFERROR(MATCH(ROWS($P$2:P41),창고_재고현황!$H:$H,0),"")</f>
        <v/>
      </c>
      <c r="Q41" s="42" t="n"/>
      <c r="R41" s="42" t="n"/>
      <c r="S41" s="42" t="n"/>
      <c r="T41" s="42" t="n"/>
      <c r="U41" s="42" t="n"/>
    </row>
    <row r="42" ht="48" customHeight="1">
      <c r="A42" s="43">
        <f>IF($J42="","",IFERROR(INDEX(고압진공_재고현황!$B:$B,MATCH($J42,고압진공_재고현황!$E:$E,0)),IFERROR(INDEX(조립자재_재고현황!$B:$B,MATCH($J42,조립자재_재고현황!$E:$E,0)),"")))</f>
        <v/>
      </c>
      <c r="B42" s="43">
        <f>IF($J42="","",IFERROR(INDEX(고압진공_재고현황!$C:$C,MATCH($J42,고압진공_재고현황!$E:$E,0)),IFERROR(INDEX(조립자재_재고현황!$C:$C,MATCH($J42,조립자재_재고현황!$E:$E,0)),"")))</f>
        <v/>
      </c>
      <c r="C42" s="44" t="n"/>
      <c r="D42" s="43">
        <f>IF($P42="","",INDEX(창고_재고현황!$B:$B,$P42))</f>
        <v/>
      </c>
      <c r="E42" s="43">
        <f>IF($P42="","",INDEX(창고_재고현황!$C:$C,$P42))</f>
        <v/>
      </c>
      <c r="F42" s="44" t="n"/>
      <c r="G42" s="43">
        <f>IF($P42="","",IF(INDEX(창고_재고현황!$E:$E,$P42)=0,"",INDEX(창고_재고현황!$E:$E,$P42)))</f>
        <v/>
      </c>
      <c r="H42" s="44" t="n"/>
      <c r="I42" s="45">
        <f>IF($J42="","",IFERROR(INDEX(고압진공_재고현황!$D:$D,MATCH($J42,고압진공_재고현황!$E:$E,0)),IFERROR(INDEX(조립자재_재고현황!$D:$D,MATCH($J42,조립자재_재고현황!$E:$E,0)),"")))</f>
        <v/>
      </c>
      <c r="J42" s="45">
        <f>IF($P42="","",INDEX(창고_재고현황!$D:$D,$P42))</f>
        <v/>
      </c>
      <c r="K42" s="44" t="n"/>
      <c r="L42" s="46" t="n"/>
      <c r="M42" s="46" t="n"/>
      <c r="N42" s="47" t="n"/>
      <c r="O42" s="44" t="n"/>
      <c r="P42" s="44">
        <f>IFERROR(MATCH(ROWS($P$2:P42),창고_재고현황!$H:$H,0),"")</f>
        <v/>
      </c>
      <c r="Q42" s="42" t="n"/>
      <c r="R42" s="42" t="n"/>
      <c r="S42" s="42" t="n"/>
      <c r="T42" s="42" t="n"/>
      <c r="U42" s="42" t="n"/>
    </row>
    <row r="43" ht="48" customHeight="1">
      <c r="A43" s="43">
        <f>IF($J43="","",IFERROR(INDEX(고압진공_재고현황!$B:$B,MATCH($J43,고압진공_재고현황!$E:$E,0)),IFERROR(INDEX(조립자재_재고현황!$B:$B,MATCH($J43,조립자재_재고현황!$E:$E,0)),"")))</f>
        <v/>
      </c>
      <c r="B43" s="43">
        <f>IF($J43="","",IFERROR(INDEX(고압진공_재고현황!$C:$C,MATCH($J43,고압진공_재고현황!$E:$E,0)),IFERROR(INDEX(조립자재_재고현황!$C:$C,MATCH($J43,조립자재_재고현황!$E:$E,0)),"")))</f>
        <v/>
      </c>
      <c r="C43" s="44" t="n"/>
      <c r="D43" s="43">
        <f>IF($P43="","",INDEX(창고_재고현황!$B:$B,$P43))</f>
        <v/>
      </c>
      <c r="E43" s="43">
        <f>IF($P43="","",INDEX(창고_재고현황!$C:$C,$P43))</f>
        <v/>
      </c>
      <c r="F43" s="44" t="n"/>
      <c r="G43" s="43">
        <f>IF($P43="","",IF(INDEX(창고_재고현황!$E:$E,$P43)=0,"",INDEX(창고_재고현황!$E:$E,$P43)))</f>
        <v/>
      </c>
      <c r="H43" s="44" t="n"/>
      <c r="I43" s="45">
        <f>IF($J43="","",IFERROR(INDEX(고압진공_재고현황!$D:$D,MATCH($J43,고압진공_재고현황!$E:$E,0)),IFERROR(INDEX(조립자재_재고현황!$D:$D,MATCH($J43,조립자재_재고현황!$E:$E,0)),"")))</f>
        <v/>
      </c>
      <c r="J43" s="45">
        <f>IF($P43="","",INDEX(창고_재고현황!$D:$D,$P43))</f>
        <v/>
      </c>
      <c r="K43" s="44" t="n"/>
      <c r="L43" s="46" t="n"/>
      <c r="M43" s="46" t="n"/>
      <c r="N43" s="47" t="n"/>
      <c r="O43" s="44" t="n"/>
      <c r="P43" s="44">
        <f>IFERROR(MATCH(ROWS($P$2:P43),창고_재고현황!$H:$H,0),"")</f>
        <v/>
      </c>
      <c r="Q43" s="42" t="n"/>
      <c r="R43" s="42" t="n"/>
      <c r="S43" s="42" t="n"/>
      <c r="T43" s="42" t="n"/>
      <c r="U43" s="42" t="n"/>
    </row>
    <row r="44" ht="48" customHeight="1">
      <c r="A44" s="43">
        <f>IF($J44="","",IFERROR(INDEX(고압진공_재고현황!$B:$B,MATCH($J44,고압진공_재고현황!$E:$E,0)),IFERROR(INDEX(조립자재_재고현황!$B:$B,MATCH($J44,조립자재_재고현황!$E:$E,0)),"")))</f>
        <v/>
      </c>
      <c r="B44" s="43">
        <f>IF($J44="","",IFERROR(INDEX(고압진공_재고현황!$C:$C,MATCH($J44,고압진공_재고현황!$E:$E,0)),IFERROR(INDEX(조립자재_재고현황!$C:$C,MATCH($J44,조립자재_재고현황!$E:$E,0)),"")))</f>
        <v/>
      </c>
      <c r="C44" s="44" t="n"/>
      <c r="D44" s="43">
        <f>IF($P44="","",INDEX(창고_재고현황!$B:$B,$P44))</f>
        <v/>
      </c>
      <c r="E44" s="43">
        <f>IF($P44="","",INDEX(창고_재고현황!$C:$C,$P44))</f>
        <v/>
      </c>
      <c r="F44" s="44" t="n"/>
      <c r="G44" s="43">
        <f>IF($P44="","",IF(INDEX(창고_재고현황!$E:$E,$P44)=0,"",INDEX(창고_재고현황!$E:$E,$P44)))</f>
        <v/>
      </c>
      <c r="H44" s="44" t="n"/>
      <c r="I44" s="45">
        <f>IF($J44="","",IFERROR(INDEX(고압진공_재고현황!$D:$D,MATCH($J44,고압진공_재고현황!$E:$E,0)),IFERROR(INDEX(조립자재_재고현황!$D:$D,MATCH($J44,조립자재_재고현황!$E:$E,0)),"")))</f>
        <v/>
      </c>
      <c r="J44" s="45">
        <f>IF($P44="","",INDEX(창고_재고현황!$D:$D,$P44))</f>
        <v/>
      </c>
      <c r="K44" s="44" t="n"/>
      <c r="L44" s="46" t="n"/>
      <c r="M44" s="46" t="n"/>
      <c r="N44" s="47" t="n"/>
      <c r="O44" s="44" t="n"/>
      <c r="P44" s="44">
        <f>IFERROR(MATCH(ROWS($P$2:P44),창고_재고현황!$H:$H,0),"")</f>
        <v/>
      </c>
      <c r="Q44" s="42" t="n"/>
      <c r="R44" s="42" t="n"/>
      <c r="S44" s="42" t="n"/>
      <c r="T44" s="42" t="n"/>
      <c r="U44" s="42" t="n"/>
    </row>
    <row r="45" ht="48" customHeight="1">
      <c r="A45" s="43">
        <f>IF($J45="","",IFERROR(INDEX(고압진공_재고현황!$B:$B,MATCH($J45,고압진공_재고현황!$E:$E,0)),IFERROR(INDEX(조립자재_재고현황!$B:$B,MATCH($J45,조립자재_재고현황!$E:$E,0)),"")))</f>
        <v/>
      </c>
      <c r="B45" s="43">
        <f>IF($J45="","",IFERROR(INDEX(고압진공_재고현황!$C:$C,MATCH($J45,고압진공_재고현황!$E:$E,0)),IFERROR(INDEX(조립자재_재고현황!$C:$C,MATCH($J45,조립자재_재고현황!$E:$E,0)),"")))</f>
        <v/>
      </c>
      <c r="C45" s="44" t="n"/>
      <c r="D45" s="43">
        <f>IF($P45="","",INDEX(창고_재고현황!$B:$B,$P45))</f>
        <v/>
      </c>
      <c r="E45" s="43">
        <f>IF($P45="","",INDEX(창고_재고현황!$C:$C,$P45))</f>
        <v/>
      </c>
      <c r="F45" s="44" t="n"/>
      <c r="G45" s="43">
        <f>IF($P45="","",IF(INDEX(창고_재고현황!$E:$E,$P45)=0,"",INDEX(창고_재고현황!$E:$E,$P45)))</f>
        <v/>
      </c>
      <c r="H45" s="44" t="n"/>
      <c r="I45" s="45">
        <f>IF($J45="","",IFERROR(INDEX(고압진공_재고현황!$D:$D,MATCH($J45,고압진공_재고현황!$E:$E,0)),IFERROR(INDEX(조립자재_재고현황!$D:$D,MATCH($J45,조립자재_재고현황!$E:$E,0)),"")))</f>
        <v/>
      </c>
      <c r="J45" s="45">
        <f>IF($P45="","",INDEX(창고_재고현황!$D:$D,$P45))</f>
        <v/>
      </c>
      <c r="K45" s="44" t="n"/>
      <c r="L45" s="46" t="n"/>
      <c r="M45" s="46" t="n"/>
      <c r="N45" s="47" t="n"/>
      <c r="O45" s="44" t="n"/>
      <c r="P45" s="44">
        <f>IFERROR(MATCH(ROWS($P$2:P45),창고_재고현황!$H:$H,0),"")</f>
        <v/>
      </c>
      <c r="Q45" s="42" t="n"/>
      <c r="R45" s="42" t="n"/>
      <c r="S45" s="42" t="n"/>
      <c r="T45" s="42" t="n"/>
      <c r="U45" s="42" t="n"/>
    </row>
    <row r="46" ht="48" customHeight="1">
      <c r="A46" s="43">
        <f>IF($J46="","",IFERROR(INDEX(고압진공_재고현황!$B:$B,MATCH($J46,고압진공_재고현황!$E:$E,0)),IFERROR(INDEX(조립자재_재고현황!$B:$B,MATCH($J46,조립자재_재고현황!$E:$E,0)),"")))</f>
        <v/>
      </c>
      <c r="B46" s="43">
        <f>IF($J46="","",IFERROR(INDEX(고압진공_재고현황!$C:$C,MATCH($J46,고압진공_재고현황!$E:$E,0)),IFERROR(INDEX(조립자재_재고현황!$C:$C,MATCH($J46,조립자재_재고현황!$E:$E,0)),"")))</f>
        <v/>
      </c>
      <c r="C46" s="44" t="n"/>
      <c r="D46" s="43">
        <f>IF($P46="","",INDEX(창고_재고현황!$B:$B,$P46))</f>
        <v/>
      </c>
      <c r="E46" s="43">
        <f>IF($P46="","",INDEX(창고_재고현황!$C:$C,$P46))</f>
        <v/>
      </c>
      <c r="F46" s="44" t="n"/>
      <c r="G46" s="43">
        <f>IF($P46="","",IF(INDEX(창고_재고현황!$E:$E,$P46)=0,"",INDEX(창고_재고현황!$E:$E,$P46)))</f>
        <v/>
      </c>
      <c r="H46" s="44" t="n"/>
      <c r="I46" s="45">
        <f>IF($J46="","",IFERROR(INDEX(고압진공_재고현황!$D:$D,MATCH($J46,고압진공_재고현황!$E:$E,0)),IFERROR(INDEX(조립자재_재고현황!$D:$D,MATCH($J46,조립자재_재고현황!$E:$E,0)),"")))</f>
        <v/>
      </c>
      <c r="J46" s="45">
        <f>IF($P46="","",INDEX(창고_재고현황!$D:$D,$P46))</f>
        <v/>
      </c>
      <c r="K46" s="44" t="n"/>
      <c r="L46" s="46" t="n"/>
      <c r="M46" s="46" t="n"/>
      <c r="N46" s="47" t="n"/>
      <c r="O46" s="44" t="n"/>
      <c r="P46" s="44">
        <f>IFERROR(MATCH(ROWS($P$2:P46),창고_재고현황!$H:$H,0),"")</f>
        <v/>
      </c>
      <c r="Q46" s="42" t="n"/>
      <c r="R46" s="42" t="n"/>
      <c r="S46" s="42" t="n"/>
      <c r="T46" s="42" t="n"/>
      <c r="U46" s="42" t="n"/>
    </row>
    <row r="47" ht="48" customHeight="1">
      <c r="A47" s="43">
        <f>IF($J47="","",IFERROR(INDEX(고압진공_재고현황!$B:$B,MATCH($J47,고압진공_재고현황!$E:$E,0)),IFERROR(INDEX(조립자재_재고현황!$B:$B,MATCH($J47,조립자재_재고현황!$E:$E,0)),"")))</f>
        <v/>
      </c>
      <c r="B47" s="43">
        <f>IF($J47="","",IFERROR(INDEX(고압진공_재고현황!$C:$C,MATCH($J47,고압진공_재고현황!$E:$E,0)),IFERROR(INDEX(조립자재_재고현황!$C:$C,MATCH($J47,조립자재_재고현황!$E:$E,0)),"")))</f>
        <v/>
      </c>
      <c r="C47" s="44" t="n"/>
      <c r="D47" s="43">
        <f>IF($P47="","",INDEX(창고_재고현황!$B:$B,$P47))</f>
        <v/>
      </c>
      <c r="E47" s="43">
        <f>IF($P47="","",INDEX(창고_재고현황!$C:$C,$P47))</f>
        <v/>
      </c>
      <c r="F47" s="44" t="n"/>
      <c r="G47" s="43">
        <f>IF($P47="","",IF(INDEX(창고_재고현황!$E:$E,$P47)=0,"",INDEX(창고_재고현황!$E:$E,$P47)))</f>
        <v/>
      </c>
      <c r="H47" s="44" t="n"/>
      <c r="I47" s="45">
        <f>IF($J47="","",IFERROR(INDEX(고압진공_재고현황!$D:$D,MATCH($J47,고압진공_재고현황!$E:$E,0)),IFERROR(INDEX(조립자재_재고현황!$D:$D,MATCH($J47,조립자재_재고현황!$E:$E,0)),"")))</f>
        <v/>
      </c>
      <c r="J47" s="45">
        <f>IF($P47="","",INDEX(창고_재고현황!$D:$D,$P47))</f>
        <v/>
      </c>
      <c r="K47" s="44" t="n"/>
      <c r="L47" s="46" t="n"/>
      <c r="M47" s="46" t="n"/>
      <c r="N47" s="47" t="n"/>
      <c r="O47" s="44" t="n"/>
      <c r="P47" s="44">
        <f>IFERROR(MATCH(ROWS($P$2:P47),창고_재고현황!$H:$H,0),"")</f>
        <v/>
      </c>
      <c r="Q47" s="42" t="n"/>
      <c r="R47" s="42" t="n"/>
      <c r="S47" s="42" t="n"/>
      <c r="T47" s="42" t="n"/>
      <c r="U47" s="42" t="n"/>
    </row>
    <row r="48" ht="48" customHeight="1">
      <c r="A48" s="43">
        <f>IF($J48="","",IFERROR(INDEX(고압진공_재고현황!$B:$B,MATCH($J48,고압진공_재고현황!$E:$E,0)),IFERROR(INDEX(조립자재_재고현황!$B:$B,MATCH($J48,조립자재_재고현황!$E:$E,0)),"")))</f>
        <v/>
      </c>
      <c r="B48" s="43">
        <f>IF($J48="","",IFERROR(INDEX(고압진공_재고현황!$C:$C,MATCH($J48,고압진공_재고현황!$E:$E,0)),IFERROR(INDEX(조립자재_재고현황!$C:$C,MATCH($J48,조립자재_재고현황!$E:$E,0)),"")))</f>
        <v/>
      </c>
      <c r="C48" s="44" t="n"/>
      <c r="D48" s="43">
        <f>IF($P48="","",INDEX(창고_재고현황!$B:$B,$P48))</f>
        <v/>
      </c>
      <c r="E48" s="43">
        <f>IF($P48="","",INDEX(창고_재고현황!$C:$C,$P48))</f>
        <v/>
      </c>
      <c r="F48" s="44" t="n"/>
      <c r="G48" s="43">
        <f>IF($P48="","",IF(INDEX(창고_재고현황!$E:$E,$P48)=0,"",INDEX(창고_재고현황!$E:$E,$P48)))</f>
        <v/>
      </c>
      <c r="H48" s="44" t="n"/>
      <c r="I48" s="45">
        <f>IF($J48="","",IFERROR(INDEX(고압진공_재고현황!$D:$D,MATCH($J48,고압진공_재고현황!$E:$E,0)),IFERROR(INDEX(조립자재_재고현황!$D:$D,MATCH($J48,조립자재_재고현황!$E:$E,0)),"")))</f>
        <v/>
      </c>
      <c r="J48" s="45">
        <f>IF($P48="","",INDEX(창고_재고현황!$D:$D,$P48))</f>
        <v/>
      </c>
      <c r="K48" s="44" t="n"/>
      <c r="L48" s="46" t="n"/>
      <c r="M48" s="46" t="n"/>
      <c r="N48" s="47" t="n"/>
      <c r="O48" s="44" t="n"/>
      <c r="P48" s="44">
        <f>IFERROR(MATCH(ROWS($P$2:P48),창고_재고현황!$H:$H,0),"")</f>
        <v/>
      </c>
      <c r="Q48" s="42" t="n"/>
      <c r="R48" s="42" t="n"/>
      <c r="S48" s="42" t="n"/>
      <c r="T48" s="42" t="n"/>
      <c r="U48" s="42" t="n"/>
    </row>
    <row r="49" ht="48" customHeight="1">
      <c r="A49" s="43">
        <f>IF($J49="","",IFERROR(INDEX(고압진공_재고현황!$B:$B,MATCH($J49,고압진공_재고현황!$E:$E,0)),IFERROR(INDEX(조립자재_재고현황!$B:$B,MATCH($J49,조립자재_재고현황!$E:$E,0)),"")))</f>
        <v/>
      </c>
      <c r="B49" s="43">
        <f>IF($J49="","",IFERROR(INDEX(고압진공_재고현황!$C:$C,MATCH($J49,고압진공_재고현황!$E:$E,0)),IFERROR(INDEX(조립자재_재고현황!$C:$C,MATCH($J49,조립자재_재고현황!$E:$E,0)),"")))</f>
        <v/>
      </c>
      <c r="C49" s="44" t="n"/>
      <c r="D49" s="43">
        <f>IF($P49="","",INDEX(창고_재고현황!$B:$B,$P49))</f>
        <v/>
      </c>
      <c r="E49" s="43">
        <f>IF($P49="","",INDEX(창고_재고현황!$C:$C,$P49))</f>
        <v/>
      </c>
      <c r="F49" s="44" t="n"/>
      <c r="G49" s="43">
        <f>IF($P49="","",IF(INDEX(창고_재고현황!$E:$E,$P49)=0,"",INDEX(창고_재고현황!$E:$E,$P49)))</f>
        <v/>
      </c>
      <c r="H49" s="44" t="n"/>
      <c r="I49" s="45">
        <f>IF($J49="","",IFERROR(INDEX(고압진공_재고현황!$D:$D,MATCH($J49,고압진공_재고현황!$E:$E,0)),IFERROR(INDEX(조립자재_재고현황!$D:$D,MATCH($J49,조립자재_재고현황!$E:$E,0)),"")))</f>
        <v/>
      </c>
      <c r="J49" s="45">
        <f>IF($P49="","",INDEX(창고_재고현황!$D:$D,$P49))</f>
        <v/>
      </c>
      <c r="K49" s="44" t="n"/>
      <c r="L49" s="46" t="n"/>
      <c r="M49" s="46" t="n"/>
      <c r="N49" s="47" t="n"/>
      <c r="O49" s="44" t="n"/>
      <c r="P49" s="44">
        <f>IFERROR(MATCH(ROWS($P$2:P49),창고_재고현황!$H:$H,0),"")</f>
        <v/>
      </c>
      <c r="Q49" s="42" t="n"/>
      <c r="R49" s="42" t="n"/>
      <c r="S49" s="42" t="n"/>
      <c r="T49" s="42" t="n"/>
      <c r="U49" s="42" t="n"/>
    </row>
    <row r="50" ht="48" customHeight="1">
      <c r="A50" s="43">
        <f>IF($J50="","",IFERROR(INDEX(고압진공_재고현황!$B:$B,MATCH($J50,고압진공_재고현황!$E:$E,0)),IFERROR(INDEX(조립자재_재고현황!$B:$B,MATCH($J50,조립자재_재고현황!$E:$E,0)),"")))</f>
        <v/>
      </c>
      <c r="B50" s="43">
        <f>IF($J50="","",IFERROR(INDEX(고압진공_재고현황!$C:$C,MATCH($J50,고압진공_재고현황!$E:$E,0)),IFERROR(INDEX(조립자재_재고현황!$C:$C,MATCH($J50,조립자재_재고현황!$E:$E,0)),"")))</f>
        <v/>
      </c>
      <c r="C50" s="44" t="n"/>
      <c r="D50" s="43">
        <f>IF($P50="","",INDEX(창고_재고현황!$B:$B,$P50))</f>
        <v/>
      </c>
      <c r="E50" s="43">
        <f>IF($P50="","",INDEX(창고_재고현황!$C:$C,$P50))</f>
        <v/>
      </c>
      <c r="F50" s="44" t="n"/>
      <c r="G50" s="43">
        <f>IF($P50="","",IF(INDEX(창고_재고현황!$E:$E,$P50)=0,"",INDEX(창고_재고현황!$E:$E,$P50)))</f>
        <v/>
      </c>
      <c r="H50" s="44" t="n"/>
      <c r="I50" s="45">
        <f>IF($J50="","",IFERROR(INDEX(고압진공_재고현황!$D:$D,MATCH($J50,고압진공_재고현황!$E:$E,0)),IFERROR(INDEX(조립자재_재고현황!$D:$D,MATCH($J50,조립자재_재고현황!$E:$E,0)),"")))</f>
        <v/>
      </c>
      <c r="J50" s="45">
        <f>IF($P50="","",INDEX(창고_재고현황!$D:$D,$P50))</f>
        <v/>
      </c>
      <c r="K50" s="44" t="n"/>
      <c r="L50" s="46" t="n"/>
      <c r="M50" s="46" t="n"/>
      <c r="N50" s="47" t="n"/>
      <c r="O50" s="44" t="n"/>
      <c r="P50" s="44">
        <f>IFERROR(MATCH(ROWS($P$2:P50),창고_재고현황!$H:$H,0),"")</f>
        <v/>
      </c>
      <c r="Q50" s="42" t="n"/>
      <c r="R50" s="42" t="n"/>
      <c r="S50" s="42" t="n"/>
      <c r="T50" s="42" t="n"/>
      <c r="U50" s="42" t="n"/>
    </row>
    <row r="51" ht="48" customHeight="1">
      <c r="A51" s="43">
        <f>IF($J51="","",IFERROR(INDEX(고압진공_재고현황!$B:$B,MATCH($J51,고압진공_재고현황!$E:$E,0)),IFERROR(INDEX(조립자재_재고현황!$B:$B,MATCH($J51,조립자재_재고현황!$E:$E,0)),"")))</f>
        <v/>
      </c>
      <c r="B51" s="43">
        <f>IF($J51="","",IFERROR(INDEX(고압진공_재고현황!$C:$C,MATCH($J51,고압진공_재고현황!$E:$E,0)),IFERROR(INDEX(조립자재_재고현황!$C:$C,MATCH($J51,조립자재_재고현황!$E:$E,0)),"")))</f>
        <v/>
      </c>
      <c r="C51" s="44" t="n"/>
      <c r="D51" s="43">
        <f>IF($P51="","",INDEX(창고_재고현황!$B:$B,$P51))</f>
        <v/>
      </c>
      <c r="E51" s="43">
        <f>IF($P51="","",INDEX(창고_재고현황!$C:$C,$P51))</f>
        <v/>
      </c>
      <c r="F51" s="44" t="n"/>
      <c r="G51" s="43">
        <f>IF($P51="","",IF(INDEX(창고_재고현황!$E:$E,$P51)=0,"",INDEX(창고_재고현황!$E:$E,$P51)))</f>
        <v/>
      </c>
      <c r="H51" s="44" t="n"/>
      <c r="I51" s="45">
        <f>IF($J51="","",IFERROR(INDEX(고압진공_재고현황!$D:$D,MATCH($J51,고압진공_재고현황!$E:$E,0)),IFERROR(INDEX(조립자재_재고현황!$D:$D,MATCH($J51,조립자재_재고현황!$E:$E,0)),"")))</f>
        <v/>
      </c>
      <c r="J51" s="45">
        <f>IF($P51="","",INDEX(창고_재고현황!$D:$D,$P51))</f>
        <v/>
      </c>
      <c r="K51" s="44" t="n"/>
      <c r="L51" s="46" t="n"/>
      <c r="M51" s="46" t="n"/>
      <c r="N51" s="47" t="n"/>
      <c r="O51" s="44" t="n"/>
      <c r="P51" s="44">
        <f>IFERROR(MATCH(ROWS($P$2:P51),창고_재고현황!$H:$H,0),"")</f>
        <v/>
      </c>
      <c r="Q51" s="42" t="n"/>
      <c r="R51" s="42" t="n"/>
      <c r="S51" s="42" t="n"/>
      <c r="T51" s="42" t="n"/>
      <c r="U51" s="42" t="n"/>
    </row>
    <row r="52" ht="48" customHeight="1">
      <c r="A52" s="43">
        <f>IF($J52="","",IFERROR(INDEX(고압진공_재고현황!$B:$B,MATCH($J52,고압진공_재고현황!$E:$E,0)),IFERROR(INDEX(조립자재_재고현황!$B:$B,MATCH($J52,조립자재_재고현황!$E:$E,0)),"")))</f>
        <v/>
      </c>
      <c r="B52" s="43">
        <f>IF($J52="","",IFERROR(INDEX(고압진공_재고현황!$C:$C,MATCH($J52,고압진공_재고현황!$E:$E,0)),IFERROR(INDEX(조립자재_재고현황!$C:$C,MATCH($J52,조립자재_재고현황!$E:$E,0)),"")))</f>
        <v/>
      </c>
      <c r="C52" s="44" t="n"/>
      <c r="D52" s="43">
        <f>IF($P52="","",INDEX(창고_재고현황!$B:$B,$P52))</f>
        <v/>
      </c>
      <c r="E52" s="43">
        <f>IF($P52="","",INDEX(창고_재고현황!$C:$C,$P52))</f>
        <v/>
      </c>
      <c r="F52" s="44" t="n"/>
      <c r="G52" s="43">
        <f>IF($P52="","",IF(INDEX(창고_재고현황!$E:$E,$P52)=0,"",INDEX(창고_재고현황!$E:$E,$P52)))</f>
        <v/>
      </c>
      <c r="H52" s="44" t="n"/>
      <c r="I52" s="45">
        <f>IF($J52="","",IFERROR(INDEX(고압진공_재고현황!$D:$D,MATCH($J52,고압진공_재고현황!$E:$E,0)),IFERROR(INDEX(조립자재_재고현황!$D:$D,MATCH($J52,조립자재_재고현황!$E:$E,0)),"")))</f>
        <v/>
      </c>
      <c r="J52" s="45">
        <f>IF($P52="","",INDEX(창고_재고현황!$D:$D,$P52))</f>
        <v/>
      </c>
      <c r="K52" s="44" t="n"/>
      <c r="L52" s="46" t="n"/>
      <c r="M52" s="46" t="n"/>
      <c r="N52" s="47" t="n"/>
      <c r="O52" s="44" t="n"/>
      <c r="P52" s="44">
        <f>IFERROR(MATCH(ROWS($P$2:P52),창고_재고현황!$H:$H,0),"")</f>
        <v/>
      </c>
      <c r="Q52" s="42" t="n"/>
      <c r="R52" s="42" t="n"/>
      <c r="S52" s="42" t="n"/>
      <c r="T52" s="42" t="n"/>
      <c r="U52" s="42" t="n"/>
    </row>
    <row r="53" ht="48" customHeight="1">
      <c r="A53" s="43">
        <f>IF($J53="","",IFERROR(INDEX(고압진공_재고현황!$B:$B,MATCH($J53,고압진공_재고현황!$E:$E,0)),IFERROR(INDEX(조립자재_재고현황!$B:$B,MATCH($J53,조립자재_재고현황!$E:$E,0)),"")))</f>
        <v/>
      </c>
      <c r="B53" s="43">
        <f>IF($J53="","",IFERROR(INDEX(고압진공_재고현황!$C:$C,MATCH($J53,고압진공_재고현황!$E:$E,0)),IFERROR(INDEX(조립자재_재고현황!$C:$C,MATCH($J53,조립자재_재고현황!$E:$E,0)),"")))</f>
        <v/>
      </c>
      <c r="C53" s="44" t="n"/>
      <c r="D53" s="43">
        <f>IF($P53="","",INDEX(창고_재고현황!$B:$B,$P53))</f>
        <v/>
      </c>
      <c r="E53" s="43">
        <f>IF($P53="","",INDEX(창고_재고현황!$C:$C,$P53))</f>
        <v/>
      </c>
      <c r="F53" s="44" t="n"/>
      <c r="G53" s="43">
        <f>IF($P53="","",IF(INDEX(창고_재고현황!$E:$E,$P53)=0,"",INDEX(창고_재고현황!$E:$E,$P53)))</f>
        <v/>
      </c>
      <c r="H53" s="44" t="n"/>
      <c r="I53" s="45">
        <f>IF($J53="","",IFERROR(INDEX(고압진공_재고현황!$D:$D,MATCH($J53,고압진공_재고현황!$E:$E,0)),IFERROR(INDEX(조립자재_재고현황!$D:$D,MATCH($J53,조립자재_재고현황!$E:$E,0)),"")))</f>
        <v/>
      </c>
      <c r="J53" s="45">
        <f>IF($P53="","",INDEX(창고_재고현황!$D:$D,$P53))</f>
        <v/>
      </c>
      <c r="K53" s="44" t="n"/>
      <c r="L53" s="46" t="n"/>
      <c r="M53" s="46" t="n"/>
      <c r="N53" s="47" t="n"/>
      <c r="O53" s="44" t="n"/>
      <c r="P53" s="44">
        <f>IFERROR(MATCH(ROWS($P$2:P53),창고_재고현황!$H:$H,0),"")</f>
        <v/>
      </c>
      <c r="Q53" s="42" t="n"/>
      <c r="R53" s="42" t="n"/>
      <c r="S53" s="42" t="n"/>
      <c r="T53" s="42" t="n"/>
      <c r="U53" s="42" t="n"/>
    </row>
    <row r="54" ht="48" customHeight="1">
      <c r="A54" s="43">
        <f>IF($J54="","",IFERROR(INDEX(고압진공_재고현황!$B:$B,MATCH($J54,고압진공_재고현황!$E:$E,0)),IFERROR(INDEX(조립자재_재고현황!$B:$B,MATCH($J54,조립자재_재고현황!$E:$E,0)),"")))</f>
        <v/>
      </c>
      <c r="B54" s="43">
        <f>IF($J54="","",IFERROR(INDEX(고압진공_재고현황!$C:$C,MATCH($J54,고압진공_재고현황!$E:$E,0)),IFERROR(INDEX(조립자재_재고현황!$C:$C,MATCH($J54,조립자재_재고현황!$E:$E,0)),"")))</f>
        <v/>
      </c>
      <c r="C54" s="44" t="n"/>
      <c r="D54" s="43">
        <f>IF($P54="","",INDEX(창고_재고현황!$B:$B,$P54))</f>
        <v/>
      </c>
      <c r="E54" s="43">
        <f>IF($P54="","",INDEX(창고_재고현황!$C:$C,$P54))</f>
        <v/>
      </c>
      <c r="F54" s="44" t="n"/>
      <c r="G54" s="43">
        <f>IF($P54="","",IF(INDEX(창고_재고현황!$E:$E,$P54)=0,"",INDEX(창고_재고현황!$E:$E,$P54)))</f>
        <v/>
      </c>
      <c r="H54" s="44" t="n"/>
      <c r="I54" s="45">
        <f>IF($J54="","",IFERROR(INDEX(고압진공_재고현황!$D:$D,MATCH($J54,고압진공_재고현황!$E:$E,0)),IFERROR(INDEX(조립자재_재고현황!$D:$D,MATCH($J54,조립자재_재고현황!$E:$E,0)),"")))</f>
        <v/>
      </c>
      <c r="J54" s="45">
        <f>IF($P54="","",INDEX(창고_재고현황!$D:$D,$P54))</f>
        <v/>
      </c>
      <c r="K54" s="44" t="n"/>
      <c r="L54" s="46" t="n"/>
      <c r="M54" s="46" t="n"/>
      <c r="N54" s="47" t="n"/>
      <c r="O54" s="44" t="n"/>
      <c r="P54" s="44">
        <f>IFERROR(MATCH(ROWS($P$2:P54),창고_재고현황!$H:$H,0),"")</f>
        <v/>
      </c>
      <c r="Q54" s="42" t="n"/>
      <c r="R54" s="42" t="n"/>
      <c r="S54" s="42" t="n"/>
      <c r="T54" s="42" t="n"/>
      <c r="U54" s="42" t="n"/>
    </row>
    <row r="55" ht="48" customHeight="1">
      <c r="A55" s="43">
        <f>IF($J55="","",IFERROR(INDEX(고압진공_재고현황!$B:$B,MATCH($J55,고압진공_재고현황!$E:$E,0)),IFERROR(INDEX(조립자재_재고현황!$B:$B,MATCH($J55,조립자재_재고현황!$E:$E,0)),"")))</f>
        <v/>
      </c>
      <c r="B55" s="43">
        <f>IF($J55="","",IFERROR(INDEX(고압진공_재고현황!$C:$C,MATCH($J55,고압진공_재고현황!$E:$E,0)),IFERROR(INDEX(조립자재_재고현황!$C:$C,MATCH($J55,조립자재_재고현황!$E:$E,0)),"")))</f>
        <v/>
      </c>
      <c r="C55" s="44" t="n"/>
      <c r="D55" s="43">
        <f>IF($P55="","",INDEX(창고_재고현황!$B:$B,$P55))</f>
        <v/>
      </c>
      <c r="E55" s="43">
        <f>IF($P55="","",INDEX(창고_재고현황!$C:$C,$P55))</f>
        <v/>
      </c>
      <c r="F55" s="44" t="n"/>
      <c r="G55" s="43">
        <f>IF($P55="","",IF(INDEX(창고_재고현황!$E:$E,$P55)=0,"",INDEX(창고_재고현황!$E:$E,$P55)))</f>
        <v/>
      </c>
      <c r="H55" s="44" t="n"/>
      <c r="I55" s="45">
        <f>IF($J55="","",IFERROR(INDEX(고압진공_재고현황!$D:$D,MATCH($J55,고압진공_재고현황!$E:$E,0)),IFERROR(INDEX(조립자재_재고현황!$D:$D,MATCH($J55,조립자재_재고현황!$E:$E,0)),"")))</f>
        <v/>
      </c>
      <c r="J55" s="45">
        <f>IF($P55="","",INDEX(창고_재고현황!$D:$D,$P55))</f>
        <v/>
      </c>
      <c r="K55" s="44" t="n"/>
      <c r="L55" s="46" t="n"/>
      <c r="M55" s="46" t="n"/>
      <c r="N55" s="47" t="n"/>
      <c r="O55" s="44" t="n"/>
      <c r="P55" s="44">
        <f>IFERROR(MATCH(ROWS($P$2:P55),창고_재고현황!$H:$H,0),"")</f>
        <v/>
      </c>
      <c r="Q55" s="42" t="n"/>
      <c r="R55" s="42" t="n"/>
      <c r="S55" s="42" t="n"/>
      <c r="T55" s="42" t="n"/>
      <c r="U55" s="42" t="n"/>
    </row>
    <row r="56" ht="48" customHeight="1">
      <c r="A56" s="43">
        <f>IF($J56="","",IFERROR(INDEX(고압진공_재고현황!$B:$B,MATCH($J56,고압진공_재고현황!$E:$E,0)),IFERROR(INDEX(조립자재_재고현황!$B:$B,MATCH($J56,조립자재_재고현황!$E:$E,0)),"")))</f>
        <v/>
      </c>
      <c r="B56" s="43">
        <f>IF($J56="","",IFERROR(INDEX(고압진공_재고현황!$C:$C,MATCH($J56,고압진공_재고현황!$E:$E,0)),IFERROR(INDEX(조립자재_재고현황!$C:$C,MATCH($J56,조립자재_재고현황!$E:$E,0)),"")))</f>
        <v/>
      </c>
      <c r="C56" s="44" t="n"/>
      <c r="D56" s="43">
        <f>IF($P56="","",INDEX(창고_재고현황!$B:$B,$P56))</f>
        <v/>
      </c>
      <c r="E56" s="43">
        <f>IF($P56="","",INDEX(창고_재고현황!$C:$C,$P56))</f>
        <v/>
      </c>
      <c r="F56" s="44" t="n"/>
      <c r="G56" s="43">
        <f>IF($P56="","",IF(INDEX(창고_재고현황!$E:$E,$P56)=0,"",INDEX(창고_재고현황!$E:$E,$P56)))</f>
        <v/>
      </c>
      <c r="H56" s="44" t="n"/>
      <c r="I56" s="45">
        <f>IF($J56="","",IFERROR(INDEX(고압진공_재고현황!$D:$D,MATCH($J56,고압진공_재고현황!$E:$E,0)),IFERROR(INDEX(조립자재_재고현황!$D:$D,MATCH($J56,조립자재_재고현황!$E:$E,0)),"")))</f>
        <v/>
      </c>
      <c r="J56" s="45">
        <f>IF($P56="","",INDEX(창고_재고현황!$D:$D,$P56))</f>
        <v/>
      </c>
      <c r="K56" s="44" t="n"/>
      <c r="L56" s="46" t="n"/>
      <c r="M56" s="46" t="n"/>
      <c r="N56" s="47" t="n"/>
      <c r="O56" s="44" t="n"/>
      <c r="P56" s="44">
        <f>IFERROR(MATCH(ROWS($P$2:P56),창고_재고현황!$H:$H,0),"")</f>
        <v/>
      </c>
      <c r="Q56" s="42" t="n"/>
      <c r="R56" s="42" t="n"/>
      <c r="S56" s="42" t="n"/>
      <c r="T56" s="42" t="n"/>
      <c r="U56" s="42" t="n"/>
    </row>
    <row r="57" ht="48" customHeight="1">
      <c r="A57" s="43">
        <f>IF($J57="","",IFERROR(INDEX(고압진공_재고현황!$B:$B,MATCH($J57,고압진공_재고현황!$E:$E,0)),IFERROR(INDEX(조립자재_재고현황!$B:$B,MATCH($J57,조립자재_재고현황!$E:$E,0)),"")))</f>
        <v/>
      </c>
      <c r="B57" s="43">
        <f>IF($J57="","",IFERROR(INDEX(고압진공_재고현황!$C:$C,MATCH($J57,고압진공_재고현황!$E:$E,0)),IFERROR(INDEX(조립자재_재고현황!$C:$C,MATCH($J57,조립자재_재고현황!$E:$E,0)),"")))</f>
        <v/>
      </c>
      <c r="C57" s="44" t="n"/>
      <c r="D57" s="43">
        <f>IF($P57="","",INDEX(창고_재고현황!$B:$B,$P57))</f>
        <v/>
      </c>
      <c r="E57" s="43">
        <f>IF($P57="","",INDEX(창고_재고현황!$C:$C,$P57))</f>
        <v/>
      </c>
      <c r="F57" s="44" t="n"/>
      <c r="G57" s="43">
        <f>IF($P57="","",IF(INDEX(창고_재고현황!$E:$E,$P57)=0,"",INDEX(창고_재고현황!$E:$E,$P57)))</f>
        <v/>
      </c>
      <c r="H57" s="44" t="n"/>
      <c r="I57" s="45">
        <f>IF($J57="","",IFERROR(INDEX(고압진공_재고현황!$D:$D,MATCH($J57,고압진공_재고현황!$E:$E,0)),IFERROR(INDEX(조립자재_재고현황!$D:$D,MATCH($J57,조립자재_재고현황!$E:$E,0)),"")))</f>
        <v/>
      </c>
      <c r="J57" s="45">
        <f>IF($P57="","",INDEX(창고_재고현황!$D:$D,$P57))</f>
        <v/>
      </c>
      <c r="K57" s="44" t="n"/>
      <c r="L57" s="46" t="n"/>
      <c r="M57" s="46" t="n"/>
      <c r="N57" s="47" t="n"/>
      <c r="O57" s="44" t="n"/>
      <c r="P57" s="44">
        <f>IFERROR(MATCH(ROWS($P$2:P57),창고_재고현황!$H:$H,0),"")</f>
        <v/>
      </c>
      <c r="Q57" s="42" t="n"/>
      <c r="R57" s="42" t="n"/>
      <c r="S57" s="42" t="n"/>
      <c r="T57" s="42" t="n"/>
      <c r="U57" s="42" t="n"/>
    </row>
    <row r="58" ht="48" customHeight="1">
      <c r="A58" s="43">
        <f>IF($J58="","",IFERROR(INDEX(고압진공_재고현황!$B:$B,MATCH($J58,고압진공_재고현황!$E:$E,0)),IFERROR(INDEX(조립자재_재고현황!$B:$B,MATCH($J58,조립자재_재고현황!$E:$E,0)),"")))</f>
        <v/>
      </c>
      <c r="B58" s="43">
        <f>IF($J58="","",IFERROR(INDEX(고압진공_재고현황!$C:$C,MATCH($J58,고압진공_재고현황!$E:$E,0)),IFERROR(INDEX(조립자재_재고현황!$C:$C,MATCH($J58,조립자재_재고현황!$E:$E,0)),"")))</f>
        <v/>
      </c>
      <c r="C58" s="44" t="n"/>
      <c r="D58" s="43">
        <f>IF($P58="","",INDEX(창고_재고현황!$B:$B,$P58))</f>
        <v/>
      </c>
      <c r="E58" s="43">
        <f>IF($P58="","",INDEX(창고_재고현황!$C:$C,$P58))</f>
        <v/>
      </c>
      <c r="F58" s="44" t="n"/>
      <c r="G58" s="43">
        <f>IF($P58="","",IF(INDEX(창고_재고현황!$E:$E,$P58)=0,"",INDEX(창고_재고현황!$E:$E,$P58)))</f>
        <v/>
      </c>
      <c r="H58" s="44" t="n"/>
      <c r="I58" s="45">
        <f>IF($J58="","",IFERROR(INDEX(고압진공_재고현황!$D:$D,MATCH($J58,고압진공_재고현황!$E:$E,0)),IFERROR(INDEX(조립자재_재고현황!$D:$D,MATCH($J58,조립자재_재고현황!$E:$E,0)),"")))</f>
        <v/>
      </c>
      <c r="J58" s="45">
        <f>IF($P58="","",INDEX(창고_재고현황!$D:$D,$P58))</f>
        <v/>
      </c>
      <c r="K58" s="44" t="n"/>
      <c r="L58" s="46" t="n"/>
      <c r="M58" s="46" t="n"/>
      <c r="N58" s="47" t="n"/>
      <c r="O58" s="44" t="n"/>
      <c r="P58" s="44">
        <f>IFERROR(MATCH(ROWS($P$2:P58),창고_재고현황!$H:$H,0),"")</f>
        <v/>
      </c>
      <c r="Q58" s="42" t="n"/>
      <c r="R58" s="42" t="n"/>
      <c r="S58" s="42" t="n"/>
      <c r="T58" s="42" t="n"/>
      <c r="U58" s="42" t="n"/>
    </row>
    <row r="59" ht="48" customHeight="1">
      <c r="A59" s="43">
        <f>IF($J59="","",IFERROR(INDEX(고압진공_재고현황!$B:$B,MATCH($J59,고압진공_재고현황!$E:$E,0)),IFERROR(INDEX(조립자재_재고현황!$B:$B,MATCH($J59,조립자재_재고현황!$E:$E,0)),"")))</f>
        <v/>
      </c>
      <c r="B59" s="43">
        <f>IF($J59="","",IFERROR(INDEX(고압진공_재고현황!$C:$C,MATCH($J59,고압진공_재고현황!$E:$E,0)),IFERROR(INDEX(조립자재_재고현황!$C:$C,MATCH($J59,조립자재_재고현황!$E:$E,0)),"")))</f>
        <v/>
      </c>
      <c r="C59" s="44" t="n"/>
      <c r="D59" s="43">
        <f>IF($P59="","",INDEX(창고_재고현황!$B:$B,$P59))</f>
        <v/>
      </c>
      <c r="E59" s="43">
        <f>IF($P59="","",INDEX(창고_재고현황!$C:$C,$P59))</f>
        <v/>
      </c>
      <c r="F59" s="44" t="n"/>
      <c r="G59" s="43">
        <f>IF($P59="","",IF(INDEX(창고_재고현황!$E:$E,$P59)=0,"",INDEX(창고_재고현황!$E:$E,$P59)))</f>
        <v/>
      </c>
      <c r="H59" s="44" t="n"/>
      <c r="I59" s="45">
        <f>IF($J59="","",IFERROR(INDEX(고압진공_재고현황!$D:$D,MATCH($J59,고압진공_재고현황!$E:$E,0)),IFERROR(INDEX(조립자재_재고현황!$D:$D,MATCH($J59,조립자재_재고현황!$E:$E,0)),"")))</f>
        <v/>
      </c>
      <c r="J59" s="45">
        <f>IF($P59="","",INDEX(창고_재고현황!$D:$D,$P59))</f>
        <v/>
      </c>
      <c r="K59" s="44" t="n"/>
      <c r="L59" s="46" t="n"/>
      <c r="M59" s="46" t="n"/>
      <c r="N59" s="47" t="n"/>
      <c r="O59" s="44" t="n"/>
      <c r="P59" s="44">
        <f>IFERROR(MATCH(ROWS($P$2:P59),창고_재고현황!$H:$H,0),"")</f>
        <v/>
      </c>
      <c r="Q59" s="42" t="n"/>
      <c r="R59" s="42" t="n"/>
      <c r="S59" s="42" t="n"/>
      <c r="T59" s="42" t="n"/>
      <c r="U59" s="42" t="n"/>
    </row>
    <row r="60" ht="48" customHeight="1">
      <c r="A60" s="43">
        <f>IF($J60="","",IFERROR(INDEX(고압진공_재고현황!$B:$B,MATCH($J60,고압진공_재고현황!$E:$E,0)),IFERROR(INDEX(조립자재_재고현황!$B:$B,MATCH($J60,조립자재_재고현황!$E:$E,0)),"")))</f>
        <v/>
      </c>
      <c r="B60" s="43">
        <f>IF($J60="","",IFERROR(INDEX(고압진공_재고현황!$C:$C,MATCH($J60,고압진공_재고현황!$E:$E,0)),IFERROR(INDEX(조립자재_재고현황!$C:$C,MATCH($J60,조립자재_재고현황!$E:$E,0)),"")))</f>
        <v/>
      </c>
      <c r="C60" s="44" t="n"/>
      <c r="D60" s="43">
        <f>IF($P60="","",INDEX(창고_재고현황!$B:$B,$P60))</f>
        <v/>
      </c>
      <c r="E60" s="43">
        <f>IF($P60="","",INDEX(창고_재고현황!$C:$C,$P60))</f>
        <v/>
      </c>
      <c r="F60" s="44" t="n"/>
      <c r="G60" s="43">
        <f>IF($P60="","",IF(INDEX(창고_재고현황!$E:$E,$P60)=0,"",INDEX(창고_재고현황!$E:$E,$P60)))</f>
        <v/>
      </c>
      <c r="H60" s="44" t="n"/>
      <c r="I60" s="45">
        <f>IF($J60="","",IFERROR(INDEX(고압진공_재고현황!$D:$D,MATCH($J60,고압진공_재고현황!$E:$E,0)),IFERROR(INDEX(조립자재_재고현황!$D:$D,MATCH($J60,조립자재_재고현황!$E:$E,0)),"")))</f>
        <v/>
      </c>
      <c r="J60" s="45">
        <f>IF($P60="","",INDEX(창고_재고현황!$D:$D,$P60))</f>
        <v/>
      </c>
      <c r="K60" s="44" t="n"/>
      <c r="L60" s="46" t="n"/>
      <c r="M60" s="46" t="n"/>
      <c r="N60" s="47" t="n"/>
      <c r="O60" s="44" t="n"/>
      <c r="P60" s="44">
        <f>IFERROR(MATCH(ROWS($P$2:P60),창고_재고현황!$H:$H,0),"")</f>
        <v/>
      </c>
      <c r="Q60" s="42" t="n"/>
      <c r="R60" s="42" t="n"/>
      <c r="S60" s="42" t="n"/>
      <c r="T60" s="42" t="n"/>
      <c r="U60" s="42" t="n"/>
    </row>
    <row r="61" ht="48" customHeight="1">
      <c r="A61" s="43">
        <f>IF($J61="","",IFERROR(INDEX(고압진공_재고현황!$B:$B,MATCH($J61,고압진공_재고현황!$E:$E,0)),IFERROR(INDEX(조립자재_재고현황!$B:$B,MATCH($J61,조립자재_재고현황!$E:$E,0)),"")))</f>
        <v/>
      </c>
      <c r="B61" s="43">
        <f>IF($J61="","",IFERROR(INDEX(고압진공_재고현황!$C:$C,MATCH($J61,고압진공_재고현황!$E:$E,0)),IFERROR(INDEX(조립자재_재고현황!$C:$C,MATCH($J61,조립자재_재고현황!$E:$E,0)),"")))</f>
        <v/>
      </c>
      <c r="C61" s="44" t="n"/>
      <c r="D61" s="43">
        <f>IF($P61="","",INDEX(창고_재고현황!$B:$B,$P61))</f>
        <v/>
      </c>
      <c r="E61" s="43">
        <f>IF($P61="","",INDEX(창고_재고현황!$C:$C,$P61))</f>
        <v/>
      </c>
      <c r="F61" s="44" t="n"/>
      <c r="G61" s="43">
        <f>IF($P61="","",IF(INDEX(창고_재고현황!$E:$E,$P61)=0,"",INDEX(창고_재고현황!$E:$E,$P61)))</f>
        <v/>
      </c>
      <c r="H61" s="44" t="n"/>
      <c r="I61" s="45">
        <f>IF($J61="","",IFERROR(INDEX(고압진공_재고현황!$D:$D,MATCH($J61,고압진공_재고현황!$E:$E,0)),IFERROR(INDEX(조립자재_재고현황!$D:$D,MATCH($J61,조립자재_재고현황!$E:$E,0)),"")))</f>
        <v/>
      </c>
      <c r="J61" s="45">
        <f>IF($P61="","",INDEX(창고_재고현황!$D:$D,$P61))</f>
        <v/>
      </c>
      <c r="K61" s="44" t="n"/>
      <c r="L61" s="46" t="n"/>
      <c r="M61" s="46" t="n"/>
      <c r="N61" s="47" t="n"/>
      <c r="O61" s="44" t="n"/>
      <c r="P61" s="44">
        <f>IFERROR(MATCH(ROWS($P$2:P61),창고_재고현황!$H:$H,0),"")</f>
        <v/>
      </c>
      <c r="Q61" s="42" t="n"/>
      <c r="R61" s="42" t="n"/>
      <c r="S61" s="42" t="n"/>
      <c r="T61" s="42" t="n"/>
      <c r="U61" s="42" t="n"/>
    </row>
    <row r="62" ht="48" customHeight="1">
      <c r="A62" s="43">
        <f>IF($J62="","",IFERROR(INDEX(고압진공_재고현황!$B:$B,MATCH($J62,고압진공_재고현황!$E:$E,0)),IFERROR(INDEX(조립자재_재고현황!$B:$B,MATCH($J62,조립자재_재고현황!$E:$E,0)),"")))</f>
        <v/>
      </c>
      <c r="B62" s="43">
        <f>IF($J62="","",IFERROR(INDEX(고압진공_재고현황!$C:$C,MATCH($J62,고압진공_재고현황!$E:$E,0)),IFERROR(INDEX(조립자재_재고현황!$C:$C,MATCH($J62,조립자재_재고현황!$E:$E,0)),"")))</f>
        <v/>
      </c>
      <c r="C62" s="44" t="n"/>
      <c r="D62" s="43">
        <f>IF($P62="","",INDEX(창고_재고현황!$B:$B,$P62))</f>
        <v/>
      </c>
      <c r="E62" s="43">
        <f>IF($P62="","",INDEX(창고_재고현황!$C:$C,$P62))</f>
        <v/>
      </c>
      <c r="F62" s="44" t="n"/>
      <c r="G62" s="43">
        <f>IF($P62="","",IF(INDEX(창고_재고현황!$E:$E,$P62)=0,"",INDEX(창고_재고현황!$E:$E,$P62)))</f>
        <v/>
      </c>
      <c r="H62" s="44" t="n"/>
      <c r="I62" s="45">
        <f>IF($J62="","",IFERROR(INDEX(고압진공_재고현황!$D:$D,MATCH($J62,고압진공_재고현황!$E:$E,0)),IFERROR(INDEX(조립자재_재고현황!$D:$D,MATCH($J62,조립자재_재고현황!$E:$E,0)),"")))</f>
        <v/>
      </c>
      <c r="J62" s="45">
        <f>IF($P62="","",INDEX(창고_재고현황!$D:$D,$P62))</f>
        <v/>
      </c>
      <c r="K62" s="44" t="n"/>
      <c r="L62" s="46" t="n"/>
      <c r="M62" s="46" t="n"/>
      <c r="N62" s="47" t="n"/>
      <c r="O62" s="44" t="n"/>
      <c r="P62" s="44">
        <f>IFERROR(MATCH(ROWS($P$2:P62),창고_재고현황!$H:$H,0),"")</f>
        <v/>
      </c>
      <c r="Q62" s="42" t="n"/>
      <c r="R62" s="42" t="n"/>
      <c r="S62" s="42" t="n"/>
      <c r="T62" s="42" t="n"/>
      <c r="U62" s="42" t="n"/>
    </row>
    <row r="63" ht="48" customHeight="1">
      <c r="A63" s="43">
        <f>IF($J63="","",IFERROR(INDEX(고압진공_재고현황!$B:$B,MATCH($J63,고압진공_재고현황!$E:$E,0)),IFERROR(INDEX(조립자재_재고현황!$B:$B,MATCH($J63,조립자재_재고현황!$E:$E,0)),"")))</f>
        <v/>
      </c>
      <c r="B63" s="43">
        <f>IF($J63="","",IFERROR(INDEX(고압진공_재고현황!$C:$C,MATCH($J63,고압진공_재고현황!$E:$E,0)),IFERROR(INDEX(조립자재_재고현황!$C:$C,MATCH($J63,조립자재_재고현황!$E:$E,0)),"")))</f>
        <v/>
      </c>
      <c r="C63" s="44" t="n"/>
      <c r="D63" s="43">
        <f>IF($P63="","",INDEX(창고_재고현황!$B:$B,$P63))</f>
        <v/>
      </c>
      <c r="E63" s="43">
        <f>IF($P63="","",INDEX(창고_재고현황!$C:$C,$P63))</f>
        <v/>
      </c>
      <c r="F63" s="44" t="n"/>
      <c r="G63" s="43">
        <f>IF($P63="","",IF(INDEX(창고_재고현황!$E:$E,$P63)=0,"",INDEX(창고_재고현황!$E:$E,$P63)))</f>
        <v/>
      </c>
      <c r="H63" s="44" t="n"/>
      <c r="I63" s="45">
        <f>IF($J63="","",IFERROR(INDEX(고압진공_재고현황!$D:$D,MATCH($J63,고압진공_재고현황!$E:$E,0)),IFERROR(INDEX(조립자재_재고현황!$D:$D,MATCH($J63,조립자재_재고현황!$E:$E,0)),"")))</f>
        <v/>
      </c>
      <c r="J63" s="45">
        <f>IF($P63="","",INDEX(창고_재고현황!$D:$D,$P63))</f>
        <v/>
      </c>
      <c r="K63" s="44" t="n"/>
      <c r="L63" s="46" t="n"/>
      <c r="M63" s="46" t="n"/>
      <c r="N63" s="47" t="n"/>
      <c r="O63" s="44" t="n"/>
      <c r="P63" s="44">
        <f>IFERROR(MATCH(ROWS($P$2:P63),창고_재고현황!$H:$H,0),"")</f>
        <v/>
      </c>
      <c r="Q63" s="42" t="n"/>
      <c r="R63" s="42" t="n"/>
      <c r="S63" s="42" t="n"/>
      <c r="T63" s="42" t="n"/>
      <c r="U63" s="42" t="n"/>
    </row>
    <row r="64" ht="48" customHeight="1">
      <c r="A64" s="43">
        <f>IF($J64="","",IFERROR(INDEX(고압진공_재고현황!$B:$B,MATCH($J64,고압진공_재고현황!$E:$E,0)),IFERROR(INDEX(조립자재_재고현황!$B:$B,MATCH($J64,조립자재_재고현황!$E:$E,0)),"")))</f>
        <v/>
      </c>
      <c r="B64" s="43">
        <f>IF($J64="","",IFERROR(INDEX(고압진공_재고현황!$C:$C,MATCH($J64,고압진공_재고현황!$E:$E,0)),IFERROR(INDEX(조립자재_재고현황!$C:$C,MATCH($J64,조립자재_재고현황!$E:$E,0)),"")))</f>
        <v/>
      </c>
      <c r="C64" s="44" t="n"/>
      <c r="D64" s="43">
        <f>IF($P64="","",INDEX(창고_재고현황!$B:$B,$P64))</f>
        <v/>
      </c>
      <c r="E64" s="43">
        <f>IF($P64="","",INDEX(창고_재고현황!$C:$C,$P64))</f>
        <v/>
      </c>
      <c r="F64" s="44" t="n"/>
      <c r="G64" s="43">
        <f>IF($P64="","",IF(INDEX(창고_재고현황!$E:$E,$P64)=0,"",INDEX(창고_재고현황!$E:$E,$P64)))</f>
        <v/>
      </c>
      <c r="H64" s="44" t="n"/>
      <c r="I64" s="45">
        <f>IF($J64="","",IFERROR(INDEX(고압진공_재고현황!$D:$D,MATCH($J64,고압진공_재고현황!$E:$E,0)),IFERROR(INDEX(조립자재_재고현황!$D:$D,MATCH($J64,조립자재_재고현황!$E:$E,0)),"")))</f>
        <v/>
      </c>
      <c r="J64" s="45">
        <f>IF($P64="","",INDEX(창고_재고현황!$D:$D,$P64))</f>
        <v/>
      </c>
      <c r="K64" s="44" t="n"/>
      <c r="L64" s="46" t="n"/>
      <c r="M64" s="46" t="n"/>
      <c r="N64" s="47" t="n"/>
      <c r="O64" s="44" t="n"/>
      <c r="P64" s="44">
        <f>IFERROR(MATCH(ROWS($P$2:P64),창고_재고현황!$H:$H,0),"")</f>
        <v/>
      </c>
      <c r="Q64" s="42" t="n"/>
      <c r="R64" s="42" t="n"/>
      <c r="S64" s="42" t="n"/>
      <c r="T64" s="42" t="n"/>
      <c r="U64" s="42" t="n"/>
    </row>
    <row r="65" ht="48" customHeight="1">
      <c r="A65" s="43">
        <f>IF($J65="","",IFERROR(INDEX(고압진공_재고현황!$B:$B,MATCH($J65,고압진공_재고현황!$E:$E,0)),IFERROR(INDEX(조립자재_재고현황!$B:$B,MATCH($J65,조립자재_재고현황!$E:$E,0)),"")))</f>
        <v/>
      </c>
      <c r="B65" s="43">
        <f>IF($J65="","",IFERROR(INDEX(고압진공_재고현황!$C:$C,MATCH($J65,고압진공_재고현황!$E:$E,0)),IFERROR(INDEX(조립자재_재고현황!$C:$C,MATCH($J65,조립자재_재고현황!$E:$E,0)),"")))</f>
        <v/>
      </c>
      <c r="C65" s="44" t="n"/>
      <c r="D65" s="43">
        <f>IF($P65="","",INDEX(창고_재고현황!$B:$B,$P65))</f>
        <v/>
      </c>
      <c r="E65" s="43">
        <f>IF($P65="","",INDEX(창고_재고현황!$C:$C,$P65))</f>
        <v/>
      </c>
      <c r="F65" s="44" t="n"/>
      <c r="G65" s="43">
        <f>IF($P65="","",IF(INDEX(창고_재고현황!$E:$E,$P65)=0,"",INDEX(창고_재고현황!$E:$E,$P65)))</f>
        <v/>
      </c>
      <c r="H65" s="44" t="n"/>
      <c r="I65" s="45">
        <f>IF($J65="","",IFERROR(INDEX(고압진공_재고현황!$D:$D,MATCH($J65,고압진공_재고현황!$E:$E,0)),IFERROR(INDEX(조립자재_재고현황!$D:$D,MATCH($J65,조립자재_재고현황!$E:$E,0)),"")))</f>
        <v/>
      </c>
      <c r="J65" s="45">
        <f>IF($P65="","",INDEX(창고_재고현황!$D:$D,$P65))</f>
        <v/>
      </c>
      <c r="K65" s="44" t="n"/>
      <c r="L65" s="46" t="n"/>
      <c r="M65" s="46" t="n"/>
      <c r="N65" s="47" t="n"/>
      <c r="O65" s="44" t="n"/>
      <c r="P65" s="44">
        <f>IFERROR(MATCH(ROWS($P$2:P65),창고_재고현황!$H:$H,0),"")</f>
        <v/>
      </c>
      <c r="Q65" s="42" t="n"/>
      <c r="R65" s="42" t="n"/>
      <c r="S65" s="42" t="n"/>
      <c r="T65" s="42" t="n"/>
      <c r="U65" s="42" t="n"/>
    </row>
    <row r="66" ht="48" customHeight="1">
      <c r="A66" s="43">
        <f>IF($J66="","",IFERROR(INDEX(고압진공_재고현황!$B:$B,MATCH($J66,고압진공_재고현황!$E:$E,0)),IFERROR(INDEX(조립자재_재고현황!$B:$B,MATCH($J66,조립자재_재고현황!$E:$E,0)),"")))</f>
        <v/>
      </c>
      <c r="B66" s="43">
        <f>IF($J66="","",IFERROR(INDEX(고압진공_재고현황!$C:$C,MATCH($J66,고압진공_재고현황!$E:$E,0)),IFERROR(INDEX(조립자재_재고현황!$C:$C,MATCH($J66,조립자재_재고현황!$E:$E,0)),"")))</f>
        <v/>
      </c>
      <c r="C66" s="44" t="n"/>
      <c r="D66" s="43">
        <f>IF($P66="","",INDEX(창고_재고현황!$B:$B,$P66))</f>
        <v/>
      </c>
      <c r="E66" s="43">
        <f>IF($P66="","",INDEX(창고_재고현황!$C:$C,$P66))</f>
        <v/>
      </c>
      <c r="F66" s="44" t="n"/>
      <c r="G66" s="43">
        <f>IF($P66="","",IF(INDEX(창고_재고현황!$E:$E,$P66)=0,"",INDEX(창고_재고현황!$E:$E,$P66)))</f>
        <v/>
      </c>
      <c r="H66" s="44" t="n"/>
      <c r="I66" s="45">
        <f>IF($J66="","",IFERROR(INDEX(고압진공_재고현황!$D:$D,MATCH($J66,고압진공_재고현황!$E:$E,0)),IFERROR(INDEX(조립자재_재고현황!$D:$D,MATCH($J66,조립자재_재고현황!$E:$E,0)),"")))</f>
        <v/>
      </c>
      <c r="J66" s="45">
        <f>IF($P66="","",INDEX(창고_재고현황!$D:$D,$P66))</f>
        <v/>
      </c>
      <c r="K66" s="44" t="n"/>
      <c r="L66" s="46" t="n"/>
      <c r="M66" s="46" t="n"/>
      <c r="N66" s="47" t="n"/>
      <c r="O66" s="44" t="n"/>
      <c r="P66" s="44">
        <f>IFERROR(MATCH(ROWS($P$2:P66),창고_재고현황!$H:$H,0),"")</f>
        <v/>
      </c>
      <c r="Q66" s="42" t="n"/>
      <c r="R66" s="42" t="n"/>
      <c r="S66" s="42" t="n"/>
      <c r="T66" s="42" t="n"/>
      <c r="U66" s="42" t="n"/>
    </row>
    <row r="67" ht="48" customHeight="1">
      <c r="A67" s="43">
        <f>IF($J67="","",IFERROR(INDEX(고압진공_재고현황!$B:$B,MATCH($J67,고압진공_재고현황!$E:$E,0)),IFERROR(INDEX(조립자재_재고현황!$B:$B,MATCH($J67,조립자재_재고현황!$E:$E,0)),"")))</f>
        <v/>
      </c>
      <c r="B67" s="43">
        <f>IF($J67="","",IFERROR(INDEX(고압진공_재고현황!$C:$C,MATCH($J67,고압진공_재고현황!$E:$E,0)),IFERROR(INDEX(조립자재_재고현황!$C:$C,MATCH($J67,조립자재_재고현황!$E:$E,0)),"")))</f>
        <v/>
      </c>
      <c r="C67" s="44" t="n"/>
      <c r="D67" s="43">
        <f>IF($P67="","",INDEX(창고_재고현황!$B:$B,$P67))</f>
        <v/>
      </c>
      <c r="E67" s="43">
        <f>IF($P67="","",INDEX(창고_재고현황!$C:$C,$P67))</f>
        <v/>
      </c>
      <c r="F67" s="44" t="n"/>
      <c r="G67" s="43">
        <f>IF($P67="","",IF(INDEX(창고_재고현황!$E:$E,$P67)=0,"",INDEX(창고_재고현황!$E:$E,$P67)))</f>
        <v/>
      </c>
      <c r="H67" s="44" t="n"/>
      <c r="I67" s="45">
        <f>IF($J67="","",IFERROR(INDEX(고압진공_재고현황!$D:$D,MATCH($J67,고압진공_재고현황!$E:$E,0)),IFERROR(INDEX(조립자재_재고현황!$D:$D,MATCH($J67,조립자재_재고현황!$E:$E,0)),"")))</f>
        <v/>
      </c>
      <c r="J67" s="45">
        <f>IF($P67="","",INDEX(창고_재고현황!$D:$D,$P67))</f>
        <v/>
      </c>
      <c r="K67" s="44" t="n"/>
      <c r="L67" s="46" t="n"/>
      <c r="M67" s="46" t="n"/>
      <c r="N67" s="47" t="n"/>
      <c r="O67" s="44" t="n"/>
      <c r="P67" s="44">
        <f>IFERROR(MATCH(ROWS($P$2:P67),창고_재고현황!$H:$H,0),"")</f>
        <v/>
      </c>
      <c r="Q67" s="42" t="n"/>
      <c r="R67" s="42" t="n"/>
      <c r="S67" s="42" t="n"/>
      <c r="T67" s="42" t="n"/>
      <c r="U67" s="42" t="n"/>
    </row>
    <row r="68" ht="48" customHeight="1">
      <c r="A68" s="43">
        <f>IF($J68="","",IFERROR(INDEX(고압진공_재고현황!$B:$B,MATCH($J68,고압진공_재고현황!$E:$E,0)),IFERROR(INDEX(조립자재_재고현황!$B:$B,MATCH($J68,조립자재_재고현황!$E:$E,0)),"")))</f>
        <v/>
      </c>
      <c r="B68" s="43">
        <f>IF($J68="","",IFERROR(INDEX(고압진공_재고현황!$C:$C,MATCH($J68,고압진공_재고현황!$E:$E,0)),IFERROR(INDEX(조립자재_재고현황!$C:$C,MATCH($J68,조립자재_재고현황!$E:$E,0)),"")))</f>
        <v/>
      </c>
      <c r="C68" s="44" t="n"/>
      <c r="D68" s="43">
        <f>IF($P68="","",INDEX(창고_재고현황!$B:$B,$P68))</f>
        <v/>
      </c>
      <c r="E68" s="43">
        <f>IF($P68="","",INDEX(창고_재고현황!$C:$C,$P68))</f>
        <v/>
      </c>
      <c r="F68" s="44" t="n"/>
      <c r="G68" s="43">
        <f>IF($P68="","",IF(INDEX(창고_재고현황!$E:$E,$P68)=0,"",INDEX(창고_재고현황!$E:$E,$P68)))</f>
        <v/>
      </c>
      <c r="H68" s="44" t="n"/>
      <c r="I68" s="45">
        <f>IF($J68="","",IFERROR(INDEX(고압진공_재고현황!$D:$D,MATCH($J68,고압진공_재고현황!$E:$E,0)),IFERROR(INDEX(조립자재_재고현황!$D:$D,MATCH($J68,조립자재_재고현황!$E:$E,0)),"")))</f>
        <v/>
      </c>
      <c r="J68" s="45">
        <f>IF($P68="","",INDEX(창고_재고현황!$D:$D,$P68))</f>
        <v/>
      </c>
      <c r="K68" s="44" t="n"/>
      <c r="L68" s="46" t="n"/>
      <c r="M68" s="46" t="n"/>
      <c r="N68" s="47" t="n"/>
      <c r="O68" s="44" t="n"/>
      <c r="P68" s="44">
        <f>IFERROR(MATCH(ROWS($P$2:P68),창고_재고현황!$H:$H,0),"")</f>
        <v/>
      </c>
      <c r="Q68" s="42" t="n"/>
      <c r="R68" s="42" t="n"/>
      <c r="S68" s="42" t="n"/>
      <c r="T68" s="42" t="n"/>
      <c r="U68" s="42" t="n"/>
    </row>
    <row r="69" ht="48" customHeight="1">
      <c r="A69" s="43">
        <f>IF($J69="","",IFERROR(INDEX(고압진공_재고현황!$B:$B,MATCH($J69,고압진공_재고현황!$E:$E,0)),IFERROR(INDEX(조립자재_재고현황!$B:$B,MATCH($J69,조립자재_재고현황!$E:$E,0)),"")))</f>
        <v/>
      </c>
      <c r="B69" s="43">
        <f>IF($J69="","",IFERROR(INDEX(고압진공_재고현황!$C:$C,MATCH($J69,고압진공_재고현황!$E:$E,0)),IFERROR(INDEX(조립자재_재고현황!$C:$C,MATCH($J69,조립자재_재고현황!$E:$E,0)),"")))</f>
        <v/>
      </c>
      <c r="C69" s="44" t="n"/>
      <c r="D69" s="43">
        <f>IF($P69="","",INDEX(창고_재고현황!$B:$B,$P69))</f>
        <v/>
      </c>
      <c r="E69" s="43">
        <f>IF($P69="","",INDEX(창고_재고현황!$C:$C,$P69))</f>
        <v/>
      </c>
      <c r="F69" s="44" t="n"/>
      <c r="G69" s="43">
        <f>IF($P69="","",IF(INDEX(창고_재고현황!$E:$E,$P69)=0,"",INDEX(창고_재고현황!$E:$E,$P69)))</f>
        <v/>
      </c>
      <c r="H69" s="44" t="n"/>
      <c r="I69" s="45">
        <f>IF($J69="","",IFERROR(INDEX(고압진공_재고현황!$D:$D,MATCH($J69,고압진공_재고현황!$E:$E,0)),IFERROR(INDEX(조립자재_재고현황!$D:$D,MATCH($J69,조립자재_재고현황!$E:$E,0)),"")))</f>
        <v/>
      </c>
      <c r="J69" s="45">
        <f>IF($P69="","",INDEX(창고_재고현황!$D:$D,$P69))</f>
        <v/>
      </c>
      <c r="K69" s="44" t="n"/>
      <c r="L69" s="46" t="n"/>
      <c r="M69" s="46" t="n"/>
      <c r="N69" s="47" t="n"/>
      <c r="O69" s="44" t="n"/>
      <c r="P69" s="44">
        <f>IFERROR(MATCH(ROWS($P$2:P69),창고_재고현황!$H:$H,0),"")</f>
        <v/>
      </c>
      <c r="Q69" s="42" t="n"/>
      <c r="R69" s="42" t="n"/>
      <c r="S69" s="42" t="n"/>
      <c r="T69" s="42" t="n"/>
      <c r="U69" s="42" t="n"/>
    </row>
    <row r="70" ht="48" customHeight="1">
      <c r="A70" s="43">
        <f>IF($J70="","",IFERROR(INDEX(고압진공_재고현황!$B:$B,MATCH($J70,고압진공_재고현황!$E:$E,0)),IFERROR(INDEX(조립자재_재고현황!$B:$B,MATCH($J70,조립자재_재고현황!$E:$E,0)),"")))</f>
        <v/>
      </c>
      <c r="B70" s="43">
        <f>IF($J70="","",IFERROR(INDEX(고압진공_재고현황!$C:$C,MATCH($J70,고압진공_재고현황!$E:$E,0)),IFERROR(INDEX(조립자재_재고현황!$C:$C,MATCH($J70,조립자재_재고현황!$E:$E,0)),"")))</f>
        <v/>
      </c>
      <c r="C70" s="44" t="n"/>
      <c r="D70" s="43">
        <f>IF($P70="","",INDEX(창고_재고현황!$B:$B,$P70))</f>
        <v/>
      </c>
      <c r="E70" s="43">
        <f>IF($P70="","",INDEX(창고_재고현황!$C:$C,$P70))</f>
        <v/>
      </c>
      <c r="F70" s="44" t="n"/>
      <c r="G70" s="43">
        <f>IF($P70="","",IF(INDEX(창고_재고현황!$E:$E,$P70)=0,"",INDEX(창고_재고현황!$E:$E,$P70)))</f>
        <v/>
      </c>
      <c r="H70" s="44" t="n"/>
      <c r="I70" s="45">
        <f>IF($J70="","",IFERROR(INDEX(고압진공_재고현황!$D:$D,MATCH($J70,고압진공_재고현황!$E:$E,0)),IFERROR(INDEX(조립자재_재고현황!$D:$D,MATCH($J70,조립자재_재고현황!$E:$E,0)),"")))</f>
        <v/>
      </c>
      <c r="J70" s="45">
        <f>IF($P70="","",INDEX(창고_재고현황!$D:$D,$P70))</f>
        <v/>
      </c>
      <c r="K70" s="44" t="n"/>
      <c r="L70" s="46" t="n"/>
      <c r="M70" s="46" t="n"/>
      <c r="N70" s="47" t="n"/>
      <c r="O70" s="44" t="n"/>
      <c r="P70" s="44">
        <f>IFERROR(MATCH(ROWS($P$2:P70),창고_재고현황!$H:$H,0),"")</f>
        <v/>
      </c>
      <c r="Q70" s="42" t="n"/>
      <c r="R70" s="42" t="n"/>
      <c r="S70" s="42" t="n"/>
      <c r="T70" s="42" t="n"/>
      <c r="U70" s="42" t="n"/>
    </row>
    <row r="71" ht="48" customHeight="1">
      <c r="A71" s="43">
        <f>IF($J71="","",IFERROR(INDEX(고압진공_재고현황!$B:$B,MATCH($J71,고압진공_재고현황!$E:$E,0)),IFERROR(INDEX(조립자재_재고현황!$B:$B,MATCH($J71,조립자재_재고현황!$E:$E,0)),"")))</f>
        <v/>
      </c>
      <c r="B71" s="43">
        <f>IF($J71="","",IFERROR(INDEX(고압진공_재고현황!$C:$C,MATCH($J71,고압진공_재고현황!$E:$E,0)),IFERROR(INDEX(조립자재_재고현황!$C:$C,MATCH($J71,조립자재_재고현황!$E:$E,0)),"")))</f>
        <v/>
      </c>
      <c r="C71" s="44" t="n"/>
      <c r="D71" s="43">
        <f>IF($P71="","",INDEX(창고_재고현황!$B:$B,$P71))</f>
        <v/>
      </c>
      <c r="E71" s="43">
        <f>IF($P71="","",INDEX(창고_재고현황!$C:$C,$P71))</f>
        <v/>
      </c>
      <c r="F71" s="44" t="n"/>
      <c r="G71" s="43">
        <f>IF($P71="","",IF(INDEX(창고_재고현황!$E:$E,$P71)=0,"",INDEX(창고_재고현황!$E:$E,$P71)))</f>
        <v/>
      </c>
      <c r="H71" s="44" t="n"/>
      <c r="I71" s="45">
        <f>IF($J71="","",IFERROR(INDEX(고압진공_재고현황!$D:$D,MATCH($J71,고압진공_재고현황!$E:$E,0)),IFERROR(INDEX(조립자재_재고현황!$D:$D,MATCH($J71,조립자재_재고현황!$E:$E,0)),"")))</f>
        <v/>
      </c>
      <c r="J71" s="45">
        <f>IF($P71="","",INDEX(창고_재고현황!$D:$D,$P71))</f>
        <v/>
      </c>
      <c r="K71" s="44" t="n"/>
      <c r="L71" s="46" t="n"/>
      <c r="M71" s="46" t="n"/>
      <c r="N71" s="47" t="n"/>
      <c r="O71" s="44" t="n"/>
      <c r="P71" s="44">
        <f>IFERROR(MATCH(ROWS($P$2:P71),창고_재고현황!$H:$H,0),"")</f>
        <v/>
      </c>
      <c r="Q71" s="42" t="n"/>
      <c r="R71" s="42" t="n"/>
      <c r="S71" s="42" t="n"/>
      <c r="T71" s="42" t="n"/>
      <c r="U71" s="42" t="n"/>
    </row>
    <row r="72" ht="48" customHeight="1">
      <c r="A72" s="43">
        <f>IF($J72="","",IFERROR(INDEX(고압진공_재고현황!$B:$B,MATCH($J72,고압진공_재고현황!$E:$E,0)),IFERROR(INDEX(조립자재_재고현황!$B:$B,MATCH($J72,조립자재_재고현황!$E:$E,0)),"")))</f>
        <v/>
      </c>
      <c r="B72" s="43">
        <f>IF($J72="","",IFERROR(INDEX(고압진공_재고현황!$C:$C,MATCH($J72,고압진공_재고현황!$E:$E,0)),IFERROR(INDEX(조립자재_재고현황!$C:$C,MATCH($J72,조립자재_재고현황!$E:$E,0)),"")))</f>
        <v/>
      </c>
      <c r="C72" s="44" t="n"/>
      <c r="D72" s="43">
        <f>IF($P72="","",INDEX(창고_재고현황!$B:$B,$P72))</f>
        <v/>
      </c>
      <c r="E72" s="43">
        <f>IF($P72="","",INDEX(창고_재고현황!$C:$C,$P72))</f>
        <v/>
      </c>
      <c r="F72" s="44" t="n"/>
      <c r="G72" s="43">
        <f>IF($P72="","",IF(INDEX(창고_재고현황!$E:$E,$P72)=0,"",INDEX(창고_재고현황!$E:$E,$P72)))</f>
        <v/>
      </c>
      <c r="H72" s="44" t="n"/>
      <c r="I72" s="45">
        <f>IF($J72="","",IFERROR(INDEX(고압진공_재고현황!$D:$D,MATCH($J72,고압진공_재고현황!$E:$E,0)),IFERROR(INDEX(조립자재_재고현황!$D:$D,MATCH($J72,조립자재_재고현황!$E:$E,0)),"")))</f>
        <v/>
      </c>
      <c r="J72" s="45">
        <f>IF($P72="","",INDEX(창고_재고현황!$D:$D,$P72))</f>
        <v/>
      </c>
      <c r="K72" s="44" t="n"/>
      <c r="L72" s="46" t="n"/>
      <c r="M72" s="46" t="n"/>
      <c r="N72" s="47" t="n"/>
      <c r="O72" s="44" t="n"/>
      <c r="P72" s="44">
        <f>IFERROR(MATCH(ROWS($P$2:P72),창고_재고현황!$H:$H,0),"")</f>
        <v/>
      </c>
      <c r="Q72" s="42" t="n"/>
      <c r="R72" s="42" t="n"/>
      <c r="S72" s="42" t="n"/>
      <c r="T72" s="42" t="n"/>
      <c r="U72" s="42" t="n"/>
    </row>
    <row r="73" ht="48" customHeight="1">
      <c r="A73" s="43">
        <f>IF($J73="","",IFERROR(INDEX(고압진공_재고현황!$B:$B,MATCH($J73,고압진공_재고현황!$E:$E,0)),IFERROR(INDEX(조립자재_재고현황!$B:$B,MATCH($J73,조립자재_재고현황!$E:$E,0)),"")))</f>
        <v/>
      </c>
      <c r="B73" s="43">
        <f>IF($J73="","",IFERROR(INDEX(고압진공_재고현황!$C:$C,MATCH($J73,고압진공_재고현황!$E:$E,0)),IFERROR(INDEX(조립자재_재고현황!$C:$C,MATCH($J73,조립자재_재고현황!$E:$E,0)),"")))</f>
        <v/>
      </c>
      <c r="C73" s="44" t="n"/>
      <c r="D73" s="43">
        <f>IF($P73="","",INDEX(창고_재고현황!$B:$B,$P73))</f>
        <v/>
      </c>
      <c r="E73" s="43">
        <f>IF($P73="","",INDEX(창고_재고현황!$C:$C,$P73))</f>
        <v/>
      </c>
      <c r="F73" s="44" t="n"/>
      <c r="G73" s="43">
        <f>IF($P73="","",IF(INDEX(창고_재고현황!$E:$E,$P73)=0,"",INDEX(창고_재고현황!$E:$E,$P73)))</f>
        <v/>
      </c>
      <c r="H73" s="44" t="n"/>
      <c r="I73" s="45">
        <f>IF($J73="","",IFERROR(INDEX(고압진공_재고현황!$D:$D,MATCH($J73,고압진공_재고현황!$E:$E,0)),IFERROR(INDEX(조립자재_재고현황!$D:$D,MATCH($J73,조립자재_재고현황!$E:$E,0)),"")))</f>
        <v/>
      </c>
      <c r="J73" s="45">
        <f>IF($P73="","",INDEX(창고_재고현황!$D:$D,$P73))</f>
        <v/>
      </c>
      <c r="K73" s="44" t="n"/>
      <c r="L73" s="46" t="n"/>
      <c r="M73" s="46" t="n"/>
      <c r="N73" s="47" t="n"/>
      <c r="O73" s="44" t="n"/>
      <c r="P73" s="44">
        <f>IFERROR(MATCH(ROWS($P$2:P73),창고_재고현황!$H:$H,0),"")</f>
        <v/>
      </c>
      <c r="Q73" s="42" t="n"/>
      <c r="R73" s="42" t="n"/>
      <c r="S73" s="42" t="n"/>
      <c r="T73" s="42" t="n"/>
      <c r="U73" s="42" t="n"/>
    </row>
    <row r="74" ht="48" customHeight="1">
      <c r="A74" s="43">
        <f>IF($J74="","",IFERROR(INDEX(고압진공_재고현황!$B:$B,MATCH($J74,고압진공_재고현황!$E:$E,0)),IFERROR(INDEX(조립자재_재고현황!$B:$B,MATCH($J74,조립자재_재고현황!$E:$E,0)),"")))</f>
        <v/>
      </c>
      <c r="B74" s="43">
        <f>IF($J74="","",IFERROR(INDEX(고압진공_재고현황!$C:$C,MATCH($J74,고압진공_재고현황!$E:$E,0)),IFERROR(INDEX(조립자재_재고현황!$C:$C,MATCH($J74,조립자재_재고현황!$E:$E,0)),"")))</f>
        <v/>
      </c>
      <c r="C74" s="44" t="n"/>
      <c r="D74" s="43">
        <f>IF($P74="","",INDEX(창고_재고현황!$B:$B,$P74))</f>
        <v/>
      </c>
      <c r="E74" s="43">
        <f>IF($P74="","",INDEX(창고_재고현황!$C:$C,$P74))</f>
        <v/>
      </c>
      <c r="F74" s="44" t="n"/>
      <c r="G74" s="43">
        <f>IF($P74="","",IF(INDEX(창고_재고현황!$E:$E,$P74)=0,"",INDEX(창고_재고현황!$E:$E,$P74)))</f>
        <v/>
      </c>
      <c r="H74" s="44" t="n"/>
      <c r="I74" s="45">
        <f>IF($J74="","",IFERROR(INDEX(고압진공_재고현황!$D:$D,MATCH($J74,고압진공_재고현황!$E:$E,0)),IFERROR(INDEX(조립자재_재고현황!$D:$D,MATCH($J74,조립자재_재고현황!$E:$E,0)),"")))</f>
        <v/>
      </c>
      <c r="J74" s="45">
        <f>IF($P74="","",INDEX(창고_재고현황!$D:$D,$P74))</f>
        <v/>
      </c>
      <c r="K74" s="44" t="n"/>
      <c r="L74" s="46" t="n"/>
      <c r="M74" s="46" t="n"/>
      <c r="N74" s="47" t="n"/>
      <c r="O74" s="44" t="n"/>
      <c r="P74" s="44">
        <f>IFERROR(MATCH(ROWS($P$2:P74),창고_재고현황!$H:$H,0),"")</f>
        <v/>
      </c>
      <c r="Q74" s="42" t="n"/>
      <c r="R74" s="42" t="n"/>
      <c r="S74" s="42" t="n"/>
      <c r="T74" s="42" t="n"/>
      <c r="U74" s="42" t="n"/>
    </row>
    <row r="75" ht="48" customHeight="1">
      <c r="A75" s="43">
        <f>IF($J75="","",IFERROR(INDEX(고압진공_재고현황!$B:$B,MATCH($J75,고압진공_재고현황!$E:$E,0)),IFERROR(INDEX(조립자재_재고현황!$B:$B,MATCH($J75,조립자재_재고현황!$E:$E,0)),"")))</f>
        <v/>
      </c>
      <c r="B75" s="43">
        <f>IF($J75="","",IFERROR(INDEX(고압진공_재고현황!$C:$C,MATCH($J75,고압진공_재고현황!$E:$E,0)),IFERROR(INDEX(조립자재_재고현황!$C:$C,MATCH($J75,조립자재_재고현황!$E:$E,0)),"")))</f>
        <v/>
      </c>
      <c r="C75" s="44" t="n"/>
      <c r="D75" s="43">
        <f>IF($P75="","",INDEX(창고_재고현황!$B:$B,$P75))</f>
        <v/>
      </c>
      <c r="E75" s="43">
        <f>IF($P75="","",INDEX(창고_재고현황!$C:$C,$P75))</f>
        <v/>
      </c>
      <c r="F75" s="44" t="n"/>
      <c r="G75" s="43">
        <f>IF($P75="","",IF(INDEX(창고_재고현황!$E:$E,$P75)=0,"",INDEX(창고_재고현황!$E:$E,$P75)))</f>
        <v/>
      </c>
      <c r="H75" s="44" t="n"/>
      <c r="I75" s="45">
        <f>IF($J75="","",IFERROR(INDEX(고압진공_재고현황!$D:$D,MATCH($J75,고압진공_재고현황!$E:$E,0)),IFERROR(INDEX(조립자재_재고현황!$D:$D,MATCH($J75,조립자재_재고현황!$E:$E,0)),"")))</f>
        <v/>
      </c>
      <c r="J75" s="45">
        <f>IF($P75="","",INDEX(창고_재고현황!$D:$D,$P75))</f>
        <v/>
      </c>
      <c r="K75" s="44" t="n"/>
      <c r="L75" s="46" t="n"/>
      <c r="M75" s="46" t="n"/>
      <c r="N75" s="47" t="n"/>
      <c r="O75" s="44" t="n"/>
      <c r="P75" s="44">
        <f>IFERROR(MATCH(ROWS($P$2:P75),창고_재고현황!$H:$H,0),"")</f>
        <v/>
      </c>
      <c r="Q75" s="42" t="n"/>
      <c r="R75" s="42" t="n"/>
      <c r="S75" s="42" t="n"/>
      <c r="T75" s="42" t="n"/>
      <c r="U75" s="42" t="n"/>
    </row>
    <row r="76" ht="48" customHeight="1">
      <c r="A76" s="43">
        <f>IF($J76="","",IFERROR(INDEX(고압진공_재고현황!$B:$B,MATCH($J76,고압진공_재고현황!$E:$E,0)),IFERROR(INDEX(조립자재_재고현황!$B:$B,MATCH($J76,조립자재_재고현황!$E:$E,0)),"")))</f>
        <v/>
      </c>
      <c r="B76" s="43">
        <f>IF($J76="","",IFERROR(INDEX(고압진공_재고현황!$C:$C,MATCH($J76,고압진공_재고현황!$E:$E,0)),IFERROR(INDEX(조립자재_재고현황!$C:$C,MATCH($J76,조립자재_재고현황!$E:$E,0)),"")))</f>
        <v/>
      </c>
      <c r="C76" s="44" t="n"/>
      <c r="D76" s="43">
        <f>IF($P76="","",INDEX(창고_재고현황!$B:$B,$P76))</f>
        <v/>
      </c>
      <c r="E76" s="43">
        <f>IF($P76="","",INDEX(창고_재고현황!$C:$C,$P76))</f>
        <v/>
      </c>
      <c r="F76" s="44" t="n"/>
      <c r="G76" s="43">
        <f>IF($P76="","",IF(INDEX(창고_재고현황!$E:$E,$P76)=0,"",INDEX(창고_재고현황!$E:$E,$P76)))</f>
        <v/>
      </c>
      <c r="H76" s="44" t="n"/>
      <c r="I76" s="45">
        <f>IF($J76="","",IFERROR(INDEX(고압진공_재고현황!$D:$D,MATCH($J76,고압진공_재고현황!$E:$E,0)),IFERROR(INDEX(조립자재_재고현황!$D:$D,MATCH($J76,조립자재_재고현황!$E:$E,0)),"")))</f>
        <v/>
      </c>
      <c r="J76" s="45">
        <f>IF($P76="","",INDEX(창고_재고현황!$D:$D,$P76))</f>
        <v/>
      </c>
      <c r="K76" s="44" t="n"/>
      <c r="L76" s="46" t="n"/>
      <c r="M76" s="46" t="n"/>
      <c r="N76" s="47" t="n"/>
      <c r="O76" s="44" t="n"/>
      <c r="P76" s="44">
        <f>IFERROR(MATCH(ROWS($P$2:P76),창고_재고현황!$H:$H,0),"")</f>
        <v/>
      </c>
      <c r="Q76" s="42" t="n"/>
      <c r="R76" s="42" t="n"/>
      <c r="S76" s="42" t="n"/>
      <c r="T76" s="42" t="n"/>
      <c r="U76" s="42" t="n"/>
    </row>
    <row r="77" ht="48" customHeight="1">
      <c r="A77" s="43">
        <f>IF($J77="","",IFERROR(INDEX(고압진공_재고현황!$B:$B,MATCH($J77,고압진공_재고현황!$E:$E,0)),IFERROR(INDEX(조립자재_재고현황!$B:$B,MATCH($J77,조립자재_재고현황!$E:$E,0)),"")))</f>
        <v/>
      </c>
      <c r="B77" s="43">
        <f>IF($J77="","",IFERROR(INDEX(고압진공_재고현황!$C:$C,MATCH($J77,고압진공_재고현황!$E:$E,0)),IFERROR(INDEX(조립자재_재고현황!$C:$C,MATCH($J77,조립자재_재고현황!$E:$E,0)),"")))</f>
        <v/>
      </c>
      <c r="C77" s="44" t="n"/>
      <c r="D77" s="43">
        <f>IF($P77="","",INDEX(창고_재고현황!$B:$B,$P77))</f>
        <v/>
      </c>
      <c r="E77" s="43">
        <f>IF($P77="","",INDEX(창고_재고현황!$C:$C,$P77))</f>
        <v/>
      </c>
      <c r="F77" s="44" t="n"/>
      <c r="G77" s="43">
        <f>IF($P77="","",IF(INDEX(창고_재고현황!$E:$E,$P77)=0,"",INDEX(창고_재고현황!$E:$E,$P77)))</f>
        <v/>
      </c>
      <c r="H77" s="44" t="n"/>
      <c r="I77" s="45">
        <f>IF($J77="","",IFERROR(INDEX(고압진공_재고현황!$D:$D,MATCH($J77,고압진공_재고현황!$E:$E,0)),IFERROR(INDEX(조립자재_재고현황!$D:$D,MATCH($J77,조립자재_재고현황!$E:$E,0)),"")))</f>
        <v/>
      </c>
      <c r="J77" s="45">
        <f>IF($P77="","",INDEX(창고_재고현황!$D:$D,$P77))</f>
        <v/>
      </c>
      <c r="K77" s="44" t="n"/>
      <c r="L77" s="46" t="n"/>
      <c r="M77" s="46" t="n"/>
      <c r="N77" s="47" t="n"/>
      <c r="O77" s="44" t="n"/>
      <c r="P77" s="44">
        <f>IFERROR(MATCH(ROWS($P$2:P77),창고_재고현황!$H:$H,0),"")</f>
        <v/>
      </c>
      <c r="Q77" s="42" t="n"/>
      <c r="R77" s="42" t="n"/>
      <c r="S77" s="42" t="n"/>
      <c r="T77" s="42" t="n"/>
      <c r="U77" s="42" t="n"/>
    </row>
    <row r="78" ht="48" customHeight="1">
      <c r="A78" s="43">
        <f>IF($J78="","",IFERROR(INDEX(고압진공_재고현황!$B:$B,MATCH($J78,고압진공_재고현황!$E:$E,0)),IFERROR(INDEX(조립자재_재고현황!$B:$B,MATCH($J78,조립자재_재고현황!$E:$E,0)),"")))</f>
        <v/>
      </c>
      <c r="B78" s="43">
        <f>IF($J78="","",IFERROR(INDEX(고압진공_재고현황!$C:$C,MATCH($J78,고압진공_재고현황!$E:$E,0)),IFERROR(INDEX(조립자재_재고현황!$C:$C,MATCH($J78,조립자재_재고현황!$E:$E,0)),"")))</f>
        <v/>
      </c>
      <c r="C78" s="44" t="n"/>
      <c r="D78" s="43">
        <f>IF($P78="","",INDEX(창고_재고현황!$B:$B,$P78))</f>
        <v/>
      </c>
      <c r="E78" s="43">
        <f>IF($P78="","",INDEX(창고_재고현황!$C:$C,$P78))</f>
        <v/>
      </c>
      <c r="F78" s="44" t="n"/>
      <c r="G78" s="43">
        <f>IF($P78="","",IF(INDEX(창고_재고현황!$E:$E,$P78)=0,"",INDEX(창고_재고현황!$E:$E,$P78)))</f>
        <v/>
      </c>
      <c r="H78" s="44" t="n"/>
      <c r="I78" s="45">
        <f>IF($J78="","",IFERROR(INDEX(고압진공_재고현황!$D:$D,MATCH($J78,고압진공_재고현황!$E:$E,0)),IFERROR(INDEX(조립자재_재고현황!$D:$D,MATCH($J78,조립자재_재고현황!$E:$E,0)),"")))</f>
        <v/>
      </c>
      <c r="J78" s="45">
        <f>IF($P78="","",INDEX(창고_재고현황!$D:$D,$P78))</f>
        <v/>
      </c>
      <c r="K78" s="44" t="n"/>
      <c r="L78" s="46" t="n"/>
      <c r="M78" s="46" t="n"/>
      <c r="N78" s="47" t="n"/>
      <c r="O78" s="44" t="n"/>
      <c r="P78" s="44">
        <f>IFERROR(MATCH(ROWS($P$2:P78),창고_재고현황!$H:$H,0),"")</f>
        <v/>
      </c>
      <c r="Q78" s="42" t="n"/>
      <c r="R78" s="42" t="n"/>
      <c r="S78" s="42" t="n"/>
      <c r="T78" s="42" t="n"/>
      <c r="U78" s="42" t="n"/>
    </row>
    <row r="79" ht="48" customHeight="1">
      <c r="A79" s="43">
        <f>IF($J79="","",IFERROR(INDEX(고압진공_재고현황!$B:$B,MATCH($J79,고압진공_재고현황!$E:$E,0)),IFERROR(INDEX(조립자재_재고현황!$B:$B,MATCH($J79,조립자재_재고현황!$E:$E,0)),"")))</f>
        <v/>
      </c>
      <c r="B79" s="43">
        <f>IF($J79="","",IFERROR(INDEX(고압진공_재고현황!$C:$C,MATCH($J79,고압진공_재고현황!$E:$E,0)),IFERROR(INDEX(조립자재_재고현황!$C:$C,MATCH($J79,조립자재_재고현황!$E:$E,0)),"")))</f>
        <v/>
      </c>
      <c r="C79" s="44" t="n"/>
      <c r="D79" s="43">
        <f>IF($P79="","",INDEX(창고_재고현황!$B:$B,$P79))</f>
        <v/>
      </c>
      <c r="E79" s="43">
        <f>IF($P79="","",INDEX(창고_재고현황!$C:$C,$P79))</f>
        <v/>
      </c>
      <c r="F79" s="44" t="n"/>
      <c r="G79" s="43">
        <f>IF($P79="","",IF(INDEX(창고_재고현황!$E:$E,$P79)=0,"",INDEX(창고_재고현황!$E:$E,$P79)))</f>
        <v/>
      </c>
      <c r="H79" s="44" t="n"/>
      <c r="I79" s="45">
        <f>IF($J79="","",IFERROR(INDEX(고압진공_재고현황!$D:$D,MATCH($J79,고압진공_재고현황!$E:$E,0)),IFERROR(INDEX(조립자재_재고현황!$D:$D,MATCH($J79,조립자재_재고현황!$E:$E,0)),"")))</f>
        <v/>
      </c>
      <c r="J79" s="45">
        <f>IF($P79="","",INDEX(창고_재고현황!$D:$D,$P79))</f>
        <v/>
      </c>
      <c r="K79" s="44" t="n"/>
      <c r="L79" s="46" t="n"/>
      <c r="M79" s="46" t="n"/>
      <c r="N79" s="47" t="n"/>
      <c r="O79" s="44" t="n"/>
      <c r="P79" s="44">
        <f>IFERROR(MATCH(ROWS($P$2:P79),창고_재고현황!$H:$H,0),"")</f>
        <v/>
      </c>
      <c r="Q79" s="42" t="n"/>
      <c r="R79" s="42" t="n"/>
      <c r="S79" s="42" t="n"/>
      <c r="T79" s="42" t="n"/>
      <c r="U79" s="42" t="n"/>
    </row>
    <row r="80" ht="48" customHeight="1">
      <c r="A80" s="43">
        <f>IF($J80="","",IFERROR(INDEX(고압진공_재고현황!$B:$B,MATCH($J80,고압진공_재고현황!$E:$E,0)),IFERROR(INDEX(조립자재_재고현황!$B:$B,MATCH($J80,조립자재_재고현황!$E:$E,0)),"")))</f>
        <v/>
      </c>
      <c r="B80" s="43">
        <f>IF($J80="","",IFERROR(INDEX(고압진공_재고현황!$C:$C,MATCH($J80,고압진공_재고현황!$E:$E,0)),IFERROR(INDEX(조립자재_재고현황!$C:$C,MATCH($J80,조립자재_재고현황!$E:$E,0)),"")))</f>
        <v/>
      </c>
      <c r="C80" s="44" t="n"/>
      <c r="D80" s="43">
        <f>IF($P80="","",INDEX(창고_재고현황!$B:$B,$P80))</f>
        <v/>
      </c>
      <c r="E80" s="43">
        <f>IF($P80="","",INDEX(창고_재고현황!$C:$C,$P80))</f>
        <v/>
      </c>
      <c r="F80" s="44" t="n"/>
      <c r="G80" s="43">
        <f>IF($P80="","",IF(INDEX(창고_재고현황!$E:$E,$P80)=0,"",INDEX(창고_재고현황!$E:$E,$P80)))</f>
        <v/>
      </c>
      <c r="H80" s="44" t="n"/>
      <c r="I80" s="45">
        <f>IF($J80="","",IFERROR(INDEX(고압진공_재고현황!$D:$D,MATCH($J80,고압진공_재고현황!$E:$E,0)),IFERROR(INDEX(조립자재_재고현황!$D:$D,MATCH($J80,조립자재_재고현황!$E:$E,0)),"")))</f>
        <v/>
      </c>
      <c r="J80" s="45">
        <f>IF($P80="","",INDEX(창고_재고현황!$D:$D,$P80))</f>
        <v/>
      </c>
      <c r="K80" s="44" t="n"/>
      <c r="L80" s="46" t="n"/>
      <c r="M80" s="46" t="n"/>
      <c r="N80" s="47" t="n"/>
      <c r="O80" s="44" t="n"/>
      <c r="P80" s="44">
        <f>IFERROR(MATCH(ROWS($P$2:P80),창고_재고현황!$H:$H,0),"")</f>
        <v/>
      </c>
      <c r="Q80" s="42" t="n"/>
      <c r="R80" s="42" t="n"/>
      <c r="S80" s="42" t="n"/>
      <c r="T80" s="42" t="n"/>
      <c r="U80" s="42" t="n"/>
    </row>
    <row r="81" ht="48" customHeight="1">
      <c r="A81" s="43">
        <f>IF($J81="","",IFERROR(INDEX(고압진공_재고현황!$B:$B,MATCH($J81,고압진공_재고현황!$E:$E,0)),IFERROR(INDEX(조립자재_재고현황!$B:$B,MATCH($J81,조립자재_재고현황!$E:$E,0)),"")))</f>
        <v/>
      </c>
      <c r="B81" s="43">
        <f>IF($J81="","",IFERROR(INDEX(고압진공_재고현황!$C:$C,MATCH($J81,고압진공_재고현황!$E:$E,0)),IFERROR(INDEX(조립자재_재고현황!$C:$C,MATCH($J81,조립자재_재고현황!$E:$E,0)),"")))</f>
        <v/>
      </c>
      <c r="C81" s="44" t="n"/>
      <c r="D81" s="43">
        <f>IF($P81="","",INDEX(창고_재고현황!$B:$B,$P81))</f>
        <v/>
      </c>
      <c r="E81" s="43">
        <f>IF($P81="","",INDEX(창고_재고현황!$C:$C,$P81))</f>
        <v/>
      </c>
      <c r="F81" s="44" t="n"/>
      <c r="G81" s="43">
        <f>IF($P81="","",IF(INDEX(창고_재고현황!$E:$E,$P81)=0,"",INDEX(창고_재고현황!$E:$E,$P81)))</f>
        <v/>
      </c>
      <c r="H81" s="44" t="n"/>
      <c r="I81" s="45">
        <f>IF($J81="","",IFERROR(INDEX(고압진공_재고현황!$D:$D,MATCH($J81,고압진공_재고현황!$E:$E,0)),IFERROR(INDEX(조립자재_재고현황!$D:$D,MATCH($J81,조립자재_재고현황!$E:$E,0)),"")))</f>
        <v/>
      </c>
      <c r="J81" s="45">
        <f>IF($P81="","",INDEX(창고_재고현황!$D:$D,$P81))</f>
        <v/>
      </c>
      <c r="K81" s="44" t="n"/>
      <c r="L81" s="46" t="n"/>
      <c r="M81" s="46" t="n"/>
      <c r="N81" s="47" t="n"/>
      <c r="O81" s="44" t="n"/>
      <c r="P81" s="44">
        <f>IFERROR(MATCH(ROWS($P$2:P81),창고_재고현황!$H:$H,0),"")</f>
        <v/>
      </c>
      <c r="Q81" s="42" t="n"/>
      <c r="R81" s="42" t="n"/>
      <c r="S81" s="42" t="n"/>
      <c r="T81" s="42" t="n"/>
      <c r="U81" s="42" t="n"/>
    </row>
    <row r="82" ht="48" customHeight="1">
      <c r="A82" s="43">
        <f>IF($J82="","",IFERROR(INDEX(고압진공_재고현황!$B:$B,MATCH($J82,고압진공_재고현황!$E:$E,0)),IFERROR(INDEX(조립자재_재고현황!$B:$B,MATCH($J82,조립자재_재고현황!$E:$E,0)),"")))</f>
        <v/>
      </c>
      <c r="B82" s="43">
        <f>IF($J82="","",IFERROR(INDEX(고압진공_재고현황!$C:$C,MATCH($J82,고압진공_재고현황!$E:$E,0)),IFERROR(INDEX(조립자재_재고현황!$C:$C,MATCH($J82,조립자재_재고현황!$E:$E,0)),"")))</f>
        <v/>
      </c>
      <c r="C82" s="44" t="n"/>
      <c r="D82" s="43">
        <f>IF($P82="","",INDEX(창고_재고현황!$B:$B,$P82))</f>
        <v/>
      </c>
      <c r="E82" s="43">
        <f>IF($P82="","",INDEX(창고_재고현황!$C:$C,$P82))</f>
        <v/>
      </c>
      <c r="F82" s="44" t="n"/>
      <c r="G82" s="43">
        <f>IF($P82="","",IF(INDEX(창고_재고현황!$E:$E,$P82)=0,"",INDEX(창고_재고현황!$E:$E,$P82)))</f>
        <v/>
      </c>
      <c r="H82" s="44" t="n"/>
      <c r="I82" s="45">
        <f>IF($J82="","",IFERROR(INDEX(고압진공_재고현황!$D:$D,MATCH($J82,고압진공_재고현황!$E:$E,0)),IFERROR(INDEX(조립자재_재고현황!$D:$D,MATCH($J82,조립자재_재고현황!$E:$E,0)),"")))</f>
        <v/>
      </c>
      <c r="J82" s="45">
        <f>IF($P82="","",INDEX(창고_재고현황!$D:$D,$P82))</f>
        <v/>
      </c>
      <c r="K82" s="44" t="n"/>
      <c r="L82" s="46" t="n"/>
      <c r="M82" s="46" t="n"/>
      <c r="N82" s="47" t="n"/>
      <c r="O82" s="44" t="n"/>
      <c r="P82" s="44">
        <f>IFERROR(MATCH(ROWS($P$2:P82),창고_재고현황!$H:$H,0),"")</f>
        <v/>
      </c>
      <c r="Q82" s="42" t="n"/>
      <c r="R82" s="42" t="n"/>
      <c r="S82" s="42" t="n"/>
      <c r="T82" s="42" t="n"/>
      <c r="U82" s="42" t="n"/>
    </row>
    <row r="83" ht="48" customHeight="1">
      <c r="A83" s="43">
        <f>IF($J83="","",IFERROR(INDEX(고압진공_재고현황!$B:$B,MATCH($J83,고압진공_재고현황!$E:$E,0)),IFERROR(INDEX(조립자재_재고현황!$B:$B,MATCH($J83,조립자재_재고현황!$E:$E,0)),"")))</f>
        <v/>
      </c>
      <c r="B83" s="43">
        <f>IF($J83="","",IFERROR(INDEX(고압진공_재고현황!$C:$C,MATCH($J83,고압진공_재고현황!$E:$E,0)),IFERROR(INDEX(조립자재_재고현황!$C:$C,MATCH($J83,조립자재_재고현황!$E:$E,0)),"")))</f>
        <v/>
      </c>
      <c r="C83" s="44" t="n"/>
      <c r="D83" s="43">
        <f>IF($P83="","",INDEX(창고_재고현황!$B:$B,$P83))</f>
        <v/>
      </c>
      <c r="E83" s="43">
        <f>IF($P83="","",INDEX(창고_재고현황!$C:$C,$P83))</f>
        <v/>
      </c>
      <c r="F83" s="44" t="n"/>
      <c r="G83" s="43">
        <f>IF($P83="","",IF(INDEX(창고_재고현황!$E:$E,$P83)=0,"",INDEX(창고_재고현황!$E:$E,$P83)))</f>
        <v/>
      </c>
      <c r="H83" s="44" t="n"/>
      <c r="I83" s="45">
        <f>IF($J83="","",IFERROR(INDEX(고압진공_재고현황!$D:$D,MATCH($J83,고압진공_재고현황!$E:$E,0)),IFERROR(INDEX(조립자재_재고현황!$D:$D,MATCH($J83,조립자재_재고현황!$E:$E,0)),"")))</f>
        <v/>
      </c>
      <c r="J83" s="45">
        <f>IF($P83="","",INDEX(창고_재고현황!$D:$D,$P83))</f>
        <v/>
      </c>
      <c r="K83" s="44" t="n"/>
      <c r="L83" s="46" t="n"/>
      <c r="M83" s="46" t="n"/>
      <c r="N83" s="47" t="n"/>
      <c r="O83" s="44" t="n"/>
      <c r="P83" s="44">
        <f>IFERROR(MATCH(ROWS($P$2:P83),창고_재고현황!$H:$H,0),"")</f>
        <v/>
      </c>
      <c r="Q83" s="42" t="n"/>
      <c r="R83" s="42" t="n"/>
      <c r="S83" s="42" t="n"/>
      <c r="T83" s="42" t="n"/>
      <c r="U83" s="42" t="n"/>
    </row>
    <row r="84" ht="48" customHeight="1">
      <c r="A84" s="43">
        <f>IF($J84="","",IFERROR(INDEX(고압진공_재고현황!$B:$B,MATCH($J84,고압진공_재고현황!$E:$E,0)),IFERROR(INDEX(조립자재_재고현황!$B:$B,MATCH($J84,조립자재_재고현황!$E:$E,0)),"")))</f>
        <v/>
      </c>
      <c r="B84" s="43">
        <f>IF($J84="","",IFERROR(INDEX(고압진공_재고현황!$C:$C,MATCH($J84,고압진공_재고현황!$E:$E,0)),IFERROR(INDEX(조립자재_재고현황!$C:$C,MATCH($J84,조립자재_재고현황!$E:$E,0)),"")))</f>
        <v/>
      </c>
      <c r="C84" s="44" t="n"/>
      <c r="D84" s="43">
        <f>IF($P84="","",INDEX(창고_재고현황!$B:$B,$P84))</f>
        <v/>
      </c>
      <c r="E84" s="43">
        <f>IF($P84="","",INDEX(창고_재고현황!$C:$C,$P84))</f>
        <v/>
      </c>
      <c r="F84" s="44" t="n"/>
      <c r="G84" s="43">
        <f>IF($P84="","",IF(INDEX(창고_재고현황!$E:$E,$P84)=0,"",INDEX(창고_재고현황!$E:$E,$P84)))</f>
        <v/>
      </c>
      <c r="H84" s="44" t="n"/>
      <c r="I84" s="45">
        <f>IF($J84="","",IFERROR(INDEX(고압진공_재고현황!$D:$D,MATCH($J84,고압진공_재고현황!$E:$E,0)),IFERROR(INDEX(조립자재_재고현황!$D:$D,MATCH($J84,조립자재_재고현황!$E:$E,0)),"")))</f>
        <v/>
      </c>
      <c r="J84" s="45">
        <f>IF($P84="","",INDEX(창고_재고현황!$D:$D,$P84))</f>
        <v/>
      </c>
      <c r="K84" s="44" t="n"/>
      <c r="L84" s="46" t="n"/>
      <c r="M84" s="46" t="n"/>
      <c r="N84" s="47" t="n"/>
      <c r="O84" s="44" t="n"/>
      <c r="P84" s="44">
        <f>IFERROR(MATCH(ROWS($P$2:P84),창고_재고현황!$H:$H,0),"")</f>
        <v/>
      </c>
      <c r="Q84" s="42" t="n"/>
      <c r="R84" s="42" t="n"/>
      <c r="S84" s="42" t="n"/>
      <c r="T84" s="42" t="n"/>
      <c r="U84" s="42" t="n"/>
    </row>
    <row r="85" ht="48" customHeight="1">
      <c r="A85" s="43">
        <f>IF($J85="","",IFERROR(INDEX(고압진공_재고현황!$B:$B,MATCH($J85,고압진공_재고현황!$E:$E,0)),IFERROR(INDEX(조립자재_재고현황!$B:$B,MATCH($J85,조립자재_재고현황!$E:$E,0)),"")))</f>
        <v/>
      </c>
      <c r="B85" s="43">
        <f>IF($J85="","",IFERROR(INDEX(고압진공_재고현황!$C:$C,MATCH($J85,고압진공_재고현황!$E:$E,0)),IFERROR(INDEX(조립자재_재고현황!$C:$C,MATCH($J85,조립자재_재고현황!$E:$E,0)),"")))</f>
        <v/>
      </c>
      <c r="C85" s="44" t="n"/>
      <c r="D85" s="43">
        <f>IF($P85="","",INDEX(창고_재고현황!$B:$B,$P85))</f>
        <v/>
      </c>
      <c r="E85" s="43">
        <f>IF($P85="","",INDEX(창고_재고현황!$C:$C,$P85))</f>
        <v/>
      </c>
      <c r="F85" s="44" t="n"/>
      <c r="G85" s="43">
        <f>IF($P85="","",IF(INDEX(창고_재고현황!$E:$E,$P85)=0,"",INDEX(창고_재고현황!$E:$E,$P85)))</f>
        <v/>
      </c>
      <c r="H85" s="44" t="n"/>
      <c r="I85" s="45">
        <f>IF($J85="","",IFERROR(INDEX(고압진공_재고현황!$D:$D,MATCH($J85,고압진공_재고현황!$E:$E,0)),IFERROR(INDEX(조립자재_재고현황!$D:$D,MATCH($J85,조립자재_재고현황!$E:$E,0)),"")))</f>
        <v/>
      </c>
      <c r="J85" s="45">
        <f>IF($P85="","",INDEX(창고_재고현황!$D:$D,$P85))</f>
        <v/>
      </c>
      <c r="K85" s="44" t="n"/>
      <c r="L85" s="46" t="n"/>
      <c r="M85" s="46" t="n"/>
      <c r="N85" s="47" t="n"/>
      <c r="O85" s="44" t="n"/>
      <c r="P85" s="44">
        <f>IFERROR(MATCH(ROWS($P$2:P85),창고_재고현황!$H:$H,0),"")</f>
        <v/>
      </c>
      <c r="Q85" s="42" t="n"/>
      <c r="R85" s="42" t="n"/>
      <c r="S85" s="42" t="n"/>
      <c r="T85" s="42" t="n"/>
      <c r="U85" s="42" t="n"/>
    </row>
    <row r="86" ht="48" customHeight="1">
      <c r="A86" s="43">
        <f>IF($J86="","",IFERROR(INDEX(고압진공_재고현황!$B:$B,MATCH($J86,고압진공_재고현황!$E:$E,0)),IFERROR(INDEX(조립자재_재고현황!$B:$B,MATCH($J86,조립자재_재고현황!$E:$E,0)),"")))</f>
        <v/>
      </c>
      <c r="B86" s="43">
        <f>IF($J86="","",IFERROR(INDEX(고압진공_재고현황!$C:$C,MATCH($J86,고압진공_재고현황!$E:$E,0)),IFERROR(INDEX(조립자재_재고현황!$C:$C,MATCH($J86,조립자재_재고현황!$E:$E,0)),"")))</f>
        <v/>
      </c>
      <c r="C86" s="44" t="n"/>
      <c r="D86" s="43">
        <f>IF($P86="","",INDEX(창고_재고현황!$B:$B,$P86))</f>
        <v/>
      </c>
      <c r="E86" s="43">
        <f>IF($P86="","",INDEX(창고_재고현황!$C:$C,$P86))</f>
        <v/>
      </c>
      <c r="F86" s="44" t="n"/>
      <c r="G86" s="43">
        <f>IF($P86="","",IF(INDEX(창고_재고현황!$E:$E,$P86)=0,"",INDEX(창고_재고현황!$E:$E,$P86)))</f>
        <v/>
      </c>
      <c r="H86" s="44" t="n"/>
      <c r="I86" s="45">
        <f>IF($J86="","",IFERROR(INDEX(고압진공_재고현황!$D:$D,MATCH($J86,고압진공_재고현황!$E:$E,0)),IFERROR(INDEX(조립자재_재고현황!$D:$D,MATCH($J86,조립자재_재고현황!$E:$E,0)),"")))</f>
        <v/>
      </c>
      <c r="J86" s="45">
        <f>IF($P86="","",INDEX(창고_재고현황!$D:$D,$P86))</f>
        <v/>
      </c>
      <c r="K86" s="44" t="n"/>
      <c r="L86" s="46" t="n"/>
      <c r="M86" s="46" t="n"/>
      <c r="N86" s="47" t="n"/>
      <c r="O86" s="44" t="n"/>
      <c r="P86" s="44">
        <f>IFERROR(MATCH(ROWS($P$2:P86),창고_재고현황!$H:$H,0),"")</f>
        <v/>
      </c>
      <c r="Q86" s="42" t="n"/>
      <c r="R86" s="42" t="n"/>
      <c r="S86" s="42" t="n"/>
      <c r="T86" s="42" t="n"/>
      <c r="U86" s="42" t="n"/>
    </row>
    <row r="87" ht="48" customHeight="1">
      <c r="A87" s="43">
        <f>IF($J87="","",IFERROR(INDEX(고압진공_재고현황!$B:$B,MATCH($J87,고압진공_재고현황!$E:$E,0)),IFERROR(INDEX(조립자재_재고현황!$B:$B,MATCH($J87,조립자재_재고현황!$E:$E,0)),"")))</f>
        <v/>
      </c>
      <c r="B87" s="43">
        <f>IF($J87="","",IFERROR(INDEX(고압진공_재고현황!$C:$C,MATCH($J87,고압진공_재고현황!$E:$E,0)),IFERROR(INDEX(조립자재_재고현황!$C:$C,MATCH($J87,조립자재_재고현황!$E:$E,0)),"")))</f>
        <v/>
      </c>
      <c r="C87" s="44" t="n"/>
      <c r="D87" s="43">
        <f>IF($P87="","",INDEX(창고_재고현황!$B:$B,$P87))</f>
        <v/>
      </c>
      <c r="E87" s="43">
        <f>IF($P87="","",INDEX(창고_재고현황!$C:$C,$P87))</f>
        <v/>
      </c>
      <c r="F87" s="44" t="n"/>
      <c r="G87" s="43">
        <f>IF($P87="","",IF(INDEX(창고_재고현황!$E:$E,$P87)=0,"",INDEX(창고_재고현황!$E:$E,$P87)))</f>
        <v/>
      </c>
      <c r="H87" s="44" t="n"/>
      <c r="I87" s="45">
        <f>IF($J87="","",IFERROR(INDEX(고압진공_재고현황!$D:$D,MATCH($J87,고압진공_재고현황!$E:$E,0)),IFERROR(INDEX(조립자재_재고현황!$D:$D,MATCH($J87,조립자재_재고현황!$E:$E,0)),"")))</f>
        <v/>
      </c>
      <c r="J87" s="45">
        <f>IF($P87="","",INDEX(창고_재고현황!$D:$D,$P87))</f>
        <v/>
      </c>
      <c r="K87" s="44" t="n"/>
      <c r="L87" s="46" t="n"/>
      <c r="M87" s="46" t="n"/>
      <c r="N87" s="47" t="n"/>
      <c r="O87" s="44" t="n"/>
      <c r="P87" s="44">
        <f>IFERROR(MATCH(ROWS($P$2:P87),창고_재고현황!$H:$H,0),"")</f>
        <v/>
      </c>
      <c r="Q87" s="42" t="n"/>
      <c r="R87" s="42" t="n"/>
      <c r="S87" s="42" t="n"/>
      <c r="T87" s="42" t="n"/>
      <c r="U87" s="42" t="n"/>
    </row>
    <row r="88" ht="48" customHeight="1">
      <c r="A88" s="43">
        <f>IF($J88="","",IFERROR(INDEX(고압진공_재고현황!$B:$B,MATCH($J88,고압진공_재고현황!$E:$E,0)),IFERROR(INDEX(조립자재_재고현황!$B:$B,MATCH($J88,조립자재_재고현황!$E:$E,0)),"")))</f>
        <v/>
      </c>
      <c r="B88" s="43">
        <f>IF($J88="","",IFERROR(INDEX(고압진공_재고현황!$C:$C,MATCH($J88,고압진공_재고현황!$E:$E,0)),IFERROR(INDEX(조립자재_재고현황!$C:$C,MATCH($J88,조립자재_재고현황!$E:$E,0)),"")))</f>
        <v/>
      </c>
      <c r="C88" s="44" t="n"/>
      <c r="D88" s="43">
        <f>IF($P88="","",INDEX(창고_재고현황!$B:$B,$P88))</f>
        <v/>
      </c>
      <c r="E88" s="43">
        <f>IF($P88="","",INDEX(창고_재고현황!$C:$C,$P88))</f>
        <v/>
      </c>
      <c r="F88" s="44" t="n"/>
      <c r="G88" s="43">
        <f>IF($P88="","",IF(INDEX(창고_재고현황!$E:$E,$P88)=0,"",INDEX(창고_재고현황!$E:$E,$P88)))</f>
        <v/>
      </c>
      <c r="H88" s="44" t="n"/>
      <c r="I88" s="45">
        <f>IF($J88="","",IFERROR(INDEX(고압진공_재고현황!$D:$D,MATCH($J88,고압진공_재고현황!$E:$E,0)),IFERROR(INDEX(조립자재_재고현황!$D:$D,MATCH($J88,조립자재_재고현황!$E:$E,0)),"")))</f>
        <v/>
      </c>
      <c r="J88" s="45">
        <f>IF($P88="","",INDEX(창고_재고현황!$D:$D,$P88))</f>
        <v/>
      </c>
      <c r="K88" s="44" t="n"/>
      <c r="L88" s="46" t="n"/>
      <c r="M88" s="46" t="n"/>
      <c r="N88" s="47" t="n"/>
      <c r="O88" s="44" t="n"/>
      <c r="P88" s="44">
        <f>IFERROR(MATCH(ROWS($P$2:P88),창고_재고현황!$H:$H,0),"")</f>
        <v/>
      </c>
      <c r="Q88" s="42" t="n"/>
      <c r="R88" s="42" t="n"/>
      <c r="S88" s="42" t="n"/>
      <c r="T88" s="42" t="n"/>
      <c r="U88" s="42" t="n"/>
    </row>
    <row r="89" ht="48" customHeight="1">
      <c r="A89" s="43">
        <f>IF($J89="","",IFERROR(INDEX(고압진공_재고현황!$B:$B,MATCH($J89,고압진공_재고현황!$E:$E,0)),IFERROR(INDEX(조립자재_재고현황!$B:$B,MATCH($J89,조립자재_재고현황!$E:$E,0)),"")))</f>
        <v/>
      </c>
      <c r="B89" s="43">
        <f>IF($J89="","",IFERROR(INDEX(고압진공_재고현황!$C:$C,MATCH($J89,고압진공_재고현황!$E:$E,0)),IFERROR(INDEX(조립자재_재고현황!$C:$C,MATCH($J89,조립자재_재고현황!$E:$E,0)),"")))</f>
        <v/>
      </c>
      <c r="C89" s="44" t="n"/>
      <c r="D89" s="43">
        <f>IF($P89="","",INDEX(창고_재고현황!$B:$B,$P89))</f>
        <v/>
      </c>
      <c r="E89" s="43">
        <f>IF($P89="","",INDEX(창고_재고현황!$C:$C,$P89))</f>
        <v/>
      </c>
      <c r="F89" s="44" t="n"/>
      <c r="G89" s="43">
        <f>IF($P89="","",IF(INDEX(창고_재고현황!$E:$E,$P89)=0,"",INDEX(창고_재고현황!$E:$E,$P89)))</f>
        <v/>
      </c>
      <c r="H89" s="44" t="n"/>
      <c r="I89" s="45">
        <f>IF($J89="","",IFERROR(INDEX(고압진공_재고현황!$D:$D,MATCH($J89,고압진공_재고현황!$E:$E,0)),IFERROR(INDEX(조립자재_재고현황!$D:$D,MATCH($J89,조립자재_재고현황!$E:$E,0)),"")))</f>
        <v/>
      </c>
      <c r="J89" s="45">
        <f>IF($P89="","",INDEX(창고_재고현황!$D:$D,$P89))</f>
        <v/>
      </c>
      <c r="K89" s="44" t="n"/>
      <c r="L89" s="46" t="n"/>
      <c r="M89" s="46" t="n"/>
      <c r="N89" s="47" t="n"/>
      <c r="O89" s="44" t="n"/>
      <c r="P89" s="44">
        <f>IFERROR(MATCH(ROWS($P$2:P89),창고_재고현황!$H:$H,0),"")</f>
        <v/>
      </c>
      <c r="Q89" s="42" t="n"/>
      <c r="R89" s="42" t="n"/>
      <c r="S89" s="42" t="n"/>
      <c r="T89" s="42" t="n"/>
      <c r="U89" s="42" t="n"/>
    </row>
    <row r="90" ht="48" customHeight="1">
      <c r="A90" s="43">
        <f>IF($J90="","",IFERROR(INDEX(고압진공_재고현황!$B:$B,MATCH($J90,고압진공_재고현황!$E:$E,0)),IFERROR(INDEX(조립자재_재고현황!$B:$B,MATCH($J90,조립자재_재고현황!$E:$E,0)),"")))</f>
        <v/>
      </c>
      <c r="B90" s="43">
        <f>IF($J90="","",IFERROR(INDEX(고압진공_재고현황!$C:$C,MATCH($J90,고압진공_재고현황!$E:$E,0)),IFERROR(INDEX(조립자재_재고현황!$C:$C,MATCH($J90,조립자재_재고현황!$E:$E,0)),"")))</f>
        <v/>
      </c>
      <c r="C90" s="44" t="n"/>
      <c r="D90" s="43">
        <f>IF($P90="","",INDEX(창고_재고현황!$B:$B,$P90))</f>
        <v/>
      </c>
      <c r="E90" s="43">
        <f>IF($P90="","",INDEX(창고_재고현황!$C:$C,$P90))</f>
        <v/>
      </c>
      <c r="F90" s="44" t="n"/>
      <c r="G90" s="43">
        <f>IF($P90="","",IF(INDEX(창고_재고현황!$E:$E,$P90)=0,"",INDEX(창고_재고현황!$E:$E,$P90)))</f>
        <v/>
      </c>
      <c r="H90" s="44" t="n"/>
      <c r="I90" s="45">
        <f>IF($J90="","",IFERROR(INDEX(고압진공_재고현황!$D:$D,MATCH($J90,고압진공_재고현황!$E:$E,0)),IFERROR(INDEX(조립자재_재고현황!$D:$D,MATCH($J90,조립자재_재고현황!$E:$E,0)),"")))</f>
        <v/>
      </c>
      <c r="J90" s="45">
        <f>IF($P90="","",INDEX(창고_재고현황!$D:$D,$P90))</f>
        <v/>
      </c>
      <c r="K90" s="44" t="n"/>
      <c r="L90" s="46" t="n"/>
      <c r="M90" s="46" t="n"/>
      <c r="N90" s="47" t="n"/>
      <c r="O90" s="44" t="n"/>
      <c r="P90" s="44">
        <f>IFERROR(MATCH(ROWS($P$2:P90),창고_재고현황!$H:$H,0),"")</f>
        <v/>
      </c>
      <c r="Q90" s="42" t="n"/>
      <c r="R90" s="42" t="n"/>
      <c r="S90" s="42" t="n"/>
      <c r="T90" s="42" t="n"/>
      <c r="U90" s="42" t="n"/>
    </row>
    <row r="91" ht="48" customHeight="1">
      <c r="A91" s="43">
        <f>IF($J91="","",IFERROR(INDEX(고압진공_재고현황!$B:$B,MATCH($J91,고압진공_재고현황!$E:$E,0)),IFERROR(INDEX(조립자재_재고현황!$B:$B,MATCH($J91,조립자재_재고현황!$E:$E,0)),"")))</f>
        <v/>
      </c>
      <c r="B91" s="43">
        <f>IF($J91="","",IFERROR(INDEX(고압진공_재고현황!$C:$C,MATCH($J91,고압진공_재고현황!$E:$E,0)),IFERROR(INDEX(조립자재_재고현황!$C:$C,MATCH($J91,조립자재_재고현황!$E:$E,0)),"")))</f>
        <v/>
      </c>
      <c r="C91" s="44" t="n"/>
      <c r="D91" s="43">
        <f>IF($P91="","",INDEX(창고_재고현황!$B:$B,$P91))</f>
        <v/>
      </c>
      <c r="E91" s="43">
        <f>IF($P91="","",INDEX(창고_재고현황!$C:$C,$P91))</f>
        <v/>
      </c>
      <c r="F91" s="44" t="n"/>
      <c r="G91" s="43">
        <f>IF($P91="","",IF(INDEX(창고_재고현황!$E:$E,$P91)=0,"",INDEX(창고_재고현황!$E:$E,$P91)))</f>
        <v/>
      </c>
      <c r="H91" s="44" t="n"/>
      <c r="I91" s="45">
        <f>IF($J91="","",IFERROR(INDEX(고압진공_재고현황!$D:$D,MATCH($J91,고압진공_재고현황!$E:$E,0)),IFERROR(INDEX(조립자재_재고현황!$D:$D,MATCH($J91,조립자재_재고현황!$E:$E,0)),"")))</f>
        <v/>
      </c>
      <c r="J91" s="45">
        <f>IF($P91="","",INDEX(창고_재고현황!$D:$D,$P91))</f>
        <v/>
      </c>
      <c r="K91" s="44" t="n"/>
      <c r="L91" s="46" t="n"/>
      <c r="M91" s="46" t="n"/>
      <c r="N91" s="47" t="n"/>
      <c r="O91" s="44" t="n"/>
      <c r="P91" s="44">
        <f>IFERROR(MATCH(ROWS($P$2:P91),창고_재고현황!$H:$H,0),"")</f>
        <v/>
      </c>
      <c r="Q91" s="42" t="n"/>
      <c r="R91" s="42" t="n"/>
      <c r="S91" s="42" t="n"/>
      <c r="T91" s="42" t="n"/>
      <c r="U91" s="42" t="n"/>
    </row>
    <row r="92" ht="48" customHeight="1">
      <c r="A92" s="43">
        <f>IF($J92="","",IFERROR(INDEX(고압진공_재고현황!$B:$B,MATCH($J92,고압진공_재고현황!$E:$E,0)),IFERROR(INDEX(조립자재_재고현황!$B:$B,MATCH($J92,조립자재_재고현황!$E:$E,0)),"")))</f>
        <v/>
      </c>
      <c r="B92" s="43">
        <f>IF($J92="","",IFERROR(INDEX(고압진공_재고현황!$C:$C,MATCH($J92,고압진공_재고현황!$E:$E,0)),IFERROR(INDEX(조립자재_재고현황!$C:$C,MATCH($J92,조립자재_재고현황!$E:$E,0)),"")))</f>
        <v/>
      </c>
      <c r="C92" s="44" t="n"/>
      <c r="D92" s="43">
        <f>IF($P92="","",INDEX(창고_재고현황!$B:$B,$P92))</f>
        <v/>
      </c>
      <c r="E92" s="43">
        <f>IF($P92="","",INDEX(창고_재고현황!$C:$C,$P92))</f>
        <v/>
      </c>
      <c r="F92" s="44" t="n"/>
      <c r="G92" s="43">
        <f>IF($P92="","",IF(INDEX(창고_재고현황!$E:$E,$P92)=0,"",INDEX(창고_재고현황!$E:$E,$P92)))</f>
        <v/>
      </c>
      <c r="H92" s="44" t="n"/>
      <c r="I92" s="45">
        <f>IF($J92="","",IFERROR(INDEX(고압진공_재고현황!$D:$D,MATCH($J92,고압진공_재고현황!$E:$E,0)),IFERROR(INDEX(조립자재_재고현황!$D:$D,MATCH($J92,조립자재_재고현황!$E:$E,0)),"")))</f>
        <v/>
      </c>
      <c r="J92" s="45">
        <f>IF($P92="","",INDEX(창고_재고현황!$D:$D,$P92))</f>
        <v/>
      </c>
      <c r="K92" s="44" t="n"/>
      <c r="L92" s="46" t="n"/>
      <c r="M92" s="46" t="n"/>
      <c r="N92" s="47" t="n"/>
      <c r="O92" s="44" t="n"/>
      <c r="P92" s="44">
        <f>IFERROR(MATCH(ROWS($P$2:P92),창고_재고현황!$H:$H,0),"")</f>
        <v/>
      </c>
      <c r="Q92" s="42" t="n"/>
      <c r="R92" s="42" t="n"/>
      <c r="S92" s="42" t="n"/>
      <c r="T92" s="42" t="n"/>
      <c r="U92" s="42" t="n"/>
    </row>
    <row r="93" ht="48" customHeight="1">
      <c r="A93" s="43">
        <f>IF($J93="","",IFERROR(INDEX(고압진공_재고현황!$B:$B,MATCH($J93,고압진공_재고현황!$E:$E,0)),IFERROR(INDEX(조립자재_재고현황!$B:$B,MATCH($J93,조립자재_재고현황!$E:$E,0)),"")))</f>
        <v/>
      </c>
      <c r="B93" s="43">
        <f>IF($J93="","",IFERROR(INDEX(고압진공_재고현황!$C:$C,MATCH($J93,고압진공_재고현황!$E:$E,0)),IFERROR(INDEX(조립자재_재고현황!$C:$C,MATCH($J93,조립자재_재고현황!$E:$E,0)),"")))</f>
        <v/>
      </c>
      <c r="C93" s="44" t="n"/>
      <c r="D93" s="43">
        <f>IF($P93="","",INDEX(창고_재고현황!$B:$B,$P93))</f>
        <v/>
      </c>
      <c r="E93" s="43">
        <f>IF($P93="","",INDEX(창고_재고현황!$C:$C,$P93))</f>
        <v/>
      </c>
      <c r="F93" s="44" t="n"/>
      <c r="G93" s="43">
        <f>IF($P93="","",IF(INDEX(창고_재고현황!$E:$E,$P93)=0,"",INDEX(창고_재고현황!$E:$E,$P93)))</f>
        <v/>
      </c>
      <c r="H93" s="44" t="n"/>
      <c r="I93" s="45">
        <f>IF($J93="","",IFERROR(INDEX(고압진공_재고현황!$D:$D,MATCH($J93,고압진공_재고현황!$E:$E,0)),IFERROR(INDEX(조립자재_재고현황!$D:$D,MATCH($J93,조립자재_재고현황!$E:$E,0)),"")))</f>
        <v/>
      </c>
      <c r="J93" s="45">
        <f>IF($P93="","",INDEX(창고_재고현황!$D:$D,$P93))</f>
        <v/>
      </c>
      <c r="K93" s="44" t="n"/>
      <c r="L93" s="46" t="n"/>
      <c r="M93" s="46" t="n"/>
      <c r="N93" s="47" t="n"/>
      <c r="O93" s="44" t="n"/>
      <c r="P93" s="44">
        <f>IFERROR(MATCH(ROWS($P$2:P93),창고_재고현황!$H:$H,0),"")</f>
        <v/>
      </c>
      <c r="Q93" s="42" t="n"/>
      <c r="R93" s="42" t="n"/>
      <c r="S93" s="42" t="n"/>
      <c r="T93" s="42" t="n"/>
      <c r="U93" s="42" t="n"/>
    </row>
    <row r="94" ht="48" customHeight="1">
      <c r="A94" s="43">
        <f>IF($J94="","",IFERROR(INDEX(고압진공_재고현황!$B:$B,MATCH($J94,고압진공_재고현황!$E:$E,0)),IFERROR(INDEX(조립자재_재고현황!$B:$B,MATCH($J94,조립자재_재고현황!$E:$E,0)),"")))</f>
        <v/>
      </c>
      <c r="B94" s="43">
        <f>IF($J94="","",IFERROR(INDEX(고압진공_재고현황!$C:$C,MATCH($J94,고압진공_재고현황!$E:$E,0)),IFERROR(INDEX(조립자재_재고현황!$C:$C,MATCH($J94,조립자재_재고현황!$E:$E,0)),"")))</f>
        <v/>
      </c>
      <c r="C94" s="44" t="n"/>
      <c r="D94" s="43">
        <f>IF($P94="","",INDEX(창고_재고현황!$B:$B,$P94))</f>
        <v/>
      </c>
      <c r="E94" s="43">
        <f>IF($P94="","",INDEX(창고_재고현황!$C:$C,$P94))</f>
        <v/>
      </c>
      <c r="F94" s="44" t="n"/>
      <c r="G94" s="43">
        <f>IF($P94="","",IF(INDEX(창고_재고현황!$E:$E,$P94)=0,"",INDEX(창고_재고현황!$E:$E,$P94)))</f>
        <v/>
      </c>
      <c r="H94" s="44" t="n"/>
      <c r="I94" s="45">
        <f>IF($J94="","",IFERROR(INDEX(고압진공_재고현황!$D:$D,MATCH($J94,고압진공_재고현황!$E:$E,0)),IFERROR(INDEX(조립자재_재고현황!$D:$D,MATCH($J94,조립자재_재고현황!$E:$E,0)),"")))</f>
        <v/>
      </c>
      <c r="J94" s="45">
        <f>IF($P94="","",INDEX(창고_재고현황!$D:$D,$P94))</f>
        <v/>
      </c>
      <c r="K94" s="44" t="n"/>
      <c r="L94" s="46" t="n"/>
      <c r="M94" s="46" t="n"/>
      <c r="N94" s="47" t="n"/>
      <c r="O94" s="44" t="n"/>
      <c r="P94" s="44">
        <f>IFERROR(MATCH(ROWS($P$2:P94),창고_재고현황!$H:$H,0),"")</f>
        <v/>
      </c>
      <c r="Q94" s="42" t="n"/>
      <c r="R94" s="42" t="n"/>
      <c r="S94" s="42" t="n"/>
      <c r="T94" s="42" t="n"/>
      <c r="U94" s="42" t="n"/>
    </row>
    <row r="95" ht="48" customHeight="1">
      <c r="A95" s="43">
        <f>IF($J95="","",IFERROR(INDEX(고압진공_재고현황!$B:$B,MATCH($J95,고압진공_재고현황!$E:$E,0)),IFERROR(INDEX(조립자재_재고현황!$B:$B,MATCH($J95,조립자재_재고현황!$E:$E,0)),"")))</f>
        <v/>
      </c>
      <c r="B95" s="43">
        <f>IF($J95="","",IFERROR(INDEX(고압진공_재고현황!$C:$C,MATCH($J95,고압진공_재고현황!$E:$E,0)),IFERROR(INDEX(조립자재_재고현황!$C:$C,MATCH($J95,조립자재_재고현황!$E:$E,0)),"")))</f>
        <v/>
      </c>
      <c r="C95" s="44" t="n"/>
      <c r="D95" s="43">
        <f>IF($P95="","",INDEX(창고_재고현황!$B:$B,$P95))</f>
        <v/>
      </c>
      <c r="E95" s="43">
        <f>IF($P95="","",INDEX(창고_재고현황!$C:$C,$P95))</f>
        <v/>
      </c>
      <c r="F95" s="44" t="n"/>
      <c r="G95" s="43">
        <f>IF($P95="","",IF(INDEX(창고_재고현황!$E:$E,$P95)=0,"",INDEX(창고_재고현황!$E:$E,$P95)))</f>
        <v/>
      </c>
      <c r="H95" s="44" t="n"/>
      <c r="I95" s="45">
        <f>IF($J95="","",IFERROR(INDEX(고압진공_재고현황!$D:$D,MATCH($J95,고압진공_재고현황!$E:$E,0)),IFERROR(INDEX(조립자재_재고현황!$D:$D,MATCH($J95,조립자재_재고현황!$E:$E,0)),"")))</f>
        <v/>
      </c>
      <c r="J95" s="45">
        <f>IF($P95="","",INDEX(창고_재고현황!$D:$D,$P95))</f>
        <v/>
      </c>
      <c r="K95" s="44" t="n"/>
      <c r="L95" s="46" t="n"/>
      <c r="M95" s="46" t="n"/>
      <c r="N95" s="47" t="n"/>
      <c r="O95" s="44" t="n"/>
      <c r="P95" s="44">
        <f>IFERROR(MATCH(ROWS($P$2:P95),창고_재고현황!$H:$H,0),"")</f>
        <v/>
      </c>
      <c r="Q95" s="42" t="n"/>
      <c r="R95" s="42" t="n"/>
      <c r="S95" s="42" t="n"/>
      <c r="T95" s="42" t="n"/>
      <c r="U95" s="42" t="n"/>
    </row>
    <row r="96" ht="48" customHeight="1">
      <c r="A96" s="43">
        <f>IF($J96="","",IFERROR(INDEX(고압진공_재고현황!$B:$B,MATCH($J96,고압진공_재고현황!$E:$E,0)),IFERROR(INDEX(조립자재_재고현황!$B:$B,MATCH($J96,조립자재_재고현황!$E:$E,0)),"")))</f>
        <v/>
      </c>
      <c r="B96" s="43">
        <f>IF($J96="","",IFERROR(INDEX(고압진공_재고현황!$C:$C,MATCH($J96,고압진공_재고현황!$E:$E,0)),IFERROR(INDEX(조립자재_재고현황!$C:$C,MATCH($J96,조립자재_재고현황!$E:$E,0)),"")))</f>
        <v/>
      </c>
      <c r="C96" s="44" t="n"/>
      <c r="D96" s="43">
        <f>IF($P96="","",INDEX(창고_재고현황!$B:$B,$P96))</f>
        <v/>
      </c>
      <c r="E96" s="43">
        <f>IF($P96="","",INDEX(창고_재고현황!$C:$C,$P96))</f>
        <v/>
      </c>
      <c r="F96" s="44" t="n"/>
      <c r="G96" s="43">
        <f>IF($P96="","",IF(INDEX(창고_재고현황!$E:$E,$P96)=0,"",INDEX(창고_재고현황!$E:$E,$P96)))</f>
        <v/>
      </c>
      <c r="H96" s="44" t="n"/>
      <c r="I96" s="45">
        <f>IF($J96="","",IFERROR(INDEX(고압진공_재고현황!$D:$D,MATCH($J96,고압진공_재고현황!$E:$E,0)),IFERROR(INDEX(조립자재_재고현황!$D:$D,MATCH($J96,조립자재_재고현황!$E:$E,0)),"")))</f>
        <v/>
      </c>
      <c r="J96" s="45">
        <f>IF($P96="","",INDEX(창고_재고현황!$D:$D,$P96))</f>
        <v/>
      </c>
      <c r="K96" s="44" t="n"/>
      <c r="L96" s="46" t="n"/>
      <c r="M96" s="46" t="n"/>
      <c r="N96" s="47" t="n"/>
      <c r="O96" s="44" t="n"/>
      <c r="P96" s="44">
        <f>IFERROR(MATCH(ROWS($P$2:P96),창고_재고현황!$H:$H,0),"")</f>
        <v/>
      </c>
      <c r="Q96" s="42" t="n"/>
      <c r="R96" s="42" t="n"/>
      <c r="S96" s="42" t="n"/>
      <c r="T96" s="42" t="n"/>
      <c r="U96" s="42" t="n"/>
    </row>
    <row r="97" ht="48" customHeight="1">
      <c r="A97" s="43">
        <f>IF($J97="","",IFERROR(INDEX(고압진공_재고현황!$B:$B,MATCH($J97,고압진공_재고현황!$E:$E,0)),IFERROR(INDEX(조립자재_재고현황!$B:$B,MATCH($J97,조립자재_재고현황!$E:$E,0)),"")))</f>
        <v/>
      </c>
      <c r="B97" s="43">
        <f>IF($J97="","",IFERROR(INDEX(고압진공_재고현황!$C:$C,MATCH($J97,고압진공_재고현황!$E:$E,0)),IFERROR(INDEX(조립자재_재고현황!$C:$C,MATCH($J97,조립자재_재고현황!$E:$E,0)),"")))</f>
        <v/>
      </c>
      <c r="C97" s="44" t="n"/>
      <c r="D97" s="43">
        <f>IF($P97="","",INDEX(창고_재고현황!$B:$B,$P97))</f>
        <v/>
      </c>
      <c r="E97" s="43">
        <f>IF($P97="","",INDEX(창고_재고현황!$C:$C,$P97))</f>
        <v/>
      </c>
      <c r="F97" s="44" t="n"/>
      <c r="G97" s="43">
        <f>IF($P97="","",IF(INDEX(창고_재고현황!$E:$E,$P97)=0,"",INDEX(창고_재고현황!$E:$E,$P97)))</f>
        <v/>
      </c>
      <c r="H97" s="44" t="n"/>
      <c r="I97" s="45">
        <f>IF($J97="","",IFERROR(INDEX(고압진공_재고현황!$D:$D,MATCH($J97,고압진공_재고현황!$E:$E,0)),IFERROR(INDEX(조립자재_재고현황!$D:$D,MATCH($J97,조립자재_재고현황!$E:$E,0)),"")))</f>
        <v/>
      </c>
      <c r="J97" s="45">
        <f>IF($P97="","",INDEX(창고_재고현황!$D:$D,$P97))</f>
        <v/>
      </c>
      <c r="K97" s="44" t="n"/>
      <c r="L97" s="46" t="n"/>
      <c r="M97" s="46" t="n"/>
      <c r="N97" s="47" t="n"/>
      <c r="O97" s="44" t="n"/>
      <c r="P97" s="44">
        <f>IFERROR(MATCH(ROWS($P$2:P97),창고_재고현황!$H:$H,0),"")</f>
        <v/>
      </c>
      <c r="Q97" s="42" t="n"/>
      <c r="R97" s="42" t="n"/>
      <c r="S97" s="42" t="n"/>
      <c r="T97" s="42" t="n"/>
      <c r="U97" s="42" t="n"/>
    </row>
    <row r="98" ht="48" customHeight="1">
      <c r="A98" s="43">
        <f>IF($J98="","",IFERROR(INDEX(고압진공_재고현황!$B:$B,MATCH($J98,고압진공_재고현황!$E:$E,0)),IFERROR(INDEX(조립자재_재고현황!$B:$B,MATCH($J98,조립자재_재고현황!$E:$E,0)),"")))</f>
        <v/>
      </c>
      <c r="B98" s="43">
        <f>IF($J98="","",IFERROR(INDEX(고압진공_재고현황!$C:$C,MATCH($J98,고압진공_재고현황!$E:$E,0)),IFERROR(INDEX(조립자재_재고현황!$C:$C,MATCH($J98,조립자재_재고현황!$E:$E,0)),"")))</f>
        <v/>
      </c>
      <c r="C98" s="44" t="n"/>
      <c r="D98" s="43">
        <f>IF($P98="","",INDEX(창고_재고현황!$B:$B,$P98))</f>
        <v/>
      </c>
      <c r="E98" s="43">
        <f>IF($P98="","",INDEX(창고_재고현황!$C:$C,$P98))</f>
        <v/>
      </c>
      <c r="F98" s="44" t="n"/>
      <c r="G98" s="43">
        <f>IF($P98="","",IF(INDEX(창고_재고현황!$E:$E,$P98)=0,"",INDEX(창고_재고현황!$E:$E,$P98)))</f>
        <v/>
      </c>
      <c r="H98" s="44" t="n"/>
      <c r="I98" s="45">
        <f>IF($J98="","",IFERROR(INDEX(고압진공_재고현황!$D:$D,MATCH($J98,고압진공_재고현황!$E:$E,0)),IFERROR(INDEX(조립자재_재고현황!$D:$D,MATCH($J98,조립자재_재고현황!$E:$E,0)),"")))</f>
        <v/>
      </c>
      <c r="J98" s="45">
        <f>IF($P98="","",INDEX(창고_재고현황!$D:$D,$P98))</f>
        <v/>
      </c>
      <c r="K98" s="44" t="n"/>
      <c r="L98" s="46" t="n"/>
      <c r="M98" s="46" t="n"/>
      <c r="N98" s="47" t="n"/>
      <c r="O98" s="44" t="n"/>
      <c r="P98" s="44">
        <f>IFERROR(MATCH(ROWS($P$2:P98),창고_재고현황!$H:$H,0),"")</f>
        <v/>
      </c>
      <c r="Q98" s="42" t="n"/>
      <c r="R98" s="42" t="n"/>
      <c r="S98" s="42" t="n"/>
      <c r="T98" s="42" t="n"/>
      <c r="U98" s="42" t="n"/>
    </row>
    <row r="99" ht="48" customHeight="1">
      <c r="A99" s="43">
        <f>IF($J99="","",IFERROR(INDEX(고압진공_재고현황!$B:$B,MATCH($J99,고압진공_재고현황!$E:$E,0)),IFERROR(INDEX(조립자재_재고현황!$B:$B,MATCH($J99,조립자재_재고현황!$E:$E,0)),"")))</f>
        <v/>
      </c>
      <c r="B99" s="43">
        <f>IF($J99="","",IFERROR(INDEX(고압진공_재고현황!$C:$C,MATCH($J99,고압진공_재고현황!$E:$E,0)),IFERROR(INDEX(조립자재_재고현황!$C:$C,MATCH($J99,조립자재_재고현황!$E:$E,0)),"")))</f>
        <v/>
      </c>
      <c r="C99" s="44" t="n"/>
      <c r="D99" s="43">
        <f>IF($P99="","",INDEX(창고_재고현황!$B:$B,$P99))</f>
        <v/>
      </c>
      <c r="E99" s="43">
        <f>IF($P99="","",INDEX(창고_재고현황!$C:$C,$P99))</f>
        <v/>
      </c>
      <c r="F99" s="44" t="n"/>
      <c r="G99" s="43">
        <f>IF($P99="","",IF(INDEX(창고_재고현황!$E:$E,$P99)=0,"",INDEX(창고_재고현황!$E:$E,$P99)))</f>
        <v/>
      </c>
      <c r="H99" s="44" t="n"/>
      <c r="I99" s="45">
        <f>IF($J99="","",IFERROR(INDEX(고압진공_재고현황!$D:$D,MATCH($J99,고압진공_재고현황!$E:$E,0)),IFERROR(INDEX(조립자재_재고현황!$D:$D,MATCH($J99,조립자재_재고현황!$E:$E,0)),"")))</f>
        <v/>
      </c>
      <c r="J99" s="45">
        <f>IF($P99="","",INDEX(창고_재고현황!$D:$D,$P99))</f>
        <v/>
      </c>
      <c r="K99" s="44" t="n"/>
      <c r="L99" s="46" t="n"/>
      <c r="M99" s="46" t="n"/>
      <c r="N99" s="47" t="n"/>
      <c r="O99" s="44" t="n"/>
      <c r="P99" s="44">
        <f>IFERROR(MATCH(ROWS($P$2:P99),창고_재고현황!$H:$H,0),"")</f>
        <v/>
      </c>
      <c r="Q99" s="42" t="n"/>
      <c r="R99" s="42" t="n"/>
      <c r="S99" s="42" t="n"/>
      <c r="T99" s="42" t="n"/>
      <c r="U99" s="42" t="n"/>
    </row>
    <row r="100" ht="48" customHeight="1">
      <c r="A100" s="43">
        <f>IF($J100="","",IFERROR(INDEX(고압진공_재고현황!$B:$B,MATCH($J100,고압진공_재고현황!$E:$E,0)),IFERROR(INDEX(조립자재_재고현황!$B:$B,MATCH($J100,조립자재_재고현황!$E:$E,0)),"")))</f>
        <v/>
      </c>
      <c r="B100" s="43">
        <f>IF($J100="","",IFERROR(INDEX(고압진공_재고현황!$C:$C,MATCH($J100,고압진공_재고현황!$E:$E,0)),IFERROR(INDEX(조립자재_재고현황!$C:$C,MATCH($J100,조립자재_재고현황!$E:$E,0)),"")))</f>
        <v/>
      </c>
      <c r="C100" s="44" t="n"/>
      <c r="D100" s="43">
        <f>IF($P100="","",INDEX(창고_재고현황!$B:$B,$P100))</f>
        <v/>
      </c>
      <c r="E100" s="43">
        <f>IF($P100="","",INDEX(창고_재고현황!$C:$C,$P100))</f>
        <v/>
      </c>
      <c r="F100" s="44" t="n"/>
      <c r="G100" s="43">
        <f>IF($P100="","",IF(INDEX(창고_재고현황!$E:$E,$P100)=0,"",INDEX(창고_재고현황!$E:$E,$P100)))</f>
        <v/>
      </c>
      <c r="H100" s="44" t="n"/>
      <c r="I100" s="45">
        <f>IF($J100="","",IFERROR(INDEX(고압진공_재고현황!$D:$D,MATCH($J100,고압진공_재고현황!$E:$E,0)),IFERROR(INDEX(조립자재_재고현황!$D:$D,MATCH($J100,조립자재_재고현황!$E:$E,0)),"")))</f>
        <v/>
      </c>
      <c r="J100" s="45">
        <f>IF($P100="","",INDEX(창고_재고현황!$D:$D,$P100))</f>
        <v/>
      </c>
      <c r="K100" s="44" t="n"/>
      <c r="L100" s="46" t="n"/>
      <c r="M100" s="46" t="n"/>
      <c r="N100" s="47" t="n"/>
      <c r="O100" s="44" t="n"/>
      <c r="P100" s="44">
        <f>IFERROR(MATCH(ROWS($P$2:P100),창고_재고현황!$H:$H,0),"")</f>
        <v/>
      </c>
      <c r="Q100" s="42" t="n"/>
      <c r="R100" s="42" t="n"/>
      <c r="S100" s="42" t="n"/>
      <c r="T100" s="42" t="n"/>
      <c r="U100" s="42" t="n"/>
    </row>
    <row r="101" ht="48" customHeight="1">
      <c r="A101" s="43">
        <f>IF($J101="","",IFERROR(INDEX(고압진공_재고현황!$B:$B,MATCH($J101,고압진공_재고현황!$E:$E,0)),IFERROR(INDEX(조립자재_재고현황!$B:$B,MATCH($J101,조립자재_재고현황!$E:$E,0)),"")))</f>
        <v/>
      </c>
      <c r="B101" s="43">
        <f>IF($J101="","",IFERROR(INDEX(고압진공_재고현황!$C:$C,MATCH($J101,고압진공_재고현황!$E:$E,0)),IFERROR(INDEX(조립자재_재고현황!$C:$C,MATCH($J101,조립자재_재고현황!$E:$E,0)),"")))</f>
        <v/>
      </c>
      <c r="C101" s="44" t="n"/>
      <c r="D101" s="43">
        <f>IF($P101="","",INDEX(창고_재고현황!$B:$B,$P101))</f>
        <v/>
      </c>
      <c r="E101" s="43">
        <f>IF($P101="","",INDEX(창고_재고현황!$C:$C,$P101))</f>
        <v/>
      </c>
      <c r="F101" s="44" t="n"/>
      <c r="G101" s="43">
        <f>IF($P101="","",IF(INDEX(창고_재고현황!$E:$E,$P101)=0,"",INDEX(창고_재고현황!$E:$E,$P101)))</f>
        <v/>
      </c>
      <c r="H101" s="44" t="n"/>
      <c r="I101" s="45">
        <f>IF($J101="","",IFERROR(INDEX(고압진공_재고현황!$D:$D,MATCH($J101,고압진공_재고현황!$E:$E,0)),IFERROR(INDEX(조립자재_재고현황!$D:$D,MATCH($J101,조립자재_재고현황!$E:$E,0)),"")))</f>
        <v/>
      </c>
      <c r="J101" s="45">
        <f>IF($P101="","",INDEX(창고_재고현황!$D:$D,$P101))</f>
        <v/>
      </c>
      <c r="K101" s="44" t="n"/>
      <c r="L101" s="46" t="n"/>
      <c r="M101" s="46" t="n"/>
      <c r="N101" s="47" t="n"/>
      <c r="O101" s="44" t="n"/>
      <c r="P101" s="44">
        <f>IFERROR(MATCH(ROWS($P$2:P101),창고_재고현황!$H:$H,0),"")</f>
        <v/>
      </c>
      <c r="Q101" s="42" t="n"/>
      <c r="R101" s="42" t="n"/>
      <c r="S101" s="42" t="n"/>
      <c r="T101" s="42" t="n"/>
      <c r="U101" s="42" t="n"/>
    </row>
    <row r="102" ht="48" customHeight="1">
      <c r="A102" s="43">
        <f>IF($J102="","",IFERROR(INDEX(고압진공_재고현황!$B:$B,MATCH($J102,고압진공_재고현황!$E:$E,0)),IFERROR(INDEX(조립자재_재고현황!$B:$B,MATCH($J102,조립자재_재고현황!$E:$E,0)),"")))</f>
        <v/>
      </c>
      <c r="B102" s="43">
        <f>IF($J102="","",IFERROR(INDEX(고압진공_재고현황!$C:$C,MATCH($J102,고압진공_재고현황!$E:$E,0)),IFERROR(INDEX(조립자재_재고현황!$C:$C,MATCH($J102,조립자재_재고현황!$E:$E,0)),"")))</f>
        <v/>
      </c>
      <c r="C102" s="44" t="n"/>
      <c r="D102" s="43">
        <f>IF($P102="","",INDEX(창고_재고현황!$B:$B,$P102))</f>
        <v/>
      </c>
      <c r="E102" s="43">
        <f>IF($P102="","",INDEX(창고_재고현황!$C:$C,$P102))</f>
        <v/>
      </c>
      <c r="F102" s="44" t="n"/>
      <c r="G102" s="43">
        <f>IF($P102="","",IF(INDEX(창고_재고현황!$E:$E,$P102)=0,"",INDEX(창고_재고현황!$E:$E,$P102)))</f>
        <v/>
      </c>
      <c r="H102" s="44" t="n"/>
      <c r="I102" s="45">
        <f>IF($J102="","",IFERROR(INDEX(고압진공_재고현황!$D:$D,MATCH($J102,고압진공_재고현황!$E:$E,0)),IFERROR(INDEX(조립자재_재고현황!$D:$D,MATCH($J102,조립자재_재고현황!$E:$E,0)),"")))</f>
        <v/>
      </c>
      <c r="J102" s="45">
        <f>IF($P102="","",INDEX(창고_재고현황!$D:$D,$P102))</f>
        <v/>
      </c>
      <c r="K102" s="44" t="n"/>
      <c r="L102" s="46" t="n"/>
      <c r="M102" s="46" t="n"/>
      <c r="N102" s="47" t="n"/>
      <c r="O102" s="44" t="n"/>
      <c r="P102" s="44">
        <f>IFERROR(MATCH(ROWS($P$2:P102),창고_재고현황!$H:$H,0),"")</f>
        <v/>
      </c>
      <c r="Q102" s="42" t="n"/>
      <c r="R102" s="42" t="n"/>
      <c r="S102" s="42" t="n"/>
      <c r="T102" s="42" t="n"/>
      <c r="U102" s="42" t="n"/>
    </row>
    <row r="103" ht="48" customHeight="1">
      <c r="A103" s="43">
        <f>IF($J103="","",IFERROR(INDEX(고압진공_재고현황!$B:$B,MATCH($J103,고압진공_재고현황!$E:$E,0)),IFERROR(INDEX(조립자재_재고현황!$B:$B,MATCH($J103,조립자재_재고현황!$E:$E,0)),"")))</f>
        <v/>
      </c>
      <c r="B103" s="43">
        <f>IF($J103="","",IFERROR(INDEX(고압진공_재고현황!$C:$C,MATCH($J103,고압진공_재고현황!$E:$E,0)),IFERROR(INDEX(조립자재_재고현황!$C:$C,MATCH($J103,조립자재_재고현황!$E:$E,0)),"")))</f>
        <v/>
      </c>
      <c r="C103" s="44" t="n"/>
      <c r="D103" s="43">
        <f>IF($P103="","",INDEX(창고_재고현황!$B:$B,$P103))</f>
        <v/>
      </c>
      <c r="E103" s="43">
        <f>IF($P103="","",INDEX(창고_재고현황!$C:$C,$P103))</f>
        <v/>
      </c>
      <c r="F103" s="44" t="n"/>
      <c r="G103" s="43">
        <f>IF($P103="","",IF(INDEX(창고_재고현황!$E:$E,$P103)=0,"",INDEX(창고_재고현황!$E:$E,$P103)))</f>
        <v/>
      </c>
      <c r="H103" s="44" t="n"/>
      <c r="I103" s="45">
        <f>IF($J103="","",IFERROR(INDEX(고압진공_재고현황!$D:$D,MATCH($J103,고압진공_재고현황!$E:$E,0)),IFERROR(INDEX(조립자재_재고현황!$D:$D,MATCH($J103,조립자재_재고현황!$E:$E,0)),"")))</f>
        <v/>
      </c>
      <c r="J103" s="45">
        <f>IF($P103="","",INDEX(창고_재고현황!$D:$D,$P103))</f>
        <v/>
      </c>
      <c r="K103" s="44" t="n"/>
      <c r="L103" s="46" t="n"/>
      <c r="M103" s="46" t="n"/>
      <c r="N103" s="47" t="n"/>
      <c r="O103" s="44" t="n"/>
      <c r="P103" s="44">
        <f>IFERROR(MATCH(ROWS($P$2:P103),창고_재고현황!$H:$H,0),"")</f>
        <v/>
      </c>
      <c r="Q103" s="42" t="n"/>
      <c r="R103" s="42" t="n"/>
      <c r="S103" s="42" t="n"/>
      <c r="T103" s="42" t="n"/>
      <c r="U103" s="42" t="n"/>
    </row>
    <row r="104" ht="48" customHeight="1">
      <c r="A104" s="43">
        <f>IF($J104="","",IFERROR(INDEX(고압진공_재고현황!$B:$B,MATCH($J104,고압진공_재고현황!$E:$E,0)),IFERROR(INDEX(조립자재_재고현황!$B:$B,MATCH($J104,조립자재_재고현황!$E:$E,0)),"")))</f>
        <v/>
      </c>
      <c r="B104" s="43">
        <f>IF($J104="","",IFERROR(INDEX(고압진공_재고현황!$C:$C,MATCH($J104,고압진공_재고현황!$E:$E,0)),IFERROR(INDEX(조립자재_재고현황!$C:$C,MATCH($J104,조립자재_재고현황!$E:$E,0)),"")))</f>
        <v/>
      </c>
      <c r="C104" s="44" t="n"/>
      <c r="D104" s="43">
        <f>IF($P104="","",INDEX(창고_재고현황!$B:$B,$P104))</f>
        <v/>
      </c>
      <c r="E104" s="43">
        <f>IF($P104="","",INDEX(창고_재고현황!$C:$C,$P104))</f>
        <v/>
      </c>
      <c r="F104" s="44" t="n"/>
      <c r="G104" s="43">
        <f>IF($P104="","",IF(INDEX(창고_재고현황!$E:$E,$P104)=0,"",INDEX(창고_재고현황!$E:$E,$P104)))</f>
        <v/>
      </c>
      <c r="H104" s="44" t="n"/>
      <c r="I104" s="45">
        <f>IF($J104="","",IFERROR(INDEX(고압진공_재고현황!$D:$D,MATCH($J104,고압진공_재고현황!$E:$E,0)),IFERROR(INDEX(조립자재_재고현황!$D:$D,MATCH($J104,조립자재_재고현황!$E:$E,0)),"")))</f>
        <v/>
      </c>
      <c r="J104" s="45">
        <f>IF($P104="","",INDEX(창고_재고현황!$D:$D,$P104))</f>
        <v/>
      </c>
      <c r="K104" s="44" t="n"/>
      <c r="L104" s="46" t="n"/>
      <c r="M104" s="46" t="n"/>
      <c r="N104" s="47" t="n"/>
      <c r="O104" s="44" t="n"/>
      <c r="P104" s="44">
        <f>IFERROR(MATCH(ROWS($P$2:P104),창고_재고현황!$H:$H,0),"")</f>
        <v/>
      </c>
      <c r="Q104" s="42" t="n"/>
      <c r="R104" s="42" t="n"/>
      <c r="S104" s="42" t="n"/>
      <c r="T104" s="42" t="n"/>
      <c r="U104" s="42" t="n"/>
    </row>
    <row r="105" ht="48" customHeight="1">
      <c r="A105" s="43">
        <f>IF($J105="","",IFERROR(INDEX(고압진공_재고현황!$B:$B,MATCH($J105,고압진공_재고현황!$E:$E,0)),IFERROR(INDEX(조립자재_재고현황!$B:$B,MATCH($J105,조립자재_재고현황!$E:$E,0)),"")))</f>
        <v/>
      </c>
      <c r="B105" s="43">
        <f>IF($J105="","",IFERROR(INDEX(고압진공_재고현황!$C:$C,MATCH($J105,고압진공_재고현황!$E:$E,0)),IFERROR(INDEX(조립자재_재고현황!$C:$C,MATCH($J105,조립자재_재고현황!$E:$E,0)),"")))</f>
        <v/>
      </c>
      <c r="C105" s="44" t="n"/>
      <c r="D105" s="43">
        <f>IF($P105="","",INDEX(창고_재고현황!$B:$B,$P105))</f>
        <v/>
      </c>
      <c r="E105" s="43">
        <f>IF($P105="","",INDEX(창고_재고현황!$C:$C,$P105))</f>
        <v/>
      </c>
      <c r="F105" s="44" t="n"/>
      <c r="G105" s="43">
        <f>IF($P105="","",IF(INDEX(창고_재고현황!$E:$E,$P105)=0,"",INDEX(창고_재고현황!$E:$E,$P105)))</f>
        <v/>
      </c>
      <c r="H105" s="44" t="n"/>
      <c r="I105" s="45">
        <f>IF($J105="","",IFERROR(INDEX(고압진공_재고현황!$D:$D,MATCH($J105,고압진공_재고현황!$E:$E,0)),IFERROR(INDEX(조립자재_재고현황!$D:$D,MATCH($J105,조립자재_재고현황!$E:$E,0)),"")))</f>
        <v/>
      </c>
      <c r="J105" s="45">
        <f>IF($P105="","",INDEX(창고_재고현황!$D:$D,$P105))</f>
        <v/>
      </c>
      <c r="K105" s="44" t="n"/>
      <c r="L105" s="46" t="n"/>
      <c r="M105" s="46" t="n"/>
      <c r="N105" s="47" t="n"/>
      <c r="O105" s="44" t="n"/>
      <c r="P105" s="44">
        <f>IFERROR(MATCH(ROWS($P$2:P105),창고_재고현황!$H:$H,0),"")</f>
        <v/>
      </c>
      <c r="Q105" s="42" t="n"/>
      <c r="R105" s="42" t="n"/>
      <c r="S105" s="42" t="n"/>
      <c r="T105" s="42" t="n"/>
      <c r="U105" s="42" t="n"/>
    </row>
    <row r="106" ht="48" customHeight="1">
      <c r="A106" s="43">
        <f>IF($J106="","",IFERROR(INDEX(고압진공_재고현황!$B:$B,MATCH($J106,고압진공_재고현황!$E:$E,0)),IFERROR(INDEX(조립자재_재고현황!$B:$B,MATCH($J106,조립자재_재고현황!$E:$E,0)),"")))</f>
        <v/>
      </c>
      <c r="B106" s="43">
        <f>IF($J106="","",IFERROR(INDEX(고압진공_재고현황!$C:$C,MATCH($J106,고압진공_재고현황!$E:$E,0)),IFERROR(INDEX(조립자재_재고현황!$C:$C,MATCH($J106,조립자재_재고현황!$E:$E,0)),"")))</f>
        <v/>
      </c>
      <c r="C106" s="44" t="n"/>
      <c r="D106" s="43">
        <f>IF($P106="","",INDEX(창고_재고현황!$B:$B,$P106))</f>
        <v/>
      </c>
      <c r="E106" s="43">
        <f>IF($P106="","",INDEX(창고_재고현황!$C:$C,$P106))</f>
        <v/>
      </c>
      <c r="F106" s="44" t="n"/>
      <c r="G106" s="43">
        <f>IF($P106="","",IF(INDEX(창고_재고현황!$E:$E,$P106)=0,"",INDEX(창고_재고현황!$E:$E,$P106)))</f>
        <v/>
      </c>
      <c r="H106" s="44" t="n"/>
      <c r="I106" s="45">
        <f>IF($J106="","",IFERROR(INDEX(고압진공_재고현황!$D:$D,MATCH($J106,고압진공_재고현황!$E:$E,0)),IFERROR(INDEX(조립자재_재고현황!$D:$D,MATCH($J106,조립자재_재고현황!$E:$E,0)),"")))</f>
        <v/>
      </c>
      <c r="J106" s="45">
        <f>IF($P106="","",INDEX(창고_재고현황!$D:$D,$P106))</f>
        <v/>
      </c>
      <c r="K106" s="44" t="n"/>
      <c r="L106" s="46" t="n"/>
      <c r="M106" s="46" t="n"/>
      <c r="N106" s="47" t="n"/>
      <c r="O106" s="44" t="n"/>
      <c r="P106" s="44">
        <f>IFERROR(MATCH(ROWS($P$2:P106),창고_재고현황!$H:$H,0),"")</f>
        <v/>
      </c>
      <c r="Q106" s="42" t="n"/>
      <c r="R106" s="42" t="n"/>
      <c r="S106" s="42" t="n"/>
      <c r="T106" s="42" t="n"/>
      <c r="U106" s="42" t="n"/>
    </row>
    <row r="107" ht="48" customHeight="1">
      <c r="A107" s="43">
        <f>IF($J107="","",IFERROR(INDEX(고압진공_재고현황!$B:$B,MATCH($J107,고압진공_재고현황!$E:$E,0)),IFERROR(INDEX(조립자재_재고현황!$B:$B,MATCH($J107,조립자재_재고현황!$E:$E,0)),"")))</f>
        <v/>
      </c>
      <c r="B107" s="43">
        <f>IF($J107="","",IFERROR(INDEX(고압진공_재고현황!$C:$C,MATCH($J107,고압진공_재고현황!$E:$E,0)),IFERROR(INDEX(조립자재_재고현황!$C:$C,MATCH($J107,조립자재_재고현황!$E:$E,0)),"")))</f>
        <v/>
      </c>
      <c r="C107" s="44" t="n"/>
      <c r="D107" s="43">
        <f>IF($P107="","",INDEX(창고_재고현황!$B:$B,$P107))</f>
        <v/>
      </c>
      <c r="E107" s="43">
        <f>IF($P107="","",INDEX(창고_재고현황!$C:$C,$P107))</f>
        <v/>
      </c>
      <c r="F107" s="44" t="n"/>
      <c r="G107" s="43">
        <f>IF($P107="","",IF(INDEX(창고_재고현황!$E:$E,$P107)=0,"",INDEX(창고_재고현황!$E:$E,$P107)))</f>
        <v/>
      </c>
      <c r="H107" s="44" t="n"/>
      <c r="I107" s="45">
        <f>IF($J107="","",IFERROR(INDEX(고압진공_재고현황!$D:$D,MATCH($J107,고압진공_재고현황!$E:$E,0)),IFERROR(INDEX(조립자재_재고현황!$D:$D,MATCH($J107,조립자재_재고현황!$E:$E,0)),"")))</f>
        <v/>
      </c>
      <c r="J107" s="45">
        <f>IF($P107="","",INDEX(창고_재고현황!$D:$D,$P107))</f>
        <v/>
      </c>
      <c r="K107" s="44" t="n"/>
      <c r="L107" s="46" t="n"/>
      <c r="M107" s="46" t="n"/>
      <c r="N107" s="47" t="n"/>
      <c r="O107" s="44" t="n"/>
      <c r="P107" s="44">
        <f>IFERROR(MATCH(ROWS($P$2:P107),창고_재고현황!$H:$H,0),"")</f>
        <v/>
      </c>
      <c r="Q107" s="42" t="n"/>
      <c r="R107" s="42" t="n"/>
      <c r="S107" s="42" t="n"/>
      <c r="T107" s="42" t="n"/>
      <c r="U107" s="42" t="n"/>
    </row>
    <row r="108" ht="48" customHeight="1">
      <c r="A108" s="43">
        <f>IF($J108="","",IFERROR(INDEX(고압진공_재고현황!$B:$B,MATCH($J108,고압진공_재고현황!$E:$E,0)),IFERROR(INDEX(조립자재_재고현황!$B:$B,MATCH($J108,조립자재_재고현황!$E:$E,0)),"")))</f>
        <v/>
      </c>
      <c r="B108" s="43">
        <f>IF($J108="","",IFERROR(INDEX(고압진공_재고현황!$C:$C,MATCH($J108,고압진공_재고현황!$E:$E,0)),IFERROR(INDEX(조립자재_재고현황!$C:$C,MATCH($J108,조립자재_재고현황!$E:$E,0)),"")))</f>
        <v/>
      </c>
      <c r="C108" s="44" t="n"/>
      <c r="D108" s="43">
        <f>IF($P108="","",INDEX(창고_재고현황!$B:$B,$P108))</f>
        <v/>
      </c>
      <c r="E108" s="43">
        <f>IF($P108="","",INDEX(창고_재고현황!$C:$C,$P108))</f>
        <v/>
      </c>
      <c r="F108" s="44" t="n"/>
      <c r="G108" s="43">
        <f>IF($P108="","",IF(INDEX(창고_재고현황!$E:$E,$P108)=0,"",INDEX(창고_재고현황!$E:$E,$P108)))</f>
        <v/>
      </c>
      <c r="H108" s="44" t="n"/>
      <c r="I108" s="45">
        <f>IF($J108="","",IFERROR(INDEX(고압진공_재고현황!$D:$D,MATCH($J108,고압진공_재고현황!$E:$E,0)),IFERROR(INDEX(조립자재_재고현황!$D:$D,MATCH($J108,조립자재_재고현황!$E:$E,0)),"")))</f>
        <v/>
      </c>
      <c r="J108" s="45">
        <f>IF($P108="","",INDEX(창고_재고현황!$D:$D,$P108))</f>
        <v/>
      </c>
      <c r="K108" s="44" t="n"/>
      <c r="L108" s="46" t="n"/>
      <c r="M108" s="46" t="n"/>
      <c r="N108" s="47" t="n"/>
      <c r="O108" s="44" t="n"/>
      <c r="P108" s="44">
        <f>IFERROR(MATCH(ROWS($P$2:P108),창고_재고현황!$H:$H,0),"")</f>
        <v/>
      </c>
      <c r="Q108" s="42" t="n"/>
      <c r="R108" s="42" t="n"/>
      <c r="S108" s="42" t="n"/>
      <c r="T108" s="42" t="n"/>
      <c r="U108" s="42" t="n"/>
    </row>
    <row r="109" ht="48" customHeight="1">
      <c r="A109" s="43">
        <f>IF($J109="","",IFERROR(INDEX(고압진공_재고현황!$B:$B,MATCH($J109,고압진공_재고현황!$E:$E,0)),IFERROR(INDEX(조립자재_재고현황!$B:$B,MATCH($J109,조립자재_재고현황!$E:$E,0)),"")))</f>
        <v/>
      </c>
      <c r="B109" s="43">
        <f>IF($J109="","",IFERROR(INDEX(고압진공_재고현황!$C:$C,MATCH($J109,고압진공_재고현황!$E:$E,0)),IFERROR(INDEX(조립자재_재고현황!$C:$C,MATCH($J109,조립자재_재고현황!$E:$E,0)),"")))</f>
        <v/>
      </c>
      <c r="C109" s="44" t="n"/>
      <c r="D109" s="43">
        <f>IF($P109="","",INDEX(창고_재고현황!$B:$B,$P109))</f>
        <v/>
      </c>
      <c r="E109" s="43">
        <f>IF($P109="","",INDEX(창고_재고현황!$C:$C,$P109))</f>
        <v/>
      </c>
      <c r="F109" s="44" t="n"/>
      <c r="G109" s="43">
        <f>IF($P109="","",IF(INDEX(창고_재고현황!$E:$E,$P109)=0,"",INDEX(창고_재고현황!$E:$E,$P109)))</f>
        <v/>
      </c>
      <c r="H109" s="44" t="n"/>
      <c r="I109" s="45">
        <f>IF($J109="","",IFERROR(INDEX(고압진공_재고현황!$D:$D,MATCH($J109,고압진공_재고현황!$E:$E,0)),IFERROR(INDEX(조립자재_재고현황!$D:$D,MATCH($J109,조립자재_재고현황!$E:$E,0)),"")))</f>
        <v/>
      </c>
      <c r="J109" s="45">
        <f>IF($P109="","",INDEX(창고_재고현황!$D:$D,$P109))</f>
        <v/>
      </c>
      <c r="K109" s="44" t="n"/>
      <c r="L109" s="46" t="n"/>
      <c r="M109" s="46" t="n"/>
      <c r="N109" s="47" t="n"/>
      <c r="O109" s="44" t="n"/>
      <c r="P109" s="44">
        <f>IFERROR(MATCH(ROWS($P$2:P109),창고_재고현황!$H:$H,0),"")</f>
        <v/>
      </c>
      <c r="Q109" s="42" t="n"/>
      <c r="R109" s="42" t="n"/>
      <c r="S109" s="42" t="n"/>
      <c r="T109" s="42" t="n"/>
      <c r="U109" s="42" t="n"/>
    </row>
    <row r="110" ht="48" customHeight="1">
      <c r="A110" s="43">
        <f>IF($J110="","",IFERROR(INDEX(고압진공_재고현황!$B:$B,MATCH($J110,고압진공_재고현황!$E:$E,0)),IFERROR(INDEX(조립자재_재고현황!$B:$B,MATCH($J110,조립자재_재고현황!$E:$E,0)),"")))</f>
        <v/>
      </c>
      <c r="B110" s="43">
        <f>IF($J110="","",IFERROR(INDEX(고압진공_재고현황!$C:$C,MATCH($J110,고압진공_재고현황!$E:$E,0)),IFERROR(INDEX(조립자재_재고현황!$C:$C,MATCH($J110,조립자재_재고현황!$E:$E,0)),"")))</f>
        <v/>
      </c>
      <c r="C110" s="44" t="n"/>
      <c r="D110" s="43">
        <f>IF($P110="","",INDEX(창고_재고현황!$B:$B,$P110))</f>
        <v/>
      </c>
      <c r="E110" s="43">
        <f>IF($P110="","",INDEX(창고_재고현황!$C:$C,$P110))</f>
        <v/>
      </c>
      <c r="F110" s="44" t="n"/>
      <c r="G110" s="43">
        <f>IF($P110="","",IF(INDEX(창고_재고현황!$E:$E,$P110)=0,"",INDEX(창고_재고현황!$E:$E,$P110)))</f>
        <v/>
      </c>
      <c r="H110" s="44" t="n"/>
      <c r="I110" s="45">
        <f>IF($J110="","",IFERROR(INDEX(고압진공_재고현황!$D:$D,MATCH($J110,고압진공_재고현황!$E:$E,0)),IFERROR(INDEX(조립자재_재고현황!$D:$D,MATCH($J110,조립자재_재고현황!$E:$E,0)),"")))</f>
        <v/>
      </c>
      <c r="J110" s="45">
        <f>IF($P110="","",INDEX(창고_재고현황!$D:$D,$P110))</f>
        <v/>
      </c>
      <c r="K110" s="44" t="n"/>
      <c r="L110" s="46" t="n"/>
      <c r="M110" s="46" t="n"/>
      <c r="N110" s="47" t="n"/>
      <c r="O110" s="44" t="n"/>
      <c r="P110" s="44">
        <f>IFERROR(MATCH(ROWS($P$2:P110),창고_재고현황!$H:$H,0),"")</f>
        <v/>
      </c>
      <c r="Q110" s="42" t="n"/>
      <c r="R110" s="42" t="n"/>
      <c r="S110" s="42" t="n"/>
      <c r="T110" s="42" t="n"/>
      <c r="U110" s="42" t="n"/>
    </row>
    <row r="111" ht="48" customHeight="1">
      <c r="A111" s="43">
        <f>IF($J111="","",IFERROR(INDEX(고압진공_재고현황!$B:$B,MATCH($J111,고압진공_재고현황!$E:$E,0)),IFERROR(INDEX(조립자재_재고현황!$B:$B,MATCH($J111,조립자재_재고현황!$E:$E,0)),"")))</f>
        <v/>
      </c>
      <c r="B111" s="43">
        <f>IF($J111="","",IFERROR(INDEX(고압진공_재고현황!$C:$C,MATCH($J111,고압진공_재고현황!$E:$E,0)),IFERROR(INDEX(조립자재_재고현황!$C:$C,MATCH($J111,조립자재_재고현황!$E:$E,0)),"")))</f>
        <v/>
      </c>
      <c r="C111" s="44" t="n"/>
      <c r="D111" s="43">
        <f>IF($P111="","",INDEX(창고_재고현황!$B:$B,$P111))</f>
        <v/>
      </c>
      <c r="E111" s="43">
        <f>IF($P111="","",INDEX(창고_재고현황!$C:$C,$P111))</f>
        <v/>
      </c>
      <c r="F111" s="44" t="n"/>
      <c r="G111" s="43">
        <f>IF($P111="","",IF(INDEX(창고_재고현황!$E:$E,$P111)=0,"",INDEX(창고_재고현황!$E:$E,$P111)))</f>
        <v/>
      </c>
      <c r="H111" s="44" t="n"/>
      <c r="I111" s="45">
        <f>IF($J111="","",IFERROR(INDEX(고압진공_재고현황!$D:$D,MATCH($J111,고압진공_재고현황!$E:$E,0)),IFERROR(INDEX(조립자재_재고현황!$D:$D,MATCH($J111,조립자재_재고현황!$E:$E,0)),"")))</f>
        <v/>
      </c>
      <c r="J111" s="45">
        <f>IF($P111="","",INDEX(창고_재고현황!$D:$D,$P111))</f>
        <v/>
      </c>
      <c r="K111" s="44" t="n"/>
      <c r="L111" s="46" t="n"/>
      <c r="M111" s="46" t="n"/>
      <c r="N111" s="47" t="n"/>
      <c r="O111" s="44" t="n"/>
      <c r="P111" s="44">
        <f>IFERROR(MATCH(ROWS($P$2:P111),창고_재고현황!$H:$H,0),"")</f>
        <v/>
      </c>
      <c r="Q111" s="42" t="n"/>
      <c r="R111" s="42" t="n"/>
      <c r="S111" s="42" t="n"/>
      <c r="T111" s="42" t="n"/>
      <c r="U111" s="42" t="n"/>
    </row>
    <row r="112" ht="48" customHeight="1">
      <c r="A112" s="43">
        <f>IF($J112="","",IFERROR(INDEX(고압진공_재고현황!$B:$B,MATCH($J112,고압진공_재고현황!$E:$E,0)),IFERROR(INDEX(조립자재_재고현황!$B:$B,MATCH($J112,조립자재_재고현황!$E:$E,0)),"")))</f>
        <v/>
      </c>
      <c r="B112" s="43">
        <f>IF($J112="","",IFERROR(INDEX(고압진공_재고현황!$C:$C,MATCH($J112,고압진공_재고현황!$E:$E,0)),IFERROR(INDEX(조립자재_재고현황!$C:$C,MATCH($J112,조립자재_재고현황!$E:$E,0)),"")))</f>
        <v/>
      </c>
      <c r="C112" s="44" t="n"/>
      <c r="D112" s="43">
        <f>IF($P112="","",INDEX(창고_재고현황!$B:$B,$P112))</f>
        <v/>
      </c>
      <c r="E112" s="43">
        <f>IF($P112="","",INDEX(창고_재고현황!$C:$C,$P112))</f>
        <v/>
      </c>
      <c r="F112" s="44" t="n"/>
      <c r="G112" s="43">
        <f>IF($P112="","",IF(INDEX(창고_재고현황!$E:$E,$P112)=0,"",INDEX(창고_재고현황!$E:$E,$P112)))</f>
        <v/>
      </c>
      <c r="H112" s="44" t="n"/>
      <c r="I112" s="45">
        <f>IF($J112="","",IFERROR(INDEX(고압진공_재고현황!$D:$D,MATCH($J112,고압진공_재고현황!$E:$E,0)),IFERROR(INDEX(조립자재_재고현황!$D:$D,MATCH($J112,조립자재_재고현황!$E:$E,0)),"")))</f>
        <v/>
      </c>
      <c r="J112" s="45">
        <f>IF($P112="","",INDEX(창고_재고현황!$D:$D,$P112))</f>
        <v/>
      </c>
      <c r="K112" s="44" t="n"/>
      <c r="L112" s="46" t="n"/>
      <c r="M112" s="46" t="n"/>
      <c r="N112" s="47" t="n"/>
      <c r="O112" s="44" t="n"/>
      <c r="P112" s="44">
        <f>IFERROR(MATCH(ROWS($P$2:P112),창고_재고현황!$H:$H,0),"")</f>
        <v/>
      </c>
      <c r="Q112" s="42" t="n"/>
      <c r="R112" s="42" t="n"/>
      <c r="S112" s="42" t="n"/>
      <c r="T112" s="42" t="n"/>
      <c r="U112" s="42" t="n"/>
    </row>
    <row r="113" ht="48" customHeight="1">
      <c r="A113" s="43">
        <f>IF($J113="","",IFERROR(INDEX(고압진공_재고현황!$B:$B,MATCH($J113,고압진공_재고현황!$E:$E,0)),IFERROR(INDEX(조립자재_재고현황!$B:$B,MATCH($J113,조립자재_재고현황!$E:$E,0)),"")))</f>
        <v/>
      </c>
      <c r="B113" s="43">
        <f>IF($J113="","",IFERROR(INDEX(고압진공_재고현황!$C:$C,MATCH($J113,고압진공_재고현황!$E:$E,0)),IFERROR(INDEX(조립자재_재고현황!$C:$C,MATCH($J113,조립자재_재고현황!$E:$E,0)),"")))</f>
        <v/>
      </c>
      <c r="C113" s="44" t="n"/>
      <c r="D113" s="43">
        <f>IF($P113="","",INDEX(창고_재고현황!$B:$B,$P113))</f>
        <v/>
      </c>
      <c r="E113" s="43">
        <f>IF($P113="","",INDEX(창고_재고현황!$C:$C,$P113))</f>
        <v/>
      </c>
      <c r="F113" s="44" t="n"/>
      <c r="G113" s="43">
        <f>IF($P113="","",IF(INDEX(창고_재고현황!$E:$E,$P113)=0,"",INDEX(창고_재고현황!$E:$E,$P113)))</f>
        <v/>
      </c>
      <c r="H113" s="44" t="n"/>
      <c r="I113" s="45">
        <f>IF($J113="","",IFERROR(INDEX(고압진공_재고현황!$D:$D,MATCH($J113,고압진공_재고현황!$E:$E,0)),IFERROR(INDEX(조립자재_재고현황!$D:$D,MATCH($J113,조립자재_재고현황!$E:$E,0)),"")))</f>
        <v/>
      </c>
      <c r="J113" s="45">
        <f>IF($P113="","",INDEX(창고_재고현황!$D:$D,$P113))</f>
        <v/>
      </c>
      <c r="K113" s="44" t="n"/>
      <c r="L113" s="46" t="n"/>
      <c r="M113" s="46" t="n"/>
      <c r="N113" s="47" t="n"/>
      <c r="O113" s="44" t="n"/>
      <c r="P113" s="44">
        <f>IFERROR(MATCH(ROWS($P$2:P113),창고_재고현황!$H:$H,0),"")</f>
        <v/>
      </c>
      <c r="Q113" s="42" t="n"/>
      <c r="R113" s="42" t="n"/>
      <c r="S113" s="42" t="n"/>
      <c r="T113" s="42" t="n"/>
      <c r="U113" s="42" t="n"/>
    </row>
    <row r="114" ht="48" customHeight="1">
      <c r="A114" s="43">
        <f>IF($J114="","",IFERROR(INDEX(고압진공_재고현황!$B:$B,MATCH($J114,고압진공_재고현황!$E:$E,0)),IFERROR(INDEX(조립자재_재고현황!$B:$B,MATCH($J114,조립자재_재고현황!$E:$E,0)),"")))</f>
        <v/>
      </c>
      <c r="B114" s="43">
        <f>IF($J114="","",IFERROR(INDEX(고압진공_재고현황!$C:$C,MATCH($J114,고압진공_재고현황!$E:$E,0)),IFERROR(INDEX(조립자재_재고현황!$C:$C,MATCH($J114,조립자재_재고현황!$E:$E,0)),"")))</f>
        <v/>
      </c>
      <c r="C114" s="44" t="n"/>
      <c r="D114" s="43">
        <f>IF($P114="","",INDEX(창고_재고현황!$B:$B,$P114))</f>
        <v/>
      </c>
      <c r="E114" s="43">
        <f>IF($P114="","",INDEX(창고_재고현황!$C:$C,$P114))</f>
        <v/>
      </c>
      <c r="F114" s="44" t="n"/>
      <c r="G114" s="43">
        <f>IF($P114="","",IF(INDEX(창고_재고현황!$E:$E,$P114)=0,"",INDEX(창고_재고현황!$E:$E,$P114)))</f>
        <v/>
      </c>
      <c r="H114" s="44" t="n"/>
      <c r="I114" s="45">
        <f>IF($J114="","",IFERROR(INDEX(고압진공_재고현황!$D:$D,MATCH($J114,고압진공_재고현황!$E:$E,0)),IFERROR(INDEX(조립자재_재고현황!$D:$D,MATCH($J114,조립자재_재고현황!$E:$E,0)),"")))</f>
        <v/>
      </c>
      <c r="J114" s="45">
        <f>IF($P114="","",INDEX(창고_재고현황!$D:$D,$P114))</f>
        <v/>
      </c>
      <c r="K114" s="44" t="n"/>
      <c r="L114" s="46" t="n"/>
      <c r="M114" s="46" t="n"/>
      <c r="N114" s="47" t="n"/>
      <c r="O114" s="44" t="n"/>
      <c r="P114" s="44">
        <f>IFERROR(MATCH(ROWS($P$2:P114),창고_재고현황!$H:$H,0),"")</f>
        <v/>
      </c>
      <c r="Q114" s="42" t="n"/>
      <c r="R114" s="42" t="n"/>
      <c r="S114" s="42" t="n"/>
      <c r="T114" s="42" t="n"/>
      <c r="U114" s="42" t="n"/>
    </row>
    <row r="115" ht="48" customHeight="1">
      <c r="A115" s="43">
        <f>IF($J115="","",IFERROR(INDEX(고압진공_재고현황!$B:$B,MATCH($J115,고압진공_재고현황!$E:$E,0)),IFERROR(INDEX(조립자재_재고현황!$B:$B,MATCH($J115,조립자재_재고현황!$E:$E,0)),"")))</f>
        <v/>
      </c>
      <c r="B115" s="43">
        <f>IF($J115="","",IFERROR(INDEX(고압진공_재고현황!$C:$C,MATCH($J115,고압진공_재고현황!$E:$E,0)),IFERROR(INDEX(조립자재_재고현황!$C:$C,MATCH($J115,조립자재_재고현황!$E:$E,0)),"")))</f>
        <v/>
      </c>
      <c r="C115" s="44" t="n"/>
      <c r="D115" s="43">
        <f>IF($P115="","",INDEX(창고_재고현황!$B:$B,$P115))</f>
        <v/>
      </c>
      <c r="E115" s="43">
        <f>IF($P115="","",INDEX(창고_재고현황!$C:$C,$P115))</f>
        <v/>
      </c>
      <c r="F115" s="44" t="n"/>
      <c r="G115" s="43">
        <f>IF($P115="","",IF(INDEX(창고_재고현황!$E:$E,$P115)=0,"",INDEX(창고_재고현황!$E:$E,$P115)))</f>
        <v/>
      </c>
      <c r="H115" s="44" t="n"/>
      <c r="I115" s="45">
        <f>IF($J115="","",IFERROR(INDEX(고압진공_재고현황!$D:$D,MATCH($J115,고압진공_재고현황!$E:$E,0)),IFERROR(INDEX(조립자재_재고현황!$D:$D,MATCH($J115,조립자재_재고현황!$E:$E,0)),"")))</f>
        <v/>
      </c>
      <c r="J115" s="45">
        <f>IF($P115="","",INDEX(창고_재고현황!$D:$D,$P115))</f>
        <v/>
      </c>
      <c r="K115" s="44" t="n"/>
      <c r="L115" s="46" t="n"/>
      <c r="M115" s="46" t="n"/>
      <c r="N115" s="47" t="n"/>
      <c r="O115" s="44" t="n"/>
      <c r="P115" s="44">
        <f>IFERROR(MATCH(ROWS($P$2:P115),창고_재고현황!$H:$H,0),"")</f>
        <v/>
      </c>
      <c r="Q115" s="42" t="n"/>
      <c r="R115" s="42" t="n"/>
      <c r="S115" s="42" t="n"/>
      <c r="T115" s="42" t="n"/>
      <c r="U115" s="42" t="n"/>
    </row>
    <row r="116" ht="48" customHeight="1">
      <c r="A116" s="43">
        <f>IF($J116="","",IFERROR(INDEX(고압진공_재고현황!$B:$B,MATCH($J116,고압진공_재고현황!$E:$E,0)),IFERROR(INDEX(조립자재_재고현황!$B:$B,MATCH($J116,조립자재_재고현황!$E:$E,0)),"")))</f>
        <v/>
      </c>
      <c r="B116" s="43">
        <f>IF($J116="","",IFERROR(INDEX(고압진공_재고현황!$C:$C,MATCH($J116,고압진공_재고현황!$E:$E,0)),IFERROR(INDEX(조립자재_재고현황!$C:$C,MATCH($J116,조립자재_재고현황!$E:$E,0)),"")))</f>
        <v/>
      </c>
      <c r="C116" s="44" t="n"/>
      <c r="D116" s="43">
        <f>IF($P116="","",INDEX(창고_재고현황!$B:$B,$P116))</f>
        <v/>
      </c>
      <c r="E116" s="43">
        <f>IF($P116="","",INDEX(창고_재고현황!$C:$C,$P116))</f>
        <v/>
      </c>
      <c r="F116" s="44" t="n"/>
      <c r="G116" s="43">
        <f>IF($P116="","",IF(INDEX(창고_재고현황!$E:$E,$P116)=0,"",INDEX(창고_재고현황!$E:$E,$P116)))</f>
        <v/>
      </c>
      <c r="H116" s="44" t="n"/>
      <c r="I116" s="45">
        <f>IF($J116="","",IFERROR(INDEX(고압진공_재고현황!$D:$D,MATCH($J116,고압진공_재고현황!$E:$E,0)),IFERROR(INDEX(조립자재_재고현황!$D:$D,MATCH($J116,조립자재_재고현황!$E:$E,0)),"")))</f>
        <v/>
      </c>
      <c r="J116" s="45">
        <f>IF($P116="","",INDEX(창고_재고현황!$D:$D,$P116))</f>
        <v/>
      </c>
      <c r="K116" s="44" t="n"/>
      <c r="L116" s="46" t="n"/>
      <c r="M116" s="46" t="n"/>
      <c r="N116" s="47" t="n"/>
      <c r="O116" s="44" t="n"/>
      <c r="P116" s="44">
        <f>IFERROR(MATCH(ROWS($P$2:P116),창고_재고현황!$H:$H,0),"")</f>
        <v/>
      </c>
      <c r="Q116" s="42" t="n"/>
      <c r="R116" s="42" t="n"/>
      <c r="S116" s="42" t="n"/>
      <c r="T116" s="42" t="n"/>
      <c r="U116" s="42" t="n"/>
    </row>
    <row r="117" ht="48" customHeight="1">
      <c r="A117" s="43">
        <f>IF($J117="","",IFERROR(INDEX(고압진공_재고현황!$B:$B,MATCH($J117,고압진공_재고현황!$E:$E,0)),IFERROR(INDEX(조립자재_재고현황!$B:$B,MATCH($J117,조립자재_재고현황!$E:$E,0)),"")))</f>
        <v/>
      </c>
      <c r="B117" s="43">
        <f>IF($J117="","",IFERROR(INDEX(고압진공_재고현황!$C:$C,MATCH($J117,고압진공_재고현황!$E:$E,0)),IFERROR(INDEX(조립자재_재고현황!$C:$C,MATCH($J117,조립자재_재고현황!$E:$E,0)),"")))</f>
        <v/>
      </c>
      <c r="C117" s="44" t="n"/>
      <c r="D117" s="43">
        <f>IF($P117="","",INDEX(창고_재고현황!$B:$B,$P117))</f>
        <v/>
      </c>
      <c r="E117" s="43">
        <f>IF($P117="","",INDEX(창고_재고현황!$C:$C,$P117))</f>
        <v/>
      </c>
      <c r="F117" s="44" t="n"/>
      <c r="G117" s="43">
        <f>IF($P117="","",IF(INDEX(창고_재고현황!$E:$E,$P117)=0,"",INDEX(창고_재고현황!$E:$E,$P117)))</f>
        <v/>
      </c>
      <c r="H117" s="44" t="n"/>
      <c r="I117" s="45">
        <f>IF($J117="","",IFERROR(INDEX(고압진공_재고현황!$D:$D,MATCH($J117,고압진공_재고현황!$E:$E,0)),IFERROR(INDEX(조립자재_재고현황!$D:$D,MATCH($J117,조립자재_재고현황!$E:$E,0)),"")))</f>
        <v/>
      </c>
      <c r="J117" s="45">
        <f>IF($P117="","",INDEX(창고_재고현황!$D:$D,$P117))</f>
        <v/>
      </c>
      <c r="K117" s="44" t="n"/>
      <c r="L117" s="46" t="n"/>
      <c r="M117" s="46" t="n"/>
      <c r="N117" s="47" t="n"/>
      <c r="O117" s="44" t="n"/>
      <c r="P117" s="44">
        <f>IFERROR(MATCH(ROWS($P$2:P117),창고_재고현황!$H:$H,0),"")</f>
        <v/>
      </c>
      <c r="Q117" s="42" t="n"/>
      <c r="R117" s="42" t="n"/>
      <c r="S117" s="42" t="n"/>
      <c r="T117" s="42" t="n"/>
      <c r="U117" s="42" t="n"/>
    </row>
    <row r="118" ht="48" customHeight="1">
      <c r="A118" s="43">
        <f>IF($J118="","",IFERROR(INDEX(고압진공_재고현황!$B:$B,MATCH($J118,고압진공_재고현황!$E:$E,0)),IFERROR(INDEX(조립자재_재고현황!$B:$B,MATCH($J118,조립자재_재고현황!$E:$E,0)),"")))</f>
        <v/>
      </c>
      <c r="B118" s="43">
        <f>IF($J118="","",IFERROR(INDEX(고압진공_재고현황!$C:$C,MATCH($J118,고압진공_재고현황!$E:$E,0)),IFERROR(INDEX(조립자재_재고현황!$C:$C,MATCH($J118,조립자재_재고현황!$E:$E,0)),"")))</f>
        <v/>
      </c>
      <c r="C118" s="44" t="n"/>
      <c r="D118" s="43">
        <f>IF($P118="","",INDEX(창고_재고현황!$B:$B,$P118))</f>
        <v/>
      </c>
      <c r="E118" s="43">
        <f>IF($P118="","",INDEX(창고_재고현황!$C:$C,$P118))</f>
        <v/>
      </c>
      <c r="F118" s="44" t="n"/>
      <c r="G118" s="43">
        <f>IF($P118="","",IF(INDEX(창고_재고현황!$E:$E,$P118)=0,"",INDEX(창고_재고현황!$E:$E,$P118)))</f>
        <v/>
      </c>
      <c r="H118" s="44" t="n"/>
      <c r="I118" s="45">
        <f>IF($J118="","",IFERROR(INDEX(고압진공_재고현황!$D:$D,MATCH($J118,고압진공_재고현황!$E:$E,0)),IFERROR(INDEX(조립자재_재고현황!$D:$D,MATCH($J118,조립자재_재고현황!$E:$E,0)),"")))</f>
        <v/>
      </c>
      <c r="J118" s="45">
        <f>IF($P118="","",INDEX(창고_재고현황!$D:$D,$P118))</f>
        <v/>
      </c>
      <c r="K118" s="44" t="n"/>
      <c r="L118" s="46" t="n"/>
      <c r="M118" s="46" t="n"/>
      <c r="N118" s="47" t="n"/>
      <c r="O118" s="44" t="n"/>
      <c r="P118" s="44">
        <f>IFERROR(MATCH(ROWS($P$2:P118),창고_재고현황!$H:$H,0),"")</f>
        <v/>
      </c>
      <c r="Q118" s="42" t="n"/>
      <c r="R118" s="42" t="n"/>
      <c r="S118" s="42" t="n"/>
      <c r="T118" s="42" t="n"/>
      <c r="U118" s="42" t="n"/>
    </row>
    <row r="119" ht="48" customHeight="1">
      <c r="A119" s="43">
        <f>IF($J119="","",IFERROR(INDEX(고압진공_재고현황!$B:$B,MATCH($J119,고압진공_재고현황!$E:$E,0)),IFERROR(INDEX(조립자재_재고현황!$B:$B,MATCH($J119,조립자재_재고현황!$E:$E,0)),"")))</f>
        <v/>
      </c>
      <c r="B119" s="43">
        <f>IF($J119="","",IFERROR(INDEX(고압진공_재고현황!$C:$C,MATCH($J119,고압진공_재고현황!$E:$E,0)),IFERROR(INDEX(조립자재_재고현황!$C:$C,MATCH($J119,조립자재_재고현황!$E:$E,0)),"")))</f>
        <v/>
      </c>
      <c r="C119" s="44" t="n"/>
      <c r="D119" s="43">
        <f>IF($P119="","",INDEX(창고_재고현황!$B:$B,$P119))</f>
        <v/>
      </c>
      <c r="E119" s="43">
        <f>IF($P119="","",INDEX(창고_재고현황!$C:$C,$P119))</f>
        <v/>
      </c>
      <c r="F119" s="44" t="n"/>
      <c r="G119" s="43">
        <f>IF($P119="","",IF(INDEX(창고_재고현황!$E:$E,$P119)=0,"",INDEX(창고_재고현황!$E:$E,$P119)))</f>
        <v/>
      </c>
      <c r="H119" s="44" t="n"/>
      <c r="I119" s="45">
        <f>IF($J119="","",IFERROR(INDEX(고압진공_재고현황!$D:$D,MATCH($J119,고압진공_재고현황!$E:$E,0)),IFERROR(INDEX(조립자재_재고현황!$D:$D,MATCH($J119,조립자재_재고현황!$E:$E,0)),"")))</f>
        <v/>
      </c>
      <c r="J119" s="45">
        <f>IF($P119="","",INDEX(창고_재고현황!$D:$D,$P119))</f>
        <v/>
      </c>
      <c r="K119" s="44" t="n"/>
      <c r="L119" s="46" t="n"/>
      <c r="M119" s="46" t="n"/>
      <c r="N119" s="47" t="n"/>
      <c r="O119" s="44" t="n"/>
      <c r="P119" s="44">
        <f>IFERROR(MATCH(ROWS($P$2:P119),창고_재고현황!$H:$H,0),"")</f>
        <v/>
      </c>
      <c r="Q119" s="42" t="n"/>
      <c r="R119" s="42" t="n"/>
      <c r="S119" s="42" t="n"/>
      <c r="T119" s="42" t="n"/>
      <c r="U119" s="42" t="n"/>
    </row>
    <row r="120" ht="48" customHeight="1">
      <c r="A120" s="43">
        <f>IF($J120="","",IFERROR(INDEX(고압진공_재고현황!$B:$B,MATCH($J120,고압진공_재고현황!$E:$E,0)),IFERROR(INDEX(조립자재_재고현황!$B:$B,MATCH($J120,조립자재_재고현황!$E:$E,0)),"")))</f>
        <v/>
      </c>
      <c r="B120" s="43">
        <f>IF($J120="","",IFERROR(INDEX(고압진공_재고현황!$C:$C,MATCH($J120,고압진공_재고현황!$E:$E,0)),IFERROR(INDEX(조립자재_재고현황!$C:$C,MATCH($J120,조립자재_재고현황!$E:$E,0)),"")))</f>
        <v/>
      </c>
      <c r="C120" s="44" t="n"/>
      <c r="D120" s="43">
        <f>IF($P120="","",INDEX(창고_재고현황!$B:$B,$P120))</f>
        <v/>
      </c>
      <c r="E120" s="43">
        <f>IF($P120="","",INDEX(창고_재고현황!$C:$C,$P120))</f>
        <v/>
      </c>
      <c r="F120" s="44" t="n"/>
      <c r="G120" s="43">
        <f>IF($P120="","",IF(INDEX(창고_재고현황!$E:$E,$P120)=0,"",INDEX(창고_재고현황!$E:$E,$P120)))</f>
        <v/>
      </c>
      <c r="H120" s="44" t="n"/>
      <c r="I120" s="45">
        <f>IF($J120="","",IFERROR(INDEX(고압진공_재고현황!$D:$D,MATCH($J120,고압진공_재고현황!$E:$E,0)),IFERROR(INDEX(조립자재_재고현황!$D:$D,MATCH($J120,조립자재_재고현황!$E:$E,0)),"")))</f>
        <v/>
      </c>
      <c r="J120" s="45">
        <f>IF($P120="","",INDEX(창고_재고현황!$D:$D,$P120))</f>
        <v/>
      </c>
      <c r="K120" s="44" t="n"/>
      <c r="L120" s="46" t="n"/>
      <c r="M120" s="46" t="n"/>
      <c r="N120" s="47" t="n"/>
      <c r="O120" s="44" t="n"/>
      <c r="P120" s="44">
        <f>IFERROR(MATCH(ROWS($P$2:P120),창고_재고현황!$H:$H,0),"")</f>
        <v/>
      </c>
      <c r="Q120" s="42" t="n"/>
      <c r="R120" s="42" t="n"/>
      <c r="S120" s="42" t="n"/>
      <c r="T120" s="42" t="n"/>
      <c r="U120" s="42" t="n"/>
    </row>
    <row r="121" ht="48" customHeight="1">
      <c r="A121" s="43">
        <f>IF($J121="","",IFERROR(INDEX(고압진공_재고현황!$B:$B,MATCH($J121,고압진공_재고현황!$E:$E,0)),IFERROR(INDEX(조립자재_재고현황!$B:$B,MATCH($J121,조립자재_재고현황!$E:$E,0)),"")))</f>
        <v/>
      </c>
      <c r="B121" s="43">
        <f>IF($J121="","",IFERROR(INDEX(고압진공_재고현황!$C:$C,MATCH($J121,고압진공_재고현황!$E:$E,0)),IFERROR(INDEX(조립자재_재고현황!$C:$C,MATCH($J121,조립자재_재고현황!$E:$E,0)),"")))</f>
        <v/>
      </c>
      <c r="C121" s="44" t="n"/>
      <c r="D121" s="43">
        <f>IF($P121="","",INDEX(창고_재고현황!$B:$B,$P121))</f>
        <v/>
      </c>
      <c r="E121" s="43">
        <f>IF($P121="","",INDEX(창고_재고현황!$C:$C,$P121))</f>
        <v/>
      </c>
      <c r="F121" s="44" t="n"/>
      <c r="G121" s="43">
        <f>IF($P121="","",IF(INDEX(창고_재고현황!$E:$E,$P121)=0,"",INDEX(창고_재고현황!$E:$E,$P121)))</f>
        <v/>
      </c>
      <c r="H121" s="44" t="n"/>
      <c r="I121" s="45">
        <f>IF($J121="","",IFERROR(INDEX(고압진공_재고현황!$D:$D,MATCH($J121,고압진공_재고현황!$E:$E,0)),IFERROR(INDEX(조립자재_재고현황!$D:$D,MATCH($J121,조립자재_재고현황!$E:$E,0)),"")))</f>
        <v/>
      </c>
      <c r="J121" s="45">
        <f>IF($P121="","",INDEX(창고_재고현황!$D:$D,$P121))</f>
        <v/>
      </c>
      <c r="K121" s="44" t="n"/>
      <c r="L121" s="46" t="n"/>
      <c r="M121" s="46" t="n"/>
      <c r="N121" s="47" t="n"/>
      <c r="O121" s="44" t="n"/>
      <c r="P121" s="44">
        <f>IFERROR(MATCH(ROWS($P$2:P121),창고_재고현황!$H:$H,0),"")</f>
        <v/>
      </c>
      <c r="Q121" s="42" t="n"/>
      <c r="R121" s="42" t="n"/>
      <c r="S121" s="42" t="n"/>
      <c r="T121" s="42" t="n"/>
      <c r="U121" s="42" t="n"/>
    </row>
    <row r="122" ht="48" customHeight="1">
      <c r="A122" s="43">
        <f>IF($J122="","",IFERROR(INDEX(고압진공_재고현황!$B:$B,MATCH($J122,고압진공_재고현황!$E:$E,0)),IFERROR(INDEX(조립자재_재고현황!$B:$B,MATCH($J122,조립자재_재고현황!$E:$E,0)),"")))</f>
        <v/>
      </c>
      <c r="B122" s="43">
        <f>IF($J122="","",IFERROR(INDEX(고압진공_재고현황!$C:$C,MATCH($J122,고압진공_재고현황!$E:$E,0)),IFERROR(INDEX(조립자재_재고현황!$C:$C,MATCH($J122,조립자재_재고현황!$E:$E,0)),"")))</f>
        <v/>
      </c>
      <c r="C122" s="44" t="n"/>
      <c r="D122" s="43">
        <f>IF($P122="","",INDEX(창고_재고현황!$B:$B,$P122))</f>
        <v/>
      </c>
      <c r="E122" s="43">
        <f>IF($P122="","",INDEX(창고_재고현황!$C:$C,$P122))</f>
        <v/>
      </c>
      <c r="F122" s="44" t="n"/>
      <c r="G122" s="43">
        <f>IF($P122="","",IF(INDEX(창고_재고현황!$E:$E,$P122)=0,"",INDEX(창고_재고현황!$E:$E,$P122)))</f>
        <v/>
      </c>
      <c r="H122" s="44" t="n"/>
      <c r="I122" s="45">
        <f>IF($J122="","",IFERROR(INDEX(고압진공_재고현황!$D:$D,MATCH($J122,고압진공_재고현황!$E:$E,0)),IFERROR(INDEX(조립자재_재고현황!$D:$D,MATCH($J122,조립자재_재고현황!$E:$E,0)),"")))</f>
        <v/>
      </c>
      <c r="J122" s="45">
        <f>IF($P122="","",INDEX(창고_재고현황!$D:$D,$P122))</f>
        <v/>
      </c>
      <c r="K122" s="44" t="n"/>
      <c r="L122" s="46" t="n"/>
      <c r="M122" s="46" t="n"/>
      <c r="N122" s="47" t="n"/>
      <c r="O122" s="44" t="n"/>
      <c r="P122" s="44">
        <f>IFERROR(MATCH(ROWS($P$2:P122),창고_재고현황!$H:$H,0),"")</f>
        <v/>
      </c>
      <c r="Q122" s="42" t="n"/>
      <c r="R122" s="42" t="n"/>
      <c r="S122" s="42" t="n"/>
      <c r="T122" s="42" t="n"/>
      <c r="U122" s="42" t="n"/>
    </row>
    <row r="123" ht="48" customHeight="1">
      <c r="A123" s="43">
        <f>IF($J123="","",IFERROR(INDEX(고압진공_재고현황!$B:$B,MATCH($J123,고압진공_재고현황!$E:$E,0)),IFERROR(INDEX(조립자재_재고현황!$B:$B,MATCH($J123,조립자재_재고현황!$E:$E,0)),"")))</f>
        <v/>
      </c>
      <c r="B123" s="43">
        <f>IF($J123="","",IFERROR(INDEX(고압진공_재고현황!$C:$C,MATCH($J123,고압진공_재고현황!$E:$E,0)),IFERROR(INDEX(조립자재_재고현황!$C:$C,MATCH($J123,조립자재_재고현황!$E:$E,0)),"")))</f>
        <v/>
      </c>
      <c r="C123" s="44" t="n"/>
      <c r="D123" s="43">
        <f>IF($P123="","",INDEX(창고_재고현황!$B:$B,$P123))</f>
        <v/>
      </c>
      <c r="E123" s="43">
        <f>IF($P123="","",INDEX(창고_재고현황!$C:$C,$P123))</f>
        <v/>
      </c>
      <c r="F123" s="44" t="n"/>
      <c r="G123" s="43">
        <f>IF($P123="","",IF(INDEX(창고_재고현황!$E:$E,$P123)=0,"",INDEX(창고_재고현황!$E:$E,$P123)))</f>
        <v/>
      </c>
      <c r="H123" s="44" t="n"/>
      <c r="I123" s="45">
        <f>IF($J123="","",IFERROR(INDEX(고압진공_재고현황!$D:$D,MATCH($J123,고압진공_재고현황!$E:$E,0)),IFERROR(INDEX(조립자재_재고현황!$D:$D,MATCH($J123,조립자재_재고현황!$E:$E,0)),"")))</f>
        <v/>
      </c>
      <c r="J123" s="45">
        <f>IF($P123="","",INDEX(창고_재고현황!$D:$D,$P123))</f>
        <v/>
      </c>
      <c r="K123" s="44" t="n"/>
      <c r="L123" s="46" t="n"/>
      <c r="M123" s="46" t="n"/>
      <c r="N123" s="47" t="n"/>
      <c r="O123" s="44" t="n"/>
      <c r="P123" s="44">
        <f>IFERROR(MATCH(ROWS($P$2:P123),창고_재고현황!$H:$H,0),"")</f>
        <v/>
      </c>
      <c r="Q123" s="42" t="n"/>
      <c r="R123" s="42" t="n"/>
      <c r="S123" s="42" t="n"/>
      <c r="T123" s="42" t="n"/>
      <c r="U123" s="42" t="n"/>
    </row>
    <row r="124" ht="48" customHeight="1">
      <c r="A124" s="43">
        <f>IF($J124="","",IFERROR(INDEX(고압진공_재고현황!$B:$B,MATCH($J124,고압진공_재고현황!$E:$E,0)),IFERROR(INDEX(조립자재_재고현황!$B:$B,MATCH($J124,조립자재_재고현황!$E:$E,0)),"")))</f>
        <v/>
      </c>
      <c r="B124" s="43">
        <f>IF($J124="","",IFERROR(INDEX(고압진공_재고현황!$C:$C,MATCH($J124,고압진공_재고현황!$E:$E,0)),IFERROR(INDEX(조립자재_재고현황!$C:$C,MATCH($J124,조립자재_재고현황!$E:$E,0)),"")))</f>
        <v/>
      </c>
      <c r="C124" s="44" t="n"/>
      <c r="D124" s="43">
        <f>IF($P124="","",INDEX(창고_재고현황!$B:$B,$P124))</f>
        <v/>
      </c>
      <c r="E124" s="43">
        <f>IF($P124="","",INDEX(창고_재고현황!$C:$C,$P124))</f>
        <v/>
      </c>
      <c r="F124" s="44" t="n"/>
      <c r="G124" s="43">
        <f>IF($P124="","",IF(INDEX(창고_재고현황!$E:$E,$P124)=0,"",INDEX(창고_재고현황!$E:$E,$P124)))</f>
        <v/>
      </c>
      <c r="H124" s="44" t="n"/>
      <c r="I124" s="45">
        <f>IF($J124="","",IFERROR(INDEX(고압진공_재고현황!$D:$D,MATCH($J124,고압진공_재고현황!$E:$E,0)),IFERROR(INDEX(조립자재_재고현황!$D:$D,MATCH($J124,조립자재_재고현황!$E:$E,0)),"")))</f>
        <v/>
      </c>
      <c r="J124" s="45">
        <f>IF($P124="","",INDEX(창고_재고현황!$D:$D,$P124))</f>
        <v/>
      </c>
      <c r="K124" s="44" t="n"/>
      <c r="L124" s="46" t="n"/>
      <c r="M124" s="46" t="n"/>
      <c r="N124" s="47" t="n"/>
      <c r="O124" s="44" t="n"/>
      <c r="P124" s="44">
        <f>IFERROR(MATCH(ROWS($P$2:P124),창고_재고현황!$H:$H,0),"")</f>
        <v/>
      </c>
      <c r="Q124" s="42" t="n"/>
      <c r="R124" s="42" t="n"/>
      <c r="S124" s="42" t="n"/>
      <c r="T124" s="42" t="n"/>
      <c r="U124" s="42" t="n"/>
    </row>
    <row r="125" ht="48" customHeight="1">
      <c r="A125" s="43">
        <f>IF($J125="","",IFERROR(INDEX(고압진공_재고현황!$B:$B,MATCH($J125,고압진공_재고현황!$E:$E,0)),IFERROR(INDEX(조립자재_재고현황!$B:$B,MATCH($J125,조립자재_재고현황!$E:$E,0)),"")))</f>
        <v/>
      </c>
      <c r="B125" s="43">
        <f>IF($J125="","",IFERROR(INDEX(고압진공_재고현황!$C:$C,MATCH($J125,고압진공_재고현황!$E:$E,0)),IFERROR(INDEX(조립자재_재고현황!$C:$C,MATCH($J125,조립자재_재고현황!$E:$E,0)),"")))</f>
        <v/>
      </c>
      <c r="C125" s="44" t="n"/>
      <c r="D125" s="43">
        <f>IF($P125="","",INDEX(창고_재고현황!$B:$B,$P125))</f>
        <v/>
      </c>
      <c r="E125" s="43">
        <f>IF($P125="","",INDEX(창고_재고현황!$C:$C,$P125))</f>
        <v/>
      </c>
      <c r="F125" s="44" t="n"/>
      <c r="G125" s="43">
        <f>IF($P125="","",IF(INDEX(창고_재고현황!$E:$E,$P125)=0,"",INDEX(창고_재고현황!$E:$E,$P125)))</f>
        <v/>
      </c>
      <c r="H125" s="44" t="n"/>
      <c r="I125" s="45">
        <f>IF($J125="","",IFERROR(INDEX(고압진공_재고현황!$D:$D,MATCH($J125,고압진공_재고현황!$E:$E,0)),IFERROR(INDEX(조립자재_재고현황!$D:$D,MATCH($J125,조립자재_재고현황!$E:$E,0)),"")))</f>
        <v/>
      </c>
      <c r="J125" s="45">
        <f>IF($P125="","",INDEX(창고_재고현황!$D:$D,$P125))</f>
        <v/>
      </c>
      <c r="K125" s="44" t="n"/>
      <c r="L125" s="46" t="n"/>
      <c r="M125" s="46" t="n"/>
      <c r="N125" s="47" t="n"/>
      <c r="O125" s="44" t="n"/>
      <c r="P125" s="44">
        <f>IFERROR(MATCH(ROWS($P$2:P125),창고_재고현황!$H:$H,0),"")</f>
        <v/>
      </c>
      <c r="Q125" s="42" t="n"/>
      <c r="R125" s="42" t="n"/>
      <c r="S125" s="42" t="n"/>
      <c r="T125" s="42" t="n"/>
      <c r="U125" s="42" t="n"/>
    </row>
    <row r="126" ht="48" customHeight="1">
      <c r="A126" s="43">
        <f>IF($J126="","",IFERROR(INDEX(고압진공_재고현황!$B:$B,MATCH($J126,고압진공_재고현황!$E:$E,0)),IFERROR(INDEX(조립자재_재고현황!$B:$B,MATCH($J126,조립자재_재고현황!$E:$E,0)),"")))</f>
        <v/>
      </c>
      <c r="B126" s="43">
        <f>IF($J126="","",IFERROR(INDEX(고압진공_재고현황!$C:$C,MATCH($J126,고압진공_재고현황!$E:$E,0)),IFERROR(INDEX(조립자재_재고현황!$C:$C,MATCH($J126,조립자재_재고현황!$E:$E,0)),"")))</f>
        <v/>
      </c>
      <c r="C126" s="44" t="n"/>
      <c r="D126" s="43">
        <f>IF($P126="","",INDEX(창고_재고현황!$B:$B,$P126))</f>
        <v/>
      </c>
      <c r="E126" s="43">
        <f>IF($P126="","",INDEX(창고_재고현황!$C:$C,$P126))</f>
        <v/>
      </c>
      <c r="F126" s="44" t="n"/>
      <c r="G126" s="43">
        <f>IF($P126="","",IF(INDEX(창고_재고현황!$E:$E,$P126)=0,"",INDEX(창고_재고현황!$E:$E,$P126)))</f>
        <v/>
      </c>
      <c r="H126" s="44" t="n"/>
      <c r="I126" s="45">
        <f>IF($J126="","",IFERROR(INDEX(고압진공_재고현황!$D:$D,MATCH($J126,고압진공_재고현황!$E:$E,0)),IFERROR(INDEX(조립자재_재고현황!$D:$D,MATCH($J126,조립자재_재고현황!$E:$E,0)),"")))</f>
        <v/>
      </c>
      <c r="J126" s="45">
        <f>IF($P126="","",INDEX(창고_재고현황!$D:$D,$P126))</f>
        <v/>
      </c>
      <c r="K126" s="44" t="n"/>
      <c r="L126" s="46" t="n"/>
      <c r="M126" s="46" t="n"/>
      <c r="N126" s="47" t="n"/>
      <c r="O126" s="44" t="n"/>
      <c r="P126" s="44">
        <f>IFERROR(MATCH(ROWS($P$2:P126),창고_재고현황!$H:$H,0),"")</f>
        <v/>
      </c>
      <c r="Q126" s="42" t="n"/>
      <c r="R126" s="42" t="n"/>
      <c r="S126" s="42" t="n"/>
      <c r="T126" s="42" t="n"/>
      <c r="U126" s="42" t="n"/>
    </row>
    <row r="127" ht="48" customHeight="1">
      <c r="A127" s="43">
        <f>IF($J127="","",IFERROR(INDEX(고압진공_재고현황!$B:$B,MATCH($J127,고압진공_재고현황!$E:$E,0)),IFERROR(INDEX(조립자재_재고현황!$B:$B,MATCH($J127,조립자재_재고현황!$E:$E,0)),"")))</f>
        <v/>
      </c>
      <c r="B127" s="43">
        <f>IF($J127="","",IFERROR(INDEX(고압진공_재고현황!$C:$C,MATCH($J127,고압진공_재고현황!$E:$E,0)),IFERROR(INDEX(조립자재_재고현황!$C:$C,MATCH($J127,조립자재_재고현황!$E:$E,0)),"")))</f>
        <v/>
      </c>
      <c r="C127" s="44" t="n"/>
      <c r="D127" s="43">
        <f>IF($P127="","",INDEX(창고_재고현황!$B:$B,$P127))</f>
        <v/>
      </c>
      <c r="E127" s="43">
        <f>IF($P127="","",INDEX(창고_재고현황!$C:$C,$P127))</f>
        <v/>
      </c>
      <c r="F127" s="44" t="n"/>
      <c r="G127" s="43">
        <f>IF($P127="","",IF(INDEX(창고_재고현황!$E:$E,$P127)=0,"",INDEX(창고_재고현황!$E:$E,$P127)))</f>
        <v/>
      </c>
      <c r="H127" s="44" t="n"/>
      <c r="I127" s="45">
        <f>IF($J127="","",IFERROR(INDEX(고압진공_재고현황!$D:$D,MATCH($J127,고압진공_재고현황!$E:$E,0)),IFERROR(INDEX(조립자재_재고현황!$D:$D,MATCH($J127,조립자재_재고현황!$E:$E,0)),"")))</f>
        <v/>
      </c>
      <c r="J127" s="45">
        <f>IF($P127="","",INDEX(창고_재고현황!$D:$D,$P127))</f>
        <v/>
      </c>
      <c r="K127" s="44" t="n"/>
      <c r="L127" s="46" t="n"/>
      <c r="M127" s="46" t="n"/>
      <c r="N127" s="47" t="n"/>
      <c r="O127" s="44" t="n"/>
      <c r="P127" s="44">
        <f>IFERROR(MATCH(ROWS($P$2:P127),창고_재고현황!$H:$H,0),"")</f>
        <v/>
      </c>
      <c r="Q127" s="42" t="n"/>
      <c r="R127" s="42" t="n"/>
      <c r="S127" s="42" t="n"/>
      <c r="T127" s="42" t="n"/>
      <c r="U127" s="42" t="n"/>
    </row>
    <row r="128" ht="48" customHeight="1">
      <c r="A128" s="43">
        <f>IF($J128="","",IFERROR(INDEX(고압진공_재고현황!$B:$B,MATCH($J128,고압진공_재고현황!$E:$E,0)),IFERROR(INDEX(조립자재_재고현황!$B:$B,MATCH($J128,조립자재_재고현황!$E:$E,0)),"")))</f>
        <v/>
      </c>
      <c r="B128" s="43">
        <f>IF($J128="","",IFERROR(INDEX(고압진공_재고현황!$C:$C,MATCH($J128,고압진공_재고현황!$E:$E,0)),IFERROR(INDEX(조립자재_재고현황!$C:$C,MATCH($J128,조립자재_재고현황!$E:$E,0)),"")))</f>
        <v/>
      </c>
      <c r="C128" s="44" t="n"/>
      <c r="D128" s="43">
        <f>IF($P128="","",INDEX(창고_재고현황!$B:$B,$P128))</f>
        <v/>
      </c>
      <c r="E128" s="43">
        <f>IF($P128="","",INDEX(창고_재고현황!$C:$C,$P128))</f>
        <v/>
      </c>
      <c r="F128" s="44" t="n"/>
      <c r="G128" s="43">
        <f>IF($P128="","",IF(INDEX(창고_재고현황!$E:$E,$P128)=0,"",INDEX(창고_재고현황!$E:$E,$P128)))</f>
        <v/>
      </c>
      <c r="H128" s="44" t="n"/>
      <c r="I128" s="45">
        <f>IF($J128="","",IFERROR(INDEX(고압진공_재고현황!$D:$D,MATCH($J128,고압진공_재고현황!$E:$E,0)),IFERROR(INDEX(조립자재_재고현황!$D:$D,MATCH($J128,조립자재_재고현황!$E:$E,0)),"")))</f>
        <v/>
      </c>
      <c r="J128" s="45">
        <f>IF($P128="","",INDEX(창고_재고현황!$D:$D,$P128))</f>
        <v/>
      </c>
      <c r="K128" s="44" t="n"/>
      <c r="L128" s="46" t="n"/>
      <c r="M128" s="46" t="n"/>
      <c r="N128" s="47" t="n"/>
      <c r="O128" s="44" t="n"/>
      <c r="P128" s="44">
        <f>IFERROR(MATCH(ROWS($P$2:P128),창고_재고현황!$H:$H,0),"")</f>
        <v/>
      </c>
      <c r="Q128" s="42" t="n"/>
      <c r="R128" s="42" t="n"/>
      <c r="S128" s="42" t="n"/>
      <c r="T128" s="42" t="n"/>
      <c r="U128" s="42" t="n"/>
    </row>
    <row r="129" ht="48" customHeight="1">
      <c r="A129" s="43">
        <f>IF($J129="","",IFERROR(INDEX(고압진공_재고현황!$B:$B,MATCH($J129,고압진공_재고현황!$E:$E,0)),IFERROR(INDEX(조립자재_재고현황!$B:$B,MATCH($J129,조립자재_재고현황!$E:$E,0)),"")))</f>
        <v/>
      </c>
      <c r="B129" s="43">
        <f>IF($J129="","",IFERROR(INDEX(고압진공_재고현황!$C:$C,MATCH($J129,고압진공_재고현황!$E:$E,0)),IFERROR(INDEX(조립자재_재고현황!$C:$C,MATCH($J129,조립자재_재고현황!$E:$E,0)),"")))</f>
        <v/>
      </c>
      <c r="C129" s="44" t="n"/>
      <c r="D129" s="43">
        <f>IF($P129="","",INDEX(창고_재고현황!$B:$B,$P129))</f>
        <v/>
      </c>
      <c r="E129" s="43">
        <f>IF($P129="","",INDEX(창고_재고현황!$C:$C,$P129))</f>
        <v/>
      </c>
      <c r="F129" s="44" t="n"/>
      <c r="G129" s="43">
        <f>IF($P129="","",IF(INDEX(창고_재고현황!$E:$E,$P129)=0,"",INDEX(창고_재고현황!$E:$E,$P129)))</f>
        <v/>
      </c>
      <c r="H129" s="44" t="n"/>
      <c r="I129" s="45">
        <f>IF($J129="","",IFERROR(INDEX(고압진공_재고현황!$D:$D,MATCH($J129,고압진공_재고현황!$E:$E,0)),IFERROR(INDEX(조립자재_재고현황!$D:$D,MATCH($J129,조립자재_재고현황!$E:$E,0)),"")))</f>
        <v/>
      </c>
      <c r="J129" s="45">
        <f>IF($P129="","",INDEX(창고_재고현황!$D:$D,$P129))</f>
        <v/>
      </c>
      <c r="K129" s="44" t="n"/>
      <c r="L129" s="46" t="n"/>
      <c r="M129" s="46" t="n"/>
      <c r="N129" s="47" t="n"/>
      <c r="O129" s="44" t="n"/>
      <c r="P129" s="44">
        <f>IFERROR(MATCH(ROWS($P$2:P129),창고_재고현황!$H:$H,0),"")</f>
        <v/>
      </c>
      <c r="Q129" s="42" t="n"/>
      <c r="R129" s="42" t="n"/>
      <c r="S129" s="42" t="n"/>
      <c r="T129" s="42" t="n"/>
      <c r="U129" s="42" t="n"/>
    </row>
    <row r="130" ht="48" customHeight="1">
      <c r="A130" s="43">
        <f>IF($J130="","",IFERROR(INDEX(고압진공_재고현황!$B:$B,MATCH($J130,고압진공_재고현황!$E:$E,0)),IFERROR(INDEX(조립자재_재고현황!$B:$B,MATCH($J130,조립자재_재고현황!$E:$E,0)),"")))</f>
        <v/>
      </c>
      <c r="B130" s="43">
        <f>IF($J130="","",IFERROR(INDEX(고압진공_재고현황!$C:$C,MATCH($J130,고압진공_재고현황!$E:$E,0)),IFERROR(INDEX(조립자재_재고현황!$C:$C,MATCH($J130,조립자재_재고현황!$E:$E,0)),"")))</f>
        <v/>
      </c>
      <c r="C130" s="44" t="n"/>
      <c r="D130" s="43">
        <f>IF($P130="","",INDEX(창고_재고현황!$B:$B,$P130))</f>
        <v/>
      </c>
      <c r="E130" s="43">
        <f>IF($P130="","",INDEX(창고_재고현황!$C:$C,$P130))</f>
        <v/>
      </c>
      <c r="F130" s="44" t="n"/>
      <c r="G130" s="43">
        <f>IF($P130="","",IF(INDEX(창고_재고현황!$E:$E,$P130)=0,"",INDEX(창고_재고현황!$E:$E,$P130)))</f>
        <v/>
      </c>
      <c r="H130" s="44" t="n"/>
      <c r="I130" s="45">
        <f>IF($J130="","",IFERROR(INDEX(고압진공_재고현황!$D:$D,MATCH($J130,고압진공_재고현황!$E:$E,0)),IFERROR(INDEX(조립자재_재고현황!$D:$D,MATCH($J130,조립자재_재고현황!$E:$E,0)),"")))</f>
        <v/>
      </c>
      <c r="J130" s="45">
        <f>IF($P130="","",INDEX(창고_재고현황!$D:$D,$P130))</f>
        <v/>
      </c>
      <c r="K130" s="44" t="n"/>
      <c r="L130" s="46" t="n"/>
      <c r="M130" s="46" t="n"/>
      <c r="N130" s="47" t="n"/>
      <c r="O130" s="44" t="n"/>
      <c r="P130" s="44">
        <f>IFERROR(MATCH(ROWS($P$2:P130),창고_재고현황!$H:$H,0),"")</f>
        <v/>
      </c>
      <c r="Q130" s="42" t="n"/>
      <c r="R130" s="42" t="n"/>
      <c r="S130" s="42" t="n"/>
      <c r="T130" s="42" t="n"/>
      <c r="U130" s="42" t="n"/>
    </row>
    <row r="131" ht="48" customHeight="1">
      <c r="A131" s="43">
        <f>IF($J131="","",IFERROR(INDEX(고압진공_재고현황!$B:$B,MATCH($J131,고압진공_재고현황!$E:$E,0)),IFERROR(INDEX(조립자재_재고현황!$B:$B,MATCH($J131,조립자재_재고현황!$E:$E,0)),"")))</f>
        <v/>
      </c>
      <c r="B131" s="43">
        <f>IF($J131="","",IFERROR(INDEX(고압진공_재고현황!$C:$C,MATCH($J131,고압진공_재고현황!$E:$E,0)),IFERROR(INDEX(조립자재_재고현황!$C:$C,MATCH($J131,조립자재_재고현황!$E:$E,0)),"")))</f>
        <v/>
      </c>
      <c r="C131" s="44" t="n"/>
      <c r="D131" s="43">
        <f>IF($P131="","",INDEX(창고_재고현황!$B:$B,$P131))</f>
        <v/>
      </c>
      <c r="E131" s="43">
        <f>IF($P131="","",INDEX(창고_재고현황!$C:$C,$P131))</f>
        <v/>
      </c>
      <c r="F131" s="44" t="n"/>
      <c r="G131" s="43">
        <f>IF($P131="","",IF(INDEX(창고_재고현황!$E:$E,$P131)=0,"",INDEX(창고_재고현황!$E:$E,$P131)))</f>
        <v/>
      </c>
      <c r="H131" s="44" t="n"/>
      <c r="I131" s="45">
        <f>IF($J131="","",IFERROR(INDEX(고압진공_재고현황!$D:$D,MATCH($J131,고압진공_재고현황!$E:$E,0)),IFERROR(INDEX(조립자재_재고현황!$D:$D,MATCH($J131,조립자재_재고현황!$E:$E,0)),"")))</f>
        <v/>
      </c>
      <c r="J131" s="45">
        <f>IF($P131="","",INDEX(창고_재고현황!$D:$D,$P131))</f>
        <v/>
      </c>
      <c r="K131" s="44" t="n"/>
      <c r="L131" s="46" t="n"/>
      <c r="M131" s="46" t="n"/>
      <c r="N131" s="47" t="n"/>
      <c r="O131" s="44" t="n"/>
      <c r="P131" s="44">
        <f>IFERROR(MATCH(ROWS($P$2:P131),창고_재고현황!$H:$H,0),"")</f>
        <v/>
      </c>
      <c r="Q131" s="42" t="n"/>
      <c r="R131" s="42" t="n"/>
      <c r="S131" s="42" t="n"/>
      <c r="T131" s="42" t="n"/>
      <c r="U131" s="42" t="n"/>
    </row>
    <row r="132" ht="48" customHeight="1">
      <c r="A132" s="43">
        <f>IF($J132="","",IFERROR(INDEX(고압진공_재고현황!$B:$B,MATCH($J132,고압진공_재고현황!$E:$E,0)),IFERROR(INDEX(조립자재_재고현황!$B:$B,MATCH($J132,조립자재_재고현황!$E:$E,0)),"")))</f>
        <v/>
      </c>
      <c r="B132" s="43">
        <f>IF($J132="","",IFERROR(INDEX(고압진공_재고현황!$C:$C,MATCH($J132,고압진공_재고현황!$E:$E,0)),IFERROR(INDEX(조립자재_재고현황!$C:$C,MATCH($J132,조립자재_재고현황!$E:$E,0)),"")))</f>
        <v/>
      </c>
      <c r="C132" s="44" t="n"/>
      <c r="D132" s="43">
        <f>IF($P132="","",INDEX(창고_재고현황!$B:$B,$P132))</f>
        <v/>
      </c>
      <c r="E132" s="43">
        <f>IF($P132="","",INDEX(창고_재고현황!$C:$C,$P132))</f>
        <v/>
      </c>
      <c r="F132" s="44" t="n"/>
      <c r="G132" s="43">
        <f>IF($P132="","",IF(INDEX(창고_재고현황!$E:$E,$P132)=0,"",INDEX(창고_재고현황!$E:$E,$P132)))</f>
        <v/>
      </c>
      <c r="H132" s="44" t="n"/>
      <c r="I132" s="45">
        <f>IF($J132="","",IFERROR(INDEX(고압진공_재고현황!$D:$D,MATCH($J132,고압진공_재고현황!$E:$E,0)),IFERROR(INDEX(조립자재_재고현황!$D:$D,MATCH($J132,조립자재_재고현황!$E:$E,0)),"")))</f>
        <v/>
      </c>
      <c r="J132" s="45">
        <f>IF($P132="","",INDEX(창고_재고현황!$D:$D,$P132))</f>
        <v/>
      </c>
      <c r="K132" s="44" t="n"/>
      <c r="L132" s="46" t="n"/>
      <c r="M132" s="46" t="n"/>
      <c r="N132" s="47" t="n"/>
      <c r="O132" s="44" t="n"/>
      <c r="P132" s="44">
        <f>IFERROR(MATCH(ROWS($P$2:P132),창고_재고현황!$H:$H,0),"")</f>
        <v/>
      </c>
      <c r="Q132" s="42" t="n"/>
      <c r="R132" s="42" t="n"/>
      <c r="S132" s="42" t="n"/>
      <c r="T132" s="42" t="n"/>
      <c r="U132" s="42" t="n"/>
    </row>
    <row r="133" ht="48" customHeight="1">
      <c r="A133" s="43">
        <f>IF($J133="","",IFERROR(INDEX(고압진공_재고현황!$B:$B,MATCH($J133,고압진공_재고현황!$E:$E,0)),IFERROR(INDEX(조립자재_재고현황!$B:$B,MATCH($J133,조립자재_재고현황!$E:$E,0)),"")))</f>
        <v/>
      </c>
      <c r="B133" s="43">
        <f>IF($J133="","",IFERROR(INDEX(고압진공_재고현황!$C:$C,MATCH($J133,고압진공_재고현황!$E:$E,0)),IFERROR(INDEX(조립자재_재고현황!$C:$C,MATCH($J133,조립자재_재고현황!$E:$E,0)),"")))</f>
        <v/>
      </c>
      <c r="C133" s="44" t="n"/>
      <c r="D133" s="43">
        <f>IF($P133="","",INDEX(창고_재고현황!$B:$B,$P133))</f>
        <v/>
      </c>
      <c r="E133" s="43">
        <f>IF($P133="","",INDEX(창고_재고현황!$C:$C,$P133))</f>
        <v/>
      </c>
      <c r="F133" s="44" t="n"/>
      <c r="G133" s="43">
        <f>IF($P133="","",IF(INDEX(창고_재고현황!$E:$E,$P133)=0,"",INDEX(창고_재고현황!$E:$E,$P133)))</f>
        <v/>
      </c>
      <c r="H133" s="44" t="n"/>
      <c r="I133" s="45">
        <f>IF($J133="","",IFERROR(INDEX(고압진공_재고현황!$D:$D,MATCH($J133,고압진공_재고현황!$E:$E,0)),IFERROR(INDEX(조립자재_재고현황!$D:$D,MATCH($J133,조립자재_재고현황!$E:$E,0)),"")))</f>
        <v/>
      </c>
      <c r="J133" s="45">
        <f>IF($P133="","",INDEX(창고_재고현황!$D:$D,$P133))</f>
        <v/>
      </c>
      <c r="K133" s="44" t="n"/>
      <c r="L133" s="46" t="n"/>
      <c r="M133" s="46" t="n"/>
      <c r="N133" s="47" t="n"/>
      <c r="O133" s="44" t="n"/>
      <c r="P133" s="44">
        <f>IFERROR(MATCH(ROWS($P$2:P133),창고_재고현황!$H:$H,0),"")</f>
        <v/>
      </c>
      <c r="Q133" s="42" t="n"/>
      <c r="R133" s="42" t="n"/>
      <c r="S133" s="42" t="n"/>
      <c r="T133" s="42" t="n"/>
      <c r="U133" s="42" t="n"/>
    </row>
    <row r="134" ht="48" customHeight="1">
      <c r="A134" s="43">
        <f>IF($J134="","",IFERROR(INDEX(고압진공_재고현황!$B:$B,MATCH($J134,고압진공_재고현황!$E:$E,0)),IFERROR(INDEX(조립자재_재고현황!$B:$B,MATCH($J134,조립자재_재고현황!$E:$E,0)),"")))</f>
        <v/>
      </c>
      <c r="B134" s="43">
        <f>IF($J134="","",IFERROR(INDEX(고압진공_재고현황!$C:$C,MATCH($J134,고압진공_재고현황!$E:$E,0)),IFERROR(INDEX(조립자재_재고현황!$C:$C,MATCH($J134,조립자재_재고현황!$E:$E,0)),"")))</f>
        <v/>
      </c>
      <c r="C134" s="44" t="n"/>
      <c r="D134" s="43">
        <f>IF($P134="","",INDEX(창고_재고현황!$B:$B,$P134))</f>
        <v/>
      </c>
      <c r="E134" s="43">
        <f>IF($P134="","",INDEX(창고_재고현황!$C:$C,$P134))</f>
        <v/>
      </c>
      <c r="F134" s="44" t="n"/>
      <c r="G134" s="43">
        <f>IF($P134="","",IF(INDEX(창고_재고현황!$E:$E,$P134)=0,"",INDEX(창고_재고현황!$E:$E,$P134)))</f>
        <v/>
      </c>
      <c r="H134" s="44" t="n"/>
      <c r="I134" s="45">
        <f>IF($J134="","",IFERROR(INDEX(고압진공_재고현황!$D:$D,MATCH($J134,고압진공_재고현황!$E:$E,0)),IFERROR(INDEX(조립자재_재고현황!$D:$D,MATCH($J134,조립자재_재고현황!$E:$E,0)),"")))</f>
        <v/>
      </c>
      <c r="J134" s="45">
        <f>IF($P134="","",INDEX(창고_재고현황!$D:$D,$P134))</f>
        <v/>
      </c>
      <c r="K134" s="44" t="n"/>
      <c r="L134" s="46" t="n"/>
      <c r="M134" s="46" t="n"/>
      <c r="N134" s="47" t="n"/>
      <c r="O134" s="44" t="n"/>
      <c r="P134" s="44">
        <f>IFERROR(MATCH(ROWS($P$2:P134),창고_재고현황!$H:$H,0),"")</f>
        <v/>
      </c>
      <c r="Q134" s="42" t="n"/>
      <c r="R134" s="42" t="n"/>
      <c r="S134" s="42" t="n"/>
      <c r="T134" s="42" t="n"/>
      <c r="U134" s="42" t="n"/>
    </row>
    <row r="135" ht="48" customHeight="1">
      <c r="A135" s="43">
        <f>IF($J135="","",IFERROR(INDEX(고압진공_재고현황!$B:$B,MATCH($J135,고압진공_재고현황!$E:$E,0)),IFERROR(INDEX(조립자재_재고현황!$B:$B,MATCH($J135,조립자재_재고현황!$E:$E,0)),"")))</f>
        <v/>
      </c>
      <c r="B135" s="43">
        <f>IF($J135="","",IFERROR(INDEX(고압진공_재고현황!$C:$C,MATCH($J135,고압진공_재고현황!$E:$E,0)),IFERROR(INDEX(조립자재_재고현황!$C:$C,MATCH($J135,조립자재_재고현황!$E:$E,0)),"")))</f>
        <v/>
      </c>
      <c r="C135" s="44" t="n"/>
      <c r="D135" s="43">
        <f>IF($P135="","",INDEX(창고_재고현황!$B:$B,$P135))</f>
        <v/>
      </c>
      <c r="E135" s="43">
        <f>IF($P135="","",INDEX(창고_재고현황!$C:$C,$P135))</f>
        <v/>
      </c>
      <c r="F135" s="44" t="n"/>
      <c r="G135" s="43">
        <f>IF($P135="","",IF(INDEX(창고_재고현황!$E:$E,$P135)=0,"",INDEX(창고_재고현황!$E:$E,$P135)))</f>
        <v/>
      </c>
      <c r="H135" s="44" t="n"/>
      <c r="I135" s="45">
        <f>IF($J135="","",IFERROR(INDEX(고압진공_재고현황!$D:$D,MATCH($J135,고압진공_재고현황!$E:$E,0)),IFERROR(INDEX(조립자재_재고현황!$D:$D,MATCH($J135,조립자재_재고현황!$E:$E,0)),"")))</f>
        <v/>
      </c>
      <c r="J135" s="45">
        <f>IF($P135="","",INDEX(창고_재고현황!$D:$D,$P135))</f>
        <v/>
      </c>
      <c r="K135" s="44" t="n"/>
      <c r="L135" s="46" t="n"/>
      <c r="M135" s="46" t="n"/>
      <c r="N135" s="47" t="n"/>
      <c r="O135" s="44" t="n"/>
      <c r="P135" s="44">
        <f>IFERROR(MATCH(ROWS($P$2:P135),창고_재고현황!$H:$H,0),"")</f>
        <v/>
      </c>
      <c r="Q135" s="42" t="n"/>
      <c r="R135" s="42" t="n"/>
      <c r="S135" s="42" t="n"/>
      <c r="T135" s="42" t="n"/>
      <c r="U135" s="42" t="n"/>
    </row>
    <row r="136" ht="48" customHeight="1">
      <c r="A136" s="43">
        <f>IF($J136="","",IFERROR(INDEX(고압진공_재고현황!$B:$B,MATCH($J136,고압진공_재고현황!$E:$E,0)),IFERROR(INDEX(조립자재_재고현황!$B:$B,MATCH($J136,조립자재_재고현황!$E:$E,0)),"")))</f>
        <v/>
      </c>
      <c r="B136" s="43">
        <f>IF($J136="","",IFERROR(INDEX(고압진공_재고현황!$C:$C,MATCH($J136,고압진공_재고현황!$E:$E,0)),IFERROR(INDEX(조립자재_재고현황!$C:$C,MATCH($J136,조립자재_재고현황!$E:$E,0)),"")))</f>
        <v/>
      </c>
      <c r="C136" s="44" t="n"/>
      <c r="D136" s="43">
        <f>IF($P136="","",INDEX(창고_재고현황!$B:$B,$P136))</f>
        <v/>
      </c>
      <c r="E136" s="43">
        <f>IF($P136="","",INDEX(창고_재고현황!$C:$C,$P136))</f>
        <v/>
      </c>
      <c r="F136" s="44" t="n"/>
      <c r="G136" s="43">
        <f>IF($P136="","",IF(INDEX(창고_재고현황!$E:$E,$P136)=0,"",INDEX(창고_재고현황!$E:$E,$P136)))</f>
        <v/>
      </c>
      <c r="H136" s="44" t="n"/>
      <c r="I136" s="45">
        <f>IF($J136="","",IFERROR(INDEX(고압진공_재고현황!$D:$D,MATCH($J136,고압진공_재고현황!$E:$E,0)),IFERROR(INDEX(조립자재_재고현황!$D:$D,MATCH($J136,조립자재_재고현황!$E:$E,0)),"")))</f>
        <v/>
      </c>
      <c r="J136" s="45">
        <f>IF($P136="","",INDEX(창고_재고현황!$D:$D,$P136))</f>
        <v/>
      </c>
      <c r="K136" s="44" t="n"/>
      <c r="L136" s="46" t="n"/>
      <c r="M136" s="46" t="n"/>
      <c r="N136" s="47" t="n"/>
      <c r="O136" s="44" t="n"/>
      <c r="P136" s="44">
        <f>IFERROR(MATCH(ROWS($P$2:P136),창고_재고현황!$H:$H,0),"")</f>
        <v/>
      </c>
      <c r="Q136" s="42" t="n"/>
      <c r="R136" s="42" t="n"/>
      <c r="S136" s="42" t="n"/>
      <c r="T136" s="42" t="n"/>
      <c r="U136" s="42" t="n"/>
    </row>
    <row r="137" ht="48" customHeight="1">
      <c r="A137" s="43">
        <f>IF($J137="","",IFERROR(INDEX(고압진공_재고현황!$B:$B,MATCH($J137,고압진공_재고현황!$E:$E,0)),IFERROR(INDEX(조립자재_재고현황!$B:$B,MATCH($J137,조립자재_재고현황!$E:$E,0)),"")))</f>
        <v/>
      </c>
      <c r="B137" s="43">
        <f>IF($J137="","",IFERROR(INDEX(고압진공_재고현황!$C:$C,MATCH($J137,고압진공_재고현황!$E:$E,0)),IFERROR(INDEX(조립자재_재고현황!$C:$C,MATCH($J137,조립자재_재고현황!$E:$E,0)),"")))</f>
        <v/>
      </c>
      <c r="C137" s="44" t="n"/>
      <c r="D137" s="43">
        <f>IF($P137="","",INDEX(창고_재고현황!$B:$B,$P137))</f>
        <v/>
      </c>
      <c r="E137" s="43">
        <f>IF($P137="","",INDEX(창고_재고현황!$C:$C,$P137))</f>
        <v/>
      </c>
      <c r="F137" s="44" t="n"/>
      <c r="G137" s="43">
        <f>IF($P137="","",IF(INDEX(창고_재고현황!$E:$E,$P137)=0,"",INDEX(창고_재고현황!$E:$E,$P137)))</f>
        <v/>
      </c>
      <c r="H137" s="44" t="n"/>
      <c r="I137" s="45">
        <f>IF($J137="","",IFERROR(INDEX(고압진공_재고현황!$D:$D,MATCH($J137,고압진공_재고현황!$E:$E,0)),IFERROR(INDEX(조립자재_재고현황!$D:$D,MATCH($J137,조립자재_재고현황!$E:$E,0)),"")))</f>
        <v/>
      </c>
      <c r="J137" s="45">
        <f>IF($P137="","",INDEX(창고_재고현황!$D:$D,$P137))</f>
        <v/>
      </c>
      <c r="K137" s="44" t="n"/>
      <c r="L137" s="46" t="n"/>
      <c r="M137" s="46" t="n"/>
      <c r="N137" s="47" t="n"/>
      <c r="O137" s="44" t="n"/>
      <c r="P137" s="44">
        <f>IFERROR(MATCH(ROWS($P$2:P137),창고_재고현황!$H:$H,0),"")</f>
        <v/>
      </c>
      <c r="Q137" s="42" t="n"/>
      <c r="R137" s="42" t="n"/>
      <c r="S137" s="42" t="n"/>
      <c r="T137" s="42" t="n"/>
      <c r="U137" s="42" t="n"/>
    </row>
    <row r="138" ht="48" customHeight="1">
      <c r="A138" s="43">
        <f>IF($J138="","",IFERROR(INDEX(고압진공_재고현황!$B:$B,MATCH($J138,고압진공_재고현황!$E:$E,0)),IFERROR(INDEX(조립자재_재고현황!$B:$B,MATCH($J138,조립자재_재고현황!$E:$E,0)),"")))</f>
        <v/>
      </c>
      <c r="B138" s="43">
        <f>IF($J138="","",IFERROR(INDEX(고압진공_재고현황!$C:$C,MATCH($J138,고압진공_재고현황!$E:$E,0)),IFERROR(INDEX(조립자재_재고현황!$C:$C,MATCH($J138,조립자재_재고현황!$E:$E,0)),"")))</f>
        <v/>
      </c>
      <c r="C138" s="44" t="n"/>
      <c r="D138" s="43">
        <f>IF($P138="","",INDEX(창고_재고현황!$B:$B,$P138))</f>
        <v/>
      </c>
      <c r="E138" s="43">
        <f>IF($P138="","",INDEX(창고_재고현황!$C:$C,$P138))</f>
        <v/>
      </c>
      <c r="F138" s="44" t="n"/>
      <c r="G138" s="43">
        <f>IF($P138="","",IF(INDEX(창고_재고현황!$E:$E,$P138)=0,"",INDEX(창고_재고현황!$E:$E,$P138)))</f>
        <v/>
      </c>
      <c r="H138" s="44" t="n"/>
      <c r="I138" s="45">
        <f>IF($J138="","",IFERROR(INDEX(고압진공_재고현황!$D:$D,MATCH($J138,고압진공_재고현황!$E:$E,0)),IFERROR(INDEX(조립자재_재고현황!$D:$D,MATCH($J138,조립자재_재고현황!$E:$E,0)),"")))</f>
        <v/>
      </c>
      <c r="J138" s="45">
        <f>IF($P138="","",INDEX(창고_재고현황!$D:$D,$P138))</f>
        <v/>
      </c>
      <c r="K138" s="44" t="n"/>
      <c r="L138" s="46" t="n"/>
      <c r="M138" s="46" t="n"/>
      <c r="N138" s="47" t="n"/>
      <c r="O138" s="44" t="n"/>
      <c r="P138" s="44">
        <f>IFERROR(MATCH(ROWS($P$2:P138),창고_재고현황!$H:$H,0),"")</f>
        <v/>
      </c>
      <c r="Q138" s="42" t="n"/>
      <c r="R138" s="42" t="n"/>
      <c r="S138" s="42" t="n"/>
      <c r="T138" s="42" t="n"/>
      <c r="U138" s="42" t="n"/>
    </row>
    <row r="139" ht="48" customHeight="1">
      <c r="A139" s="43">
        <f>IF($J139="","",IFERROR(INDEX(고압진공_재고현황!$B:$B,MATCH($J139,고압진공_재고현황!$E:$E,0)),IFERROR(INDEX(조립자재_재고현황!$B:$B,MATCH($J139,조립자재_재고현황!$E:$E,0)),"")))</f>
        <v/>
      </c>
      <c r="B139" s="43">
        <f>IF($J139="","",IFERROR(INDEX(고압진공_재고현황!$C:$C,MATCH($J139,고압진공_재고현황!$E:$E,0)),IFERROR(INDEX(조립자재_재고현황!$C:$C,MATCH($J139,조립자재_재고현황!$E:$E,0)),"")))</f>
        <v/>
      </c>
      <c r="C139" s="44" t="n"/>
      <c r="D139" s="43">
        <f>IF($P139="","",INDEX(창고_재고현황!$B:$B,$P139))</f>
        <v/>
      </c>
      <c r="E139" s="43">
        <f>IF($P139="","",INDEX(창고_재고현황!$C:$C,$P139))</f>
        <v/>
      </c>
      <c r="F139" s="44" t="n"/>
      <c r="G139" s="43">
        <f>IF($P139="","",IF(INDEX(창고_재고현황!$E:$E,$P139)=0,"",INDEX(창고_재고현황!$E:$E,$P139)))</f>
        <v/>
      </c>
      <c r="H139" s="44" t="n"/>
      <c r="I139" s="45">
        <f>IF($J139="","",IFERROR(INDEX(고압진공_재고현황!$D:$D,MATCH($J139,고압진공_재고현황!$E:$E,0)),IFERROR(INDEX(조립자재_재고현황!$D:$D,MATCH($J139,조립자재_재고현황!$E:$E,0)),"")))</f>
        <v/>
      </c>
      <c r="J139" s="45">
        <f>IF($P139="","",INDEX(창고_재고현황!$D:$D,$P139))</f>
        <v/>
      </c>
      <c r="K139" s="44" t="n"/>
      <c r="L139" s="46" t="n"/>
      <c r="M139" s="46" t="n"/>
      <c r="N139" s="47" t="n"/>
      <c r="O139" s="44" t="n"/>
      <c r="P139" s="44">
        <f>IFERROR(MATCH(ROWS($P$2:P139),창고_재고현황!$H:$H,0),"")</f>
        <v/>
      </c>
      <c r="Q139" s="42" t="n"/>
      <c r="R139" s="42" t="n"/>
      <c r="S139" s="42" t="n"/>
      <c r="T139" s="42" t="n"/>
      <c r="U139" s="42" t="n"/>
    </row>
    <row r="140" ht="48" customHeight="1">
      <c r="A140" s="43">
        <f>IF($J140="","",IFERROR(INDEX(고압진공_재고현황!$B:$B,MATCH($J140,고압진공_재고현황!$E:$E,0)),IFERROR(INDEX(조립자재_재고현황!$B:$B,MATCH($J140,조립자재_재고현황!$E:$E,0)),"")))</f>
        <v/>
      </c>
      <c r="B140" s="43">
        <f>IF($J140="","",IFERROR(INDEX(고압진공_재고현황!$C:$C,MATCH($J140,고압진공_재고현황!$E:$E,0)),IFERROR(INDEX(조립자재_재고현황!$C:$C,MATCH($J140,조립자재_재고현황!$E:$E,0)),"")))</f>
        <v/>
      </c>
      <c r="C140" s="44" t="n"/>
      <c r="D140" s="43">
        <f>IF($P140="","",INDEX(창고_재고현황!$B:$B,$P140))</f>
        <v/>
      </c>
      <c r="E140" s="43">
        <f>IF($P140="","",INDEX(창고_재고현황!$C:$C,$P140))</f>
        <v/>
      </c>
      <c r="F140" s="44" t="n"/>
      <c r="G140" s="43">
        <f>IF($P140="","",IF(INDEX(창고_재고현황!$E:$E,$P140)=0,"",INDEX(창고_재고현황!$E:$E,$P140)))</f>
        <v/>
      </c>
      <c r="H140" s="44" t="n"/>
      <c r="I140" s="45">
        <f>IF($J140="","",IFERROR(INDEX(고압진공_재고현황!$D:$D,MATCH($J140,고압진공_재고현황!$E:$E,0)),IFERROR(INDEX(조립자재_재고현황!$D:$D,MATCH($J140,조립자재_재고현황!$E:$E,0)),"")))</f>
        <v/>
      </c>
      <c r="J140" s="45">
        <f>IF($P140="","",INDEX(창고_재고현황!$D:$D,$P140))</f>
        <v/>
      </c>
      <c r="K140" s="44" t="n"/>
      <c r="L140" s="46" t="n"/>
      <c r="M140" s="46" t="n"/>
      <c r="N140" s="47" t="n"/>
      <c r="O140" s="44" t="n"/>
      <c r="P140" s="44">
        <f>IFERROR(MATCH(ROWS($P$2:P140),창고_재고현황!$H:$H,0),"")</f>
        <v/>
      </c>
      <c r="Q140" s="42" t="n"/>
      <c r="R140" s="42" t="n"/>
      <c r="S140" s="42" t="n"/>
      <c r="T140" s="42" t="n"/>
      <c r="U140" s="42" t="n"/>
    </row>
    <row r="141" ht="48" customHeight="1">
      <c r="A141" s="43">
        <f>IF($J141="","",IFERROR(INDEX(고압진공_재고현황!$B:$B,MATCH($J141,고압진공_재고현황!$E:$E,0)),IFERROR(INDEX(조립자재_재고현황!$B:$B,MATCH($J141,조립자재_재고현황!$E:$E,0)),"")))</f>
        <v/>
      </c>
      <c r="B141" s="43">
        <f>IF($J141="","",IFERROR(INDEX(고압진공_재고현황!$C:$C,MATCH($J141,고압진공_재고현황!$E:$E,0)),IFERROR(INDEX(조립자재_재고현황!$C:$C,MATCH($J141,조립자재_재고현황!$E:$E,0)),"")))</f>
        <v/>
      </c>
      <c r="C141" s="44" t="n"/>
      <c r="D141" s="43">
        <f>IF($P141="","",INDEX(창고_재고현황!$B:$B,$P141))</f>
        <v/>
      </c>
      <c r="E141" s="43">
        <f>IF($P141="","",INDEX(창고_재고현황!$C:$C,$P141))</f>
        <v/>
      </c>
      <c r="F141" s="44" t="n"/>
      <c r="G141" s="43">
        <f>IF($P141="","",IF(INDEX(창고_재고현황!$E:$E,$P141)=0,"",INDEX(창고_재고현황!$E:$E,$P141)))</f>
        <v/>
      </c>
      <c r="H141" s="44" t="n"/>
      <c r="I141" s="45">
        <f>IF($J141="","",IFERROR(INDEX(고압진공_재고현황!$D:$D,MATCH($J141,고압진공_재고현황!$E:$E,0)),IFERROR(INDEX(조립자재_재고현황!$D:$D,MATCH($J141,조립자재_재고현황!$E:$E,0)),"")))</f>
        <v/>
      </c>
      <c r="J141" s="45">
        <f>IF($P141="","",INDEX(창고_재고현황!$D:$D,$P141))</f>
        <v/>
      </c>
      <c r="K141" s="44" t="n"/>
      <c r="L141" s="46" t="n"/>
      <c r="M141" s="46" t="n"/>
      <c r="N141" s="47" t="n"/>
      <c r="O141" s="44" t="n"/>
      <c r="P141" s="44">
        <f>IFERROR(MATCH(ROWS($P$2:P141),창고_재고현황!$H:$H,0),"")</f>
        <v/>
      </c>
      <c r="Q141" s="42" t="n"/>
      <c r="R141" s="42" t="n"/>
      <c r="S141" s="42" t="n"/>
      <c r="T141" s="42" t="n"/>
      <c r="U141" s="42" t="n"/>
    </row>
    <row r="142" ht="48" customHeight="1">
      <c r="A142" s="43">
        <f>IF($J142="","",IFERROR(INDEX(고압진공_재고현황!$B:$B,MATCH($J142,고압진공_재고현황!$E:$E,0)),IFERROR(INDEX(조립자재_재고현황!$B:$B,MATCH($J142,조립자재_재고현황!$E:$E,0)),"")))</f>
        <v/>
      </c>
      <c r="B142" s="43">
        <f>IF($J142="","",IFERROR(INDEX(고압진공_재고현황!$C:$C,MATCH($J142,고압진공_재고현황!$E:$E,0)),IFERROR(INDEX(조립자재_재고현황!$C:$C,MATCH($J142,조립자재_재고현황!$E:$E,0)),"")))</f>
        <v/>
      </c>
      <c r="C142" s="44" t="n"/>
      <c r="D142" s="43">
        <f>IF($P142="","",INDEX(창고_재고현황!$B:$B,$P142))</f>
        <v/>
      </c>
      <c r="E142" s="43">
        <f>IF($P142="","",INDEX(창고_재고현황!$C:$C,$P142))</f>
        <v/>
      </c>
      <c r="F142" s="44" t="n"/>
      <c r="G142" s="43">
        <f>IF($P142="","",IF(INDEX(창고_재고현황!$E:$E,$P142)=0,"",INDEX(창고_재고현황!$E:$E,$P142)))</f>
        <v/>
      </c>
      <c r="H142" s="44" t="n"/>
      <c r="I142" s="45">
        <f>IF($J142="","",IFERROR(INDEX(고압진공_재고현황!$D:$D,MATCH($J142,고압진공_재고현황!$E:$E,0)),IFERROR(INDEX(조립자재_재고현황!$D:$D,MATCH($J142,조립자재_재고현황!$E:$E,0)),"")))</f>
        <v/>
      </c>
      <c r="J142" s="45">
        <f>IF($P142="","",INDEX(창고_재고현황!$D:$D,$P142))</f>
        <v/>
      </c>
      <c r="K142" s="44" t="n"/>
      <c r="L142" s="46" t="n"/>
      <c r="M142" s="46" t="n"/>
      <c r="N142" s="47" t="n"/>
      <c r="O142" s="44" t="n"/>
      <c r="P142" s="44">
        <f>IFERROR(MATCH(ROWS($P$2:P142),창고_재고현황!$H:$H,0),"")</f>
        <v/>
      </c>
      <c r="Q142" s="42" t="n"/>
      <c r="R142" s="42" t="n"/>
      <c r="S142" s="42" t="n"/>
      <c r="T142" s="42" t="n"/>
      <c r="U142" s="42" t="n"/>
    </row>
    <row r="143" ht="48" customHeight="1">
      <c r="A143" s="43">
        <f>IF($J143="","",IFERROR(INDEX(고압진공_재고현황!$B:$B,MATCH($J143,고압진공_재고현황!$E:$E,0)),IFERROR(INDEX(조립자재_재고현황!$B:$B,MATCH($J143,조립자재_재고현황!$E:$E,0)),"")))</f>
        <v/>
      </c>
      <c r="B143" s="43">
        <f>IF($J143="","",IFERROR(INDEX(고압진공_재고현황!$C:$C,MATCH($J143,고압진공_재고현황!$E:$E,0)),IFERROR(INDEX(조립자재_재고현황!$C:$C,MATCH($J143,조립자재_재고현황!$E:$E,0)),"")))</f>
        <v/>
      </c>
      <c r="C143" s="44" t="n"/>
      <c r="D143" s="43">
        <f>IF($P143="","",INDEX(창고_재고현황!$B:$B,$P143))</f>
        <v/>
      </c>
      <c r="E143" s="43">
        <f>IF($P143="","",INDEX(창고_재고현황!$C:$C,$P143))</f>
        <v/>
      </c>
      <c r="F143" s="44" t="n"/>
      <c r="G143" s="43">
        <f>IF($P143="","",IF(INDEX(창고_재고현황!$E:$E,$P143)=0,"",INDEX(창고_재고현황!$E:$E,$P143)))</f>
        <v/>
      </c>
      <c r="H143" s="44" t="n"/>
      <c r="I143" s="45">
        <f>IF($J143="","",IFERROR(INDEX(고압진공_재고현황!$D:$D,MATCH($J143,고압진공_재고현황!$E:$E,0)),IFERROR(INDEX(조립자재_재고현황!$D:$D,MATCH($J143,조립자재_재고현황!$E:$E,0)),"")))</f>
        <v/>
      </c>
      <c r="J143" s="45">
        <f>IF($P143="","",INDEX(창고_재고현황!$D:$D,$P143))</f>
        <v/>
      </c>
      <c r="K143" s="44" t="n"/>
      <c r="L143" s="46" t="n"/>
      <c r="M143" s="46" t="n"/>
      <c r="N143" s="47" t="n"/>
      <c r="O143" s="44" t="n"/>
      <c r="P143" s="44">
        <f>IFERROR(MATCH(ROWS($P$2:P143),창고_재고현황!$H:$H,0),"")</f>
        <v/>
      </c>
      <c r="Q143" s="42" t="n"/>
      <c r="R143" s="42" t="n"/>
      <c r="S143" s="42" t="n"/>
      <c r="T143" s="42" t="n"/>
      <c r="U143" s="42" t="n"/>
    </row>
    <row r="144" ht="48" customHeight="1">
      <c r="A144" s="43">
        <f>IF($J144="","",IFERROR(INDEX(고압진공_재고현황!$B:$B,MATCH($J144,고압진공_재고현황!$E:$E,0)),IFERROR(INDEX(조립자재_재고현황!$B:$B,MATCH($J144,조립자재_재고현황!$E:$E,0)),"")))</f>
        <v/>
      </c>
      <c r="B144" s="43">
        <f>IF($J144="","",IFERROR(INDEX(고압진공_재고현황!$C:$C,MATCH($J144,고압진공_재고현황!$E:$E,0)),IFERROR(INDEX(조립자재_재고현황!$C:$C,MATCH($J144,조립자재_재고현황!$E:$E,0)),"")))</f>
        <v/>
      </c>
      <c r="C144" s="44" t="n"/>
      <c r="D144" s="43">
        <f>IF($P144="","",INDEX(창고_재고현황!$B:$B,$P144))</f>
        <v/>
      </c>
      <c r="E144" s="43">
        <f>IF($P144="","",INDEX(창고_재고현황!$C:$C,$P144))</f>
        <v/>
      </c>
      <c r="F144" s="44" t="n"/>
      <c r="G144" s="43">
        <f>IF($P144="","",IF(INDEX(창고_재고현황!$E:$E,$P144)=0,"",INDEX(창고_재고현황!$E:$E,$P144)))</f>
        <v/>
      </c>
      <c r="H144" s="44" t="n"/>
      <c r="I144" s="45">
        <f>IF($J144="","",IFERROR(INDEX(고압진공_재고현황!$D:$D,MATCH($J144,고압진공_재고현황!$E:$E,0)),IFERROR(INDEX(조립자재_재고현황!$D:$D,MATCH($J144,조립자재_재고현황!$E:$E,0)),"")))</f>
        <v/>
      </c>
      <c r="J144" s="45">
        <f>IF($P144="","",INDEX(창고_재고현황!$D:$D,$P144))</f>
        <v/>
      </c>
      <c r="K144" s="44" t="n"/>
      <c r="L144" s="46" t="n"/>
      <c r="M144" s="46" t="n"/>
      <c r="N144" s="47" t="n"/>
      <c r="O144" s="44" t="n"/>
      <c r="P144" s="44">
        <f>IFERROR(MATCH(ROWS($P$2:P144),창고_재고현황!$H:$H,0),"")</f>
        <v/>
      </c>
      <c r="Q144" s="42" t="n"/>
      <c r="R144" s="42" t="n"/>
      <c r="S144" s="42" t="n"/>
      <c r="T144" s="42" t="n"/>
      <c r="U144" s="42" t="n"/>
    </row>
    <row r="145" ht="48" customHeight="1">
      <c r="A145" s="43">
        <f>IF($J145="","",IFERROR(INDEX(고압진공_재고현황!$B:$B,MATCH($J145,고압진공_재고현황!$E:$E,0)),IFERROR(INDEX(조립자재_재고현황!$B:$B,MATCH($J145,조립자재_재고현황!$E:$E,0)),"")))</f>
        <v/>
      </c>
      <c r="B145" s="43">
        <f>IF($J145="","",IFERROR(INDEX(고압진공_재고현황!$C:$C,MATCH($J145,고압진공_재고현황!$E:$E,0)),IFERROR(INDEX(조립자재_재고현황!$C:$C,MATCH($J145,조립자재_재고현황!$E:$E,0)),"")))</f>
        <v/>
      </c>
      <c r="C145" s="44" t="n"/>
      <c r="D145" s="43">
        <f>IF($P145="","",INDEX(창고_재고현황!$B:$B,$P145))</f>
        <v/>
      </c>
      <c r="E145" s="43">
        <f>IF($P145="","",INDEX(창고_재고현황!$C:$C,$P145))</f>
        <v/>
      </c>
      <c r="F145" s="44" t="n"/>
      <c r="G145" s="43">
        <f>IF($P145="","",IF(INDEX(창고_재고현황!$E:$E,$P145)=0,"",INDEX(창고_재고현황!$E:$E,$P145)))</f>
        <v/>
      </c>
      <c r="H145" s="44" t="n"/>
      <c r="I145" s="45">
        <f>IF($J145="","",IFERROR(INDEX(고압진공_재고현황!$D:$D,MATCH($J145,고압진공_재고현황!$E:$E,0)),IFERROR(INDEX(조립자재_재고현황!$D:$D,MATCH($J145,조립자재_재고현황!$E:$E,0)),"")))</f>
        <v/>
      </c>
      <c r="J145" s="45">
        <f>IF($P145="","",INDEX(창고_재고현황!$D:$D,$P145))</f>
        <v/>
      </c>
      <c r="K145" s="44" t="n"/>
      <c r="L145" s="46" t="n"/>
      <c r="M145" s="46" t="n"/>
      <c r="N145" s="47" t="n"/>
      <c r="O145" s="44" t="n"/>
      <c r="P145" s="44">
        <f>IFERROR(MATCH(ROWS($P$2:P145),창고_재고현황!$H:$H,0),"")</f>
        <v/>
      </c>
      <c r="Q145" s="42" t="n"/>
      <c r="R145" s="42" t="n"/>
      <c r="S145" s="42" t="n"/>
      <c r="T145" s="42" t="n"/>
      <c r="U145" s="42" t="n"/>
    </row>
    <row r="146" ht="48" customHeight="1">
      <c r="A146" s="43">
        <f>IF($J146="","",IFERROR(INDEX(고압진공_재고현황!$B:$B,MATCH($J146,고압진공_재고현황!$E:$E,0)),IFERROR(INDEX(조립자재_재고현황!$B:$B,MATCH($J146,조립자재_재고현황!$E:$E,0)),"")))</f>
        <v/>
      </c>
      <c r="B146" s="43">
        <f>IF($J146="","",IFERROR(INDEX(고압진공_재고현황!$C:$C,MATCH($J146,고압진공_재고현황!$E:$E,0)),IFERROR(INDEX(조립자재_재고현황!$C:$C,MATCH($J146,조립자재_재고현황!$E:$E,0)),"")))</f>
        <v/>
      </c>
      <c r="C146" s="44" t="n"/>
      <c r="D146" s="43">
        <f>IF($P146="","",INDEX(창고_재고현황!$B:$B,$P146))</f>
        <v/>
      </c>
      <c r="E146" s="43">
        <f>IF($P146="","",INDEX(창고_재고현황!$C:$C,$P146))</f>
        <v/>
      </c>
      <c r="F146" s="44" t="n"/>
      <c r="G146" s="43">
        <f>IF($P146="","",IF(INDEX(창고_재고현황!$E:$E,$P146)=0,"",INDEX(창고_재고현황!$E:$E,$P146)))</f>
        <v/>
      </c>
      <c r="H146" s="44" t="n"/>
      <c r="I146" s="45">
        <f>IF($J146="","",IFERROR(INDEX(고압진공_재고현황!$D:$D,MATCH($J146,고압진공_재고현황!$E:$E,0)),IFERROR(INDEX(조립자재_재고현황!$D:$D,MATCH($J146,조립자재_재고현황!$E:$E,0)),"")))</f>
        <v/>
      </c>
      <c r="J146" s="45">
        <f>IF($P146="","",INDEX(창고_재고현황!$D:$D,$P146))</f>
        <v/>
      </c>
      <c r="K146" s="44" t="n"/>
      <c r="L146" s="46" t="n"/>
      <c r="M146" s="46" t="n"/>
      <c r="N146" s="47" t="n"/>
      <c r="O146" s="44" t="n"/>
      <c r="P146" s="44">
        <f>IFERROR(MATCH(ROWS($P$2:P146),창고_재고현황!$H:$H,0),"")</f>
        <v/>
      </c>
      <c r="Q146" s="42" t="n"/>
      <c r="R146" s="42" t="n"/>
      <c r="S146" s="42" t="n"/>
      <c r="T146" s="42" t="n"/>
      <c r="U146" s="42" t="n"/>
    </row>
    <row r="147" ht="48" customHeight="1">
      <c r="A147" s="43">
        <f>IF($J147="","",IFERROR(INDEX(고압진공_재고현황!$B:$B,MATCH($J147,고압진공_재고현황!$E:$E,0)),IFERROR(INDEX(조립자재_재고현황!$B:$B,MATCH($J147,조립자재_재고현황!$E:$E,0)),"")))</f>
        <v/>
      </c>
      <c r="B147" s="43">
        <f>IF($J147="","",IFERROR(INDEX(고압진공_재고현황!$C:$C,MATCH($J147,고압진공_재고현황!$E:$E,0)),IFERROR(INDEX(조립자재_재고현황!$C:$C,MATCH($J147,조립자재_재고현황!$E:$E,0)),"")))</f>
        <v/>
      </c>
      <c r="C147" s="44" t="n"/>
      <c r="D147" s="43">
        <f>IF($P147="","",INDEX(창고_재고현황!$B:$B,$P147))</f>
        <v/>
      </c>
      <c r="E147" s="43">
        <f>IF($P147="","",INDEX(창고_재고현황!$C:$C,$P147))</f>
        <v/>
      </c>
      <c r="F147" s="44" t="n"/>
      <c r="G147" s="43">
        <f>IF($P147="","",IF(INDEX(창고_재고현황!$E:$E,$P147)=0,"",INDEX(창고_재고현황!$E:$E,$P147)))</f>
        <v/>
      </c>
      <c r="H147" s="44" t="n"/>
      <c r="I147" s="45">
        <f>IF($J147="","",IFERROR(INDEX(고압진공_재고현황!$D:$D,MATCH($J147,고압진공_재고현황!$E:$E,0)),IFERROR(INDEX(조립자재_재고현황!$D:$D,MATCH($J147,조립자재_재고현황!$E:$E,0)),"")))</f>
        <v/>
      </c>
      <c r="J147" s="45">
        <f>IF($P147="","",INDEX(창고_재고현황!$D:$D,$P147))</f>
        <v/>
      </c>
      <c r="K147" s="44" t="n"/>
      <c r="L147" s="46" t="n"/>
      <c r="M147" s="46" t="n"/>
      <c r="N147" s="47" t="n"/>
      <c r="O147" s="44" t="n"/>
      <c r="P147" s="44">
        <f>IFERROR(MATCH(ROWS($P$2:P147),창고_재고현황!$H:$H,0),"")</f>
        <v/>
      </c>
      <c r="Q147" s="42" t="n"/>
      <c r="R147" s="42" t="n"/>
      <c r="S147" s="42" t="n"/>
      <c r="T147" s="42" t="n"/>
      <c r="U147" s="42" t="n"/>
    </row>
    <row r="148" ht="48" customHeight="1">
      <c r="A148" s="43">
        <f>IF($J148="","",IFERROR(INDEX(고압진공_재고현황!$B:$B,MATCH($J148,고압진공_재고현황!$E:$E,0)),IFERROR(INDEX(조립자재_재고현황!$B:$B,MATCH($J148,조립자재_재고현황!$E:$E,0)),"")))</f>
        <v/>
      </c>
      <c r="B148" s="43">
        <f>IF($J148="","",IFERROR(INDEX(고압진공_재고현황!$C:$C,MATCH($J148,고압진공_재고현황!$E:$E,0)),IFERROR(INDEX(조립자재_재고현황!$C:$C,MATCH($J148,조립자재_재고현황!$E:$E,0)),"")))</f>
        <v/>
      </c>
      <c r="C148" s="44" t="n"/>
      <c r="D148" s="43">
        <f>IF($P148="","",INDEX(창고_재고현황!$B:$B,$P148))</f>
        <v/>
      </c>
      <c r="E148" s="43">
        <f>IF($P148="","",INDEX(창고_재고현황!$C:$C,$P148))</f>
        <v/>
      </c>
      <c r="F148" s="44" t="n"/>
      <c r="G148" s="43">
        <f>IF($P148="","",IF(INDEX(창고_재고현황!$E:$E,$P148)=0,"",INDEX(창고_재고현황!$E:$E,$P148)))</f>
        <v/>
      </c>
      <c r="H148" s="44" t="n"/>
      <c r="I148" s="45">
        <f>IF($J148="","",IFERROR(INDEX(고압진공_재고현황!$D:$D,MATCH($J148,고압진공_재고현황!$E:$E,0)),IFERROR(INDEX(조립자재_재고현황!$D:$D,MATCH($J148,조립자재_재고현황!$E:$E,0)),"")))</f>
        <v/>
      </c>
      <c r="J148" s="45">
        <f>IF($P148="","",INDEX(창고_재고현황!$D:$D,$P148))</f>
        <v/>
      </c>
      <c r="K148" s="44" t="n"/>
      <c r="L148" s="46" t="n"/>
      <c r="M148" s="46" t="n"/>
      <c r="N148" s="47" t="n"/>
      <c r="O148" s="44" t="n"/>
      <c r="P148" s="44">
        <f>IFERROR(MATCH(ROWS($P$2:P148),창고_재고현황!$H:$H,0),"")</f>
        <v/>
      </c>
      <c r="Q148" s="42" t="n"/>
      <c r="R148" s="42" t="n"/>
      <c r="S148" s="42" t="n"/>
      <c r="T148" s="42" t="n"/>
      <c r="U148" s="42" t="n"/>
    </row>
    <row r="149" ht="48" customHeight="1">
      <c r="A149" s="43">
        <f>IF($J149="","",IFERROR(INDEX(고압진공_재고현황!$B:$B,MATCH($J149,고압진공_재고현황!$E:$E,0)),IFERROR(INDEX(조립자재_재고현황!$B:$B,MATCH($J149,조립자재_재고현황!$E:$E,0)),"")))</f>
        <v/>
      </c>
      <c r="B149" s="43">
        <f>IF($J149="","",IFERROR(INDEX(고압진공_재고현황!$C:$C,MATCH($J149,고압진공_재고현황!$E:$E,0)),IFERROR(INDEX(조립자재_재고현황!$C:$C,MATCH($J149,조립자재_재고현황!$E:$E,0)),"")))</f>
        <v/>
      </c>
      <c r="C149" s="44" t="n"/>
      <c r="D149" s="43">
        <f>IF($P149="","",INDEX(창고_재고현황!$B:$B,$P149))</f>
        <v/>
      </c>
      <c r="E149" s="43">
        <f>IF($P149="","",INDEX(창고_재고현황!$C:$C,$P149))</f>
        <v/>
      </c>
      <c r="F149" s="44" t="n"/>
      <c r="G149" s="43">
        <f>IF($P149="","",IF(INDEX(창고_재고현황!$E:$E,$P149)=0,"",INDEX(창고_재고현황!$E:$E,$P149)))</f>
        <v/>
      </c>
      <c r="H149" s="44" t="n"/>
      <c r="I149" s="45">
        <f>IF($J149="","",IFERROR(INDEX(고압진공_재고현황!$D:$D,MATCH($J149,고압진공_재고현황!$E:$E,0)),IFERROR(INDEX(조립자재_재고현황!$D:$D,MATCH($J149,조립자재_재고현황!$E:$E,0)),"")))</f>
        <v/>
      </c>
      <c r="J149" s="45">
        <f>IF($P149="","",INDEX(창고_재고현황!$D:$D,$P149))</f>
        <v/>
      </c>
      <c r="K149" s="44" t="n"/>
      <c r="L149" s="46" t="n"/>
      <c r="M149" s="46" t="n"/>
      <c r="N149" s="47" t="n"/>
      <c r="O149" s="44" t="n"/>
      <c r="P149" s="44">
        <f>IFERROR(MATCH(ROWS($P$2:P149),창고_재고현황!$H:$H,0),"")</f>
        <v/>
      </c>
      <c r="Q149" s="42" t="n"/>
      <c r="R149" s="42" t="n"/>
      <c r="S149" s="42" t="n"/>
      <c r="T149" s="42" t="n"/>
      <c r="U149" s="42" t="n"/>
    </row>
    <row r="150" ht="48" customHeight="1">
      <c r="A150" s="43">
        <f>IF($J150="","",IFERROR(INDEX(고압진공_재고현황!$B:$B,MATCH($J150,고압진공_재고현황!$E:$E,0)),IFERROR(INDEX(조립자재_재고현황!$B:$B,MATCH($J150,조립자재_재고현황!$E:$E,0)),"")))</f>
        <v/>
      </c>
      <c r="B150" s="43">
        <f>IF($J150="","",IFERROR(INDEX(고압진공_재고현황!$C:$C,MATCH($J150,고압진공_재고현황!$E:$E,0)),IFERROR(INDEX(조립자재_재고현황!$C:$C,MATCH($J150,조립자재_재고현황!$E:$E,0)),"")))</f>
        <v/>
      </c>
      <c r="C150" s="44" t="n"/>
      <c r="D150" s="43">
        <f>IF($P150="","",INDEX(창고_재고현황!$B:$B,$P150))</f>
        <v/>
      </c>
      <c r="E150" s="43">
        <f>IF($P150="","",INDEX(창고_재고현황!$C:$C,$P150))</f>
        <v/>
      </c>
      <c r="F150" s="44" t="n"/>
      <c r="G150" s="43">
        <f>IF($P150="","",IF(INDEX(창고_재고현황!$E:$E,$P150)=0,"",INDEX(창고_재고현황!$E:$E,$P150)))</f>
        <v/>
      </c>
      <c r="H150" s="44" t="n"/>
      <c r="I150" s="45">
        <f>IF($J150="","",IFERROR(INDEX(고압진공_재고현황!$D:$D,MATCH($J150,고압진공_재고현황!$E:$E,0)),IFERROR(INDEX(조립자재_재고현황!$D:$D,MATCH($J150,조립자재_재고현황!$E:$E,0)),"")))</f>
        <v/>
      </c>
      <c r="J150" s="45">
        <f>IF($P150="","",INDEX(창고_재고현황!$D:$D,$P150))</f>
        <v/>
      </c>
      <c r="K150" s="44" t="n"/>
      <c r="L150" s="46" t="n"/>
      <c r="M150" s="46" t="n"/>
      <c r="N150" s="47" t="n"/>
      <c r="O150" s="44" t="n"/>
      <c r="P150" s="44">
        <f>IFERROR(MATCH(ROWS($P$2:P150),창고_재고현황!$H:$H,0),"")</f>
        <v/>
      </c>
      <c r="Q150" s="42" t="n"/>
      <c r="R150" s="42" t="n"/>
      <c r="S150" s="42" t="n"/>
      <c r="T150" s="42" t="n"/>
      <c r="U150" s="42" t="n"/>
    </row>
    <row r="151" ht="48" customHeight="1">
      <c r="A151" s="43">
        <f>IF($J151="","",IFERROR(INDEX(고압진공_재고현황!$B:$B,MATCH($J151,고압진공_재고현황!$E:$E,0)),IFERROR(INDEX(조립자재_재고현황!$B:$B,MATCH($J151,조립자재_재고현황!$E:$E,0)),"")))</f>
        <v/>
      </c>
      <c r="B151" s="43">
        <f>IF($J151="","",IFERROR(INDEX(고압진공_재고현황!$C:$C,MATCH($J151,고압진공_재고현황!$E:$E,0)),IFERROR(INDEX(조립자재_재고현황!$C:$C,MATCH($J151,조립자재_재고현황!$E:$E,0)),"")))</f>
        <v/>
      </c>
      <c r="C151" s="44" t="n"/>
      <c r="D151" s="43">
        <f>IF($P151="","",INDEX(창고_재고현황!$B:$B,$P151))</f>
        <v/>
      </c>
      <c r="E151" s="43">
        <f>IF($P151="","",INDEX(창고_재고현황!$C:$C,$P151))</f>
        <v/>
      </c>
      <c r="F151" s="44" t="n"/>
      <c r="G151" s="43">
        <f>IF($P151="","",IF(INDEX(창고_재고현황!$E:$E,$P151)=0,"",INDEX(창고_재고현황!$E:$E,$P151)))</f>
        <v/>
      </c>
      <c r="H151" s="44" t="n"/>
      <c r="I151" s="45">
        <f>IF($J151="","",IFERROR(INDEX(고압진공_재고현황!$D:$D,MATCH($J151,고압진공_재고현황!$E:$E,0)),IFERROR(INDEX(조립자재_재고현황!$D:$D,MATCH($J151,조립자재_재고현황!$E:$E,0)),"")))</f>
        <v/>
      </c>
      <c r="J151" s="45">
        <f>IF($P151="","",INDEX(창고_재고현황!$D:$D,$P151))</f>
        <v/>
      </c>
      <c r="K151" s="44" t="n"/>
      <c r="L151" s="46" t="n"/>
      <c r="M151" s="46" t="n"/>
      <c r="N151" s="47" t="n"/>
      <c r="O151" s="44" t="n"/>
      <c r="P151" s="44">
        <f>IFERROR(MATCH(ROWS($P$2:P151),창고_재고현황!$H:$H,0),"")</f>
        <v/>
      </c>
      <c r="Q151" s="42" t="n"/>
      <c r="R151" s="42" t="n"/>
      <c r="S151" s="42" t="n"/>
      <c r="T151" s="42" t="n"/>
      <c r="U151" s="42" t="n"/>
    </row>
    <row r="152" ht="48" customHeight="1">
      <c r="A152" s="43">
        <f>IF($J152="","",IFERROR(INDEX(고압진공_재고현황!$B:$B,MATCH($J152,고압진공_재고현황!$E:$E,0)),IFERROR(INDEX(조립자재_재고현황!$B:$B,MATCH($J152,조립자재_재고현황!$E:$E,0)),"")))</f>
        <v/>
      </c>
      <c r="B152" s="43">
        <f>IF($J152="","",IFERROR(INDEX(고압진공_재고현황!$C:$C,MATCH($J152,고압진공_재고현황!$E:$E,0)),IFERROR(INDEX(조립자재_재고현황!$C:$C,MATCH($J152,조립자재_재고현황!$E:$E,0)),"")))</f>
        <v/>
      </c>
      <c r="C152" s="44" t="n"/>
      <c r="D152" s="43">
        <f>IF($P152="","",INDEX(창고_재고현황!$B:$B,$P152))</f>
        <v/>
      </c>
      <c r="E152" s="43">
        <f>IF($P152="","",INDEX(창고_재고현황!$C:$C,$P152))</f>
        <v/>
      </c>
      <c r="F152" s="44" t="n"/>
      <c r="G152" s="43">
        <f>IF($P152="","",IF(INDEX(창고_재고현황!$E:$E,$P152)=0,"",INDEX(창고_재고현황!$E:$E,$P152)))</f>
        <v/>
      </c>
      <c r="H152" s="44" t="n"/>
      <c r="I152" s="45">
        <f>IF($J152="","",IFERROR(INDEX(고압진공_재고현황!$D:$D,MATCH($J152,고압진공_재고현황!$E:$E,0)),IFERROR(INDEX(조립자재_재고현황!$D:$D,MATCH($J152,조립자재_재고현황!$E:$E,0)),"")))</f>
        <v/>
      </c>
      <c r="J152" s="45">
        <f>IF($P152="","",INDEX(창고_재고현황!$D:$D,$P152))</f>
        <v/>
      </c>
      <c r="K152" s="44" t="n"/>
      <c r="L152" s="46" t="n"/>
      <c r="M152" s="46" t="n"/>
      <c r="N152" s="47" t="n"/>
      <c r="O152" s="44" t="n"/>
      <c r="P152" s="44">
        <f>IFERROR(MATCH(ROWS($P$2:P152),창고_재고현황!$H:$H,0),"")</f>
        <v/>
      </c>
      <c r="Q152" s="42" t="n"/>
      <c r="R152" s="42" t="n"/>
      <c r="S152" s="42" t="n"/>
      <c r="T152" s="42" t="n"/>
      <c r="U152" s="42" t="n"/>
    </row>
    <row r="153" ht="48" customHeight="1">
      <c r="A153" s="43">
        <f>IF($J153="","",IFERROR(INDEX(고압진공_재고현황!$B:$B,MATCH($J153,고압진공_재고현황!$E:$E,0)),IFERROR(INDEX(조립자재_재고현황!$B:$B,MATCH($J153,조립자재_재고현황!$E:$E,0)),"")))</f>
        <v/>
      </c>
      <c r="B153" s="43">
        <f>IF($J153="","",IFERROR(INDEX(고압진공_재고현황!$C:$C,MATCH($J153,고압진공_재고현황!$E:$E,0)),IFERROR(INDEX(조립자재_재고현황!$C:$C,MATCH($J153,조립자재_재고현황!$E:$E,0)),"")))</f>
        <v/>
      </c>
      <c r="C153" s="44" t="n"/>
      <c r="D153" s="43">
        <f>IF($P153="","",INDEX(창고_재고현황!$B:$B,$P153))</f>
        <v/>
      </c>
      <c r="E153" s="43">
        <f>IF($P153="","",INDEX(창고_재고현황!$C:$C,$P153))</f>
        <v/>
      </c>
      <c r="F153" s="44" t="n"/>
      <c r="G153" s="43">
        <f>IF($P153="","",IF(INDEX(창고_재고현황!$E:$E,$P153)=0,"",INDEX(창고_재고현황!$E:$E,$P153)))</f>
        <v/>
      </c>
      <c r="H153" s="44" t="n"/>
      <c r="I153" s="45">
        <f>IF($J153="","",IFERROR(INDEX(고압진공_재고현황!$D:$D,MATCH($J153,고압진공_재고현황!$E:$E,0)),IFERROR(INDEX(조립자재_재고현황!$D:$D,MATCH($J153,조립자재_재고현황!$E:$E,0)),"")))</f>
        <v/>
      </c>
      <c r="J153" s="45">
        <f>IF($P153="","",INDEX(창고_재고현황!$D:$D,$P153))</f>
        <v/>
      </c>
      <c r="K153" s="44" t="n"/>
      <c r="L153" s="46" t="n"/>
      <c r="M153" s="46" t="n"/>
      <c r="N153" s="47" t="n"/>
      <c r="O153" s="44" t="n"/>
      <c r="P153" s="44">
        <f>IFERROR(MATCH(ROWS($P$2:P153),창고_재고현황!$H:$H,0),"")</f>
        <v/>
      </c>
      <c r="Q153" s="42" t="n"/>
      <c r="R153" s="42" t="n"/>
      <c r="S153" s="42" t="n"/>
      <c r="T153" s="42" t="n"/>
      <c r="U153" s="42" t="n"/>
    </row>
    <row r="154" ht="48" customHeight="1">
      <c r="A154" s="43">
        <f>IF($J154="","",IFERROR(INDEX(고압진공_재고현황!$B:$B,MATCH($J154,고압진공_재고현황!$E:$E,0)),IFERROR(INDEX(조립자재_재고현황!$B:$B,MATCH($J154,조립자재_재고현황!$E:$E,0)),"")))</f>
        <v/>
      </c>
      <c r="B154" s="43">
        <f>IF($J154="","",IFERROR(INDEX(고압진공_재고현황!$C:$C,MATCH($J154,고압진공_재고현황!$E:$E,0)),IFERROR(INDEX(조립자재_재고현황!$C:$C,MATCH($J154,조립자재_재고현황!$E:$E,0)),"")))</f>
        <v/>
      </c>
      <c r="C154" s="44" t="n"/>
      <c r="D154" s="43">
        <f>IF($P154="","",INDEX(창고_재고현황!$B:$B,$P154))</f>
        <v/>
      </c>
      <c r="E154" s="43">
        <f>IF($P154="","",INDEX(창고_재고현황!$C:$C,$P154))</f>
        <v/>
      </c>
      <c r="F154" s="44" t="n"/>
      <c r="G154" s="43">
        <f>IF($P154="","",IF(INDEX(창고_재고현황!$E:$E,$P154)=0,"",INDEX(창고_재고현황!$E:$E,$P154)))</f>
        <v/>
      </c>
      <c r="H154" s="44" t="n"/>
      <c r="I154" s="45">
        <f>IF($J154="","",IFERROR(INDEX(고압진공_재고현황!$D:$D,MATCH($J154,고압진공_재고현황!$E:$E,0)),IFERROR(INDEX(조립자재_재고현황!$D:$D,MATCH($J154,조립자재_재고현황!$E:$E,0)),"")))</f>
        <v/>
      </c>
      <c r="J154" s="45">
        <f>IF($P154="","",INDEX(창고_재고현황!$D:$D,$P154))</f>
        <v/>
      </c>
      <c r="K154" s="44" t="n"/>
      <c r="L154" s="46" t="n"/>
      <c r="M154" s="46" t="n"/>
      <c r="N154" s="47" t="n"/>
      <c r="O154" s="44" t="n"/>
      <c r="P154" s="44">
        <f>IFERROR(MATCH(ROWS($P$2:P154),창고_재고현황!$H:$H,0),"")</f>
        <v/>
      </c>
      <c r="Q154" s="42" t="n"/>
      <c r="R154" s="42" t="n"/>
      <c r="S154" s="42" t="n"/>
      <c r="T154" s="42" t="n"/>
      <c r="U154" s="42" t="n"/>
    </row>
    <row r="155" ht="48" customHeight="1">
      <c r="A155" s="43">
        <f>IF($J155="","",IFERROR(INDEX(고압진공_재고현황!$B:$B,MATCH($J155,고압진공_재고현황!$E:$E,0)),IFERROR(INDEX(조립자재_재고현황!$B:$B,MATCH($J155,조립자재_재고현황!$E:$E,0)),"")))</f>
        <v/>
      </c>
      <c r="B155" s="43">
        <f>IF($J155="","",IFERROR(INDEX(고압진공_재고현황!$C:$C,MATCH($J155,고압진공_재고현황!$E:$E,0)),IFERROR(INDEX(조립자재_재고현황!$C:$C,MATCH($J155,조립자재_재고현황!$E:$E,0)),"")))</f>
        <v/>
      </c>
      <c r="C155" s="44" t="n"/>
      <c r="D155" s="43">
        <f>IF($P155="","",INDEX(창고_재고현황!$B:$B,$P155))</f>
        <v/>
      </c>
      <c r="E155" s="43">
        <f>IF($P155="","",INDEX(창고_재고현황!$C:$C,$P155))</f>
        <v/>
      </c>
      <c r="F155" s="44" t="n"/>
      <c r="G155" s="43">
        <f>IF($P155="","",IF(INDEX(창고_재고현황!$E:$E,$P155)=0,"",INDEX(창고_재고현황!$E:$E,$P155)))</f>
        <v/>
      </c>
      <c r="H155" s="44" t="n"/>
      <c r="I155" s="45">
        <f>IF($J155="","",IFERROR(INDEX(고압진공_재고현황!$D:$D,MATCH($J155,고압진공_재고현황!$E:$E,0)),IFERROR(INDEX(조립자재_재고현황!$D:$D,MATCH($J155,조립자재_재고현황!$E:$E,0)),"")))</f>
        <v/>
      </c>
      <c r="J155" s="45">
        <f>IF($P155="","",INDEX(창고_재고현황!$D:$D,$P155))</f>
        <v/>
      </c>
      <c r="K155" s="44" t="n"/>
      <c r="L155" s="46" t="n"/>
      <c r="M155" s="46" t="n"/>
      <c r="N155" s="47" t="n"/>
      <c r="O155" s="44" t="n"/>
      <c r="P155" s="44">
        <f>IFERROR(MATCH(ROWS($P$2:P155),창고_재고현황!$H:$H,0),"")</f>
        <v/>
      </c>
      <c r="Q155" s="42" t="n"/>
      <c r="R155" s="42" t="n"/>
      <c r="S155" s="42" t="n"/>
      <c r="T155" s="42" t="n"/>
      <c r="U155" s="42" t="n"/>
    </row>
    <row r="156" ht="48" customHeight="1">
      <c r="A156" s="43">
        <f>IF($J156="","",IFERROR(INDEX(고압진공_재고현황!$B:$B,MATCH($J156,고압진공_재고현황!$E:$E,0)),IFERROR(INDEX(조립자재_재고현황!$B:$B,MATCH($J156,조립자재_재고현황!$E:$E,0)),"")))</f>
        <v/>
      </c>
      <c r="B156" s="43">
        <f>IF($J156="","",IFERROR(INDEX(고압진공_재고현황!$C:$C,MATCH($J156,고압진공_재고현황!$E:$E,0)),IFERROR(INDEX(조립자재_재고현황!$C:$C,MATCH($J156,조립자재_재고현황!$E:$E,0)),"")))</f>
        <v/>
      </c>
      <c r="C156" s="44" t="n"/>
      <c r="D156" s="43">
        <f>IF($P156="","",INDEX(창고_재고현황!$B:$B,$P156))</f>
        <v/>
      </c>
      <c r="E156" s="43">
        <f>IF($P156="","",INDEX(창고_재고현황!$C:$C,$P156))</f>
        <v/>
      </c>
      <c r="F156" s="44" t="n"/>
      <c r="G156" s="43">
        <f>IF($P156="","",IF(INDEX(창고_재고현황!$E:$E,$P156)=0,"",INDEX(창고_재고현황!$E:$E,$P156)))</f>
        <v/>
      </c>
      <c r="H156" s="44" t="n"/>
      <c r="I156" s="45">
        <f>IF($J156="","",IFERROR(INDEX(고압진공_재고현황!$D:$D,MATCH($J156,고압진공_재고현황!$E:$E,0)),IFERROR(INDEX(조립자재_재고현황!$D:$D,MATCH($J156,조립자재_재고현황!$E:$E,0)),"")))</f>
        <v/>
      </c>
      <c r="J156" s="45">
        <f>IF($P156="","",INDEX(창고_재고현황!$D:$D,$P156))</f>
        <v/>
      </c>
      <c r="K156" s="44" t="n"/>
      <c r="L156" s="46" t="n"/>
      <c r="M156" s="46" t="n"/>
      <c r="N156" s="47" t="n"/>
      <c r="O156" s="44" t="n"/>
      <c r="P156" s="44">
        <f>IFERROR(MATCH(ROWS($P$2:P156),창고_재고현황!$H:$H,0),"")</f>
        <v/>
      </c>
      <c r="Q156" s="42" t="n"/>
      <c r="R156" s="42" t="n"/>
      <c r="S156" s="42" t="n"/>
      <c r="T156" s="42" t="n"/>
      <c r="U156" s="42" t="n"/>
    </row>
    <row r="157" ht="48" customHeight="1">
      <c r="A157" s="43">
        <f>IF($J157="","",IFERROR(INDEX(고압진공_재고현황!$B:$B,MATCH($J157,고압진공_재고현황!$E:$E,0)),IFERROR(INDEX(조립자재_재고현황!$B:$B,MATCH($J157,조립자재_재고현황!$E:$E,0)),"")))</f>
        <v/>
      </c>
      <c r="B157" s="43">
        <f>IF($J157="","",IFERROR(INDEX(고압진공_재고현황!$C:$C,MATCH($J157,고압진공_재고현황!$E:$E,0)),IFERROR(INDEX(조립자재_재고현황!$C:$C,MATCH($J157,조립자재_재고현황!$E:$E,0)),"")))</f>
        <v/>
      </c>
      <c r="C157" s="44" t="n"/>
      <c r="D157" s="43">
        <f>IF($P157="","",INDEX(창고_재고현황!$B:$B,$P157))</f>
        <v/>
      </c>
      <c r="E157" s="43">
        <f>IF($P157="","",INDEX(창고_재고현황!$C:$C,$P157))</f>
        <v/>
      </c>
      <c r="F157" s="44" t="n"/>
      <c r="G157" s="43">
        <f>IF($P157="","",IF(INDEX(창고_재고현황!$E:$E,$P157)=0,"",INDEX(창고_재고현황!$E:$E,$P157)))</f>
        <v/>
      </c>
      <c r="H157" s="44" t="n"/>
      <c r="I157" s="45">
        <f>IF($J157="","",IFERROR(INDEX(고압진공_재고현황!$D:$D,MATCH($J157,고압진공_재고현황!$E:$E,0)),IFERROR(INDEX(조립자재_재고현황!$D:$D,MATCH($J157,조립자재_재고현황!$E:$E,0)),"")))</f>
        <v/>
      </c>
      <c r="J157" s="45">
        <f>IF($P157="","",INDEX(창고_재고현황!$D:$D,$P157))</f>
        <v/>
      </c>
      <c r="K157" s="44" t="n"/>
      <c r="L157" s="46" t="n"/>
      <c r="M157" s="46" t="n"/>
      <c r="N157" s="47" t="n"/>
      <c r="O157" s="44" t="n"/>
      <c r="P157" s="44">
        <f>IFERROR(MATCH(ROWS($P$2:P157),창고_재고현황!$H:$H,0),"")</f>
        <v/>
      </c>
      <c r="Q157" s="42" t="n"/>
      <c r="R157" s="42" t="n"/>
      <c r="S157" s="42" t="n"/>
      <c r="T157" s="42" t="n"/>
      <c r="U157" s="42" t="n"/>
    </row>
    <row r="158" ht="48" customHeight="1">
      <c r="A158" s="43">
        <f>IF($J158="","",IFERROR(INDEX(고압진공_재고현황!$B:$B,MATCH($J158,고압진공_재고현황!$E:$E,0)),IFERROR(INDEX(조립자재_재고현황!$B:$B,MATCH($J158,조립자재_재고현황!$E:$E,0)),"")))</f>
        <v/>
      </c>
      <c r="B158" s="43">
        <f>IF($J158="","",IFERROR(INDEX(고압진공_재고현황!$C:$C,MATCH($J158,고압진공_재고현황!$E:$E,0)),IFERROR(INDEX(조립자재_재고현황!$C:$C,MATCH($J158,조립자재_재고현황!$E:$E,0)),"")))</f>
        <v/>
      </c>
      <c r="C158" s="44" t="n"/>
      <c r="D158" s="43">
        <f>IF($P158="","",INDEX(창고_재고현황!$B:$B,$P158))</f>
        <v/>
      </c>
      <c r="E158" s="43">
        <f>IF($P158="","",INDEX(창고_재고현황!$C:$C,$P158))</f>
        <v/>
      </c>
      <c r="F158" s="44" t="n"/>
      <c r="G158" s="43">
        <f>IF($P158="","",IF(INDEX(창고_재고현황!$E:$E,$P158)=0,"",INDEX(창고_재고현황!$E:$E,$P158)))</f>
        <v/>
      </c>
      <c r="H158" s="44" t="n"/>
      <c r="I158" s="45">
        <f>IF($J158="","",IFERROR(INDEX(고압진공_재고현황!$D:$D,MATCH($J158,고압진공_재고현황!$E:$E,0)),IFERROR(INDEX(조립자재_재고현황!$D:$D,MATCH($J158,조립자재_재고현황!$E:$E,0)),"")))</f>
        <v/>
      </c>
      <c r="J158" s="45">
        <f>IF($P158="","",INDEX(창고_재고현황!$D:$D,$P158))</f>
        <v/>
      </c>
      <c r="K158" s="44" t="n"/>
      <c r="L158" s="46" t="n"/>
      <c r="M158" s="46" t="n"/>
      <c r="N158" s="47" t="n"/>
      <c r="O158" s="44" t="n"/>
      <c r="P158" s="44">
        <f>IFERROR(MATCH(ROWS($P$2:P158),창고_재고현황!$H:$H,0),"")</f>
        <v/>
      </c>
      <c r="Q158" s="42" t="n"/>
      <c r="R158" s="42" t="n"/>
      <c r="S158" s="42" t="n"/>
      <c r="T158" s="42" t="n"/>
      <c r="U158" s="42" t="n"/>
    </row>
    <row r="159" ht="48" customHeight="1">
      <c r="A159" s="43">
        <f>IF($J159="","",IFERROR(INDEX(고압진공_재고현황!$B:$B,MATCH($J159,고압진공_재고현황!$E:$E,0)),IFERROR(INDEX(조립자재_재고현황!$B:$B,MATCH($J159,조립자재_재고현황!$E:$E,0)),"")))</f>
        <v/>
      </c>
      <c r="B159" s="43">
        <f>IF($J159="","",IFERROR(INDEX(고압진공_재고현황!$C:$C,MATCH($J159,고압진공_재고현황!$E:$E,0)),IFERROR(INDEX(조립자재_재고현황!$C:$C,MATCH($J159,조립자재_재고현황!$E:$E,0)),"")))</f>
        <v/>
      </c>
      <c r="C159" s="44" t="n"/>
      <c r="D159" s="43">
        <f>IF($P159="","",INDEX(창고_재고현황!$B:$B,$P159))</f>
        <v/>
      </c>
      <c r="E159" s="43">
        <f>IF($P159="","",INDEX(창고_재고현황!$C:$C,$P159))</f>
        <v/>
      </c>
      <c r="F159" s="44" t="n"/>
      <c r="G159" s="43">
        <f>IF($P159="","",IF(INDEX(창고_재고현황!$E:$E,$P159)=0,"",INDEX(창고_재고현황!$E:$E,$P159)))</f>
        <v/>
      </c>
      <c r="H159" s="44" t="n"/>
      <c r="I159" s="45">
        <f>IF($J159="","",IFERROR(INDEX(고압진공_재고현황!$D:$D,MATCH($J159,고압진공_재고현황!$E:$E,0)),IFERROR(INDEX(조립자재_재고현황!$D:$D,MATCH($J159,조립자재_재고현황!$E:$E,0)),"")))</f>
        <v/>
      </c>
      <c r="J159" s="45">
        <f>IF($P159="","",INDEX(창고_재고현황!$D:$D,$P159))</f>
        <v/>
      </c>
      <c r="K159" s="44" t="n"/>
      <c r="L159" s="46" t="n"/>
      <c r="M159" s="46" t="n"/>
      <c r="N159" s="47" t="n"/>
      <c r="O159" s="44" t="n"/>
      <c r="P159" s="44">
        <f>IFERROR(MATCH(ROWS($P$2:P159),창고_재고현황!$H:$H,0),"")</f>
        <v/>
      </c>
      <c r="Q159" s="42" t="n"/>
      <c r="R159" s="42" t="n"/>
      <c r="S159" s="42" t="n"/>
      <c r="T159" s="42" t="n"/>
      <c r="U159" s="42" t="n"/>
    </row>
    <row r="160" ht="48" customHeight="1">
      <c r="A160" s="43">
        <f>IF($J160="","",IFERROR(INDEX(고압진공_재고현황!$B:$B,MATCH($J160,고압진공_재고현황!$E:$E,0)),IFERROR(INDEX(조립자재_재고현황!$B:$B,MATCH($J160,조립자재_재고현황!$E:$E,0)),"")))</f>
        <v/>
      </c>
      <c r="B160" s="43">
        <f>IF($J160="","",IFERROR(INDEX(고압진공_재고현황!$C:$C,MATCH($J160,고압진공_재고현황!$E:$E,0)),IFERROR(INDEX(조립자재_재고현황!$C:$C,MATCH($J160,조립자재_재고현황!$E:$E,0)),"")))</f>
        <v/>
      </c>
      <c r="C160" s="44" t="n"/>
      <c r="D160" s="43">
        <f>IF($P160="","",INDEX(창고_재고현황!$B:$B,$P160))</f>
        <v/>
      </c>
      <c r="E160" s="43">
        <f>IF($P160="","",INDEX(창고_재고현황!$C:$C,$P160))</f>
        <v/>
      </c>
      <c r="F160" s="44" t="n"/>
      <c r="G160" s="43">
        <f>IF($P160="","",IF(INDEX(창고_재고현황!$E:$E,$P160)=0,"",INDEX(창고_재고현황!$E:$E,$P160)))</f>
        <v/>
      </c>
      <c r="H160" s="44" t="n"/>
      <c r="I160" s="45">
        <f>IF($J160="","",IFERROR(INDEX(고압진공_재고현황!$D:$D,MATCH($J160,고압진공_재고현황!$E:$E,0)),IFERROR(INDEX(조립자재_재고현황!$D:$D,MATCH($J160,조립자재_재고현황!$E:$E,0)),"")))</f>
        <v/>
      </c>
      <c r="J160" s="45">
        <f>IF($P160="","",INDEX(창고_재고현황!$D:$D,$P160))</f>
        <v/>
      </c>
      <c r="K160" s="44" t="n"/>
      <c r="L160" s="46" t="n"/>
      <c r="M160" s="46" t="n"/>
      <c r="N160" s="47" t="n"/>
      <c r="O160" s="44" t="n"/>
      <c r="P160" s="44">
        <f>IFERROR(MATCH(ROWS($P$2:P160),창고_재고현황!$H:$H,0),"")</f>
        <v/>
      </c>
      <c r="Q160" s="42" t="n"/>
      <c r="R160" s="42" t="n"/>
      <c r="S160" s="42" t="n"/>
      <c r="T160" s="42" t="n"/>
      <c r="U160" s="42" t="n"/>
    </row>
    <row r="161" ht="48" customHeight="1">
      <c r="A161" s="43">
        <f>IF($J161="","",IFERROR(INDEX(고압진공_재고현황!$B:$B,MATCH($J161,고압진공_재고현황!$E:$E,0)),IFERROR(INDEX(조립자재_재고현황!$B:$B,MATCH($J161,조립자재_재고현황!$E:$E,0)),"")))</f>
        <v/>
      </c>
      <c r="B161" s="43">
        <f>IF($J161="","",IFERROR(INDEX(고압진공_재고현황!$C:$C,MATCH($J161,고압진공_재고현황!$E:$E,0)),IFERROR(INDEX(조립자재_재고현황!$C:$C,MATCH($J161,조립자재_재고현황!$E:$E,0)),"")))</f>
        <v/>
      </c>
      <c r="C161" s="44" t="n"/>
      <c r="D161" s="43">
        <f>IF($P161="","",INDEX(창고_재고현황!$B:$B,$P161))</f>
        <v/>
      </c>
      <c r="E161" s="43">
        <f>IF($P161="","",INDEX(창고_재고현황!$C:$C,$P161))</f>
        <v/>
      </c>
      <c r="F161" s="44" t="n"/>
      <c r="G161" s="43">
        <f>IF($P161="","",IF(INDEX(창고_재고현황!$E:$E,$P161)=0,"",INDEX(창고_재고현황!$E:$E,$P161)))</f>
        <v/>
      </c>
      <c r="H161" s="44" t="n"/>
      <c r="I161" s="45">
        <f>IF($J161="","",IFERROR(INDEX(고압진공_재고현황!$D:$D,MATCH($J161,고압진공_재고현황!$E:$E,0)),IFERROR(INDEX(조립자재_재고현황!$D:$D,MATCH($J161,조립자재_재고현황!$E:$E,0)),"")))</f>
        <v/>
      </c>
      <c r="J161" s="45">
        <f>IF($P161="","",INDEX(창고_재고현황!$D:$D,$P161))</f>
        <v/>
      </c>
      <c r="K161" s="44" t="n"/>
      <c r="L161" s="46" t="n"/>
      <c r="M161" s="46" t="n"/>
      <c r="N161" s="47" t="n"/>
      <c r="O161" s="44" t="n"/>
      <c r="P161" s="44">
        <f>IFERROR(MATCH(ROWS($P$2:P161),창고_재고현황!$H:$H,0),"")</f>
        <v/>
      </c>
      <c r="Q161" s="42" t="n"/>
      <c r="R161" s="42" t="n"/>
      <c r="S161" s="42" t="n"/>
      <c r="T161" s="42" t="n"/>
      <c r="U161" s="42" t="n"/>
    </row>
    <row r="162" ht="48" customHeight="1">
      <c r="A162" s="43">
        <f>IF($J162="","",IFERROR(INDEX(고압진공_재고현황!$B:$B,MATCH($J162,고압진공_재고현황!$E:$E,0)),IFERROR(INDEX(조립자재_재고현황!$B:$B,MATCH($J162,조립자재_재고현황!$E:$E,0)),"")))</f>
        <v/>
      </c>
      <c r="B162" s="43">
        <f>IF($J162="","",IFERROR(INDEX(고압진공_재고현황!$C:$C,MATCH($J162,고압진공_재고현황!$E:$E,0)),IFERROR(INDEX(조립자재_재고현황!$C:$C,MATCH($J162,조립자재_재고현황!$E:$E,0)),"")))</f>
        <v/>
      </c>
      <c r="C162" s="44" t="n"/>
      <c r="D162" s="43">
        <f>IF($P162="","",INDEX(창고_재고현황!$B:$B,$P162))</f>
        <v/>
      </c>
      <c r="E162" s="43">
        <f>IF($P162="","",INDEX(창고_재고현황!$C:$C,$P162))</f>
        <v/>
      </c>
      <c r="F162" s="44" t="n"/>
      <c r="G162" s="43">
        <f>IF($P162="","",IF(INDEX(창고_재고현황!$E:$E,$P162)=0,"",INDEX(창고_재고현황!$E:$E,$P162)))</f>
        <v/>
      </c>
      <c r="H162" s="44" t="n"/>
      <c r="I162" s="45">
        <f>IF($J162="","",IFERROR(INDEX(고압진공_재고현황!$D:$D,MATCH($J162,고압진공_재고현황!$E:$E,0)),IFERROR(INDEX(조립자재_재고현황!$D:$D,MATCH($J162,조립자재_재고현황!$E:$E,0)),"")))</f>
        <v/>
      </c>
      <c r="J162" s="45">
        <f>IF($P162="","",INDEX(창고_재고현황!$D:$D,$P162))</f>
        <v/>
      </c>
      <c r="K162" s="44" t="n"/>
      <c r="L162" s="46" t="n"/>
      <c r="M162" s="46" t="n"/>
      <c r="N162" s="47" t="n"/>
      <c r="O162" s="44" t="n"/>
      <c r="P162" s="44">
        <f>IFERROR(MATCH(ROWS($P$2:P162),창고_재고현황!$H:$H,0),"")</f>
        <v/>
      </c>
      <c r="Q162" s="42" t="n"/>
      <c r="R162" s="42" t="n"/>
      <c r="S162" s="42" t="n"/>
      <c r="T162" s="42" t="n"/>
      <c r="U162" s="42" t="n"/>
    </row>
    <row r="163" ht="48" customHeight="1">
      <c r="A163" s="43">
        <f>IF($J163="","",IFERROR(INDEX(고압진공_재고현황!$B:$B,MATCH($J163,고압진공_재고현황!$E:$E,0)),IFERROR(INDEX(조립자재_재고현황!$B:$B,MATCH($J163,조립자재_재고현황!$E:$E,0)),"")))</f>
        <v/>
      </c>
      <c r="B163" s="43">
        <f>IF($J163="","",IFERROR(INDEX(고압진공_재고현황!$C:$C,MATCH($J163,고압진공_재고현황!$E:$E,0)),IFERROR(INDEX(조립자재_재고현황!$C:$C,MATCH($J163,조립자재_재고현황!$E:$E,0)),"")))</f>
        <v/>
      </c>
      <c r="C163" s="44" t="n"/>
      <c r="D163" s="43">
        <f>IF($P163="","",INDEX(창고_재고현황!$B:$B,$P163))</f>
        <v/>
      </c>
      <c r="E163" s="43">
        <f>IF($P163="","",INDEX(창고_재고현황!$C:$C,$P163))</f>
        <v/>
      </c>
      <c r="F163" s="44" t="n"/>
      <c r="G163" s="43">
        <f>IF($P163="","",IF(INDEX(창고_재고현황!$E:$E,$P163)=0,"",INDEX(창고_재고현황!$E:$E,$P163)))</f>
        <v/>
      </c>
      <c r="H163" s="44" t="n"/>
      <c r="I163" s="45">
        <f>IF($J163="","",IFERROR(INDEX(고압진공_재고현황!$D:$D,MATCH($J163,고압진공_재고현황!$E:$E,0)),IFERROR(INDEX(조립자재_재고현황!$D:$D,MATCH($J163,조립자재_재고현황!$E:$E,0)),"")))</f>
        <v/>
      </c>
      <c r="J163" s="45">
        <f>IF($P163="","",INDEX(창고_재고현황!$D:$D,$P163))</f>
        <v/>
      </c>
      <c r="K163" s="44" t="n"/>
      <c r="L163" s="46" t="n"/>
      <c r="M163" s="46" t="n"/>
      <c r="N163" s="47" t="n"/>
      <c r="O163" s="44" t="n"/>
      <c r="P163" s="44">
        <f>IFERROR(MATCH(ROWS($P$2:P163),창고_재고현황!$H:$H,0),"")</f>
        <v/>
      </c>
      <c r="Q163" s="42" t="n"/>
      <c r="R163" s="42" t="n"/>
      <c r="S163" s="42" t="n"/>
      <c r="T163" s="42" t="n"/>
      <c r="U163" s="42" t="n"/>
    </row>
    <row r="164" ht="48" customHeight="1">
      <c r="A164" s="43">
        <f>IF($J164="","",IFERROR(INDEX(고압진공_재고현황!$B:$B,MATCH($J164,고압진공_재고현황!$E:$E,0)),IFERROR(INDEX(조립자재_재고현황!$B:$B,MATCH($J164,조립자재_재고현황!$E:$E,0)),"")))</f>
        <v/>
      </c>
      <c r="B164" s="43">
        <f>IF($J164="","",IFERROR(INDEX(고압진공_재고현황!$C:$C,MATCH($J164,고압진공_재고현황!$E:$E,0)),IFERROR(INDEX(조립자재_재고현황!$C:$C,MATCH($J164,조립자재_재고현황!$E:$E,0)),"")))</f>
        <v/>
      </c>
      <c r="C164" s="44" t="n"/>
      <c r="D164" s="43">
        <f>IF($P164="","",INDEX(창고_재고현황!$B:$B,$P164))</f>
        <v/>
      </c>
      <c r="E164" s="43">
        <f>IF($P164="","",INDEX(창고_재고현황!$C:$C,$P164))</f>
        <v/>
      </c>
      <c r="F164" s="44" t="n"/>
      <c r="G164" s="43">
        <f>IF($P164="","",IF(INDEX(창고_재고현황!$E:$E,$P164)=0,"",INDEX(창고_재고현황!$E:$E,$P164)))</f>
        <v/>
      </c>
      <c r="H164" s="44" t="n"/>
      <c r="I164" s="45">
        <f>IF($J164="","",IFERROR(INDEX(고압진공_재고현황!$D:$D,MATCH($J164,고압진공_재고현황!$E:$E,0)),IFERROR(INDEX(조립자재_재고현황!$D:$D,MATCH($J164,조립자재_재고현황!$E:$E,0)),"")))</f>
        <v/>
      </c>
      <c r="J164" s="45">
        <f>IF($P164="","",INDEX(창고_재고현황!$D:$D,$P164))</f>
        <v/>
      </c>
      <c r="K164" s="44" t="n"/>
      <c r="L164" s="46" t="n"/>
      <c r="M164" s="46" t="n"/>
      <c r="N164" s="47" t="n"/>
      <c r="O164" s="44" t="n"/>
      <c r="P164" s="44">
        <f>IFERROR(MATCH(ROWS($P$2:P164),창고_재고현황!$H:$H,0),"")</f>
        <v/>
      </c>
      <c r="Q164" s="42" t="n"/>
      <c r="R164" s="42" t="n"/>
      <c r="S164" s="42" t="n"/>
      <c r="T164" s="42" t="n"/>
      <c r="U164" s="42" t="n"/>
    </row>
    <row r="165" ht="48" customHeight="1">
      <c r="A165" s="43">
        <f>IF($J165="","",IFERROR(INDEX(고압진공_재고현황!$B:$B,MATCH($J165,고압진공_재고현황!$E:$E,0)),IFERROR(INDEX(조립자재_재고현황!$B:$B,MATCH($J165,조립자재_재고현황!$E:$E,0)),"")))</f>
        <v/>
      </c>
      <c r="B165" s="43">
        <f>IF($J165="","",IFERROR(INDEX(고압진공_재고현황!$C:$C,MATCH($J165,고압진공_재고현황!$E:$E,0)),IFERROR(INDEX(조립자재_재고현황!$C:$C,MATCH($J165,조립자재_재고현황!$E:$E,0)),"")))</f>
        <v/>
      </c>
      <c r="C165" s="44" t="n"/>
      <c r="D165" s="43">
        <f>IF($P165="","",INDEX(창고_재고현황!$B:$B,$P165))</f>
        <v/>
      </c>
      <c r="E165" s="43">
        <f>IF($P165="","",INDEX(창고_재고현황!$C:$C,$P165))</f>
        <v/>
      </c>
      <c r="F165" s="44" t="n"/>
      <c r="G165" s="43">
        <f>IF($P165="","",IF(INDEX(창고_재고현황!$E:$E,$P165)=0,"",INDEX(창고_재고현황!$E:$E,$P165)))</f>
        <v/>
      </c>
      <c r="H165" s="44" t="n"/>
      <c r="I165" s="45">
        <f>IF($J165="","",IFERROR(INDEX(고압진공_재고현황!$D:$D,MATCH($J165,고압진공_재고현황!$E:$E,0)),IFERROR(INDEX(조립자재_재고현황!$D:$D,MATCH($J165,조립자재_재고현황!$E:$E,0)),"")))</f>
        <v/>
      </c>
      <c r="J165" s="45">
        <f>IF($P165="","",INDEX(창고_재고현황!$D:$D,$P165))</f>
        <v/>
      </c>
      <c r="K165" s="44" t="n"/>
      <c r="L165" s="46" t="n"/>
      <c r="M165" s="46" t="n"/>
      <c r="N165" s="47" t="n"/>
      <c r="O165" s="44" t="n"/>
      <c r="P165" s="44">
        <f>IFERROR(MATCH(ROWS($P$2:P165),창고_재고현황!$H:$H,0),"")</f>
        <v/>
      </c>
      <c r="Q165" s="42" t="n"/>
      <c r="R165" s="42" t="n"/>
      <c r="S165" s="42" t="n"/>
      <c r="T165" s="42" t="n"/>
      <c r="U165" s="42" t="n"/>
    </row>
    <row r="166" ht="48" customHeight="1">
      <c r="A166" s="43">
        <f>IF($J166="","",IFERROR(INDEX(고압진공_재고현황!$B:$B,MATCH($J166,고압진공_재고현황!$E:$E,0)),IFERROR(INDEX(조립자재_재고현황!$B:$B,MATCH($J166,조립자재_재고현황!$E:$E,0)),"")))</f>
        <v/>
      </c>
      <c r="B166" s="43">
        <f>IF($J166="","",IFERROR(INDEX(고압진공_재고현황!$C:$C,MATCH($J166,고압진공_재고현황!$E:$E,0)),IFERROR(INDEX(조립자재_재고현황!$C:$C,MATCH($J166,조립자재_재고현황!$E:$E,0)),"")))</f>
        <v/>
      </c>
      <c r="C166" s="44" t="n"/>
      <c r="D166" s="43">
        <f>IF($P166="","",INDEX(창고_재고현황!$B:$B,$P166))</f>
        <v/>
      </c>
      <c r="E166" s="43">
        <f>IF($P166="","",INDEX(창고_재고현황!$C:$C,$P166))</f>
        <v/>
      </c>
      <c r="F166" s="44" t="n"/>
      <c r="G166" s="43">
        <f>IF($P166="","",IF(INDEX(창고_재고현황!$E:$E,$P166)=0,"",INDEX(창고_재고현황!$E:$E,$P166)))</f>
        <v/>
      </c>
      <c r="H166" s="44" t="n"/>
      <c r="I166" s="45">
        <f>IF($J166="","",IFERROR(INDEX(고압진공_재고현황!$D:$D,MATCH($J166,고압진공_재고현황!$E:$E,0)),IFERROR(INDEX(조립자재_재고현황!$D:$D,MATCH($J166,조립자재_재고현황!$E:$E,0)),"")))</f>
        <v/>
      </c>
      <c r="J166" s="45">
        <f>IF($P166="","",INDEX(창고_재고현황!$D:$D,$P166))</f>
        <v/>
      </c>
      <c r="K166" s="44" t="n"/>
      <c r="L166" s="46" t="n"/>
      <c r="M166" s="46" t="n"/>
      <c r="N166" s="47" t="n"/>
      <c r="O166" s="44" t="n"/>
      <c r="P166" s="44">
        <f>IFERROR(MATCH(ROWS($P$2:P166),창고_재고현황!$H:$H,0),"")</f>
        <v/>
      </c>
      <c r="Q166" s="42" t="n"/>
      <c r="R166" s="42" t="n"/>
      <c r="S166" s="42" t="n"/>
      <c r="T166" s="42" t="n"/>
      <c r="U166" s="42" t="n"/>
    </row>
    <row r="167" ht="48" customHeight="1">
      <c r="A167" s="43">
        <f>IF($J167="","",IFERROR(INDEX(고압진공_재고현황!$B:$B,MATCH($J167,고압진공_재고현황!$E:$E,0)),IFERROR(INDEX(조립자재_재고현황!$B:$B,MATCH($J167,조립자재_재고현황!$E:$E,0)),"")))</f>
        <v/>
      </c>
      <c r="B167" s="43">
        <f>IF($J167="","",IFERROR(INDEX(고압진공_재고현황!$C:$C,MATCH($J167,고압진공_재고현황!$E:$E,0)),IFERROR(INDEX(조립자재_재고현황!$C:$C,MATCH($J167,조립자재_재고현황!$E:$E,0)),"")))</f>
        <v/>
      </c>
      <c r="C167" s="44" t="n"/>
      <c r="D167" s="43">
        <f>IF($P167="","",INDEX(창고_재고현황!$B:$B,$P167))</f>
        <v/>
      </c>
      <c r="E167" s="43">
        <f>IF($P167="","",INDEX(창고_재고현황!$C:$C,$P167))</f>
        <v/>
      </c>
      <c r="F167" s="44" t="n"/>
      <c r="G167" s="43">
        <f>IF($P167="","",IF(INDEX(창고_재고현황!$E:$E,$P167)=0,"",INDEX(창고_재고현황!$E:$E,$P167)))</f>
        <v/>
      </c>
      <c r="H167" s="44" t="n"/>
      <c r="I167" s="45">
        <f>IF($J167="","",IFERROR(INDEX(고압진공_재고현황!$D:$D,MATCH($J167,고압진공_재고현황!$E:$E,0)),IFERROR(INDEX(조립자재_재고현황!$D:$D,MATCH($J167,조립자재_재고현황!$E:$E,0)),"")))</f>
        <v/>
      </c>
      <c r="J167" s="45">
        <f>IF($P167="","",INDEX(창고_재고현황!$D:$D,$P167))</f>
        <v/>
      </c>
      <c r="K167" s="44" t="n"/>
      <c r="L167" s="46" t="n"/>
      <c r="M167" s="46" t="n"/>
      <c r="N167" s="47" t="n"/>
      <c r="O167" s="44" t="n"/>
      <c r="P167" s="44">
        <f>IFERROR(MATCH(ROWS($P$2:P167),창고_재고현황!$H:$H,0),"")</f>
        <v/>
      </c>
      <c r="Q167" s="42" t="n"/>
      <c r="R167" s="42" t="n"/>
      <c r="S167" s="42" t="n"/>
      <c r="T167" s="42" t="n"/>
      <c r="U167" s="42" t="n"/>
    </row>
    <row r="168" ht="48" customHeight="1">
      <c r="A168" s="43">
        <f>IF($J168="","",IFERROR(INDEX(고압진공_재고현황!$B:$B,MATCH($J168,고압진공_재고현황!$E:$E,0)),IFERROR(INDEX(조립자재_재고현황!$B:$B,MATCH($J168,조립자재_재고현황!$E:$E,0)),"")))</f>
        <v/>
      </c>
      <c r="B168" s="43">
        <f>IF($J168="","",IFERROR(INDEX(고압진공_재고현황!$C:$C,MATCH($J168,고압진공_재고현황!$E:$E,0)),IFERROR(INDEX(조립자재_재고현황!$C:$C,MATCH($J168,조립자재_재고현황!$E:$E,0)),"")))</f>
        <v/>
      </c>
      <c r="C168" s="44" t="n"/>
      <c r="D168" s="43">
        <f>IF($P168="","",INDEX(창고_재고현황!$B:$B,$P168))</f>
        <v/>
      </c>
      <c r="E168" s="43">
        <f>IF($P168="","",INDEX(창고_재고현황!$C:$C,$P168))</f>
        <v/>
      </c>
      <c r="F168" s="44" t="n"/>
      <c r="G168" s="43">
        <f>IF($P168="","",IF(INDEX(창고_재고현황!$E:$E,$P168)=0,"",INDEX(창고_재고현황!$E:$E,$P168)))</f>
        <v/>
      </c>
      <c r="H168" s="44" t="n"/>
      <c r="I168" s="45">
        <f>IF($J168="","",IFERROR(INDEX(고압진공_재고현황!$D:$D,MATCH($J168,고압진공_재고현황!$E:$E,0)),IFERROR(INDEX(조립자재_재고현황!$D:$D,MATCH($J168,조립자재_재고현황!$E:$E,0)),"")))</f>
        <v/>
      </c>
      <c r="J168" s="45">
        <f>IF($P168="","",INDEX(창고_재고현황!$D:$D,$P168))</f>
        <v/>
      </c>
      <c r="K168" s="44" t="n"/>
      <c r="L168" s="46" t="n"/>
      <c r="M168" s="46" t="n"/>
      <c r="N168" s="47" t="n"/>
      <c r="O168" s="44" t="n"/>
      <c r="P168" s="44">
        <f>IFERROR(MATCH(ROWS($P$2:P168),창고_재고현황!$H:$H,0),"")</f>
        <v/>
      </c>
      <c r="Q168" s="42" t="n"/>
      <c r="R168" s="42" t="n"/>
      <c r="S168" s="42" t="n"/>
      <c r="T168" s="42" t="n"/>
      <c r="U168" s="42" t="n"/>
    </row>
    <row r="169" ht="48" customHeight="1">
      <c r="A169" s="43">
        <f>IF($J169="","",IFERROR(INDEX(고압진공_재고현황!$B:$B,MATCH($J169,고압진공_재고현황!$E:$E,0)),IFERROR(INDEX(조립자재_재고현황!$B:$B,MATCH($J169,조립자재_재고현황!$E:$E,0)),"")))</f>
        <v/>
      </c>
      <c r="B169" s="43">
        <f>IF($J169="","",IFERROR(INDEX(고압진공_재고현황!$C:$C,MATCH($J169,고압진공_재고현황!$E:$E,0)),IFERROR(INDEX(조립자재_재고현황!$C:$C,MATCH($J169,조립자재_재고현황!$E:$E,0)),"")))</f>
        <v/>
      </c>
      <c r="C169" s="44" t="n"/>
      <c r="D169" s="43">
        <f>IF($P169="","",INDEX(창고_재고현황!$B:$B,$P169))</f>
        <v/>
      </c>
      <c r="E169" s="43">
        <f>IF($P169="","",INDEX(창고_재고현황!$C:$C,$P169))</f>
        <v/>
      </c>
      <c r="F169" s="44" t="n"/>
      <c r="G169" s="43">
        <f>IF($P169="","",IF(INDEX(창고_재고현황!$E:$E,$P169)=0,"",INDEX(창고_재고현황!$E:$E,$P169)))</f>
        <v/>
      </c>
      <c r="H169" s="44" t="n"/>
      <c r="I169" s="45">
        <f>IF($J169="","",IFERROR(INDEX(고압진공_재고현황!$D:$D,MATCH($J169,고압진공_재고현황!$E:$E,0)),IFERROR(INDEX(조립자재_재고현황!$D:$D,MATCH($J169,조립자재_재고현황!$E:$E,0)),"")))</f>
        <v/>
      </c>
      <c r="J169" s="45">
        <f>IF($P169="","",INDEX(창고_재고현황!$D:$D,$P169))</f>
        <v/>
      </c>
      <c r="K169" s="44" t="n"/>
      <c r="L169" s="46" t="n"/>
      <c r="M169" s="46" t="n"/>
      <c r="N169" s="47" t="n"/>
      <c r="O169" s="44" t="n"/>
      <c r="P169" s="44">
        <f>IFERROR(MATCH(ROWS($P$2:P169),창고_재고현황!$H:$H,0),"")</f>
        <v/>
      </c>
      <c r="Q169" s="42" t="n"/>
      <c r="R169" s="42" t="n"/>
      <c r="S169" s="42" t="n"/>
      <c r="T169" s="42" t="n"/>
      <c r="U169" s="42" t="n"/>
    </row>
    <row r="170" ht="48" customHeight="1">
      <c r="A170" s="43">
        <f>IF($J170="","",IFERROR(INDEX(고압진공_재고현황!$B:$B,MATCH($J170,고압진공_재고현황!$E:$E,0)),IFERROR(INDEX(조립자재_재고현황!$B:$B,MATCH($J170,조립자재_재고현황!$E:$E,0)),"")))</f>
        <v/>
      </c>
      <c r="B170" s="43">
        <f>IF($J170="","",IFERROR(INDEX(고압진공_재고현황!$C:$C,MATCH($J170,고압진공_재고현황!$E:$E,0)),IFERROR(INDEX(조립자재_재고현황!$C:$C,MATCH($J170,조립자재_재고현황!$E:$E,0)),"")))</f>
        <v/>
      </c>
      <c r="C170" s="44" t="n"/>
      <c r="D170" s="43">
        <f>IF($P170="","",INDEX(창고_재고현황!$B:$B,$P170))</f>
        <v/>
      </c>
      <c r="E170" s="43">
        <f>IF($P170="","",INDEX(창고_재고현황!$C:$C,$P170))</f>
        <v/>
      </c>
      <c r="F170" s="44" t="n"/>
      <c r="G170" s="43">
        <f>IF($P170="","",IF(INDEX(창고_재고현황!$E:$E,$P170)=0,"",INDEX(창고_재고현황!$E:$E,$P170)))</f>
        <v/>
      </c>
      <c r="H170" s="44" t="n"/>
      <c r="I170" s="45">
        <f>IF($J170="","",IFERROR(INDEX(고압진공_재고현황!$D:$D,MATCH($J170,고압진공_재고현황!$E:$E,0)),IFERROR(INDEX(조립자재_재고현황!$D:$D,MATCH($J170,조립자재_재고현황!$E:$E,0)),"")))</f>
        <v/>
      </c>
      <c r="J170" s="45">
        <f>IF($P170="","",INDEX(창고_재고현황!$D:$D,$P170))</f>
        <v/>
      </c>
      <c r="K170" s="44" t="n"/>
      <c r="L170" s="46" t="n"/>
      <c r="M170" s="46" t="n"/>
      <c r="N170" s="47" t="n"/>
      <c r="O170" s="44" t="n"/>
      <c r="P170" s="44">
        <f>IFERROR(MATCH(ROWS($P$2:P170),창고_재고현황!$H:$H,0),"")</f>
        <v/>
      </c>
      <c r="Q170" s="42" t="n"/>
      <c r="R170" s="42" t="n"/>
      <c r="S170" s="42" t="n"/>
      <c r="T170" s="42" t="n"/>
      <c r="U170" s="42" t="n"/>
    </row>
    <row r="171" ht="48" customHeight="1">
      <c r="A171" s="43">
        <f>IF($J171="","",IFERROR(INDEX(고압진공_재고현황!$B:$B,MATCH($J171,고압진공_재고현황!$E:$E,0)),IFERROR(INDEX(조립자재_재고현황!$B:$B,MATCH($J171,조립자재_재고현황!$E:$E,0)),"")))</f>
        <v/>
      </c>
      <c r="B171" s="43">
        <f>IF($J171="","",IFERROR(INDEX(고압진공_재고현황!$C:$C,MATCH($J171,고압진공_재고현황!$E:$E,0)),IFERROR(INDEX(조립자재_재고현황!$C:$C,MATCH($J171,조립자재_재고현황!$E:$E,0)),"")))</f>
        <v/>
      </c>
      <c r="C171" s="44" t="n"/>
      <c r="D171" s="43">
        <f>IF($P171="","",INDEX(창고_재고현황!$B:$B,$P171))</f>
        <v/>
      </c>
      <c r="E171" s="43">
        <f>IF($P171="","",INDEX(창고_재고현황!$C:$C,$P171))</f>
        <v/>
      </c>
      <c r="F171" s="44" t="n"/>
      <c r="G171" s="43">
        <f>IF($P171="","",IF(INDEX(창고_재고현황!$E:$E,$P171)=0,"",INDEX(창고_재고현황!$E:$E,$P171)))</f>
        <v/>
      </c>
      <c r="H171" s="44" t="n"/>
      <c r="I171" s="45">
        <f>IF($J171="","",IFERROR(INDEX(고압진공_재고현황!$D:$D,MATCH($J171,고압진공_재고현황!$E:$E,0)),IFERROR(INDEX(조립자재_재고현황!$D:$D,MATCH($J171,조립자재_재고현황!$E:$E,0)),"")))</f>
        <v/>
      </c>
      <c r="J171" s="45">
        <f>IF($P171="","",INDEX(창고_재고현황!$D:$D,$P171))</f>
        <v/>
      </c>
      <c r="K171" s="44" t="n"/>
      <c r="L171" s="46" t="n"/>
      <c r="M171" s="46" t="n"/>
      <c r="N171" s="47" t="n"/>
      <c r="O171" s="44" t="n"/>
      <c r="P171" s="44">
        <f>IFERROR(MATCH(ROWS($P$2:P171),창고_재고현황!$H:$H,0),"")</f>
        <v/>
      </c>
      <c r="Q171" s="42" t="n"/>
      <c r="R171" s="42" t="n"/>
      <c r="S171" s="42" t="n"/>
      <c r="T171" s="42" t="n"/>
      <c r="U171" s="42" t="n"/>
    </row>
    <row r="172" ht="48" customHeight="1">
      <c r="A172" s="43">
        <f>IF($J172="","",IFERROR(INDEX(고압진공_재고현황!$B:$B,MATCH($J172,고압진공_재고현황!$E:$E,0)),IFERROR(INDEX(조립자재_재고현황!$B:$B,MATCH($J172,조립자재_재고현황!$E:$E,0)),"")))</f>
        <v/>
      </c>
      <c r="B172" s="43">
        <f>IF($J172="","",IFERROR(INDEX(고압진공_재고현황!$C:$C,MATCH($J172,고압진공_재고현황!$E:$E,0)),IFERROR(INDEX(조립자재_재고현황!$C:$C,MATCH($J172,조립자재_재고현황!$E:$E,0)),"")))</f>
        <v/>
      </c>
      <c r="C172" s="44" t="n"/>
      <c r="D172" s="43">
        <f>IF($P172="","",INDEX(창고_재고현황!$B:$B,$P172))</f>
        <v/>
      </c>
      <c r="E172" s="43">
        <f>IF($P172="","",INDEX(창고_재고현황!$C:$C,$P172))</f>
        <v/>
      </c>
      <c r="F172" s="44" t="n"/>
      <c r="G172" s="43">
        <f>IF($P172="","",IF(INDEX(창고_재고현황!$E:$E,$P172)=0,"",INDEX(창고_재고현황!$E:$E,$P172)))</f>
        <v/>
      </c>
      <c r="H172" s="44" t="n"/>
      <c r="I172" s="45">
        <f>IF($J172="","",IFERROR(INDEX(고압진공_재고현황!$D:$D,MATCH($J172,고압진공_재고현황!$E:$E,0)),IFERROR(INDEX(조립자재_재고현황!$D:$D,MATCH($J172,조립자재_재고현황!$E:$E,0)),"")))</f>
        <v/>
      </c>
      <c r="J172" s="45">
        <f>IF($P172="","",INDEX(창고_재고현황!$D:$D,$P172))</f>
        <v/>
      </c>
      <c r="K172" s="44" t="n"/>
      <c r="L172" s="46" t="n"/>
      <c r="M172" s="46" t="n"/>
      <c r="N172" s="47" t="n"/>
      <c r="O172" s="44" t="n"/>
      <c r="P172" s="44">
        <f>IFERROR(MATCH(ROWS($P$2:P172),창고_재고현황!$H:$H,0),"")</f>
        <v/>
      </c>
      <c r="Q172" s="42" t="n"/>
      <c r="R172" s="42" t="n"/>
      <c r="S172" s="42" t="n"/>
      <c r="T172" s="42" t="n"/>
      <c r="U172" s="42" t="n"/>
    </row>
    <row r="173" ht="48" customHeight="1">
      <c r="A173" s="43">
        <f>IF($J173="","",IFERROR(INDEX(고압진공_재고현황!$B:$B,MATCH($J173,고압진공_재고현황!$E:$E,0)),IFERROR(INDEX(조립자재_재고현황!$B:$B,MATCH($J173,조립자재_재고현황!$E:$E,0)),"")))</f>
        <v/>
      </c>
      <c r="B173" s="43">
        <f>IF($J173="","",IFERROR(INDEX(고압진공_재고현황!$C:$C,MATCH($J173,고압진공_재고현황!$E:$E,0)),IFERROR(INDEX(조립자재_재고현황!$C:$C,MATCH($J173,조립자재_재고현황!$E:$E,0)),"")))</f>
        <v/>
      </c>
      <c r="C173" s="44" t="n"/>
      <c r="D173" s="43">
        <f>IF($P173="","",INDEX(창고_재고현황!$B:$B,$P173))</f>
        <v/>
      </c>
      <c r="E173" s="43">
        <f>IF($P173="","",INDEX(창고_재고현황!$C:$C,$P173))</f>
        <v/>
      </c>
      <c r="F173" s="44" t="n"/>
      <c r="G173" s="43">
        <f>IF($P173="","",IF(INDEX(창고_재고현황!$E:$E,$P173)=0,"",INDEX(창고_재고현황!$E:$E,$P173)))</f>
        <v/>
      </c>
      <c r="H173" s="44" t="n"/>
      <c r="I173" s="45">
        <f>IF($J173="","",IFERROR(INDEX(고압진공_재고현황!$D:$D,MATCH($J173,고압진공_재고현황!$E:$E,0)),IFERROR(INDEX(조립자재_재고현황!$D:$D,MATCH($J173,조립자재_재고현황!$E:$E,0)),"")))</f>
        <v/>
      </c>
      <c r="J173" s="45">
        <f>IF($P173="","",INDEX(창고_재고현황!$D:$D,$P173))</f>
        <v/>
      </c>
      <c r="K173" s="44" t="n"/>
      <c r="L173" s="46" t="n"/>
      <c r="M173" s="46" t="n"/>
      <c r="N173" s="47" t="n"/>
      <c r="O173" s="44" t="n"/>
      <c r="P173" s="44">
        <f>IFERROR(MATCH(ROWS($P$2:P173),창고_재고현황!$H:$H,0),"")</f>
        <v/>
      </c>
      <c r="Q173" s="42" t="n"/>
      <c r="R173" s="42" t="n"/>
      <c r="S173" s="42" t="n"/>
      <c r="T173" s="42" t="n"/>
      <c r="U173" s="42" t="n"/>
    </row>
    <row r="174" ht="48" customHeight="1">
      <c r="A174" s="43">
        <f>IF($J174="","",IFERROR(INDEX(고압진공_재고현황!$B:$B,MATCH($J174,고압진공_재고현황!$E:$E,0)),IFERROR(INDEX(조립자재_재고현황!$B:$B,MATCH($J174,조립자재_재고현황!$E:$E,0)),"")))</f>
        <v/>
      </c>
      <c r="B174" s="43">
        <f>IF($J174="","",IFERROR(INDEX(고압진공_재고현황!$C:$C,MATCH($J174,고압진공_재고현황!$E:$E,0)),IFERROR(INDEX(조립자재_재고현황!$C:$C,MATCH($J174,조립자재_재고현황!$E:$E,0)),"")))</f>
        <v/>
      </c>
      <c r="C174" s="44" t="n"/>
      <c r="D174" s="43">
        <f>IF($P174="","",INDEX(창고_재고현황!$B:$B,$P174))</f>
        <v/>
      </c>
      <c r="E174" s="43">
        <f>IF($P174="","",INDEX(창고_재고현황!$C:$C,$P174))</f>
        <v/>
      </c>
      <c r="F174" s="44" t="n"/>
      <c r="G174" s="43">
        <f>IF($P174="","",IF(INDEX(창고_재고현황!$E:$E,$P174)=0,"",INDEX(창고_재고현황!$E:$E,$P174)))</f>
        <v/>
      </c>
      <c r="H174" s="44" t="n"/>
      <c r="I174" s="45">
        <f>IF($J174="","",IFERROR(INDEX(고압진공_재고현황!$D:$D,MATCH($J174,고압진공_재고현황!$E:$E,0)),IFERROR(INDEX(조립자재_재고현황!$D:$D,MATCH($J174,조립자재_재고현황!$E:$E,0)),"")))</f>
        <v/>
      </c>
      <c r="J174" s="45">
        <f>IF($P174="","",INDEX(창고_재고현황!$D:$D,$P174))</f>
        <v/>
      </c>
      <c r="K174" s="44" t="n"/>
      <c r="L174" s="46" t="n"/>
      <c r="M174" s="46" t="n"/>
      <c r="N174" s="47" t="n"/>
      <c r="O174" s="44" t="n"/>
      <c r="P174" s="44">
        <f>IFERROR(MATCH(ROWS($P$2:P174),창고_재고현황!$H:$H,0),"")</f>
        <v/>
      </c>
      <c r="Q174" s="42" t="n"/>
      <c r="R174" s="42" t="n"/>
      <c r="S174" s="42" t="n"/>
      <c r="T174" s="42" t="n"/>
      <c r="U174" s="42" t="n"/>
    </row>
    <row r="175" ht="48" customHeight="1">
      <c r="A175" s="43">
        <f>IF($J175="","",IFERROR(INDEX(고압진공_재고현황!$B:$B,MATCH($J175,고압진공_재고현황!$E:$E,0)),IFERROR(INDEX(조립자재_재고현황!$B:$B,MATCH($J175,조립자재_재고현황!$E:$E,0)),"")))</f>
        <v/>
      </c>
      <c r="B175" s="43">
        <f>IF($J175="","",IFERROR(INDEX(고압진공_재고현황!$C:$C,MATCH($J175,고압진공_재고현황!$E:$E,0)),IFERROR(INDEX(조립자재_재고현황!$C:$C,MATCH($J175,조립자재_재고현황!$E:$E,0)),"")))</f>
        <v/>
      </c>
      <c r="C175" s="44" t="n"/>
      <c r="D175" s="43">
        <f>IF($P175="","",INDEX(창고_재고현황!$B:$B,$P175))</f>
        <v/>
      </c>
      <c r="E175" s="43">
        <f>IF($P175="","",INDEX(창고_재고현황!$C:$C,$P175))</f>
        <v/>
      </c>
      <c r="F175" s="44" t="n"/>
      <c r="G175" s="43">
        <f>IF($P175="","",IF(INDEX(창고_재고현황!$E:$E,$P175)=0,"",INDEX(창고_재고현황!$E:$E,$P175)))</f>
        <v/>
      </c>
      <c r="H175" s="44" t="n"/>
      <c r="I175" s="45">
        <f>IF($J175="","",IFERROR(INDEX(고압진공_재고현황!$D:$D,MATCH($J175,고압진공_재고현황!$E:$E,0)),IFERROR(INDEX(조립자재_재고현황!$D:$D,MATCH($J175,조립자재_재고현황!$E:$E,0)),"")))</f>
        <v/>
      </c>
      <c r="J175" s="45">
        <f>IF($P175="","",INDEX(창고_재고현황!$D:$D,$P175))</f>
        <v/>
      </c>
      <c r="K175" s="44" t="n"/>
      <c r="L175" s="46" t="n"/>
      <c r="M175" s="46" t="n"/>
      <c r="N175" s="47" t="n"/>
      <c r="O175" s="44" t="n"/>
      <c r="P175" s="44">
        <f>IFERROR(MATCH(ROWS($P$2:P175),창고_재고현황!$H:$H,0),"")</f>
        <v/>
      </c>
      <c r="Q175" s="42" t="n"/>
      <c r="R175" s="42" t="n"/>
      <c r="S175" s="42" t="n"/>
      <c r="T175" s="42" t="n"/>
      <c r="U175" s="42" t="n"/>
    </row>
    <row r="176" ht="48" customHeight="1">
      <c r="A176" s="43">
        <f>IF($J176="","",IFERROR(INDEX(고압진공_재고현황!$B:$B,MATCH($J176,고압진공_재고현황!$E:$E,0)),IFERROR(INDEX(조립자재_재고현황!$B:$B,MATCH($J176,조립자재_재고현황!$E:$E,0)),"")))</f>
        <v/>
      </c>
      <c r="B176" s="43">
        <f>IF($J176="","",IFERROR(INDEX(고압진공_재고현황!$C:$C,MATCH($J176,고압진공_재고현황!$E:$E,0)),IFERROR(INDEX(조립자재_재고현황!$C:$C,MATCH($J176,조립자재_재고현황!$E:$E,0)),"")))</f>
        <v/>
      </c>
      <c r="C176" s="44" t="n"/>
      <c r="D176" s="43">
        <f>IF($P176="","",INDEX(창고_재고현황!$B:$B,$P176))</f>
        <v/>
      </c>
      <c r="E176" s="43">
        <f>IF($P176="","",INDEX(창고_재고현황!$C:$C,$P176))</f>
        <v/>
      </c>
      <c r="F176" s="44" t="n"/>
      <c r="G176" s="43">
        <f>IF($P176="","",IF(INDEX(창고_재고현황!$E:$E,$P176)=0,"",INDEX(창고_재고현황!$E:$E,$P176)))</f>
        <v/>
      </c>
      <c r="H176" s="44" t="n"/>
      <c r="I176" s="45">
        <f>IF($J176="","",IFERROR(INDEX(고압진공_재고현황!$D:$D,MATCH($J176,고압진공_재고현황!$E:$E,0)),IFERROR(INDEX(조립자재_재고현황!$D:$D,MATCH($J176,조립자재_재고현황!$E:$E,0)),"")))</f>
        <v/>
      </c>
      <c r="J176" s="45">
        <f>IF($P176="","",INDEX(창고_재고현황!$D:$D,$P176))</f>
        <v/>
      </c>
      <c r="K176" s="44" t="n"/>
      <c r="L176" s="46" t="n"/>
      <c r="M176" s="46" t="n"/>
      <c r="N176" s="47" t="n"/>
      <c r="O176" s="44" t="n"/>
      <c r="P176" s="44">
        <f>IFERROR(MATCH(ROWS($P$2:P176),창고_재고현황!$H:$H,0),"")</f>
        <v/>
      </c>
      <c r="Q176" s="42" t="n"/>
      <c r="R176" s="42" t="n"/>
      <c r="S176" s="42" t="n"/>
      <c r="T176" s="42" t="n"/>
      <c r="U176" s="42" t="n"/>
    </row>
    <row r="177" ht="48" customHeight="1">
      <c r="A177" s="43">
        <f>IF($J177="","",IFERROR(INDEX(고압진공_재고현황!$B:$B,MATCH($J177,고압진공_재고현황!$E:$E,0)),IFERROR(INDEX(조립자재_재고현황!$B:$B,MATCH($J177,조립자재_재고현황!$E:$E,0)),"")))</f>
        <v/>
      </c>
      <c r="B177" s="43">
        <f>IF($J177="","",IFERROR(INDEX(고압진공_재고현황!$C:$C,MATCH($J177,고압진공_재고현황!$E:$E,0)),IFERROR(INDEX(조립자재_재고현황!$C:$C,MATCH($J177,조립자재_재고현황!$E:$E,0)),"")))</f>
        <v/>
      </c>
      <c r="C177" s="44" t="n"/>
      <c r="D177" s="43">
        <f>IF($P177="","",INDEX(창고_재고현황!$B:$B,$P177))</f>
        <v/>
      </c>
      <c r="E177" s="43">
        <f>IF($P177="","",INDEX(창고_재고현황!$C:$C,$P177))</f>
        <v/>
      </c>
      <c r="F177" s="44" t="n"/>
      <c r="G177" s="43">
        <f>IF($P177="","",IF(INDEX(창고_재고현황!$E:$E,$P177)=0,"",INDEX(창고_재고현황!$E:$E,$P177)))</f>
        <v/>
      </c>
      <c r="H177" s="44" t="n"/>
      <c r="I177" s="45">
        <f>IF($J177="","",IFERROR(INDEX(고압진공_재고현황!$D:$D,MATCH($J177,고압진공_재고현황!$E:$E,0)),IFERROR(INDEX(조립자재_재고현황!$D:$D,MATCH($J177,조립자재_재고현황!$E:$E,0)),"")))</f>
        <v/>
      </c>
      <c r="J177" s="45">
        <f>IF($P177="","",INDEX(창고_재고현황!$D:$D,$P177))</f>
        <v/>
      </c>
      <c r="K177" s="44" t="n"/>
      <c r="L177" s="46" t="n"/>
      <c r="M177" s="46" t="n"/>
      <c r="N177" s="47" t="n"/>
      <c r="O177" s="44" t="n"/>
      <c r="P177" s="44">
        <f>IFERROR(MATCH(ROWS($P$2:P177),창고_재고현황!$H:$H,0),"")</f>
        <v/>
      </c>
      <c r="Q177" s="42" t="n"/>
      <c r="R177" s="42" t="n"/>
      <c r="S177" s="42" t="n"/>
      <c r="T177" s="42" t="n"/>
      <c r="U177" s="42" t="n"/>
    </row>
    <row r="178" ht="48" customHeight="1">
      <c r="A178" s="43">
        <f>IF($J178="","",IFERROR(INDEX(고압진공_재고현황!$B:$B,MATCH($J178,고압진공_재고현황!$E:$E,0)),IFERROR(INDEX(조립자재_재고현황!$B:$B,MATCH($J178,조립자재_재고현황!$E:$E,0)),"")))</f>
        <v/>
      </c>
      <c r="B178" s="43">
        <f>IF($J178="","",IFERROR(INDEX(고압진공_재고현황!$C:$C,MATCH($J178,고압진공_재고현황!$E:$E,0)),IFERROR(INDEX(조립자재_재고현황!$C:$C,MATCH($J178,조립자재_재고현황!$E:$E,0)),"")))</f>
        <v/>
      </c>
      <c r="C178" s="44" t="n"/>
      <c r="D178" s="43">
        <f>IF($P178="","",INDEX(창고_재고현황!$B:$B,$P178))</f>
        <v/>
      </c>
      <c r="E178" s="43">
        <f>IF($P178="","",INDEX(창고_재고현황!$C:$C,$P178))</f>
        <v/>
      </c>
      <c r="F178" s="44" t="n"/>
      <c r="G178" s="43">
        <f>IF($P178="","",IF(INDEX(창고_재고현황!$E:$E,$P178)=0,"",INDEX(창고_재고현황!$E:$E,$P178)))</f>
        <v/>
      </c>
      <c r="H178" s="44" t="n"/>
      <c r="I178" s="45">
        <f>IF($J178="","",IFERROR(INDEX(고압진공_재고현황!$D:$D,MATCH($J178,고압진공_재고현황!$E:$E,0)),IFERROR(INDEX(조립자재_재고현황!$D:$D,MATCH($J178,조립자재_재고현황!$E:$E,0)),"")))</f>
        <v/>
      </c>
      <c r="J178" s="45">
        <f>IF($P178="","",INDEX(창고_재고현황!$D:$D,$P178))</f>
        <v/>
      </c>
      <c r="K178" s="44" t="n"/>
      <c r="L178" s="46" t="n"/>
      <c r="M178" s="46" t="n"/>
      <c r="N178" s="47" t="n"/>
      <c r="O178" s="44" t="n"/>
      <c r="P178" s="44">
        <f>IFERROR(MATCH(ROWS($P$2:P178),창고_재고현황!$H:$H,0),"")</f>
        <v/>
      </c>
      <c r="Q178" s="42" t="n"/>
      <c r="R178" s="42" t="n"/>
      <c r="S178" s="42" t="n"/>
      <c r="T178" s="42" t="n"/>
      <c r="U178" s="42" t="n"/>
    </row>
    <row r="179" ht="48" customHeight="1">
      <c r="A179" s="43">
        <f>IF($J179="","",IFERROR(INDEX(고압진공_재고현황!$B:$B,MATCH($J179,고압진공_재고현황!$E:$E,0)),IFERROR(INDEX(조립자재_재고현황!$B:$B,MATCH($J179,조립자재_재고현황!$E:$E,0)),"")))</f>
        <v/>
      </c>
      <c r="B179" s="43">
        <f>IF($J179="","",IFERROR(INDEX(고압진공_재고현황!$C:$C,MATCH($J179,고압진공_재고현황!$E:$E,0)),IFERROR(INDEX(조립자재_재고현황!$C:$C,MATCH($J179,조립자재_재고현황!$E:$E,0)),"")))</f>
        <v/>
      </c>
      <c r="C179" s="44" t="n"/>
      <c r="D179" s="43">
        <f>IF($P179="","",INDEX(창고_재고현황!$B:$B,$P179))</f>
        <v/>
      </c>
      <c r="E179" s="43">
        <f>IF($P179="","",INDEX(창고_재고현황!$C:$C,$P179))</f>
        <v/>
      </c>
      <c r="F179" s="44" t="n"/>
      <c r="G179" s="43">
        <f>IF($P179="","",IF(INDEX(창고_재고현황!$E:$E,$P179)=0,"",INDEX(창고_재고현황!$E:$E,$P179)))</f>
        <v/>
      </c>
      <c r="H179" s="44" t="n"/>
      <c r="I179" s="45">
        <f>IF($J179="","",IFERROR(INDEX(고압진공_재고현황!$D:$D,MATCH($J179,고압진공_재고현황!$E:$E,0)),IFERROR(INDEX(조립자재_재고현황!$D:$D,MATCH($J179,조립자재_재고현황!$E:$E,0)),"")))</f>
        <v/>
      </c>
      <c r="J179" s="45">
        <f>IF($P179="","",INDEX(창고_재고현황!$D:$D,$P179))</f>
        <v/>
      </c>
      <c r="K179" s="44" t="n"/>
      <c r="L179" s="46" t="n"/>
      <c r="M179" s="46" t="n"/>
      <c r="N179" s="47" t="n"/>
      <c r="O179" s="44" t="n"/>
      <c r="P179" s="44">
        <f>IFERROR(MATCH(ROWS($P$2:P179),창고_재고현황!$H:$H,0),"")</f>
        <v/>
      </c>
      <c r="Q179" s="42" t="n"/>
      <c r="R179" s="42" t="n"/>
      <c r="S179" s="42" t="n"/>
      <c r="T179" s="42" t="n"/>
      <c r="U179" s="42" t="n"/>
    </row>
    <row r="180" ht="48" customHeight="1">
      <c r="A180" s="43">
        <f>IF($J180="","",IFERROR(INDEX(고압진공_재고현황!$B:$B,MATCH($J180,고압진공_재고현황!$E:$E,0)),IFERROR(INDEX(조립자재_재고현황!$B:$B,MATCH($J180,조립자재_재고현황!$E:$E,0)),"")))</f>
        <v/>
      </c>
      <c r="B180" s="43">
        <f>IF($J180="","",IFERROR(INDEX(고압진공_재고현황!$C:$C,MATCH($J180,고압진공_재고현황!$E:$E,0)),IFERROR(INDEX(조립자재_재고현황!$C:$C,MATCH($J180,조립자재_재고현황!$E:$E,0)),"")))</f>
        <v/>
      </c>
      <c r="C180" s="44" t="n"/>
      <c r="D180" s="43">
        <f>IF($P180="","",INDEX(창고_재고현황!$B:$B,$P180))</f>
        <v/>
      </c>
      <c r="E180" s="43">
        <f>IF($P180="","",INDEX(창고_재고현황!$C:$C,$P180))</f>
        <v/>
      </c>
      <c r="F180" s="44" t="n"/>
      <c r="G180" s="43">
        <f>IF($P180="","",IF(INDEX(창고_재고현황!$E:$E,$P180)=0,"",INDEX(창고_재고현황!$E:$E,$P180)))</f>
        <v/>
      </c>
      <c r="H180" s="44" t="n"/>
      <c r="I180" s="45">
        <f>IF($J180="","",IFERROR(INDEX(고압진공_재고현황!$D:$D,MATCH($J180,고압진공_재고현황!$E:$E,0)),IFERROR(INDEX(조립자재_재고현황!$D:$D,MATCH($J180,조립자재_재고현황!$E:$E,0)),"")))</f>
        <v/>
      </c>
      <c r="J180" s="45">
        <f>IF($P180="","",INDEX(창고_재고현황!$D:$D,$P180))</f>
        <v/>
      </c>
      <c r="K180" s="44" t="n"/>
      <c r="L180" s="46" t="n"/>
      <c r="M180" s="46" t="n"/>
      <c r="N180" s="47" t="n"/>
      <c r="O180" s="44" t="n"/>
      <c r="P180" s="44">
        <f>IFERROR(MATCH(ROWS($P$2:P180),창고_재고현황!$H:$H,0),"")</f>
        <v/>
      </c>
      <c r="Q180" s="42" t="n"/>
      <c r="R180" s="42" t="n"/>
      <c r="S180" s="42" t="n"/>
      <c r="T180" s="42" t="n"/>
      <c r="U180" s="42" t="n"/>
    </row>
    <row r="181" ht="48" customHeight="1">
      <c r="A181" s="43">
        <f>IF($J181="","",IFERROR(INDEX(고압진공_재고현황!$B:$B,MATCH($J181,고압진공_재고현황!$E:$E,0)),IFERROR(INDEX(조립자재_재고현황!$B:$B,MATCH($J181,조립자재_재고현황!$E:$E,0)),"")))</f>
        <v/>
      </c>
      <c r="B181" s="43">
        <f>IF($J181="","",IFERROR(INDEX(고압진공_재고현황!$C:$C,MATCH($J181,고압진공_재고현황!$E:$E,0)),IFERROR(INDEX(조립자재_재고현황!$C:$C,MATCH($J181,조립자재_재고현황!$E:$E,0)),"")))</f>
        <v/>
      </c>
      <c r="C181" s="44" t="n"/>
      <c r="D181" s="43">
        <f>IF($P181="","",INDEX(창고_재고현황!$B:$B,$P181))</f>
        <v/>
      </c>
      <c r="E181" s="43">
        <f>IF($P181="","",INDEX(창고_재고현황!$C:$C,$P181))</f>
        <v/>
      </c>
      <c r="F181" s="44" t="n"/>
      <c r="G181" s="43">
        <f>IF($P181="","",IF(INDEX(창고_재고현황!$E:$E,$P181)=0,"",INDEX(창고_재고현황!$E:$E,$P181)))</f>
        <v/>
      </c>
      <c r="H181" s="44" t="n"/>
      <c r="I181" s="45">
        <f>IF($J181="","",IFERROR(INDEX(고압진공_재고현황!$D:$D,MATCH($J181,고압진공_재고현황!$E:$E,0)),IFERROR(INDEX(조립자재_재고현황!$D:$D,MATCH($J181,조립자재_재고현황!$E:$E,0)),"")))</f>
        <v/>
      </c>
      <c r="J181" s="45">
        <f>IF($P181="","",INDEX(창고_재고현황!$D:$D,$P181))</f>
        <v/>
      </c>
      <c r="K181" s="44" t="n"/>
      <c r="L181" s="46" t="n"/>
      <c r="M181" s="46" t="n"/>
      <c r="N181" s="47" t="n"/>
      <c r="O181" s="44" t="n"/>
      <c r="P181" s="44">
        <f>IFERROR(MATCH(ROWS($P$2:P181),창고_재고현황!$H:$H,0),"")</f>
        <v/>
      </c>
      <c r="Q181" s="42" t="n"/>
      <c r="R181" s="42" t="n"/>
      <c r="S181" s="42" t="n"/>
      <c r="T181" s="42" t="n"/>
      <c r="U181" s="42" t="n"/>
    </row>
    <row r="182" ht="48" customHeight="1">
      <c r="A182" s="43">
        <f>IF($J182="","",IFERROR(INDEX(고압진공_재고현황!$B:$B,MATCH($J182,고압진공_재고현황!$E:$E,0)),IFERROR(INDEX(조립자재_재고현황!$B:$B,MATCH($J182,조립자재_재고현황!$E:$E,0)),"")))</f>
        <v/>
      </c>
      <c r="B182" s="43">
        <f>IF($J182="","",IFERROR(INDEX(고압진공_재고현황!$C:$C,MATCH($J182,고압진공_재고현황!$E:$E,0)),IFERROR(INDEX(조립자재_재고현황!$C:$C,MATCH($J182,조립자재_재고현황!$E:$E,0)),"")))</f>
        <v/>
      </c>
      <c r="C182" s="44" t="n"/>
      <c r="D182" s="43">
        <f>IF($P182="","",INDEX(창고_재고현황!$B:$B,$P182))</f>
        <v/>
      </c>
      <c r="E182" s="43">
        <f>IF($P182="","",INDEX(창고_재고현황!$C:$C,$P182))</f>
        <v/>
      </c>
      <c r="F182" s="44" t="n"/>
      <c r="G182" s="43">
        <f>IF($P182="","",IF(INDEX(창고_재고현황!$E:$E,$P182)=0,"",INDEX(창고_재고현황!$E:$E,$P182)))</f>
        <v/>
      </c>
      <c r="H182" s="44" t="n"/>
      <c r="I182" s="45">
        <f>IF($J182="","",IFERROR(INDEX(고압진공_재고현황!$D:$D,MATCH($J182,고압진공_재고현황!$E:$E,0)),IFERROR(INDEX(조립자재_재고현황!$D:$D,MATCH($J182,조립자재_재고현황!$E:$E,0)),"")))</f>
        <v/>
      </c>
      <c r="J182" s="45">
        <f>IF($P182="","",INDEX(창고_재고현황!$D:$D,$P182))</f>
        <v/>
      </c>
      <c r="K182" s="44" t="n"/>
      <c r="L182" s="46" t="n"/>
      <c r="M182" s="46" t="n"/>
      <c r="N182" s="47" t="n"/>
      <c r="O182" s="44" t="n"/>
      <c r="P182" s="44">
        <f>IFERROR(MATCH(ROWS($P$2:P182),창고_재고현황!$H:$H,0),"")</f>
        <v/>
      </c>
      <c r="Q182" s="42" t="n"/>
      <c r="R182" s="42" t="n"/>
      <c r="S182" s="42" t="n"/>
      <c r="T182" s="42" t="n"/>
      <c r="U182" s="42" t="n"/>
    </row>
    <row r="183" ht="48" customHeight="1">
      <c r="A183" s="43">
        <f>IF($J183="","",IFERROR(INDEX(고압진공_재고현황!$B:$B,MATCH($J183,고압진공_재고현황!$E:$E,0)),IFERROR(INDEX(조립자재_재고현황!$B:$B,MATCH($J183,조립자재_재고현황!$E:$E,0)),"")))</f>
        <v/>
      </c>
      <c r="B183" s="43">
        <f>IF($J183="","",IFERROR(INDEX(고압진공_재고현황!$C:$C,MATCH($J183,고압진공_재고현황!$E:$E,0)),IFERROR(INDEX(조립자재_재고현황!$C:$C,MATCH($J183,조립자재_재고현황!$E:$E,0)),"")))</f>
        <v/>
      </c>
      <c r="C183" s="44" t="n"/>
      <c r="D183" s="43">
        <f>IF($P183="","",INDEX(창고_재고현황!$B:$B,$P183))</f>
        <v/>
      </c>
      <c r="E183" s="43">
        <f>IF($P183="","",INDEX(창고_재고현황!$C:$C,$P183))</f>
        <v/>
      </c>
      <c r="F183" s="44" t="n"/>
      <c r="G183" s="43">
        <f>IF($P183="","",IF(INDEX(창고_재고현황!$E:$E,$P183)=0,"",INDEX(창고_재고현황!$E:$E,$P183)))</f>
        <v/>
      </c>
      <c r="H183" s="44" t="n"/>
      <c r="I183" s="45">
        <f>IF($J183="","",IFERROR(INDEX(고압진공_재고현황!$D:$D,MATCH($J183,고압진공_재고현황!$E:$E,0)),IFERROR(INDEX(조립자재_재고현황!$D:$D,MATCH($J183,조립자재_재고현황!$E:$E,0)),"")))</f>
        <v/>
      </c>
      <c r="J183" s="45">
        <f>IF($P183="","",INDEX(창고_재고현황!$D:$D,$P183))</f>
        <v/>
      </c>
      <c r="K183" s="44" t="n"/>
      <c r="L183" s="46" t="n"/>
      <c r="M183" s="46" t="n"/>
      <c r="N183" s="47" t="n"/>
      <c r="O183" s="44" t="n"/>
      <c r="P183" s="44">
        <f>IFERROR(MATCH(ROWS($P$2:P183),창고_재고현황!$H:$H,0),"")</f>
        <v/>
      </c>
      <c r="Q183" s="42" t="n"/>
      <c r="R183" s="42" t="n"/>
      <c r="S183" s="42" t="n"/>
      <c r="T183" s="42" t="n"/>
      <c r="U183" s="42" t="n"/>
    </row>
    <row r="184" ht="48" customHeight="1">
      <c r="A184" s="43">
        <f>IF($J184="","",IFERROR(INDEX(고압진공_재고현황!$B:$B,MATCH($J184,고압진공_재고현황!$E:$E,0)),IFERROR(INDEX(조립자재_재고현황!$B:$B,MATCH($J184,조립자재_재고현황!$E:$E,0)),"")))</f>
        <v/>
      </c>
      <c r="B184" s="43">
        <f>IF($J184="","",IFERROR(INDEX(고압진공_재고현황!$C:$C,MATCH($J184,고압진공_재고현황!$E:$E,0)),IFERROR(INDEX(조립자재_재고현황!$C:$C,MATCH($J184,조립자재_재고현황!$E:$E,0)),"")))</f>
        <v/>
      </c>
      <c r="C184" s="44" t="n"/>
      <c r="D184" s="43">
        <f>IF($P184="","",INDEX(창고_재고현황!$B:$B,$P184))</f>
        <v/>
      </c>
      <c r="E184" s="43">
        <f>IF($P184="","",INDEX(창고_재고현황!$C:$C,$P184))</f>
        <v/>
      </c>
      <c r="F184" s="44" t="n"/>
      <c r="G184" s="43">
        <f>IF($P184="","",IF(INDEX(창고_재고현황!$E:$E,$P184)=0,"",INDEX(창고_재고현황!$E:$E,$P184)))</f>
        <v/>
      </c>
      <c r="H184" s="44" t="n"/>
      <c r="I184" s="45">
        <f>IF($J184="","",IFERROR(INDEX(고압진공_재고현황!$D:$D,MATCH($J184,고압진공_재고현황!$E:$E,0)),IFERROR(INDEX(조립자재_재고현황!$D:$D,MATCH($J184,조립자재_재고현황!$E:$E,0)),"")))</f>
        <v/>
      </c>
      <c r="J184" s="45">
        <f>IF($P184="","",INDEX(창고_재고현황!$D:$D,$P184))</f>
        <v/>
      </c>
      <c r="K184" s="44" t="n"/>
      <c r="L184" s="46" t="n"/>
      <c r="M184" s="46" t="n"/>
      <c r="N184" s="47" t="n"/>
      <c r="O184" s="44" t="n"/>
      <c r="P184" s="44">
        <f>IFERROR(MATCH(ROWS($P$2:P184),창고_재고현황!$H:$H,0),"")</f>
        <v/>
      </c>
      <c r="Q184" s="42" t="n"/>
      <c r="R184" s="42" t="n"/>
      <c r="S184" s="42" t="n"/>
      <c r="T184" s="42" t="n"/>
      <c r="U184" s="42" t="n"/>
    </row>
    <row r="185" ht="48" customHeight="1">
      <c r="A185" s="43">
        <f>IF($J185="","",IFERROR(INDEX(고압진공_재고현황!$B:$B,MATCH($J185,고압진공_재고현황!$E:$E,0)),IFERROR(INDEX(조립자재_재고현황!$B:$B,MATCH($J185,조립자재_재고현황!$E:$E,0)),"")))</f>
        <v/>
      </c>
      <c r="B185" s="43">
        <f>IF($J185="","",IFERROR(INDEX(고압진공_재고현황!$C:$C,MATCH($J185,고압진공_재고현황!$E:$E,0)),IFERROR(INDEX(조립자재_재고현황!$C:$C,MATCH($J185,조립자재_재고현황!$E:$E,0)),"")))</f>
        <v/>
      </c>
      <c r="C185" s="44" t="n"/>
      <c r="D185" s="43">
        <f>IF($P185="","",INDEX(창고_재고현황!$B:$B,$P185))</f>
        <v/>
      </c>
      <c r="E185" s="43">
        <f>IF($P185="","",INDEX(창고_재고현황!$C:$C,$P185))</f>
        <v/>
      </c>
      <c r="F185" s="44" t="n"/>
      <c r="G185" s="43">
        <f>IF($P185="","",IF(INDEX(창고_재고현황!$E:$E,$P185)=0,"",INDEX(창고_재고현황!$E:$E,$P185)))</f>
        <v/>
      </c>
      <c r="H185" s="44" t="n"/>
      <c r="I185" s="45">
        <f>IF($J185="","",IFERROR(INDEX(고압진공_재고현황!$D:$D,MATCH($J185,고압진공_재고현황!$E:$E,0)),IFERROR(INDEX(조립자재_재고현황!$D:$D,MATCH($J185,조립자재_재고현황!$E:$E,0)),"")))</f>
        <v/>
      </c>
      <c r="J185" s="45">
        <f>IF($P185="","",INDEX(창고_재고현황!$D:$D,$P185))</f>
        <v/>
      </c>
      <c r="K185" s="44" t="n"/>
      <c r="L185" s="46" t="n"/>
      <c r="M185" s="46" t="n"/>
      <c r="N185" s="47" t="n"/>
      <c r="O185" s="44" t="n"/>
      <c r="P185" s="44">
        <f>IFERROR(MATCH(ROWS($P$2:P185),창고_재고현황!$H:$H,0),"")</f>
        <v/>
      </c>
      <c r="Q185" s="42" t="n"/>
      <c r="R185" s="42" t="n"/>
      <c r="S185" s="42" t="n"/>
      <c r="T185" s="42" t="n"/>
      <c r="U185" s="42" t="n"/>
    </row>
    <row r="186" ht="48" customHeight="1">
      <c r="A186" s="43">
        <f>IF($J186="","",IFERROR(INDEX(고압진공_재고현황!$B:$B,MATCH($J186,고압진공_재고현황!$E:$E,0)),IFERROR(INDEX(조립자재_재고현황!$B:$B,MATCH($J186,조립자재_재고현황!$E:$E,0)),"")))</f>
        <v/>
      </c>
      <c r="B186" s="43">
        <f>IF($J186="","",IFERROR(INDEX(고압진공_재고현황!$C:$C,MATCH($J186,고압진공_재고현황!$E:$E,0)),IFERROR(INDEX(조립자재_재고현황!$C:$C,MATCH($J186,조립자재_재고현황!$E:$E,0)),"")))</f>
        <v/>
      </c>
      <c r="C186" s="44" t="n"/>
      <c r="D186" s="43">
        <f>IF($P186="","",INDEX(창고_재고현황!$B:$B,$P186))</f>
        <v/>
      </c>
      <c r="E186" s="43">
        <f>IF($P186="","",INDEX(창고_재고현황!$C:$C,$P186))</f>
        <v/>
      </c>
      <c r="F186" s="44" t="n"/>
      <c r="G186" s="43">
        <f>IF($P186="","",IF(INDEX(창고_재고현황!$E:$E,$P186)=0,"",INDEX(창고_재고현황!$E:$E,$P186)))</f>
        <v/>
      </c>
      <c r="H186" s="44" t="n"/>
      <c r="I186" s="45">
        <f>IF($J186="","",IFERROR(INDEX(고압진공_재고현황!$D:$D,MATCH($J186,고압진공_재고현황!$E:$E,0)),IFERROR(INDEX(조립자재_재고현황!$D:$D,MATCH($J186,조립자재_재고현황!$E:$E,0)),"")))</f>
        <v/>
      </c>
      <c r="J186" s="45">
        <f>IF($P186="","",INDEX(창고_재고현황!$D:$D,$P186))</f>
        <v/>
      </c>
      <c r="K186" s="44" t="n"/>
      <c r="L186" s="46" t="n"/>
      <c r="M186" s="46" t="n"/>
      <c r="N186" s="47" t="n"/>
      <c r="O186" s="44" t="n"/>
      <c r="P186" s="44">
        <f>IFERROR(MATCH(ROWS($P$2:P186),창고_재고현황!$H:$H,0),"")</f>
        <v/>
      </c>
      <c r="Q186" s="42" t="n"/>
      <c r="R186" s="42" t="n"/>
      <c r="S186" s="42" t="n"/>
      <c r="T186" s="42" t="n"/>
      <c r="U186" s="42" t="n"/>
    </row>
    <row r="187" ht="48" customHeight="1">
      <c r="A187" s="43">
        <f>IF($J187="","",IFERROR(INDEX(고압진공_재고현황!$B:$B,MATCH($J187,고압진공_재고현황!$E:$E,0)),IFERROR(INDEX(조립자재_재고현황!$B:$B,MATCH($J187,조립자재_재고현황!$E:$E,0)),"")))</f>
        <v/>
      </c>
      <c r="B187" s="43">
        <f>IF($J187="","",IFERROR(INDEX(고압진공_재고현황!$C:$C,MATCH($J187,고압진공_재고현황!$E:$E,0)),IFERROR(INDEX(조립자재_재고현황!$C:$C,MATCH($J187,조립자재_재고현황!$E:$E,0)),"")))</f>
        <v/>
      </c>
      <c r="C187" s="44" t="n"/>
      <c r="D187" s="43">
        <f>IF($P187="","",INDEX(창고_재고현황!$B:$B,$P187))</f>
        <v/>
      </c>
      <c r="E187" s="43">
        <f>IF($P187="","",INDEX(창고_재고현황!$C:$C,$P187))</f>
        <v/>
      </c>
      <c r="F187" s="44" t="n"/>
      <c r="G187" s="43">
        <f>IF($P187="","",IF(INDEX(창고_재고현황!$E:$E,$P187)=0,"",INDEX(창고_재고현황!$E:$E,$P187)))</f>
        <v/>
      </c>
      <c r="H187" s="44" t="n"/>
      <c r="I187" s="45">
        <f>IF($J187="","",IFERROR(INDEX(고압진공_재고현황!$D:$D,MATCH($J187,고압진공_재고현황!$E:$E,0)),IFERROR(INDEX(조립자재_재고현황!$D:$D,MATCH($J187,조립자재_재고현황!$E:$E,0)),"")))</f>
        <v/>
      </c>
      <c r="J187" s="45">
        <f>IF($P187="","",INDEX(창고_재고현황!$D:$D,$P187))</f>
        <v/>
      </c>
      <c r="K187" s="44" t="n"/>
      <c r="L187" s="46" t="n"/>
      <c r="M187" s="46" t="n"/>
      <c r="N187" s="47" t="n"/>
      <c r="O187" s="44" t="n"/>
      <c r="P187" s="44">
        <f>IFERROR(MATCH(ROWS($P$2:P187),창고_재고현황!$H:$H,0),"")</f>
        <v/>
      </c>
      <c r="Q187" s="42" t="n"/>
      <c r="R187" s="42" t="n"/>
      <c r="S187" s="42" t="n"/>
      <c r="T187" s="42" t="n"/>
      <c r="U187" s="42" t="n"/>
    </row>
    <row r="188" ht="48" customHeight="1">
      <c r="A188" s="43">
        <f>IF($J188="","",IFERROR(INDEX(고압진공_재고현황!$B:$B,MATCH($J188,고압진공_재고현황!$E:$E,0)),IFERROR(INDEX(조립자재_재고현황!$B:$B,MATCH($J188,조립자재_재고현황!$E:$E,0)),"")))</f>
        <v/>
      </c>
      <c r="B188" s="43">
        <f>IF($J188="","",IFERROR(INDEX(고압진공_재고현황!$C:$C,MATCH($J188,고압진공_재고현황!$E:$E,0)),IFERROR(INDEX(조립자재_재고현황!$C:$C,MATCH($J188,조립자재_재고현황!$E:$E,0)),"")))</f>
        <v/>
      </c>
      <c r="C188" s="44" t="n"/>
      <c r="D188" s="43">
        <f>IF($P188="","",INDEX(창고_재고현황!$B:$B,$P188))</f>
        <v/>
      </c>
      <c r="E188" s="43">
        <f>IF($P188="","",INDEX(창고_재고현황!$C:$C,$P188))</f>
        <v/>
      </c>
      <c r="F188" s="44" t="n"/>
      <c r="G188" s="43">
        <f>IF($P188="","",IF(INDEX(창고_재고현황!$E:$E,$P188)=0,"",INDEX(창고_재고현황!$E:$E,$P188)))</f>
        <v/>
      </c>
      <c r="H188" s="44" t="n"/>
      <c r="I188" s="45">
        <f>IF($J188="","",IFERROR(INDEX(고압진공_재고현황!$D:$D,MATCH($J188,고압진공_재고현황!$E:$E,0)),IFERROR(INDEX(조립자재_재고현황!$D:$D,MATCH($J188,조립자재_재고현황!$E:$E,0)),"")))</f>
        <v/>
      </c>
      <c r="J188" s="45">
        <f>IF($P188="","",INDEX(창고_재고현황!$D:$D,$P188))</f>
        <v/>
      </c>
      <c r="K188" s="44" t="n"/>
      <c r="L188" s="46" t="n"/>
      <c r="M188" s="46" t="n"/>
      <c r="N188" s="47" t="n"/>
      <c r="O188" s="44" t="n"/>
      <c r="P188" s="44">
        <f>IFERROR(MATCH(ROWS($P$2:P188),창고_재고현황!$H:$H,0),"")</f>
        <v/>
      </c>
      <c r="Q188" s="42" t="n"/>
      <c r="R188" s="42" t="n"/>
      <c r="S188" s="42" t="n"/>
      <c r="T188" s="42" t="n"/>
      <c r="U188" s="42" t="n"/>
    </row>
    <row r="189" ht="48" customHeight="1">
      <c r="A189" s="43">
        <f>IF($J189="","",IFERROR(INDEX(고압진공_재고현황!$B:$B,MATCH($J189,고압진공_재고현황!$E:$E,0)),IFERROR(INDEX(조립자재_재고현황!$B:$B,MATCH($J189,조립자재_재고현황!$E:$E,0)),"")))</f>
        <v/>
      </c>
      <c r="B189" s="43">
        <f>IF($J189="","",IFERROR(INDEX(고압진공_재고현황!$C:$C,MATCH($J189,고압진공_재고현황!$E:$E,0)),IFERROR(INDEX(조립자재_재고현황!$C:$C,MATCH($J189,조립자재_재고현황!$E:$E,0)),"")))</f>
        <v/>
      </c>
      <c r="C189" s="44" t="n"/>
      <c r="D189" s="43">
        <f>IF($P189="","",INDEX(창고_재고현황!$B:$B,$P189))</f>
        <v/>
      </c>
      <c r="E189" s="43">
        <f>IF($P189="","",INDEX(창고_재고현황!$C:$C,$P189))</f>
        <v/>
      </c>
      <c r="F189" s="44" t="n"/>
      <c r="G189" s="43">
        <f>IF($P189="","",IF(INDEX(창고_재고현황!$E:$E,$P189)=0,"",INDEX(창고_재고현황!$E:$E,$P189)))</f>
        <v/>
      </c>
      <c r="H189" s="44" t="n"/>
      <c r="I189" s="45">
        <f>IF($J189="","",IFERROR(INDEX(고압진공_재고현황!$D:$D,MATCH($J189,고압진공_재고현황!$E:$E,0)),IFERROR(INDEX(조립자재_재고현황!$D:$D,MATCH($J189,조립자재_재고현황!$E:$E,0)),"")))</f>
        <v/>
      </c>
      <c r="J189" s="45">
        <f>IF($P189="","",INDEX(창고_재고현황!$D:$D,$P189))</f>
        <v/>
      </c>
      <c r="K189" s="44" t="n"/>
      <c r="L189" s="46" t="n"/>
      <c r="M189" s="46" t="n"/>
      <c r="N189" s="47" t="n"/>
      <c r="O189" s="44" t="n"/>
      <c r="P189" s="44">
        <f>IFERROR(MATCH(ROWS($P$2:P189),창고_재고현황!$H:$H,0),"")</f>
        <v/>
      </c>
      <c r="Q189" s="42" t="n"/>
      <c r="R189" s="42" t="n"/>
      <c r="S189" s="42" t="n"/>
      <c r="T189" s="42" t="n"/>
      <c r="U189" s="42" t="n"/>
    </row>
    <row r="190" ht="48" customHeight="1">
      <c r="A190" s="43">
        <f>IF($J190="","",IFERROR(INDEX(고압진공_재고현황!$B:$B,MATCH($J190,고압진공_재고현황!$E:$E,0)),IFERROR(INDEX(조립자재_재고현황!$B:$B,MATCH($J190,조립자재_재고현황!$E:$E,0)),"")))</f>
        <v/>
      </c>
      <c r="B190" s="43">
        <f>IF($J190="","",IFERROR(INDEX(고압진공_재고현황!$C:$C,MATCH($J190,고압진공_재고현황!$E:$E,0)),IFERROR(INDEX(조립자재_재고현황!$C:$C,MATCH($J190,조립자재_재고현황!$E:$E,0)),"")))</f>
        <v/>
      </c>
      <c r="C190" s="44" t="n"/>
      <c r="D190" s="43">
        <f>IF($P190="","",INDEX(창고_재고현황!$B:$B,$P190))</f>
        <v/>
      </c>
      <c r="E190" s="43">
        <f>IF($P190="","",INDEX(창고_재고현황!$C:$C,$P190))</f>
        <v/>
      </c>
      <c r="F190" s="44" t="n"/>
      <c r="G190" s="43">
        <f>IF($P190="","",IF(INDEX(창고_재고현황!$E:$E,$P190)=0,"",INDEX(창고_재고현황!$E:$E,$P190)))</f>
        <v/>
      </c>
      <c r="H190" s="44" t="n"/>
      <c r="I190" s="45">
        <f>IF($J190="","",IFERROR(INDEX(고압진공_재고현황!$D:$D,MATCH($J190,고압진공_재고현황!$E:$E,0)),IFERROR(INDEX(조립자재_재고현황!$D:$D,MATCH($J190,조립자재_재고현황!$E:$E,0)),"")))</f>
        <v/>
      </c>
      <c r="J190" s="45">
        <f>IF($P190="","",INDEX(창고_재고현황!$D:$D,$P190))</f>
        <v/>
      </c>
      <c r="K190" s="44" t="n"/>
      <c r="L190" s="46" t="n"/>
      <c r="M190" s="46" t="n"/>
      <c r="N190" s="47" t="n"/>
      <c r="O190" s="44" t="n"/>
      <c r="P190" s="44">
        <f>IFERROR(MATCH(ROWS($P$2:P190),창고_재고현황!$H:$H,0),"")</f>
        <v/>
      </c>
      <c r="Q190" s="42" t="n"/>
      <c r="R190" s="42" t="n"/>
      <c r="S190" s="42" t="n"/>
      <c r="T190" s="42" t="n"/>
      <c r="U190" s="42" t="n"/>
    </row>
    <row r="191" ht="48" customHeight="1">
      <c r="A191" s="43">
        <f>IF($J191="","",IFERROR(INDEX(고압진공_재고현황!$B:$B,MATCH($J191,고압진공_재고현황!$E:$E,0)),IFERROR(INDEX(조립자재_재고현황!$B:$B,MATCH($J191,조립자재_재고현황!$E:$E,0)),"")))</f>
        <v/>
      </c>
      <c r="B191" s="43">
        <f>IF($J191="","",IFERROR(INDEX(고압진공_재고현황!$C:$C,MATCH($J191,고압진공_재고현황!$E:$E,0)),IFERROR(INDEX(조립자재_재고현황!$C:$C,MATCH($J191,조립자재_재고현황!$E:$E,0)),"")))</f>
        <v/>
      </c>
      <c r="C191" s="44" t="n"/>
      <c r="D191" s="43">
        <f>IF($P191="","",INDEX(창고_재고현황!$B:$B,$P191))</f>
        <v/>
      </c>
      <c r="E191" s="43">
        <f>IF($P191="","",INDEX(창고_재고현황!$C:$C,$P191))</f>
        <v/>
      </c>
      <c r="F191" s="44" t="n"/>
      <c r="G191" s="43">
        <f>IF($P191="","",IF(INDEX(창고_재고현황!$E:$E,$P191)=0,"",INDEX(창고_재고현황!$E:$E,$P191)))</f>
        <v/>
      </c>
      <c r="H191" s="44" t="n"/>
      <c r="I191" s="45">
        <f>IF($J191="","",IFERROR(INDEX(고압진공_재고현황!$D:$D,MATCH($J191,고압진공_재고현황!$E:$E,0)),IFERROR(INDEX(조립자재_재고현황!$D:$D,MATCH($J191,조립자재_재고현황!$E:$E,0)),"")))</f>
        <v/>
      </c>
      <c r="J191" s="45">
        <f>IF($P191="","",INDEX(창고_재고현황!$D:$D,$P191))</f>
        <v/>
      </c>
      <c r="K191" s="44" t="n"/>
      <c r="L191" s="46" t="n"/>
      <c r="M191" s="46" t="n"/>
      <c r="N191" s="47" t="n"/>
      <c r="O191" s="44" t="n"/>
      <c r="P191" s="44">
        <f>IFERROR(MATCH(ROWS($P$2:P191),창고_재고현황!$H:$H,0),"")</f>
        <v/>
      </c>
      <c r="Q191" s="42" t="n"/>
      <c r="R191" s="42" t="n"/>
      <c r="S191" s="42" t="n"/>
      <c r="T191" s="42" t="n"/>
      <c r="U191" s="42" t="n"/>
    </row>
    <row r="192" ht="48" customHeight="1">
      <c r="A192" s="43">
        <f>IF($J192="","",IFERROR(INDEX(고압진공_재고현황!$B:$B,MATCH($J192,고압진공_재고현황!$E:$E,0)),IFERROR(INDEX(조립자재_재고현황!$B:$B,MATCH($J192,조립자재_재고현황!$E:$E,0)),"")))</f>
        <v/>
      </c>
      <c r="B192" s="43">
        <f>IF($J192="","",IFERROR(INDEX(고압진공_재고현황!$C:$C,MATCH($J192,고압진공_재고현황!$E:$E,0)),IFERROR(INDEX(조립자재_재고현황!$C:$C,MATCH($J192,조립자재_재고현황!$E:$E,0)),"")))</f>
        <v/>
      </c>
      <c r="C192" s="44" t="n"/>
      <c r="D192" s="43">
        <f>IF($P192="","",INDEX(창고_재고현황!$B:$B,$P192))</f>
        <v/>
      </c>
      <c r="E192" s="43">
        <f>IF($P192="","",INDEX(창고_재고현황!$C:$C,$P192))</f>
        <v/>
      </c>
      <c r="F192" s="44" t="n"/>
      <c r="G192" s="43">
        <f>IF($P192="","",IF(INDEX(창고_재고현황!$E:$E,$P192)=0,"",INDEX(창고_재고현황!$E:$E,$P192)))</f>
        <v/>
      </c>
      <c r="H192" s="44" t="n"/>
      <c r="I192" s="45">
        <f>IF($J192="","",IFERROR(INDEX(고압진공_재고현황!$D:$D,MATCH($J192,고압진공_재고현황!$E:$E,0)),IFERROR(INDEX(조립자재_재고현황!$D:$D,MATCH($J192,조립자재_재고현황!$E:$E,0)),"")))</f>
        <v/>
      </c>
      <c r="J192" s="45">
        <f>IF($P192="","",INDEX(창고_재고현황!$D:$D,$P192))</f>
        <v/>
      </c>
      <c r="K192" s="44" t="n"/>
      <c r="L192" s="46" t="n"/>
      <c r="M192" s="46" t="n"/>
      <c r="N192" s="47" t="n"/>
      <c r="O192" s="44" t="n"/>
      <c r="P192" s="44">
        <f>IFERROR(MATCH(ROWS($P$2:P192),창고_재고현황!$H:$H,0),"")</f>
        <v/>
      </c>
      <c r="Q192" s="42" t="n"/>
      <c r="R192" s="42" t="n"/>
      <c r="S192" s="42" t="n"/>
      <c r="T192" s="42" t="n"/>
      <c r="U192" s="42" t="n"/>
    </row>
    <row r="193" ht="48" customHeight="1">
      <c r="A193" s="43">
        <f>IF($J193="","",IFERROR(INDEX(고압진공_재고현황!$B:$B,MATCH($J193,고압진공_재고현황!$E:$E,0)),IFERROR(INDEX(조립자재_재고현황!$B:$B,MATCH($J193,조립자재_재고현황!$E:$E,0)),"")))</f>
        <v/>
      </c>
      <c r="B193" s="43">
        <f>IF($J193="","",IFERROR(INDEX(고압진공_재고현황!$C:$C,MATCH($J193,고압진공_재고현황!$E:$E,0)),IFERROR(INDEX(조립자재_재고현황!$C:$C,MATCH($J193,조립자재_재고현황!$E:$E,0)),"")))</f>
        <v/>
      </c>
      <c r="C193" s="44" t="n"/>
      <c r="D193" s="43">
        <f>IF($P193="","",INDEX(창고_재고현황!$B:$B,$P193))</f>
        <v/>
      </c>
      <c r="E193" s="43">
        <f>IF($P193="","",INDEX(창고_재고현황!$C:$C,$P193))</f>
        <v/>
      </c>
      <c r="F193" s="44" t="n"/>
      <c r="G193" s="43">
        <f>IF($P193="","",IF(INDEX(창고_재고현황!$E:$E,$P193)=0,"",INDEX(창고_재고현황!$E:$E,$P193)))</f>
        <v/>
      </c>
      <c r="H193" s="44" t="n"/>
      <c r="I193" s="45">
        <f>IF($J193="","",IFERROR(INDEX(고압진공_재고현황!$D:$D,MATCH($J193,고압진공_재고현황!$E:$E,0)),IFERROR(INDEX(조립자재_재고현황!$D:$D,MATCH($J193,조립자재_재고현황!$E:$E,0)),"")))</f>
        <v/>
      </c>
      <c r="J193" s="45">
        <f>IF($P193="","",INDEX(창고_재고현황!$D:$D,$P193))</f>
        <v/>
      </c>
      <c r="K193" s="44" t="n"/>
      <c r="L193" s="46" t="n"/>
      <c r="M193" s="46" t="n"/>
      <c r="N193" s="47" t="n"/>
      <c r="O193" s="44" t="n"/>
      <c r="P193" s="44">
        <f>IFERROR(MATCH(ROWS($P$2:P193),창고_재고현황!$H:$H,0),"")</f>
        <v/>
      </c>
      <c r="Q193" s="42" t="n"/>
      <c r="R193" s="42" t="n"/>
      <c r="S193" s="42" t="n"/>
      <c r="T193" s="42" t="n"/>
      <c r="U193" s="42" t="n"/>
    </row>
    <row r="194" ht="48" customHeight="1">
      <c r="A194" s="43">
        <f>IF($J194="","",IFERROR(INDEX(고압진공_재고현황!$B:$B,MATCH($J194,고압진공_재고현황!$E:$E,0)),IFERROR(INDEX(조립자재_재고현황!$B:$B,MATCH($J194,조립자재_재고현황!$E:$E,0)),"")))</f>
        <v/>
      </c>
      <c r="B194" s="43">
        <f>IF($J194="","",IFERROR(INDEX(고압진공_재고현황!$C:$C,MATCH($J194,고압진공_재고현황!$E:$E,0)),IFERROR(INDEX(조립자재_재고현황!$C:$C,MATCH($J194,조립자재_재고현황!$E:$E,0)),"")))</f>
        <v/>
      </c>
      <c r="C194" s="44" t="n"/>
      <c r="D194" s="43">
        <f>IF($P194="","",INDEX(창고_재고현황!$B:$B,$P194))</f>
        <v/>
      </c>
      <c r="E194" s="43">
        <f>IF($P194="","",INDEX(창고_재고현황!$C:$C,$P194))</f>
        <v/>
      </c>
      <c r="F194" s="44" t="n"/>
      <c r="G194" s="43">
        <f>IF($P194="","",IF(INDEX(창고_재고현황!$E:$E,$P194)=0,"",INDEX(창고_재고현황!$E:$E,$P194)))</f>
        <v/>
      </c>
      <c r="H194" s="44" t="n"/>
      <c r="I194" s="45">
        <f>IF($J194="","",IFERROR(INDEX(고압진공_재고현황!$D:$D,MATCH($J194,고압진공_재고현황!$E:$E,0)),IFERROR(INDEX(조립자재_재고현황!$D:$D,MATCH($J194,조립자재_재고현황!$E:$E,0)),"")))</f>
        <v/>
      </c>
      <c r="J194" s="45">
        <f>IF($P194="","",INDEX(창고_재고현황!$D:$D,$P194))</f>
        <v/>
      </c>
      <c r="K194" s="44" t="n"/>
      <c r="L194" s="46" t="n"/>
      <c r="M194" s="46" t="n"/>
      <c r="N194" s="47" t="n"/>
      <c r="O194" s="44" t="n"/>
      <c r="P194" s="44">
        <f>IFERROR(MATCH(ROWS($P$2:P194),창고_재고현황!$H:$H,0),"")</f>
        <v/>
      </c>
      <c r="Q194" s="42" t="n"/>
      <c r="R194" s="42" t="n"/>
      <c r="S194" s="42" t="n"/>
      <c r="T194" s="42" t="n"/>
      <c r="U194" s="42" t="n"/>
    </row>
    <row r="195" ht="48" customHeight="1">
      <c r="A195" s="43">
        <f>IF($J195="","",IFERROR(INDEX(고압진공_재고현황!$B:$B,MATCH($J195,고압진공_재고현황!$E:$E,0)),IFERROR(INDEX(조립자재_재고현황!$B:$B,MATCH($J195,조립자재_재고현황!$E:$E,0)),"")))</f>
        <v/>
      </c>
      <c r="B195" s="43">
        <f>IF($J195="","",IFERROR(INDEX(고압진공_재고현황!$C:$C,MATCH($J195,고압진공_재고현황!$E:$E,0)),IFERROR(INDEX(조립자재_재고현황!$C:$C,MATCH($J195,조립자재_재고현황!$E:$E,0)),"")))</f>
        <v/>
      </c>
      <c r="C195" s="44" t="n"/>
      <c r="D195" s="43">
        <f>IF($P195="","",INDEX(창고_재고현황!$B:$B,$P195))</f>
        <v/>
      </c>
      <c r="E195" s="43">
        <f>IF($P195="","",INDEX(창고_재고현황!$C:$C,$P195))</f>
        <v/>
      </c>
      <c r="F195" s="44" t="n"/>
      <c r="G195" s="43">
        <f>IF($P195="","",IF(INDEX(창고_재고현황!$E:$E,$P195)=0,"",INDEX(창고_재고현황!$E:$E,$P195)))</f>
        <v/>
      </c>
      <c r="H195" s="44" t="n"/>
      <c r="I195" s="45">
        <f>IF($J195="","",IFERROR(INDEX(고압진공_재고현황!$D:$D,MATCH($J195,고압진공_재고현황!$E:$E,0)),IFERROR(INDEX(조립자재_재고현황!$D:$D,MATCH($J195,조립자재_재고현황!$E:$E,0)),"")))</f>
        <v/>
      </c>
      <c r="J195" s="45">
        <f>IF($P195="","",INDEX(창고_재고현황!$D:$D,$P195))</f>
        <v/>
      </c>
      <c r="K195" s="44" t="n"/>
      <c r="L195" s="46" t="n"/>
      <c r="M195" s="46" t="n"/>
      <c r="N195" s="47" t="n"/>
      <c r="O195" s="44" t="n"/>
      <c r="P195" s="44">
        <f>IFERROR(MATCH(ROWS($P$2:P195),창고_재고현황!$H:$H,0),"")</f>
        <v/>
      </c>
      <c r="Q195" s="42" t="n"/>
      <c r="R195" s="42" t="n"/>
      <c r="S195" s="42" t="n"/>
      <c r="T195" s="42" t="n"/>
      <c r="U195" s="42" t="n"/>
    </row>
    <row r="196" ht="48" customHeight="1">
      <c r="A196" s="43">
        <f>IF($J196="","",IFERROR(INDEX(고압진공_재고현황!$B:$B,MATCH($J196,고압진공_재고현황!$E:$E,0)),IFERROR(INDEX(조립자재_재고현황!$B:$B,MATCH($J196,조립자재_재고현황!$E:$E,0)),"")))</f>
        <v/>
      </c>
      <c r="B196" s="43">
        <f>IF($J196="","",IFERROR(INDEX(고압진공_재고현황!$C:$C,MATCH($J196,고압진공_재고현황!$E:$E,0)),IFERROR(INDEX(조립자재_재고현황!$C:$C,MATCH($J196,조립자재_재고현황!$E:$E,0)),"")))</f>
        <v/>
      </c>
      <c r="C196" s="44" t="n"/>
      <c r="D196" s="43">
        <f>IF($P196="","",INDEX(창고_재고현황!$B:$B,$P196))</f>
        <v/>
      </c>
      <c r="E196" s="43">
        <f>IF($P196="","",INDEX(창고_재고현황!$C:$C,$P196))</f>
        <v/>
      </c>
      <c r="F196" s="44" t="n"/>
      <c r="G196" s="43">
        <f>IF($P196="","",IF(INDEX(창고_재고현황!$E:$E,$P196)=0,"",INDEX(창고_재고현황!$E:$E,$P196)))</f>
        <v/>
      </c>
      <c r="H196" s="44" t="n"/>
      <c r="I196" s="45">
        <f>IF($J196="","",IFERROR(INDEX(고압진공_재고현황!$D:$D,MATCH($J196,고압진공_재고현황!$E:$E,0)),IFERROR(INDEX(조립자재_재고현황!$D:$D,MATCH($J196,조립자재_재고현황!$E:$E,0)),"")))</f>
        <v/>
      </c>
      <c r="J196" s="45">
        <f>IF($P196="","",INDEX(창고_재고현황!$D:$D,$P196))</f>
        <v/>
      </c>
      <c r="K196" s="44" t="n"/>
      <c r="L196" s="46" t="n"/>
      <c r="M196" s="46" t="n"/>
      <c r="N196" s="47" t="n"/>
      <c r="O196" s="44" t="n"/>
      <c r="P196" s="44">
        <f>IFERROR(MATCH(ROWS($P$2:P196),창고_재고현황!$H:$H,0),"")</f>
        <v/>
      </c>
      <c r="Q196" s="42" t="n"/>
      <c r="R196" s="42" t="n"/>
      <c r="S196" s="42" t="n"/>
      <c r="T196" s="42" t="n"/>
      <c r="U196" s="42" t="n"/>
    </row>
    <row r="197" ht="48" customHeight="1">
      <c r="A197" s="43">
        <f>IF($J197="","",IFERROR(INDEX(고압진공_재고현황!$B:$B,MATCH($J197,고압진공_재고현황!$E:$E,0)),IFERROR(INDEX(조립자재_재고현황!$B:$B,MATCH($J197,조립자재_재고현황!$E:$E,0)),"")))</f>
        <v/>
      </c>
      <c r="B197" s="43">
        <f>IF($J197="","",IFERROR(INDEX(고압진공_재고현황!$C:$C,MATCH($J197,고압진공_재고현황!$E:$E,0)),IFERROR(INDEX(조립자재_재고현황!$C:$C,MATCH($J197,조립자재_재고현황!$E:$E,0)),"")))</f>
        <v/>
      </c>
      <c r="C197" s="44" t="n"/>
      <c r="D197" s="43">
        <f>IF($P197="","",INDEX(창고_재고현황!$B:$B,$P197))</f>
        <v/>
      </c>
      <c r="E197" s="43">
        <f>IF($P197="","",INDEX(창고_재고현황!$C:$C,$P197))</f>
        <v/>
      </c>
      <c r="F197" s="44" t="n"/>
      <c r="G197" s="43">
        <f>IF($P197="","",IF(INDEX(창고_재고현황!$E:$E,$P197)=0,"",INDEX(창고_재고현황!$E:$E,$P197)))</f>
        <v/>
      </c>
      <c r="H197" s="44" t="n"/>
      <c r="I197" s="45">
        <f>IF($J197="","",IFERROR(INDEX(고압진공_재고현황!$D:$D,MATCH($J197,고압진공_재고현황!$E:$E,0)),IFERROR(INDEX(조립자재_재고현황!$D:$D,MATCH($J197,조립자재_재고현황!$E:$E,0)),"")))</f>
        <v/>
      </c>
      <c r="J197" s="45">
        <f>IF($P197="","",INDEX(창고_재고현황!$D:$D,$P197))</f>
        <v/>
      </c>
      <c r="K197" s="44" t="n"/>
      <c r="L197" s="46" t="n"/>
      <c r="M197" s="46" t="n"/>
      <c r="N197" s="47" t="n"/>
      <c r="O197" s="44" t="n"/>
      <c r="P197" s="44">
        <f>IFERROR(MATCH(ROWS($P$2:P197),창고_재고현황!$H:$H,0),"")</f>
        <v/>
      </c>
      <c r="Q197" s="42" t="n"/>
      <c r="R197" s="42" t="n"/>
      <c r="S197" s="42" t="n"/>
      <c r="T197" s="42" t="n"/>
      <c r="U197" s="42" t="n"/>
    </row>
    <row r="198" ht="48" customHeight="1">
      <c r="A198" s="43">
        <f>IF($J198="","",IFERROR(INDEX(고압진공_재고현황!$B:$B,MATCH($J198,고압진공_재고현황!$E:$E,0)),IFERROR(INDEX(조립자재_재고현황!$B:$B,MATCH($J198,조립자재_재고현황!$E:$E,0)),"")))</f>
        <v/>
      </c>
      <c r="B198" s="43">
        <f>IF($J198="","",IFERROR(INDEX(고압진공_재고현황!$C:$C,MATCH($J198,고압진공_재고현황!$E:$E,0)),IFERROR(INDEX(조립자재_재고현황!$C:$C,MATCH($J198,조립자재_재고현황!$E:$E,0)),"")))</f>
        <v/>
      </c>
      <c r="C198" s="44" t="n"/>
      <c r="D198" s="43">
        <f>IF($P198="","",INDEX(창고_재고현황!$B:$B,$P198))</f>
        <v/>
      </c>
      <c r="E198" s="43">
        <f>IF($P198="","",INDEX(창고_재고현황!$C:$C,$P198))</f>
        <v/>
      </c>
      <c r="F198" s="44" t="n"/>
      <c r="G198" s="43">
        <f>IF($P198="","",IF(INDEX(창고_재고현황!$E:$E,$P198)=0,"",INDEX(창고_재고현황!$E:$E,$P198)))</f>
        <v/>
      </c>
      <c r="H198" s="44" t="n"/>
      <c r="I198" s="45">
        <f>IF($J198="","",IFERROR(INDEX(고압진공_재고현황!$D:$D,MATCH($J198,고압진공_재고현황!$E:$E,0)),IFERROR(INDEX(조립자재_재고현황!$D:$D,MATCH($J198,조립자재_재고현황!$E:$E,0)),"")))</f>
        <v/>
      </c>
      <c r="J198" s="45">
        <f>IF($P198="","",INDEX(창고_재고현황!$D:$D,$P198))</f>
        <v/>
      </c>
      <c r="K198" s="44" t="n"/>
      <c r="L198" s="46" t="n"/>
      <c r="M198" s="46" t="n"/>
      <c r="N198" s="47" t="n"/>
      <c r="O198" s="44" t="n"/>
      <c r="P198" s="44">
        <f>IFERROR(MATCH(ROWS($P$2:P198),창고_재고현황!$H:$H,0),"")</f>
        <v/>
      </c>
      <c r="Q198" s="42" t="n"/>
      <c r="R198" s="42" t="n"/>
      <c r="S198" s="42" t="n"/>
      <c r="T198" s="42" t="n"/>
      <c r="U198" s="42" t="n"/>
    </row>
    <row r="199" ht="48" customHeight="1">
      <c r="A199" s="43">
        <f>IF($J199="","",IFERROR(INDEX(고압진공_재고현황!$B:$B,MATCH($J199,고압진공_재고현황!$E:$E,0)),IFERROR(INDEX(조립자재_재고현황!$B:$B,MATCH($J199,조립자재_재고현황!$E:$E,0)),"")))</f>
        <v/>
      </c>
      <c r="B199" s="43">
        <f>IF($J199="","",IFERROR(INDEX(고압진공_재고현황!$C:$C,MATCH($J199,고압진공_재고현황!$E:$E,0)),IFERROR(INDEX(조립자재_재고현황!$C:$C,MATCH($J199,조립자재_재고현황!$E:$E,0)),"")))</f>
        <v/>
      </c>
      <c r="C199" s="44" t="n"/>
      <c r="D199" s="43">
        <f>IF($P199="","",INDEX(창고_재고현황!$B:$B,$P199))</f>
        <v/>
      </c>
      <c r="E199" s="43">
        <f>IF($P199="","",INDEX(창고_재고현황!$C:$C,$P199))</f>
        <v/>
      </c>
      <c r="F199" s="44" t="n"/>
      <c r="G199" s="43">
        <f>IF($P199="","",IF(INDEX(창고_재고현황!$E:$E,$P199)=0,"",INDEX(창고_재고현황!$E:$E,$P199)))</f>
        <v/>
      </c>
      <c r="H199" s="44" t="n"/>
      <c r="I199" s="45">
        <f>IF($J199="","",IFERROR(INDEX(고압진공_재고현황!$D:$D,MATCH($J199,고압진공_재고현황!$E:$E,0)),IFERROR(INDEX(조립자재_재고현황!$D:$D,MATCH($J199,조립자재_재고현황!$E:$E,0)),"")))</f>
        <v/>
      </c>
      <c r="J199" s="45">
        <f>IF($P199="","",INDEX(창고_재고현황!$D:$D,$P199))</f>
        <v/>
      </c>
      <c r="K199" s="44" t="n"/>
      <c r="L199" s="46" t="n"/>
      <c r="M199" s="46" t="n"/>
      <c r="N199" s="47" t="n"/>
      <c r="O199" s="44" t="n"/>
      <c r="P199" s="44">
        <f>IFERROR(MATCH(ROWS($P$2:P199),창고_재고현황!$H:$H,0),"")</f>
        <v/>
      </c>
      <c r="Q199" s="42" t="n"/>
      <c r="R199" s="42" t="n"/>
      <c r="S199" s="42" t="n"/>
      <c r="T199" s="42" t="n"/>
      <c r="U199" s="42" t="n"/>
    </row>
    <row r="200" ht="48" customHeight="1">
      <c r="A200" s="43">
        <f>IF($J200="","",IFERROR(INDEX(고압진공_재고현황!$B:$B,MATCH($J200,고압진공_재고현황!$E:$E,0)),IFERROR(INDEX(조립자재_재고현황!$B:$B,MATCH($J200,조립자재_재고현황!$E:$E,0)),"")))</f>
        <v/>
      </c>
      <c r="B200" s="43">
        <f>IF($J200="","",IFERROR(INDEX(고압진공_재고현황!$C:$C,MATCH($J200,고압진공_재고현황!$E:$E,0)),IFERROR(INDEX(조립자재_재고현황!$C:$C,MATCH($J200,조립자재_재고현황!$E:$E,0)),"")))</f>
        <v/>
      </c>
      <c r="C200" s="44" t="n"/>
      <c r="D200" s="43">
        <f>IF($P200="","",INDEX(창고_재고현황!$B:$B,$P200))</f>
        <v/>
      </c>
      <c r="E200" s="43">
        <f>IF($P200="","",INDEX(창고_재고현황!$C:$C,$P200))</f>
        <v/>
      </c>
      <c r="F200" s="44" t="n"/>
      <c r="G200" s="43">
        <f>IF($P200="","",IF(INDEX(창고_재고현황!$E:$E,$P200)=0,"",INDEX(창고_재고현황!$E:$E,$P200)))</f>
        <v/>
      </c>
      <c r="H200" s="44" t="n"/>
      <c r="I200" s="45">
        <f>IF($J200="","",IFERROR(INDEX(고압진공_재고현황!$D:$D,MATCH($J200,고압진공_재고현황!$E:$E,0)),IFERROR(INDEX(조립자재_재고현황!$D:$D,MATCH($J200,조립자재_재고현황!$E:$E,0)),"")))</f>
        <v/>
      </c>
      <c r="J200" s="45">
        <f>IF($P200="","",INDEX(창고_재고현황!$D:$D,$P200))</f>
        <v/>
      </c>
      <c r="K200" s="44" t="n"/>
      <c r="L200" s="46" t="n"/>
      <c r="M200" s="46" t="n"/>
      <c r="N200" s="47" t="n"/>
      <c r="O200" s="44" t="n"/>
      <c r="P200" s="44">
        <f>IFERROR(MATCH(ROWS($P$2:P200),창고_재고현황!$H:$H,0),"")</f>
        <v/>
      </c>
      <c r="Q200" s="42" t="n"/>
      <c r="R200" s="42" t="n"/>
      <c r="S200" s="42" t="n"/>
      <c r="T200" s="42" t="n"/>
      <c r="U200" s="42" t="n"/>
    </row>
    <row r="201" ht="48" customHeight="1">
      <c r="A201" s="43">
        <f>IF($J201="","",IFERROR(INDEX(고압진공_재고현황!$B:$B,MATCH($J201,고압진공_재고현황!$E:$E,0)),IFERROR(INDEX(조립자재_재고현황!$B:$B,MATCH($J201,조립자재_재고현황!$E:$E,0)),"")))</f>
        <v/>
      </c>
      <c r="B201" s="43">
        <f>IF($J201="","",IFERROR(INDEX(고압진공_재고현황!$C:$C,MATCH($J201,고압진공_재고현황!$E:$E,0)),IFERROR(INDEX(조립자재_재고현황!$C:$C,MATCH($J201,조립자재_재고현황!$E:$E,0)),"")))</f>
        <v/>
      </c>
      <c r="C201" s="44" t="n"/>
      <c r="D201" s="43">
        <f>IF($P201="","",INDEX(창고_재고현황!$B:$B,$P201))</f>
        <v/>
      </c>
      <c r="E201" s="43">
        <f>IF($P201="","",INDEX(창고_재고현황!$C:$C,$P201))</f>
        <v/>
      </c>
      <c r="F201" s="44" t="n"/>
      <c r="G201" s="43">
        <f>IF($P201="","",IF(INDEX(창고_재고현황!$E:$E,$P201)=0,"",INDEX(창고_재고현황!$E:$E,$P201)))</f>
        <v/>
      </c>
      <c r="H201" s="44" t="n"/>
      <c r="I201" s="45">
        <f>IF($J201="","",IFERROR(INDEX(고압진공_재고현황!$D:$D,MATCH($J201,고압진공_재고현황!$E:$E,0)),IFERROR(INDEX(조립자재_재고현황!$D:$D,MATCH($J201,조립자재_재고현황!$E:$E,0)),"")))</f>
        <v/>
      </c>
      <c r="J201" s="45">
        <f>IF($P201="","",INDEX(창고_재고현황!$D:$D,$P201))</f>
        <v/>
      </c>
      <c r="K201" s="44" t="n"/>
      <c r="L201" s="46" t="n"/>
      <c r="M201" s="46" t="n"/>
      <c r="N201" s="47" t="n"/>
      <c r="O201" s="44" t="n"/>
      <c r="P201" s="44">
        <f>IFERROR(MATCH(ROWS($P$2:P201),창고_재고현황!$H:$H,0),"")</f>
        <v/>
      </c>
      <c r="Q201" s="42" t="n"/>
      <c r="R201" s="42" t="n"/>
      <c r="S201" s="42" t="n"/>
      <c r="T201" s="42" t="n"/>
      <c r="U201" s="42" t="n"/>
    </row>
    <row r="202" ht="48" customHeight="1">
      <c r="A202" s="43">
        <f>IF($J202="","",IFERROR(INDEX(고압진공_재고현황!$B:$B,MATCH($J202,고압진공_재고현황!$E:$E,0)),IFERROR(INDEX(조립자재_재고현황!$B:$B,MATCH($J202,조립자재_재고현황!$E:$E,0)),"")))</f>
        <v/>
      </c>
      <c r="B202" s="43">
        <f>IF($J202="","",IFERROR(INDEX(고압진공_재고현황!$C:$C,MATCH($J202,고압진공_재고현황!$E:$E,0)),IFERROR(INDEX(조립자재_재고현황!$C:$C,MATCH($J202,조립자재_재고현황!$E:$E,0)),"")))</f>
        <v/>
      </c>
      <c r="C202" s="44" t="n"/>
      <c r="D202" s="43">
        <f>IF($P202="","",INDEX(창고_재고현황!$B:$B,$P202))</f>
        <v/>
      </c>
      <c r="E202" s="43">
        <f>IF($P202="","",INDEX(창고_재고현황!$C:$C,$P202))</f>
        <v/>
      </c>
      <c r="F202" s="44" t="n"/>
      <c r="G202" s="43">
        <f>IF($P202="","",IF(INDEX(창고_재고현황!$E:$E,$P202)=0,"",INDEX(창고_재고현황!$E:$E,$P202)))</f>
        <v/>
      </c>
      <c r="H202" s="44" t="n"/>
      <c r="I202" s="45">
        <f>IF($J202="","",IFERROR(INDEX(고압진공_재고현황!$D:$D,MATCH($J202,고압진공_재고현황!$E:$E,0)),IFERROR(INDEX(조립자재_재고현황!$D:$D,MATCH($J202,조립자재_재고현황!$E:$E,0)),"")))</f>
        <v/>
      </c>
      <c r="J202" s="45">
        <f>IF($P202="","",INDEX(창고_재고현황!$D:$D,$P202))</f>
        <v/>
      </c>
      <c r="K202" s="44" t="n"/>
      <c r="L202" s="46" t="n"/>
      <c r="M202" s="46" t="n"/>
      <c r="N202" s="47" t="n"/>
      <c r="O202" s="44" t="n"/>
      <c r="P202" s="44">
        <f>IFERROR(MATCH(ROWS($P$2:P202),창고_재고현황!$H:$H,0),"")</f>
        <v/>
      </c>
      <c r="Q202" s="42" t="n"/>
      <c r="R202" s="42" t="n"/>
      <c r="S202" s="42" t="n"/>
      <c r="T202" s="42" t="n"/>
      <c r="U202" s="42" t="n"/>
    </row>
    <row r="203" ht="48" customHeight="1">
      <c r="A203" s="43">
        <f>IF($J203="","",IFERROR(INDEX(고압진공_재고현황!$B:$B,MATCH($J203,고압진공_재고현황!$E:$E,0)),IFERROR(INDEX(조립자재_재고현황!$B:$B,MATCH($J203,조립자재_재고현황!$E:$E,0)),"")))</f>
        <v/>
      </c>
      <c r="B203" s="43">
        <f>IF($J203="","",IFERROR(INDEX(고압진공_재고현황!$C:$C,MATCH($J203,고압진공_재고현황!$E:$E,0)),IFERROR(INDEX(조립자재_재고현황!$C:$C,MATCH($J203,조립자재_재고현황!$E:$E,0)),"")))</f>
        <v/>
      </c>
      <c r="C203" s="44" t="n"/>
      <c r="D203" s="43">
        <f>IF($P203="","",INDEX(창고_재고현황!$B:$B,$P203))</f>
        <v/>
      </c>
      <c r="E203" s="43">
        <f>IF($P203="","",INDEX(창고_재고현황!$C:$C,$P203))</f>
        <v/>
      </c>
      <c r="F203" s="44" t="n"/>
      <c r="G203" s="43">
        <f>IF($P203="","",IF(INDEX(창고_재고현황!$E:$E,$P203)=0,"",INDEX(창고_재고현황!$E:$E,$P203)))</f>
        <v/>
      </c>
      <c r="H203" s="44" t="n"/>
      <c r="I203" s="45">
        <f>IF($J203="","",IFERROR(INDEX(고압진공_재고현황!$D:$D,MATCH($J203,고압진공_재고현황!$E:$E,0)),IFERROR(INDEX(조립자재_재고현황!$D:$D,MATCH($J203,조립자재_재고현황!$E:$E,0)),"")))</f>
        <v/>
      </c>
      <c r="J203" s="45">
        <f>IF($P203="","",INDEX(창고_재고현황!$D:$D,$P203))</f>
        <v/>
      </c>
      <c r="K203" s="44" t="n"/>
      <c r="L203" s="46" t="n"/>
      <c r="M203" s="46" t="n"/>
      <c r="N203" s="47" t="n"/>
      <c r="O203" s="44" t="n"/>
      <c r="P203" s="44">
        <f>IFERROR(MATCH(ROWS($P$2:P203),창고_재고현황!$H:$H,0),"")</f>
        <v/>
      </c>
      <c r="Q203" s="42" t="n"/>
      <c r="R203" s="42" t="n"/>
      <c r="S203" s="42" t="n"/>
      <c r="T203" s="42" t="n"/>
      <c r="U203" s="42" t="n"/>
    </row>
    <row r="204" ht="48" customHeight="1">
      <c r="A204" s="43">
        <f>IF($J204="","",IFERROR(INDEX(고압진공_재고현황!$B:$B,MATCH($J204,고압진공_재고현황!$E:$E,0)),IFERROR(INDEX(조립자재_재고현황!$B:$B,MATCH($J204,조립자재_재고현황!$E:$E,0)),"")))</f>
        <v/>
      </c>
      <c r="B204" s="43">
        <f>IF($J204="","",IFERROR(INDEX(고압진공_재고현황!$C:$C,MATCH($J204,고압진공_재고현황!$E:$E,0)),IFERROR(INDEX(조립자재_재고현황!$C:$C,MATCH($J204,조립자재_재고현황!$E:$E,0)),"")))</f>
        <v/>
      </c>
      <c r="C204" s="44" t="n"/>
      <c r="D204" s="43">
        <f>IF($P204="","",INDEX(창고_재고현황!$B:$B,$P204))</f>
        <v/>
      </c>
      <c r="E204" s="43">
        <f>IF($P204="","",INDEX(창고_재고현황!$C:$C,$P204))</f>
        <v/>
      </c>
      <c r="F204" s="44" t="n"/>
      <c r="G204" s="43">
        <f>IF($P204="","",IF(INDEX(창고_재고현황!$E:$E,$P204)=0,"",INDEX(창고_재고현황!$E:$E,$P204)))</f>
        <v/>
      </c>
      <c r="H204" s="44" t="n"/>
      <c r="I204" s="45">
        <f>IF($J204="","",IFERROR(INDEX(고압진공_재고현황!$D:$D,MATCH($J204,고압진공_재고현황!$E:$E,0)),IFERROR(INDEX(조립자재_재고현황!$D:$D,MATCH($J204,조립자재_재고현황!$E:$E,0)),"")))</f>
        <v/>
      </c>
      <c r="J204" s="45">
        <f>IF($P204="","",INDEX(창고_재고현황!$D:$D,$P204))</f>
        <v/>
      </c>
      <c r="K204" s="44" t="n"/>
      <c r="L204" s="46" t="n"/>
      <c r="M204" s="46" t="n"/>
      <c r="N204" s="47" t="n"/>
      <c r="O204" s="44" t="n"/>
      <c r="P204" s="44">
        <f>IFERROR(MATCH(ROWS($P$2:P204),창고_재고현황!$H:$H,0),"")</f>
        <v/>
      </c>
      <c r="Q204" s="42" t="n"/>
      <c r="R204" s="42" t="n"/>
      <c r="S204" s="42" t="n"/>
      <c r="T204" s="42" t="n"/>
      <c r="U204" s="42" t="n"/>
    </row>
    <row r="205" ht="48" customHeight="1">
      <c r="A205" s="43">
        <f>IF($J205="","",IFERROR(INDEX(고압진공_재고현황!$B:$B,MATCH($J205,고압진공_재고현황!$E:$E,0)),IFERROR(INDEX(조립자재_재고현황!$B:$B,MATCH($J205,조립자재_재고현황!$E:$E,0)),"")))</f>
        <v/>
      </c>
      <c r="B205" s="43">
        <f>IF($J205="","",IFERROR(INDEX(고압진공_재고현황!$C:$C,MATCH($J205,고압진공_재고현황!$E:$E,0)),IFERROR(INDEX(조립자재_재고현황!$C:$C,MATCH($J205,조립자재_재고현황!$E:$E,0)),"")))</f>
        <v/>
      </c>
      <c r="C205" s="44" t="n"/>
      <c r="D205" s="43">
        <f>IF($P205="","",INDEX(창고_재고현황!$B:$B,$P205))</f>
        <v/>
      </c>
      <c r="E205" s="43">
        <f>IF($P205="","",INDEX(창고_재고현황!$C:$C,$P205))</f>
        <v/>
      </c>
      <c r="F205" s="44" t="n"/>
      <c r="G205" s="43">
        <f>IF($P205="","",IF(INDEX(창고_재고현황!$E:$E,$P205)=0,"",INDEX(창고_재고현황!$E:$E,$P205)))</f>
        <v/>
      </c>
      <c r="H205" s="44" t="n"/>
      <c r="I205" s="45">
        <f>IF($J205="","",IFERROR(INDEX(고압진공_재고현황!$D:$D,MATCH($J205,고압진공_재고현황!$E:$E,0)),IFERROR(INDEX(조립자재_재고현황!$D:$D,MATCH($J205,조립자재_재고현황!$E:$E,0)),"")))</f>
        <v/>
      </c>
      <c r="J205" s="45">
        <f>IF($P205="","",INDEX(창고_재고현황!$D:$D,$P205))</f>
        <v/>
      </c>
      <c r="K205" s="44" t="n"/>
      <c r="L205" s="46" t="n"/>
      <c r="M205" s="46" t="n"/>
      <c r="N205" s="47" t="n"/>
      <c r="O205" s="44" t="n"/>
      <c r="P205" s="44">
        <f>IFERROR(MATCH(ROWS($P$2:P205),창고_재고현황!$H:$H,0),"")</f>
        <v/>
      </c>
      <c r="Q205" s="42" t="n"/>
      <c r="R205" s="42" t="n"/>
      <c r="S205" s="42" t="n"/>
      <c r="T205" s="42" t="n"/>
      <c r="U205" s="42" t="n"/>
    </row>
    <row r="206" ht="48" customHeight="1">
      <c r="A206" s="43">
        <f>IF($J206="","",IFERROR(INDEX(고압진공_재고현황!$B:$B,MATCH($J206,고압진공_재고현황!$E:$E,0)),IFERROR(INDEX(조립자재_재고현황!$B:$B,MATCH($J206,조립자재_재고현황!$E:$E,0)),"")))</f>
        <v/>
      </c>
      <c r="B206" s="43">
        <f>IF($J206="","",IFERROR(INDEX(고압진공_재고현황!$C:$C,MATCH($J206,고압진공_재고현황!$E:$E,0)),IFERROR(INDEX(조립자재_재고현황!$C:$C,MATCH($J206,조립자재_재고현황!$E:$E,0)),"")))</f>
        <v/>
      </c>
      <c r="C206" s="44" t="n"/>
      <c r="D206" s="43">
        <f>IF($P206="","",INDEX(창고_재고현황!$B:$B,$P206))</f>
        <v/>
      </c>
      <c r="E206" s="43">
        <f>IF($P206="","",INDEX(창고_재고현황!$C:$C,$P206))</f>
        <v/>
      </c>
      <c r="F206" s="44" t="n"/>
      <c r="G206" s="43">
        <f>IF($P206="","",IF(INDEX(창고_재고현황!$E:$E,$P206)=0,"",INDEX(창고_재고현황!$E:$E,$P206)))</f>
        <v/>
      </c>
      <c r="H206" s="44" t="n"/>
      <c r="I206" s="45">
        <f>IF($J206="","",IFERROR(INDEX(고압진공_재고현황!$D:$D,MATCH($J206,고압진공_재고현황!$E:$E,0)),IFERROR(INDEX(조립자재_재고현황!$D:$D,MATCH($J206,조립자재_재고현황!$E:$E,0)),"")))</f>
        <v/>
      </c>
      <c r="J206" s="45">
        <f>IF($P206="","",INDEX(창고_재고현황!$D:$D,$P206))</f>
        <v/>
      </c>
      <c r="K206" s="44" t="n"/>
      <c r="L206" s="46" t="n"/>
      <c r="M206" s="46" t="n"/>
      <c r="N206" s="47" t="n"/>
      <c r="O206" s="44" t="n"/>
      <c r="P206" s="44">
        <f>IFERROR(MATCH(ROWS($P$2:P206),창고_재고현황!$H:$H,0),"")</f>
        <v/>
      </c>
      <c r="Q206" s="42" t="n"/>
      <c r="R206" s="42" t="n"/>
      <c r="S206" s="42" t="n"/>
      <c r="T206" s="42" t="n"/>
      <c r="U206" s="42" t="n"/>
    </row>
    <row r="207" ht="48" customHeight="1">
      <c r="A207" s="43">
        <f>IF($J207="","",IFERROR(INDEX(고압진공_재고현황!$B:$B,MATCH($J207,고압진공_재고현황!$E:$E,0)),IFERROR(INDEX(조립자재_재고현황!$B:$B,MATCH($J207,조립자재_재고현황!$E:$E,0)),"")))</f>
        <v/>
      </c>
      <c r="B207" s="43">
        <f>IF($J207="","",IFERROR(INDEX(고압진공_재고현황!$C:$C,MATCH($J207,고압진공_재고현황!$E:$E,0)),IFERROR(INDEX(조립자재_재고현황!$C:$C,MATCH($J207,조립자재_재고현황!$E:$E,0)),"")))</f>
        <v/>
      </c>
      <c r="C207" s="44" t="n"/>
      <c r="D207" s="43">
        <f>IF($P207="","",INDEX(창고_재고현황!$B:$B,$P207))</f>
        <v/>
      </c>
      <c r="E207" s="43">
        <f>IF($P207="","",INDEX(창고_재고현황!$C:$C,$P207))</f>
        <v/>
      </c>
      <c r="F207" s="44" t="n"/>
      <c r="G207" s="43">
        <f>IF($P207="","",IF(INDEX(창고_재고현황!$E:$E,$P207)=0,"",INDEX(창고_재고현황!$E:$E,$P207)))</f>
        <v/>
      </c>
      <c r="H207" s="44" t="n"/>
      <c r="I207" s="45">
        <f>IF($J207="","",IFERROR(INDEX(고압진공_재고현황!$D:$D,MATCH($J207,고압진공_재고현황!$E:$E,0)),IFERROR(INDEX(조립자재_재고현황!$D:$D,MATCH($J207,조립자재_재고현황!$E:$E,0)),"")))</f>
        <v/>
      </c>
      <c r="J207" s="45">
        <f>IF($P207="","",INDEX(창고_재고현황!$D:$D,$P207))</f>
        <v/>
      </c>
      <c r="K207" s="44" t="n"/>
      <c r="L207" s="46" t="n"/>
      <c r="M207" s="46" t="n"/>
      <c r="N207" s="47" t="n"/>
      <c r="O207" s="44" t="n"/>
      <c r="P207" s="44">
        <f>IFERROR(MATCH(ROWS($P$2:P207),창고_재고현황!$H:$H,0),"")</f>
        <v/>
      </c>
      <c r="Q207" s="42" t="n"/>
      <c r="R207" s="42" t="n"/>
      <c r="S207" s="42" t="n"/>
      <c r="T207" s="42" t="n"/>
      <c r="U207" s="42" t="n"/>
    </row>
    <row r="208" ht="48" customHeight="1">
      <c r="A208" s="43">
        <f>IF($J208="","",IFERROR(INDEX(고압진공_재고현황!$B:$B,MATCH($J208,고압진공_재고현황!$E:$E,0)),IFERROR(INDEX(조립자재_재고현황!$B:$B,MATCH($J208,조립자재_재고현황!$E:$E,0)),"")))</f>
        <v/>
      </c>
      <c r="B208" s="43">
        <f>IF($J208="","",IFERROR(INDEX(고압진공_재고현황!$C:$C,MATCH($J208,고압진공_재고현황!$E:$E,0)),IFERROR(INDEX(조립자재_재고현황!$C:$C,MATCH($J208,조립자재_재고현황!$E:$E,0)),"")))</f>
        <v/>
      </c>
      <c r="C208" s="44" t="n"/>
      <c r="D208" s="43">
        <f>IF($P208="","",INDEX(창고_재고현황!$B:$B,$P208))</f>
        <v/>
      </c>
      <c r="E208" s="43">
        <f>IF($P208="","",INDEX(창고_재고현황!$C:$C,$P208))</f>
        <v/>
      </c>
      <c r="F208" s="44" t="n"/>
      <c r="G208" s="43">
        <f>IF($P208="","",IF(INDEX(창고_재고현황!$E:$E,$P208)=0,"",INDEX(창고_재고현황!$E:$E,$P208)))</f>
        <v/>
      </c>
      <c r="H208" s="44" t="n"/>
      <c r="I208" s="45">
        <f>IF($J208="","",IFERROR(INDEX(고압진공_재고현황!$D:$D,MATCH($J208,고압진공_재고현황!$E:$E,0)),IFERROR(INDEX(조립자재_재고현황!$D:$D,MATCH($J208,조립자재_재고현황!$E:$E,0)),"")))</f>
        <v/>
      </c>
      <c r="J208" s="45">
        <f>IF($P208="","",INDEX(창고_재고현황!$D:$D,$P208))</f>
        <v/>
      </c>
      <c r="K208" s="44" t="n"/>
      <c r="L208" s="46" t="n"/>
      <c r="M208" s="46" t="n"/>
      <c r="N208" s="47" t="n"/>
      <c r="O208" s="44" t="n"/>
      <c r="P208" s="44">
        <f>IFERROR(MATCH(ROWS($P$2:P208),창고_재고현황!$H:$H,0),"")</f>
        <v/>
      </c>
      <c r="Q208" s="42" t="n"/>
      <c r="R208" s="42" t="n"/>
      <c r="S208" s="42" t="n"/>
      <c r="T208" s="42" t="n"/>
      <c r="U208" s="42" t="n"/>
    </row>
    <row r="209" ht="48" customHeight="1">
      <c r="A209" s="43">
        <f>IF($J209="","",IFERROR(INDEX(고압진공_재고현황!$B:$B,MATCH($J209,고압진공_재고현황!$E:$E,0)),IFERROR(INDEX(조립자재_재고현황!$B:$B,MATCH($J209,조립자재_재고현황!$E:$E,0)),"")))</f>
        <v/>
      </c>
      <c r="B209" s="43">
        <f>IF($J209="","",IFERROR(INDEX(고압진공_재고현황!$C:$C,MATCH($J209,고압진공_재고현황!$E:$E,0)),IFERROR(INDEX(조립자재_재고현황!$C:$C,MATCH($J209,조립자재_재고현황!$E:$E,0)),"")))</f>
        <v/>
      </c>
      <c r="C209" s="44" t="n"/>
      <c r="D209" s="43">
        <f>IF($P209="","",INDEX(창고_재고현황!$B:$B,$P209))</f>
        <v/>
      </c>
      <c r="E209" s="43">
        <f>IF($P209="","",INDEX(창고_재고현황!$C:$C,$P209))</f>
        <v/>
      </c>
      <c r="F209" s="44" t="n"/>
      <c r="G209" s="43">
        <f>IF($P209="","",IF(INDEX(창고_재고현황!$E:$E,$P209)=0,"",INDEX(창고_재고현황!$E:$E,$P209)))</f>
        <v/>
      </c>
      <c r="H209" s="44" t="n"/>
      <c r="I209" s="45">
        <f>IF($J209="","",IFERROR(INDEX(고압진공_재고현황!$D:$D,MATCH($J209,고압진공_재고현황!$E:$E,0)),IFERROR(INDEX(조립자재_재고현황!$D:$D,MATCH($J209,조립자재_재고현황!$E:$E,0)),"")))</f>
        <v/>
      </c>
      <c r="J209" s="45">
        <f>IF($P209="","",INDEX(창고_재고현황!$D:$D,$P209))</f>
        <v/>
      </c>
      <c r="K209" s="44" t="n"/>
      <c r="L209" s="46" t="n"/>
      <c r="M209" s="46" t="n"/>
      <c r="N209" s="47" t="n"/>
      <c r="O209" s="44" t="n"/>
      <c r="P209" s="44">
        <f>IFERROR(MATCH(ROWS($P$2:P209),창고_재고현황!$H:$H,0),"")</f>
        <v/>
      </c>
      <c r="Q209" s="42" t="n"/>
      <c r="R209" s="42" t="n"/>
      <c r="S209" s="42" t="n"/>
      <c r="T209" s="42" t="n"/>
      <c r="U209" s="42" t="n"/>
    </row>
    <row r="210" ht="48" customHeight="1">
      <c r="A210" s="43">
        <f>IF($J210="","",IFERROR(INDEX(고압진공_재고현황!$B:$B,MATCH($J210,고압진공_재고현황!$E:$E,0)),IFERROR(INDEX(조립자재_재고현황!$B:$B,MATCH($J210,조립자재_재고현황!$E:$E,0)),"")))</f>
        <v/>
      </c>
      <c r="B210" s="43">
        <f>IF($J210="","",IFERROR(INDEX(고압진공_재고현황!$C:$C,MATCH($J210,고압진공_재고현황!$E:$E,0)),IFERROR(INDEX(조립자재_재고현황!$C:$C,MATCH($J210,조립자재_재고현황!$E:$E,0)),"")))</f>
        <v/>
      </c>
      <c r="C210" s="44" t="n"/>
      <c r="D210" s="43">
        <f>IF($P210="","",INDEX(창고_재고현황!$B:$B,$P210))</f>
        <v/>
      </c>
      <c r="E210" s="43">
        <f>IF($P210="","",INDEX(창고_재고현황!$C:$C,$P210))</f>
        <v/>
      </c>
      <c r="F210" s="44" t="n"/>
      <c r="G210" s="43">
        <f>IF($P210="","",IF(INDEX(창고_재고현황!$E:$E,$P210)=0,"",INDEX(창고_재고현황!$E:$E,$P210)))</f>
        <v/>
      </c>
      <c r="H210" s="44" t="n"/>
      <c r="I210" s="45">
        <f>IF($J210="","",IFERROR(INDEX(고압진공_재고현황!$D:$D,MATCH($J210,고압진공_재고현황!$E:$E,0)),IFERROR(INDEX(조립자재_재고현황!$D:$D,MATCH($J210,조립자재_재고현황!$E:$E,0)),"")))</f>
        <v/>
      </c>
      <c r="J210" s="45">
        <f>IF($P210="","",INDEX(창고_재고현황!$D:$D,$P210))</f>
        <v/>
      </c>
      <c r="K210" s="44" t="n"/>
      <c r="L210" s="46" t="n"/>
      <c r="M210" s="46" t="n"/>
      <c r="N210" s="47" t="n"/>
      <c r="O210" s="44" t="n"/>
      <c r="P210" s="44">
        <f>IFERROR(MATCH(ROWS($P$2:P210),창고_재고현황!$H:$H,0),"")</f>
        <v/>
      </c>
      <c r="Q210" s="42" t="n"/>
      <c r="R210" s="42" t="n"/>
      <c r="S210" s="42" t="n"/>
      <c r="T210" s="42" t="n"/>
      <c r="U210" s="42" t="n"/>
    </row>
    <row r="211" ht="48" customHeight="1">
      <c r="A211" s="43">
        <f>IF($J211="","",IFERROR(INDEX(고압진공_재고현황!$B:$B,MATCH($J211,고압진공_재고현황!$E:$E,0)),IFERROR(INDEX(조립자재_재고현황!$B:$B,MATCH($J211,조립자재_재고현황!$E:$E,0)),"")))</f>
        <v/>
      </c>
      <c r="B211" s="43">
        <f>IF($J211="","",IFERROR(INDEX(고압진공_재고현황!$C:$C,MATCH($J211,고압진공_재고현황!$E:$E,0)),IFERROR(INDEX(조립자재_재고현황!$C:$C,MATCH($J211,조립자재_재고현황!$E:$E,0)),"")))</f>
        <v/>
      </c>
      <c r="C211" s="44" t="n"/>
      <c r="D211" s="43">
        <f>IF($P211="","",INDEX(창고_재고현황!$B:$B,$P211))</f>
        <v/>
      </c>
      <c r="E211" s="43">
        <f>IF($P211="","",INDEX(창고_재고현황!$C:$C,$P211))</f>
        <v/>
      </c>
      <c r="F211" s="44" t="n"/>
      <c r="G211" s="43">
        <f>IF($P211="","",IF(INDEX(창고_재고현황!$E:$E,$P211)=0,"",INDEX(창고_재고현황!$E:$E,$P211)))</f>
        <v/>
      </c>
      <c r="H211" s="44" t="n"/>
      <c r="I211" s="45">
        <f>IF($J211="","",IFERROR(INDEX(고압진공_재고현황!$D:$D,MATCH($J211,고압진공_재고현황!$E:$E,0)),IFERROR(INDEX(조립자재_재고현황!$D:$D,MATCH($J211,조립자재_재고현황!$E:$E,0)),"")))</f>
        <v/>
      </c>
      <c r="J211" s="45">
        <f>IF($P211="","",INDEX(창고_재고현황!$D:$D,$P211))</f>
        <v/>
      </c>
      <c r="K211" s="44" t="n"/>
      <c r="L211" s="46" t="n"/>
      <c r="M211" s="46" t="n"/>
      <c r="N211" s="47" t="n"/>
      <c r="O211" s="44" t="n"/>
      <c r="P211" s="44">
        <f>IFERROR(MATCH(ROWS($P$2:P211),창고_재고현황!$H:$H,0),"")</f>
        <v/>
      </c>
      <c r="Q211" s="42" t="n"/>
      <c r="R211" s="42" t="n"/>
      <c r="S211" s="42" t="n"/>
      <c r="T211" s="42" t="n"/>
      <c r="U211" s="42" t="n"/>
    </row>
    <row r="212" ht="48" customHeight="1">
      <c r="A212" s="43">
        <f>IF($J212="","",IFERROR(INDEX(고압진공_재고현황!$B:$B,MATCH($J212,고압진공_재고현황!$E:$E,0)),IFERROR(INDEX(조립자재_재고현황!$B:$B,MATCH($J212,조립자재_재고현황!$E:$E,0)),"")))</f>
        <v/>
      </c>
      <c r="B212" s="43">
        <f>IF($J212="","",IFERROR(INDEX(고압진공_재고현황!$C:$C,MATCH($J212,고압진공_재고현황!$E:$E,0)),IFERROR(INDEX(조립자재_재고현황!$C:$C,MATCH($J212,조립자재_재고현황!$E:$E,0)),"")))</f>
        <v/>
      </c>
      <c r="C212" s="44" t="n"/>
      <c r="D212" s="43">
        <f>IF($P212="","",INDEX(창고_재고현황!$B:$B,$P212))</f>
        <v/>
      </c>
      <c r="E212" s="43">
        <f>IF($P212="","",INDEX(창고_재고현황!$C:$C,$P212))</f>
        <v/>
      </c>
      <c r="F212" s="44" t="n"/>
      <c r="G212" s="43">
        <f>IF($P212="","",IF(INDEX(창고_재고현황!$E:$E,$P212)=0,"",INDEX(창고_재고현황!$E:$E,$P212)))</f>
        <v/>
      </c>
      <c r="H212" s="44" t="n"/>
      <c r="I212" s="45">
        <f>IF($J212="","",IFERROR(INDEX(고압진공_재고현황!$D:$D,MATCH($J212,고압진공_재고현황!$E:$E,0)),IFERROR(INDEX(조립자재_재고현황!$D:$D,MATCH($J212,조립자재_재고현황!$E:$E,0)),"")))</f>
        <v/>
      </c>
      <c r="J212" s="45">
        <f>IF($P212="","",INDEX(창고_재고현황!$D:$D,$P212))</f>
        <v/>
      </c>
      <c r="K212" s="44" t="n"/>
      <c r="L212" s="46" t="n"/>
      <c r="M212" s="46" t="n"/>
      <c r="N212" s="47" t="n"/>
      <c r="O212" s="44" t="n"/>
      <c r="P212" s="44">
        <f>IFERROR(MATCH(ROWS($P$2:P212),창고_재고현황!$H:$H,0),"")</f>
        <v/>
      </c>
      <c r="Q212" s="42" t="n"/>
      <c r="R212" s="42" t="n"/>
      <c r="S212" s="42" t="n"/>
      <c r="T212" s="42" t="n"/>
      <c r="U212" s="42" t="n"/>
    </row>
    <row r="213" ht="48" customHeight="1">
      <c r="A213" s="43">
        <f>IF($J213="","",IFERROR(INDEX(고압진공_재고현황!$B:$B,MATCH($J213,고압진공_재고현황!$E:$E,0)),IFERROR(INDEX(조립자재_재고현황!$B:$B,MATCH($J213,조립자재_재고현황!$E:$E,0)),"")))</f>
        <v/>
      </c>
      <c r="B213" s="43">
        <f>IF($J213="","",IFERROR(INDEX(고압진공_재고현황!$C:$C,MATCH($J213,고압진공_재고현황!$E:$E,0)),IFERROR(INDEX(조립자재_재고현황!$C:$C,MATCH($J213,조립자재_재고현황!$E:$E,0)),"")))</f>
        <v/>
      </c>
      <c r="C213" s="44" t="n"/>
      <c r="D213" s="43">
        <f>IF($P213="","",INDEX(창고_재고현황!$B:$B,$P213))</f>
        <v/>
      </c>
      <c r="E213" s="43">
        <f>IF($P213="","",INDEX(창고_재고현황!$C:$C,$P213))</f>
        <v/>
      </c>
      <c r="F213" s="44" t="n"/>
      <c r="G213" s="43">
        <f>IF($P213="","",IF(INDEX(창고_재고현황!$E:$E,$P213)=0,"",INDEX(창고_재고현황!$E:$E,$P213)))</f>
        <v/>
      </c>
      <c r="H213" s="44" t="n"/>
      <c r="I213" s="45">
        <f>IF($J213="","",IFERROR(INDEX(고압진공_재고현황!$D:$D,MATCH($J213,고압진공_재고현황!$E:$E,0)),IFERROR(INDEX(조립자재_재고현황!$D:$D,MATCH($J213,조립자재_재고현황!$E:$E,0)),"")))</f>
        <v/>
      </c>
      <c r="J213" s="45">
        <f>IF($P213="","",INDEX(창고_재고현황!$D:$D,$P213))</f>
        <v/>
      </c>
      <c r="K213" s="44" t="n"/>
      <c r="L213" s="46" t="n"/>
      <c r="M213" s="46" t="n"/>
      <c r="N213" s="47" t="n"/>
      <c r="O213" s="44" t="n"/>
      <c r="P213" s="44">
        <f>IFERROR(MATCH(ROWS($P$2:P213),창고_재고현황!$H:$H,0),"")</f>
        <v/>
      </c>
      <c r="Q213" s="42" t="n"/>
      <c r="R213" s="42" t="n"/>
      <c r="S213" s="42" t="n"/>
      <c r="T213" s="42" t="n"/>
      <c r="U213" s="42" t="n"/>
    </row>
    <row r="214" ht="48" customHeight="1">
      <c r="A214" s="43">
        <f>IF($J214="","",IFERROR(INDEX(고압진공_재고현황!$B:$B,MATCH($J214,고압진공_재고현황!$E:$E,0)),IFERROR(INDEX(조립자재_재고현황!$B:$B,MATCH($J214,조립자재_재고현황!$E:$E,0)),"")))</f>
        <v/>
      </c>
      <c r="B214" s="43">
        <f>IF($J214="","",IFERROR(INDEX(고압진공_재고현황!$C:$C,MATCH($J214,고압진공_재고현황!$E:$E,0)),IFERROR(INDEX(조립자재_재고현황!$C:$C,MATCH($J214,조립자재_재고현황!$E:$E,0)),"")))</f>
        <v/>
      </c>
      <c r="C214" s="44" t="n"/>
      <c r="D214" s="43">
        <f>IF($P214="","",INDEX(창고_재고현황!$B:$B,$P214))</f>
        <v/>
      </c>
      <c r="E214" s="43">
        <f>IF($P214="","",INDEX(창고_재고현황!$C:$C,$P214))</f>
        <v/>
      </c>
      <c r="F214" s="44" t="n"/>
      <c r="G214" s="43">
        <f>IF($P214="","",IF(INDEX(창고_재고현황!$E:$E,$P214)=0,"",INDEX(창고_재고현황!$E:$E,$P214)))</f>
        <v/>
      </c>
      <c r="H214" s="44" t="n"/>
      <c r="I214" s="45">
        <f>IF($J214="","",IFERROR(INDEX(고압진공_재고현황!$D:$D,MATCH($J214,고압진공_재고현황!$E:$E,0)),IFERROR(INDEX(조립자재_재고현황!$D:$D,MATCH($J214,조립자재_재고현황!$E:$E,0)),"")))</f>
        <v/>
      </c>
      <c r="J214" s="45">
        <f>IF($P214="","",INDEX(창고_재고현황!$D:$D,$P214))</f>
        <v/>
      </c>
      <c r="K214" s="44" t="n"/>
      <c r="L214" s="46" t="n"/>
      <c r="M214" s="46" t="n"/>
      <c r="N214" s="47" t="n"/>
      <c r="O214" s="44" t="n"/>
      <c r="P214" s="44">
        <f>IFERROR(MATCH(ROWS($P$2:P214),창고_재고현황!$H:$H,0),"")</f>
        <v/>
      </c>
      <c r="Q214" s="42" t="n"/>
      <c r="R214" s="42" t="n"/>
      <c r="S214" s="42" t="n"/>
      <c r="T214" s="42" t="n"/>
      <c r="U214" s="42" t="n"/>
    </row>
    <row r="215" ht="48" customHeight="1">
      <c r="A215" s="43">
        <f>IF($J215="","",IFERROR(INDEX(고압진공_재고현황!$B:$B,MATCH($J215,고압진공_재고현황!$E:$E,0)),IFERROR(INDEX(조립자재_재고현황!$B:$B,MATCH($J215,조립자재_재고현황!$E:$E,0)),"")))</f>
        <v/>
      </c>
      <c r="B215" s="43">
        <f>IF($J215="","",IFERROR(INDEX(고압진공_재고현황!$C:$C,MATCH($J215,고압진공_재고현황!$E:$E,0)),IFERROR(INDEX(조립자재_재고현황!$C:$C,MATCH($J215,조립자재_재고현황!$E:$E,0)),"")))</f>
        <v/>
      </c>
      <c r="C215" s="44" t="n"/>
      <c r="D215" s="43">
        <f>IF($P215="","",INDEX(창고_재고현황!$B:$B,$P215))</f>
        <v/>
      </c>
      <c r="E215" s="43">
        <f>IF($P215="","",INDEX(창고_재고현황!$C:$C,$P215))</f>
        <v/>
      </c>
      <c r="F215" s="44" t="n"/>
      <c r="G215" s="43">
        <f>IF($P215="","",IF(INDEX(창고_재고현황!$E:$E,$P215)=0,"",INDEX(창고_재고현황!$E:$E,$P215)))</f>
        <v/>
      </c>
      <c r="H215" s="44" t="n"/>
      <c r="I215" s="45">
        <f>IF($J215="","",IFERROR(INDEX(고압진공_재고현황!$D:$D,MATCH($J215,고압진공_재고현황!$E:$E,0)),IFERROR(INDEX(조립자재_재고현황!$D:$D,MATCH($J215,조립자재_재고현황!$E:$E,0)),"")))</f>
        <v/>
      </c>
      <c r="J215" s="45">
        <f>IF($P215="","",INDEX(창고_재고현황!$D:$D,$P215))</f>
        <v/>
      </c>
      <c r="K215" s="44" t="n"/>
      <c r="L215" s="46" t="n"/>
      <c r="M215" s="46" t="n"/>
      <c r="N215" s="47" t="n"/>
      <c r="O215" s="44" t="n"/>
      <c r="P215" s="44">
        <f>IFERROR(MATCH(ROWS($P$2:P215),창고_재고현황!$H:$H,0),"")</f>
        <v/>
      </c>
      <c r="Q215" s="42" t="n"/>
      <c r="R215" s="42" t="n"/>
      <c r="S215" s="42" t="n"/>
      <c r="T215" s="42" t="n"/>
      <c r="U215" s="42" t="n"/>
    </row>
    <row r="216" ht="48" customHeight="1">
      <c r="A216" s="43">
        <f>IF($J216="","",IFERROR(INDEX(고압진공_재고현황!$B:$B,MATCH($J216,고압진공_재고현황!$E:$E,0)),IFERROR(INDEX(조립자재_재고현황!$B:$B,MATCH($J216,조립자재_재고현황!$E:$E,0)),"")))</f>
        <v/>
      </c>
      <c r="B216" s="43">
        <f>IF($J216="","",IFERROR(INDEX(고압진공_재고현황!$C:$C,MATCH($J216,고압진공_재고현황!$E:$E,0)),IFERROR(INDEX(조립자재_재고현황!$C:$C,MATCH($J216,조립자재_재고현황!$E:$E,0)),"")))</f>
        <v/>
      </c>
      <c r="C216" s="44" t="n"/>
      <c r="D216" s="43">
        <f>IF($P216="","",INDEX(창고_재고현황!$B:$B,$P216))</f>
        <v/>
      </c>
      <c r="E216" s="43">
        <f>IF($P216="","",INDEX(창고_재고현황!$C:$C,$P216))</f>
        <v/>
      </c>
      <c r="F216" s="44" t="n"/>
      <c r="G216" s="43">
        <f>IF($P216="","",IF(INDEX(창고_재고현황!$E:$E,$P216)=0,"",INDEX(창고_재고현황!$E:$E,$P216)))</f>
        <v/>
      </c>
      <c r="H216" s="44" t="n"/>
      <c r="I216" s="45">
        <f>IF($J216="","",IFERROR(INDEX(고압진공_재고현황!$D:$D,MATCH($J216,고압진공_재고현황!$E:$E,0)),IFERROR(INDEX(조립자재_재고현황!$D:$D,MATCH($J216,조립자재_재고현황!$E:$E,0)),"")))</f>
        <v/>
      </c>
      <c r="J216" s="45">
        <f>IF($P216="","",INDEX(창고_재고현황!$D:$D,$P216))</f>
        <v/>
      </c>
      <c r="K216" s="44" t="n"/>
      <c r="L216" s="46" t="n"/>
      <c r="M216" s="46" t="n"/>
      <c r="N216" s="47" t="n"/>
      <c r="O216" s="44" t="n"/>
      <c r="P216" s="44">
        <f>IFERROR(MATCH(ROWS($P$2:P216),창고_재고현황!$H:$H,0),"")</f>
        <v/>
      </c>
      <c r="Q216" s="42" t="n"/>
      <c r="R216" s="42" t="n"/>
      <c r="S216" s="42" t="n"/>
      <c r="T216" s="42" t="n"/>
      <c r="U216" s="42" t="n"/>
    </row>
    <row r="217" ht="48" customHeight="1">
      <c r="A217" s="43">
        <f>IF($J217="","",IFERROR(INDEX(고압진공_재고현황!$B:$B,MATCH($J217,고압진공_재고현황!$E:$E,0)),IFERROR(INDEX(조립자재_재고현황!$B:$B,MATCH($J217,조립자재_재고현황!$E:$E,0)),"")))</f>
        <v/>
      </c>
      <c r="B217" s="43">
        <f>IF($J217="","",IFERROR(INDEX(고압진공_재고현황!$C:$C,MATCH($J217,고압진공_재고현황!$E:$E,0)),IFERROR(INDEX(조립자재_재고현황!$C:$C,MATCH($J217,조립자재_재고현황!$E:$E,0)),"")))</f>
        <v/>
      </c>
      <c r="C217" s="44" t="n"/>
      <c r="D217" s="43">
        <f>IF($P217="","",INDEX(창고_재고현황!$B:$B,$P217))</f>
        <v/>
      </c>
      <c r="E217" s="43">
        <f>IF($P217="","",INDEX(창고_재고현황!$C:$C,$P217))</f>
        <v/>
      </c>
      <c r="F217" s="44" t="n"/>
      <c r="G217" s="43">
        <f>IF($P217="","",IF(INDEX(창고_재고현황!$E:$E,$P217)=0,"",INDEX(창고_재고현황!$E:$E,$P217)))</f>
        <v/>
      </c>
      <c r="H217" s="44" t="n"/>
      <c r="I217" s="45">
        <f>IF($J217="","",IFERROR(INDEX(고압진공_재고현황!$D:$D,MATCH($J217,고압진공_재고현황!$E:$E,0)),IFERROR(INDEX(조립자재_재고현황!$D:$D,MATCH($J217,조립자재_재고현황!$E:$E,0)),"")))</f>
        <v/>
      </c>
      <c r="J217" s="45">
        <f>IF($P217="","",INDEX(창고_재고현황!$D:$D,$P217))</f>
        <v/>
      </c>
      <c r="K217" s="44" t="n"/>
      <c r="L217" s="46" t="n"/>
      <c r="M217" s="46" t="n"/>
      <c r="N217" s="47" t="n"/>
      <c r="O217" s="44" t="n"/>
      <c r="P217" s="44">
        <f>IFERROR(MATCH(ROWS($P$2:P217),창고_재고현황!$H:$H,0),"")</f>
        <v/>
      </c>
      <c r="Q217" s="42" t="n"/>
      <c r="R217" s="42" t="n"/>
      <c r="S217" s="42" t="n"/>
      <c r="T217" s="42" t="n"/>
      <c r="U217" s="42" t="n"/>
    </row>
    <row r="218" ht="48" customHeight="1">
      <c r="A218" s="43">
        <f>IF($J218="","",IFERROR(INDEX(고압진공_재고현황!$B:$B,MATCH($J218,고압진공_재고현황!$E:$E,0)),IFERROR(INDEX(조립자재_재고현황!$B:$B,MATCH($J218,조립자재_재고현황!$E:$E,0)),"")))</f>
        <v/>
      </c>
      <c r="B218" s="43">
        <f>IF($J218="","",IFERROR(INDEX(고압진공_재고현황!$C:$C,MATCH($J218,고압진공_재고현황!$E:$E,0)),IFERROR(INDEX(조립자재_재고현황!$C:$C,MATCH($J218,조립자재_재고현황!$E:$E,0)),"")))</f>
        <v/>
      </c>
      <c r="C218" s="44" t="n"/>
      <c r="D218" s="43">
        <f>IF($P218="","",INDEX(창고_재고현황!$B:$B,$P218))</f>
        <v/>
      </c>
      <c r="E218" s="43">
        <f>IF($P218="","",INDEX(창고_재고현황!$C:$C,$P218))</f>
        <v/>
      </c>
      <c r="F218" s="44" t="n"/>
      <c r="G218" s="43">
        <f>IF($P218="","",IF(INDEX(창고_재고현황!$E:$E,$P218)=0,"",INDEX(창고_재고현황!$E:$E,$P218)))</f>
        <v/>
      </c>
      <c r="H218" s="44" t="n"/>
      <c r="I218" s="45">
        <f>IF($J218="","",IFERROR(INDEX(고압진공_재고현황!$D:$D,MATCH($J218,고압진공_재고현황!$E:$E,0)),IFERROR(INDEX(조립자재_재고현황!$D:$D,MATCH($J218,조립자재_재고현황!$E:$E,0)),"")))</f>
        <v/>
      </c>
      <c r="J218" s="45">
        <f>IF($P218="","",INDEX(창고_재고현황!$D:$D,$P218))</f>
        <v/>
      </c>
      <c r="K218" s="44" t="n"/>
      <c r="L218" s="46" t="n"/>
      <c r="M218" s="46" t="n"/>
      <c r="N218" s="47" t="n"/>
      <c r="O218" s="44" t="n"/>
      <c r="P218" s="44">
        <f>IFERROR(MATCH(ROWS($P$2:P218),창고_재고현황!$H:$H,0),"")</f>
        <v/>
      </c>
      <c r="Q218" s="42" t="n"/>
      <c r="R218" s="42" t="n"/>
      <c r="S218" s="42" t="n"/>
      <c r="T218" s="42" t="n"/>
      <c r="U218" s="42" t="n"/>
    </row>
    <row r="219" ht="48" customHeight="1">
      <c r="A219" s="43">
        <f>IF($J219="","",IFERROR(INDEX(고압진공_재고현황!$B:$B,MATCH($J219,고압진공_재고현황!$E:$E,0)),IFERROR(INDEX(조립자재_재고현황!$B:$B,MATCH($J219,조립자재_재고현황!$E:$E,0)),"")))</f>
        <v/>
      </c>
      <c r="B219" s="43">
        <f>IF($J219="","",IFERROR(INDEX(고압진공_재고현황!$C:$C,MATCH($J219,고압진공_재고현황!$E:$E,0)),IFERROR(INDEX(조립자재_재고현황!$C:$C,MATCH($J219,조립자재_재고현황!$E:$E,0)),"")))</f>
        <v/>
      </c>
      <c r="C219" s="44" t="n"/>
      <c r="D219" s="43">
        <f>IF($P219="","",INDEX(창고_재고현황!$B:$B,$P219))</f>
        <v/>
      </c>
      <c r="E219" s="43">
        <f>IF($P219="","",INDEX(창고_재고현황!$C:$C,$P219))</f>
        <v/>
      </c>
      <c r="F219" s="44" t="n"/>
      <c r="G219" s="43">
        <f>IF($P219="","",IF(INDEX(창고_재고현황!$E:$E,$P219)=0,"",INDEX(창고_재고현황!$E:$E,$P219)))</f>
        <v/>
      </c>
      <c r="H219" s="44" t="n"/>
      <c r="I219" s="45">
        <f>IF($J219="","",IFERROR(INDEX(고압진공_재고현황!$D:$D,MATCH($J219,고압진공_재고현황!$E:$E,0)),IFERROR(INDEX(조립자재_재고현황!$D:$D,MATCH($J219,조립자재_재고현황!$E:$E,0)),"")))</f>
        <v/>
      </c>
      <c r="J219" s="45">
        <f>IF($P219="","",INDEX(창고_재고현황!$D:$D,$P219))</f>
        <v/>
      </c>
      <c r="K219" s="44" t="n"/>
      <c r="L219" s="46" t="n"/>
      <c r="M219" s="46" t="n"/>
      <c r="N219" s="47" t="n"/>
      <c r="O219" s="44" t="n"/>
      <c r="P219" s="44">
        <f>IFERROR(MATCH(ROWS($P$2:P219),창고_재고현황!$H:$H,0),"")</f>
        <v/>
      </c>
      <c r="Q219" s="42" t="n"/>
      <c r="R219" s="42" t="n"/>
      <c r="S219" s="42" t="n"/>
      <c r="T219" s="42" t="n"/>
      <c r="U219" s="42" t="n"/>
    </row>
    <row r="220" ht="48" customHeight="1">
      <c r="A220" s="43">
        <f>IF($J220="","",IFERROR(INDEX(고압진공_재고현황!$B:$B,MATCH($J220,고압진공_재고현황!$E:$E,0)),IFERROR(INDEX(조립자재_재고현황!$B:$B,MATCH($J220,조립자재_재고현황!$E:$E,0)),"")))</f>
        <v/>
      </c>
      <c r="B220" s="43">
        <f>IF($J220="","",IFERROR(INDEX(고압진공_재고현황!$C:$C,MATCH($J220,고압진공_재고현황!$E:$E,0)),IFERROR(INDEX(조립자재_재고현황!$C:$C,MATCH($J220,조립자재_재고현황!$E:$E,0)),"")))</f>
        <v/>
      </c>
      <c r="C220" s="44" t="n"/>
      <c r="D220" s="43">
        <f>IF($P220="","",INDEX(창고_재고현황!$B:$B,$P220))</f>
        <v/>
      </c>
      <c r="E220" s="43">
        <f>IF($P220="","",INDEX(창고_재고현황!$C:$C,$P220))</f>
        <v/>
      </c>
      <c r="F220" s="44" t="n"/>
      <c r="G220" s="43">
        <f>IF($P220="","",IF(INDEX(창고_재고현황!$E:$E,$P220)=0,"",INDEX(창고_재고현황!$E:$E,$P220)))</f>
        <v/>
      </c>
      <c r="H220" s="44" t="n"/>
      <c r="I220" s="45">
        <f>IF($J220="","",IFERROR(INDEX(고압진공_재고현황!$D:$D,MATCH($J220,고압진공_재고현황!$E:$E,0)),IFERROR(INDEX(조립자재_재고현황!$D:$D,MATCH($J220,조립자재_재고현황!$E:$E,0)),"")))</f>
        <v/>
      </c>
      <c r="J220" s="45">
        <f>IF($P220="","",INDEX(창고_재고현황!$D:$D,$P220))</f>
        <v/>
      </c>
      <c r="K220" s="44" t="n"/>
      <c r="L220" s="46" t="n"/>
      <c r="M220" s="46" t="n"/>
      <c r="N220" s="47" t="n"/>
      <c r="O220" s="44" t="n"/>
      <c r="P220" s="44">
        <f>IFERROR(MATCH(ROWS($P$2:P220),창고_재고현황!$H:$H,0),"")</f>
        <v/>
      </c>
      <c r="Q220" s="42" t="n"/>
      <c r="R220" s="42" t="n"/>
      <c r="S220" s="42" t="n"/>
      <c r="T220" s="42" t="n"/>
      <c r="U220" s="42" t="n"/>
    </row>
    <row r="221" ht="48" customHeight="1">
      <c r="A221" s="43">
        <f>IF($J221="","",IFERROR(INDEX(고압진공_재고현황!$B:$B,MATCH($J221,고압진공_재고현황!$E:$E,0)),IFERROR(INDEX(조립자재_재고현황!$B:$B,MATCH($J221,조립자재_재고현황!$E:$E,0)),"")))</f>
        <v/>
      </c>
      <c r="B221" s="43">
        <f>IF($J221="","",IFERROR(INDEX(고압진공_재고현황!$C:$C,MATCH($J221,고압진공_재고현황!$E:$E,0)),IFERROR(INDEX(조립자재_재고현황!$C:$C,MATCH($J221,조립자재_재고현황!$E:$E,0)),"")))</f>
        <v/>
      </c>
      <c r="C221" s="44" t="n"/>
      <c r="D221" s="43">
        <f>IF($P221="","",INDEX(창고_재고현황!$B:$B,$P221))</f>
        <v/>
      </c>
      <c r="E221" s="43">
        <f>IF($P221="","",INDEX(창고_재고현황!$C:$C,$P221))</f>
        <v/>
      </c>
      <c r="F221" s="44" t="n"/>
      <c r="G221" s="43">
        <f>IF($P221="","",IF(INDEX(창고_재고현황!$E:$E,$P221)=0,"",INDEX(창고_재고현황!$E:$E,$P221)))</f>
        <v/>
      </c>
      <c r="H221" s="44" t="n"/>
      <c r="I221" s="45">
        <f>IF($J221="","",IFERROR(INDEX(고압진공_재고현황!$D:$D,MATCH($J221,고압진공_재고현황!$E:$E,0)),IFERROR(INDEX(조립자재_재고현황!$D:$D,MATCH($J221,조립자재_재고현황!$E:$E,0)),"")))</f>
        <v/>
      </c>
      <c r="J221" s="45">
        <f>IF($P221="","",INDEX(창고_재고현황!$D:$D,$P221))</f>
        <v/>
      </c>
      <c r="K221" s="44" t="n"/>
      <c r="L221" s="46" t="n"/>
      <c r="M221" s="46" t="n"/>
      <c r="N221" s="47" t="n"/>
      <c r="O221" s="44" t="n"/>
      <c r="P221" s="44">
        <f>IFERROR(MATCH(ROWS($P$2:P221),창고_재고현황!$H:$H,0),"")</f>
        <v/>
      </c>
      <c r="Q221" s="42" t="n"/>
      <c r="R221" s="42" t="n"/>
      <c r="S221" s="42" t="n"/>
      <c r="T221" s="42" t="n"/>
      <c r="U221" s="42" t="n"/>
    </row>
    <row r="222" ht="48" customHeight="1">
      <c r="A222" s="43">
        <f>IF($J222="","",IFERROR(INDEX(고압진공_재고현황!$B:$B,MATCH($J222,고압진공_재고현황!$E:$E,0)),IFERROR(INDEX(조립자재_재고현황!$B:$B,MATCH($J222,조립자재_재고현황!$E:$E,0)),"")))</f>
        <v/>
      </c>
      <c r="B222" s="43">
        <f>IF($J222="","",IFERROR(INDEX(고압진공_재고현황!$C:$C,MATCH($J222,고압진공_재고현황!$E:$E,0)),IFERROR(INDEX(조립자재_재고현황!$C:$C,MATCH($J222,조립자재_재고현황!$E:$E,0)),"")))</f>
        <v/>
      </c>
      <c r="C222" s="44" t="n"/>
      <c r="D222" s="43">
        <f>IF($P222="","",INDEX(창고_재고현황!$B:$B,$P222))</f>
        <v/>
      </c>
      <c r="E222" s="43">
        <f>IF($P222="","",INDEX(창고_재고현황!$C:$C,$P222))</f>
        <v/>
      </c>
      <c r="F222" s="44" t="n"/>
      <c r="G222" s="43">
        <f>IF($P222="","",IF(INDEX(창고_재고현황!$E:$E,$P222)=0,"",INDEX(창고_재고현황!$E:$E,$P222)))</f>
        <v/>
      </c>
      <c r="H222" s="44" t="n"/>
      <c r="I222" s="45">
        <f>IF($J222="","",IFERROR(INDEX(고압진공_재고현황!$D:$D,MATCH($J222,고압진공_재고현황!$E:$E,0)),IFERROR(INDEX(조립자재_재고현황!$D:$D,MATCH($J222,조립자재_재고현황!$E:$E,0)),"")))</f>
        <v/>
      </c>
      <c r="J222" s="45">
        <f>IF($P222="","",INDEX(창고_재고현황!$D:$D,$P222))</f>
        <v/>
      </c>
      <c r="K222" s="44" t="n"/>
      <c r="L222" s="46" t="n"/>
      <c r="M222" s="46" t="n"/>
      <c r="N222" s="47" t="n"/>
      <c r="O222" s="44" t="n"/>
      <c r="P222" s="44">
        <f>IFERROR(MATCH(ROWS($P$2:P222),창고_재고현황!$H:$H,0),"")</f>
        <v/>
      </c>
      <c r="Q222" s="42" t="n"/>
      <c r="R222" s="42" t="n"/>
      <c r="S222" s="42" t="n"/>
      <c r="T222" s="42" t="n"/>
      <c r="U222" s="42" t="n"/>
    </row>
    <row r="223" ht="48" customHeight="1">
      <c r="A223" s="43">
        <f>IF($J223="","",IFERROR(INDEX(고압진공_재고현황!$B:$B,MATCH($J223,고압진공_재고현황!$E:$E,0)),IFERROR(INDEX(조립자재_재고현황!$B:$B,MATCH($J223,조립자재_재고현황!$E:$E,0)),"")))</f>
        <v/>
      </c>
      <c r="B223" s="43">
        <f>IF($J223="","",IFERROR(INDEX(고압진공_재고현황!$C:$C,MATCH($J223,고압진공_재고현황!$E:$E,0)),IFERROR(INDEX(조립자재_재고현황!$C:$C,MATCH($J223,조립자재_재고현황!$E:$E,0)),"")))</f>
        <v/>
      </c>
      <c r="C223" s="44" t="n"/>
      <c r="D223" s="43">
        <f>IF($P223="","",INDEX(창고_재고현황!$B:$B,$P223))</f>
        <v/>
      </c>
      <c r="E223" s="43">
        <f>IF($P223="","",INDEX(창고_재고현황!$C:$C,$P223))</f>
        <v/>
      </c>
      <c r="F223" s="44" t="n"/>
      <c r="G223" s="43">
        <f>IF($P223="","",IF(INDEX(창고_재고현황!$E:$E,$P223)=0,"",INDEX(창고_재고현황!$E:$E,$P223)))</f>
        <v/>
      </c>
      <c r="H223" s="44" t="n"/>
      <c r="I223" s="45">
        <f>IF($J223="","",IFERROR(INDEX(고압진공_재고현황!$D:$D,MATCH($J223,고압진공_재고현황!$E:$E,0)),IFERROR(INDEX(조립자재_재고현황!$D:$D,MATCH($J223,조립자재_재고현황!$E:$E,0)),"")))</f>
        <v/>
      </c>
      <c r="J223" s="45">
        <f>IF($P223="","",INDEX(창고_재고현황!$D:$D,$P223))</f>
        <v/>
      </c>
      <c r="K223" s="44" t="n"/>
      <c r="L223" s="46" t="n"/>
      <c r="M223" s="46" t="n"/>
      <c r="N223" s="47" t="n"/>
      <c r="O223" s="44" t="n"/>
      <c r="P223" s="44">
        <f>IFERROR(MATCH(ROWS($P$2:P223),창고_재고현황!$H:$H,0),"")</f>
        <v/>
      </c>
      <c r="Q223" s="42" t="n"/>
      <c r="R223" s="42" t="n"/>
      <c r="S223" s="42" t="n"/>
      <c r="T223" s="42" t="n"/>
      <c r="U223" s="42" t="n"/>
    </row>
    <row r="224" ht="48" customHeight="1">
      <c r="A224" s="43">
        <f>IF($J224="","",IFERROR(INDEX(고압진공_재고현황!$B:$B,MATCH($J224,고압진공_재고현황!$E:$E,0)),IFERROR(INDEX(조립자재_재고현황!$B:$B,MATCH($J224,조립자재_재고현황!$E:$E,0)),"")))</f>
        <v/>
      </c>
      <c r="B224" s="43">
        <f>IF($J224="","",IFERROR(INDEX(고압진공_재고현황!$C:$C,MATCH($J224,고압진공_재고현황!$E:$E,0)),IFERROR(INDEX(조립자재_재고현황!$C:$C,MATCH($J224,조립자재_재고현황!$E:$E,0)),"")))</f>
        <v/>
      </c>
      <c r="C224" s="44" t="n"/>
      <c r="D224" s="43">
        <f>IF($P224="","",INDEX(창고_재고현황!$B:$B,$P224))</f>
        <v/>
      </c>
      <c r="E224" s="43">
        <f>IF($P224="","",INDEX(창고_재고현황!$C:$C,$P224))</f>
        <v/>
      </c>
      <c r="F224" s="44" t="n"/>
      <c r="G224" s="43">
        <f>IF($P224="","",IF(INDEX(창고_재고현황!$E:$E,$P224)=0,"",INDEX(창고_재고현황!$E:$E,$P224)))</f>
        <v/>
      </c>
      <c r="H224" s="44" t="n"/>
      <c r="I224" s="45">
        <f>IF($J224="","",IFERROR(INDEX(고압진공_재고현황!$D:$D,MATCH($J224,고압진공_재고현황!$E:$E,0)),IFERROR(INDEX(조립자재_재고현황!$D:$D,MATCH($J224,조립자재_재고현황!$E:$E,0)),"")))</f>
        <v/>
      </c>
      <c r="J224" s="45">
        <f>IF($P224="","",INDEX(창고_재고현황!$D:$D,$P224))</f>
        <v/>
      </c>
      <c r="K224" s="44" t="n"/>
      <c r="L224" s="46" t="n"/>
      <c r="M224" s="46" t="n"/>
      <c r="N224" s="47" t="n"/>
      <c r="O224" s="44" t="n"/>
      <c r="P224" s="44">
        <f>IFERROR(MATCH(ROWS($P$2:P224),창고_재고현황!$H:$H,0),"")</f>
        <v/>
      </c>
      <c r="Q224" s="42" t="n"/>
      <c r="R224" s="42" t="n"/>
      <c r="S224" s="42" t="n"/>
      <c r="T224" s="42" t="n"/>
      <c r="U224" s="42" t="n"/>
    </row>
    <row r="225" ht="48" customHeight="1">
      <c r="A225" s="43">
        <f>IF($J225="","",IFERROR(INDEX(고압진공_재고현황!$B:$B,MATCH($J225,고압진공_재고현황!$E:$E,0)),IFERROR(INDEX(조립자재_재고현황!$B:$B,MATCH($J225,조립자재_재고현황!$E:$E,0)),"")))</f>
        <v/>
      </c>
      <c r="B225" s="43">
        <f>IF($J225="","",IFERROR(INDEX(고압진공_재고현황!$C:$C,MATCH($J225,고압진공_재고현황!$E:$E,0)),IFERROR(INDEX(조립자재_재고현황!$C:$C,MATCH($J225,조립자재_재고현황!$E:$E,0)),"")))</f>
        <v/>
      </c>
      <c r="C225" s="44" t="n"/>
      <c r="D225" s="43">
        <f>IF($P225="","",INDEX(창고_재고현황!$B:$B,$P225))</f>
        <v/>
      </c>
      <c r="E225" s="43">
        <f>IF($P225="","",INDEX(창고_재고현황!$C:$C,$P225))</f>
        <v/>
      </c>
      <c r="F225" s="44" t="n"/>
      <c r="G225" s="43">
        <f>IF($P225="","",IF(INDEX(창고_재고현황!$E:$E,$P225)=0,"",INDEX(창고_재고현황!$E:$E,$P225)))</f>
        <v/>
      </c>
      <c r="H225" s="44" t="n"/>
      <c r="I225" s="45">
        <f>IF($J225="","",IFERROR(INDEX(고압진공_재고현황!$D:$D,MATCH($J225,고압진공_재고현황!$E:$E,0)),IFERROR(INDEX(조립자재_재고현황!$D:$D,MATCH($J225,조립자재_재고현황!$E:$E,0)),"")))</f>
        <v/>
      </c>
      <c r="J225" s="45">
        <f>IF($P225="","",INDEX(창고_재고현황!$D:$D,$P225))</f>
        <v/>
      </c>
      <c r="K225" s="44" t="n"/>
      <c r="L225" s="46" t="n"/>
      <c r="M225" s="46" t="n"/>
      <c r="N225" s="47" t="n"/>
      <c r="O225" s="44" t="n"/>
      <c r="P225" s="44">
        <f>IFERROR(MATCH(ROWS($P$2:P225),창고_재고현황!$H:$H,0),"")</f>
        <v/>
      </c>
      <c r="Q225" s="42" t="n"/>
      <c r="R225" s="42" t="n"/>
      <c r="S225" s="42" t="n"/>
      <c r="T225" s="42" t="n"/>
      <c r="U225" s="42" t="n"/>
    </row>
    <row r="226" ht="48" customHeight="1">
      <c r="A226" s="43">
        <f>IF($J226="","",IFERROR(INDEX(고압진공_재고현황!$B:$B,MATCH($J226,고압진공_재고현황!$E:$E,0)),IFERROR(INDEX(조립자재_재고현황!$B:$B,MATCH($J226,조립자재_재고현황!$E:$E,0)),"")))</f>
        <v/>
      </c>
      <c r="B226" s="43">
        <f>IF($J226="","",IFERROR(INDEX(고압진공_재고현황!$C:$C,MATCH($J226,고압진공_재고현황!$E:$E,0)),IFERROR(INDEX(조립자재_재고현황!$C:$C,MATCH($J226,조립자재_재고현황!$E:$E,0)),"")))</f>
        <v/>
      </c>
      <c r="C226" s="44" t="n"/>
      <c r="D226" s="43">
        <f>IF($P226="","",INDEX(창고_재고현황!$B:$B,$P226))</f>
        <v/>
      </c>
      <c r="E226" s="43">
        <f>IF($P226="","",INDEX(창고_재고현황!$C:$C,$P226))</f>
        <v/>
      </c>
      <c r="F226" s="44" t="n"/>
      <c r="G226" s="43">
        <f>IF($P226="","",IF(INDEX(창고_재고현황!$E:$E,$P226)=0,"",INDEX(창고_재고현황!$E:$E,$P226)))</f>
        <v/>
      </c>
      <c r="H226" s="44" t="n"/>
      <c r="I226" s="45">
        <f>IF($J226="","",IFERROR(INDEX(고압진공_재고현황!$D:$D,MATCH($J226,고압진공_재고현황!$E:$E,0)),IFERROR(INDEX(조립자재_재고현황!$D:$D,MATCH($J226,조립자재_재고현황!$E:$E,0)),"")))</f>
        <v/>
      </c>
      <c r="J226" s="45">
        <f>IF($P226="","",INDEX(창고_재고현황!$D:$D,$P226))</f>
        <v/>
      </c>
      <c r="K226" s="44" t="n"/>
      <c r="L226" s="46" t="n"/>
      <c r="M226" s="46" t="n"/>
      <c r="N226" s="47" t="n"/>
      <c r="O226" s="44" t="n"/>
      <c r="P226" s="44">
        <f>IFERROR(MATCH(ROWS($P$2:P226),창고_재고현황!$H:$H,0),"")</f>
        <v/>
      </c>
      <c r="Q226" s="42" t="n"/>
      <c r="R226" s="42" t="n"/>
      <c r="S226" s="42" t="n"/>
      <c r="T226" s="42" t="n"/>
      <c r="U226" s="42" t="n"/>
    </row>
    <row r="227" ht="48" customHeight="1">
      <c r="A227" s="43">
        <f>IF($J227="","",IFERROR(INDEX(고압진공_재고현황!$B:$B,MATCH($J227,고압진공_재고현황!$E:$E,0)),IFERROR(INDEX(조립자재_재고현황!$B:$B,MATCH($J227,조립자재_재고현황!$E:$E,0)),"")))</f>
        <v/>
      </c>
      <c r="B227" s="43">
        <f>IF($J227="","",IFERROR(INDEX(고압진공_재고현황!$C:$C,MATCH($J227,고압진공_재고현황!$E:$E,0)),IFERROR(INDEX(조립자재_재고현황!$C:$C,MATCH($J227,조립자재_재고현황!$E:$E,0)),"")))</f>
        <v/>
      </c>
      <c r="C227" s="44" t="n"/>
      <c r="D227" s="43">
        <f>IF($P227="","",INDEX(창고_재고현황!$B:$B,$P227))</f>
        <v/>
      </c>
      <c r="E227" s="43">
        <f>IF($P227="","",INDEX(창고_재고현황!$C:$C,$P227))</f>
        <v/>
      </c>
      <c r="F227" s="44" t="n"/>
      <c r="G227" s="43">
        <f>IF($P227="","",IF(INDEX(창고_재고현황!$E:$E,$P227)=0,"",INDEX(창고_재고현황!$E:$E,$P227)))</f>
        <v/>
      </c>
      <c r="H227" s="44" t="n"/>
      <c r="I227" s="45">
        <f>IF($J227="","",IFERROR(INDEX(고압진공_재고현황!$D:$D,MATCH($J227,고압진공_재고현황!$E:$E,0)),IFERROR(INDEX(조립자재_재고현황!$D:$D,MATCH($J227,조립자재_재고현황!$E:$E,0)),"")))</f>
        <v/>
      </c>
      <c r="J227" s="45">
        <f>IF($P227="","",INDEX(창고_재고현황!$D:$D,$P227))</f>
        <v/>
      </c>
      <c r="K227" s="44" t="n"/>
      <c r="L227" s="46" t="n"/>
      <c r="M227" s="46" t="n"/>
      <c r="N227" s="47" t="n"/>
      <c r="O227" s="44" t="n"/>
      <c r="P227" s="44">
        <f>IFERROR(MATCH(ROWS($P$2:P227),창고_재고현황!$H:$H,0),"")</f>
        <v/>
      </c>
      <c r="Q227" s="42" t="n"/>
      <c r="R227" s="42" t="n"/>
      <c r="S227" s="42" t="n"/>
      <c r="T227" s="42" t="n"/>
      <c r="U227" s="42" t="n"/>
    </row>
    <row r="228" ht="48" customHeight="1">
      <c r="A228" s="43">
        <f>IF($J228="","",IFERROR(INDEX(고압진공_재고현황!$B:$B,MATCH($J228,고압진공_재고현황!$E:$E,0)),IFERROR(INDEX(조립자재_재고현황!$B:$B,MATCH($J228,조립자재_재고현황!$E:$E,0)),"")))</f>
        <v/>
      </c>
      <c r="B228" s="43">
        <f>IF($J228="","",IFERROR(INDEX(고압진공_재고현황!$C:$C,MATCH($J228,고압진공_재고현황!$E:$E,0)),IFERROR(INDEX(조립자재_재고현황!$C:$C,MATCH($J228,조립자재_재고현황!$E:$E,0)),"")))</f>
        <v/>
      </c>
      <c r="C228" s="44" t="n"/>
      <c r="D228" s="43">
        <f>IF($P228="","",INDEX(창고_재고현황!$B:$B,$P228))</f>
        <v/>
      </c>
      <c r="E228" s="43">
        <f>IF($P228="","",INDEX(창고_재고현황!$C:$C,$P228))</f>
        <v/>
      </c>
      <c r="F228" s="44" t="n"/>
      <c r="G228" s="43">
        <f>IF($P228="","",IF(INDEX(창고_재고현황!$E:$E,$P228)=0,"",INDEX(창고_재고현황!$E:$E,$P228)))</f>
        <v/>
      </c>
      <c r="H228" s="44" t="n"/>
      <c r="I228" s="45">
        <f>IF($J228="","",IFERROR(INDEX(고압진공_재고현황!$D:$D,MATCH($J228,고압진공_재고현황!$E:$E,0)),IFERROR(INDEX(조립자재_재고현황!$D:$D,MATCH($J228,조립자재_재고현황!$E:$E,0)),"")))</f>
        <v/>
      </c>
      <c r="J228" s="45">
        <f>IF($P228="","",INDEX(창고_재고현황!$D:$D,$P228))</f>
        <v/>
      </c>
      <c r="K228" s="44" t="n"/>
      <c r="L228" s="46" t="n"/>
      <c r="M228" s="46" t="n"/>
      <c r="N228" s="47" t="n"/>
      <c r="O228" s="44" t="n"/>
      <c r="P228" s="44">
        <f>IFERROR(MATCH(ROWS($P$2:P228),창고_재고현황!$H:$H,0),"")</f>
        <v/>
      </c>
      <c r="Q228" s="42" t="n"/>
      <c r="R228" s="42" t="n"/>
      <c r="S228" s="42" t="n"/>
      <c r="T228" s="42" t="n"/>
      <c r="U228" s="42" t="n"/>
    </row>
    <row r="229" ht="48" customHeight="1">
      <c r="A229" s="43">
        <f>IF($J229="","",IFERROR(INDEX(고압진공_재고현황!$B:$B,MATCH($J229,고압진공_재고현황!$E:$E,0)),IFERROR(INDEX(조립자재_재고현황!$B:$B,MATCH($J229,조립자재_재고현황!$E:$E,0)),"")))</f>
        <v/>
      </c>
      <c r="B229" s="43">
        <f>IF($J229="","",IFERROR(INDEX(고압진공_재고현황!$C:$C,MATCH($J229,고압진공_재고현황!$E:$E,0)),IFERROR(INDEX(조립자재_재고현황!$C:$C,MATCH($J229,조립자재_재고현황!$E:$E,0)),"")))</f>
        <v/>
      </c>
      <c r="C229" s="44" t="n"/>
      <c r="D229" s="43">
        <f>IF($P229="","",INDEX(창고_재고현황!$B:$B,$P229))</f>
        <v/>
      </c>
      <c r="E229" s="43">
        <f>IF($P229="","",INDEX(창고_재고현황!$C:$C,$P229))</f>
        <v/>
      </c>
      <c r="F229" s="44" t="n"/>
      <c r="G229" s="43">
        <f>IF($P229="","",IF(INDEX(창고_재고현황!$E:$E,$P229)=0,"",INDEX(창고_재고현황!$E:$E,$P229)))</f>
        <v/>
      </c>
      <c r="H229" s="44" t="n"/>
      <c r="I229" s="45">
        <f>IF($J229="","",IFERROR(INDEX(고압진공_재고현황!$D:$D,MATCH($J229,고압진공_재고현황!$E:$E,0)),IFERROR(INDEX(조립자재_재고현황!$D:$D,MATCH($J229,조립자재_재고현황!$E:$E,0)),"")))</f>
        <v/>
      </c>
      <c r="J229" s="45">
        <f>IF($P229="","",INDEX(창고_재고현황!$D:$D,$P229))</f>
        <v/>
      </c>
      <c r="K229" s="44" t="n"/>
      <c r="L229" s="46" t="n"/>
      <c r="M229" s="46" t="n"/>
      <c r="N229" s="47" t="n"/>
      <c r="O229" s="44" t="n"/>
      <c r="P229" s="44">
        <f>IFERROR(MATCH(ROWS($P$2:P229),창고_재고현황!$H:$H,0),"")</f>
        <v/>
      </c>
      <c r="Q229" s="42" t="n"/>
      <c r="R229" s="42" t="n"/>
      <c r="S229" s="42" t="n"/>
      <c r="T229" s="42" t="n"/>
      <c r="U229" s="42" t="n"/>
    </row>
    <row r="230" ht="48" customHeight="1">
      <c r="A230" s="43">
        <f>IF($J230="","",IFERROR(INDEX(고압진공_재고현황!$B:$B,MATCH($J230,고압진공_재고현황!$E:$E,0)),IFERROR(INDEX(조립자재_재고현황!$B:$B,MATCH($J230,조립자재_재고현황!$E:$E,0)),"")))</f>
        <v/>
      </c>
      <c r="B230" s="43">
        <f>IF($J230="","",IFERROR(INDEX(고압진공_재고현황!$C:$C,MATCH($J230,고압진공_재고현황!$E:$E,0)),IFERROR(INDEX(조립자재_재고현황!$C:$C,MATCH($J230,조립자재_재고현황!$E:$E,0)),"")))</f>
        <v/>
      </c>
      <c r="C230" s="44" t="n"/>
      <c r="D230" s="43">
        <f>IF($P230="","",INDEX(창고_재고현황!$B:$B,$P230))</f>
        <v/>
      </c>
      <c r="E230" s="43">
        <f>IF($P230="","",INDEX(창고_재고현황!$C:$C,$P230))</f>
        <v/>
      </c>
      <c r="F230" s="44" t="n"/>
      <c r="G230" s="43">
        <f>IF($P230="","",IF(INDEX(창고_재고현황!$E:$E,$P230)=0,"",INDEX(창고_재고현황!$E:$E,$P230)))</f>
        <v/>
      </c>
      <c r="H230" s="44" t="n"/>
      <c r="I230" s="45">
        <f>IF($J230="","",IFERROR(INDEX(고압진공_재고현황!$D:$D,MATCH($J230,고압진공_재고현황!$E:$E,0)),IFERROR(INDEX(조립자재_재고현황!$D:$D,MATCH($J230,조립자재_재고현황!$E:$E,0)),"")))</f>
        <v/>
      </c>
      <c r="J230" s="45">
        <f>IF($P230="","",INDEX(창고_재고현황!$D:$D,$P230))</f>
        <v/>
      </c>
      <c r="K230" s="44" t="n"/>
      <c r="L230" s="46" t="n"/>
      <c r="M230" s="46" t="n"/>
      <c r="N230" s="47" t="n"/>
      <c r="O230" s="44" t="n"/>
      <c r="P230" s="44">
        <f>IFERROR(MATCH(ROWS($P$2:P230),창고_재고현황!$H:$H,0),"")</f>
        <v/>
      </c>
      <c r="Q230" s="42" t="n"/>
      <c r="R230" s="42" t="n"/>
      <c r="S230" s="42" t="n"/>
      <c r="T230" s="42" t="n"/>
      <c r="U230" s="42" t="n"/>
    </row>
    <row r="231" ht="48" customHeight="1">
      <c r="A231" s="43">
        <f>IF($J231="","",IFERROR(INDEX(고압진공_재고현황!$B:$B,MATCH($J231,고압진공_재고현황!$E:$E,0)),IFERROR(INDEX(조립자재_재고현황!$B:$B,MATCH($J231,조립자재_재고현황!$E:$E,0)),"")))</f>
        <v/>
      </c>
      <c r="B231" s="43">
        <f>IF($J231="","",IFERROR(INDEX(고압진공_재고현황!$C:$C,MATCH($J231,고압진공_재고현황!$E:$E,0)),IFERROR(INDEX(조립자재_재고현황!$C:$C,MATCH($J231,조립자재_재고현황!$E:$E,0)),"")))</f>
        <v/>
      </c>
      <c r="C231" s="44" t="n"/>
      <c r="D231" s="43">
        <f>IF($P231="","",INDEX(창고_재고현황!$B:$B,$P231))</f>
        <v/>
      </c>
      <c r="E231" s="43">
        <f>IF($P231="","",INDEX(창고_재고현황!$C:$C,$P231))</f>
        <v/>
      </c>
      <c r="F231" s="44" t="n"/>
      <c r="G231" s="43">
        <f>IF($P231="","",IF(INDEX(창고_재고현황!$E:$E,$P231)=0,"",INDEX(창고_재고현황!$E:$E,$P231)))</f>
        <v/>
      </c>
      <c r="H231" s="44" t="n"/>
      <c r="I231" s="45">
        <f>IF($J231="","",IFERROR(INDEX(고압진공_재고현황!$D:$D,MATCH($J231,고압진공_재고현황!$E:$E,0)),IFERROR(INDEX(조립자재_재고현황!$D:$D,MATCH($J231,조립자재_재고현황!$E:$E,0)),"")))</f>
        <v/>
      </c>
      <c r="J231" s="45">
        <f>IF($P231="","",INDEX(창고_재고현황!$D:$D,$P231))</f>
        <v/>
      </c>
      <c r="K231" s="44" t="n"/>
      <c r="L231" s="46" t="n"/>
      <c r="M231" s="46" t="n"/>
      <c r="N231" s="47" t="n"/>
      <c r="O231" s="44" t="n"/>
      <c r="P231" s="44">
        <f>IFERROR(MATCH(ROWS($P$2:P231),창고_재고현황!$H:$H,0),"")</f>
        <v/>
      </c>
      <c r="Q231" s="42" t="n"/>
      <c r="R231" s="42" t="n"/>
      <c r="S231" s="42" t="n"/>
      <c r="T231" s="42" t="n"/>
      <c r="U231" s="42" t="n"/>
    </row>
    <row r="232" ht="48" customHeight="1">
      <c r="A232" s="43">
        <f>IF($J232="","",IFERROR(INDEX(고압진공_재고현황!$B:$B,MATCH($J232,고압진공_재고현황!$E:$E,0)),IFERROR(INDEX(조립자재_재고현황!$B:$B,MATCH($J232,조립자재_재고현황!$E:$E,0)),"")))</f>
        <v/>
      </c>
      <c r="B232" s="43">
        <f>IF($J232="","",IFERROR(INDEX(고압진공_재고현황!$C:$C,MATCH($J232,고압진공_재고현황!$E:$E,0)),IFERROR(INDEX(조립자재_재고현황!$C:$C,MATCH($J232,조립자재_재고현황!$E:$E,0)),"")))</f>
        <v/>
      </c>
      <c r="C232" s="44" t="n"/>
      <c r="D232" s="43">
        <f>IF($P232="","",INDEX(창고_재고현황!$B:$B,$P232))</f>
        <v/>
      </c>
      <c r="E232" s="43">
        <f>IF($P232="","",INDEX(창고_재고현황!$C:$C,$P232))</f>
        <v/>
      </c>
      <c r="F232" s="44" t="n"/>
      <c r="G232" s="43">
        <f>IF($P232="","",IF(INDEX(창고_재고현황!$E:$E,$P232)=0,"",INDEX(창고_재고현황!$E:$E,$P232)))</f>
        <v/>
      </c>
      <c r="H232" s="44" t="n"/>
      <c r="I232" s="45">
        <f>IF($J232="","",IFERROR(INDEX(고압진공_재고현황!$D:$D,MATCH($J232,고압진공_재고현황!$E:$E,0)),IFERROR(INDEX(조립자재_재고현황!$D:$D,MATCH($J232,조립자재_재고현황!$E:$E,0)),"")))</f>
        <v/>
      </c>
      <c r="J232" s="45">
        <f>IF($P232="","",INDEX(창고_재고현황!$D:$D,$P232))</f>
        <v/>
      </c>
      <c r="K232" s="44" t="n"/>
      <c r="L232" s="46" t="n"/>
      <c r="M232" s="46" t="n"/>
      <c r="N232" s="47" t="n"/>
      <c r="O232" s="44" t="n"/>
      <c r="P232" s="44">
        <f>IFERROR(MATCH(ROWS($P$2:P232),창고_재고현황!$H:$H,0),"")</f>
        <v/>
      </c>
      <c r="Q232" s="42" t="n"/>
      <c r="R232" s="42" t="n"/>
      <c r="S232" s="42" t="n"/>
      <c r="T232" s="42" t="n"/>
      <c r="U232" s="42" t="n"/>
    </row>
    <row r="233" ht="48" customHeight="1">
      <c r="A233" s="43">
        <f>IF($J233="","",IFERROR(INDEX(고압진공_재고현황!$B:$B,MATCH($J233,고압진공_재고현황!$E:$E,0)),IFERROR(INDEX(조립자재_재고현황!$B:$B,MATCH($J233,조립자재_재고현황!$E:$E,0)),"")))</f>
        <v/>
      </c>
      <c r="B233" s="43">
        <f>IF($J233="","",IFERROR(INDEX(고압진공_재고현황!$C:$C,MATCH($J233,고압진공_재고현황!$E:$E,0)),IFERROR(INDEX(조립자재_재고현황!$C:$C,MATCH($J233,조립자재_재고현황!$E:$E,0)),"")))</f>
        <v/>
      </c>
      <c r="C233" s="44" t="n"/>
      <c r="D233" s="43">
        <f>IF($P233="","",INDEX(창고_재고현황!$B:$B,$P233))</f>
        <v/>
      </c>
      <c r="E233" s="43">
        <f>IF($P233="","",INDEX(창고_재고현황!$C:$C,$P233))</f>
        <v/>
      </c>
      <c r="F233" s="44" t="n"/>
      <c r="G233" s="43">
        <f>IF($P233="","",IF(INDEX(창고_재고현황!$E:$E,$P233)=0,"",INDEX(창고_재고현황!$E:$E,$P233)))</f>
        <v/>
      </c>
      <c r="H233" s="44" t="n"/>
      <c r="I233" s="45">
        <f>IF($J233="","",IFERROR(INDEX(고압진공_재고현황!$D:$D,MATCH($J233,고압진공_재고현황!$E:$E,0)),IFERROR(INDEX(조립자재_재고현황!$D:$D,MATCH($J233,조립자재_재고현황!$E:$E,0)),"")))</f>
        <v/>
      </c>
      <c r="J233" s="45">
        <f>IF($P233="","",INDEX(창고_재고현황!$D:$D,$P233))</f>
        <v/>
      </c>
      <c r="K233" s="44" t="n"/>
      <c r="L233" s="46" t="n"/>
      <c r="M233" s="46" t="n"/>
      <c r="N233" s="47" t="n"/>
      <c r="O233" s="44" t="n"/>
      <c r="P233" s="44">
        <f>IFERROR(MATCH(ROWS($P$2:P233),창고_재고현황!$H:$H,0),"")</f>
        <v/>
      </c>
      <c r="Q233" s="42" t="n"/>
      <c r="R233" s="42" t="n"/>
      <c r="S233" s="42" t="n"/>
      <c r="T233" s="42" t="n"/>
      <c r="U233" s="42" t="n"/>
    </row>
    <row r="234" ht="48" customHeight="1">
      <c r="A234" s="43">
        <f>IF($J234="","",IFERROR(INDEX(고압진공_재고현황!$B:$B,MATCH($J234,고압진공_재고현황!$E:$E,0)),IFERROR(INDEX(조립자재_재고현황!$B:$B,MATCH($J234,조립자재_재고현황!$E:$E,0)),"")))</f>
        <v/>
      </c>
      <c r="B234" s="43">
        <f>IF($J234="","",IFERROR(INDEX(고압진공_재고현황!$C:$C,MATCH($J234,고압진공_재고현황!$E:$E,0)),IFERROR(INDEX(조립자재_재고현황!$C:$C,MATCH($J234,조립자재_재고현황!$E:$E,0)),"")))</f>
        <v/>
      </c>
      <c r="C234" s="44" t="n"/>
      <c r="D234" s="43">
        <f>IF($P234="","",INDEX(창고_재고현황!$B:$B,$P234))</f>
        <v/>
      </c>
      <c r="E234" s="43">
        <f>IF($P234="","",INDEX(창고_재고현황!$C:$C,$P234))</f>
        <v/>
      </c>
      <c r="F234" s="44" t="n"/>
      <c r="G234" s="43">
        <f>IF($P234="","",IF(INDEX(창고_재고현황!$E:$E,$P234)=0,"",INDEX(창고_재고현황!$E:$E,$P234)))</f>
        <v/>
      </c>
      <c r="H234" s="44" t="n"/>
      <c r="I234" s="45">
        <f>IF($J234="","",IFERROR(INDEX(고압진공_재고현황!$D:$D,MATCH($J234,고압진공_재고현황!$E:$E,0)),IFERROR(INDEX(조립자재_재고현황!$D:$D,MATCH($J234,조립자재_재고현황!$E:$E,0)),"")))</f>
        <v/>
      </c>
      <c r="J234" s="45">
        <f>IF($P234="","",INDEX(창고_재고현황!$D:$D,$P234))</f>
        <v/>
      </c>
      <c r="K234" s="44" t="n"/>
      <c r="L234" s="46" t="n"/>
      <c r="M234" s="46" t="n"/>
      <c r="N234" s="47" t="n"/>
      <c r="O234" s="44" t="n"/>
      <c r="P234" s="44">
        <f>IFERROR(MATCH(ROWS($P$2:P234),창고_재고현황!$H:$H,0),"")</f>
        <v/>
      </c>
      <c r="Q234" s="42" t="n"/>
      <c r="R234" s="42" t="n"/>
      <c r="S234" s="42" t="n"/>
      <c r="T234" s="42" t="n"/>
      <c r="U234" s="42" t="n"/>
    </row>
    <row r="235" ht="48" customHeight="1">
      <c r="A235" s="43">
        <f>IF($J235="","",IFERROR(INDEX(고압진공_재고현황!$B:$B,MATCH($J235,고압진공_재고현황!$E:$E,0)),IFERROR(INDEX(조립자재_재고현황!$B:$B,MATCH($J235,조립자재_재고현황!$E:$E,0)),"")))</f>
        <v/>
      </c>
      <c r="B235" s="43">
        <f>IF($J235="","",IFERROR(INDEX(고압진공_재고현황!$C:$C,MATCH($J235,고압진공_재고현황!$E:$E,0)),IFERROR(INDEX(조립자재_재고현황!$C:$C,MATCH($J235,조립자재_재고현황!$E:$E,0)),"")))</f>
        <v/>
      </c>
      <c r="C235" s="44" t="n"/>
      <c r="D235" s="43">
        <f>IF($P235="","",INDEX(창고_재고현황!$B:$B,$P235))</f>
        <v/>
      </c>
      <c r="E235" s="43">
        <f>IF($P235="","",INDEX(창고_재고현황!$C:$C,$P235))</f>
        <v/>
      </c>
      <c r="F235" s="44" t="n"/>
      <c r="G235" s="43">
        <f>IF($P235="","",IF(INDEX(창고_재고현황!$E:$E,$P235)=0,"",INDEX(창고_재고현황!$E:$E,$P235)))</f>
        <v/>
      </c>
      <c r="H235" s="44" t="n"/>
      <c r="I235" s="45">
        <f>IF($J235="","",IFERROR(INDEX(고압진공_재고현황!$D:$D,MATCH($J235,고압진공_재고현황!$E:$E,0)),IFERROR(INDEX(조립자재_재고현황!$D:$D,MATCH($J235,조립자재_재고현황!$E:$E,0)),"")))</f>
        <v/>
      </c>
      <c r="J235" s="45">
        <f>IF($P235="","",INDEX(창고_재고현황!$D:$D,$P235))</f>
        <v/>
      </c>
      <c r="K235" s="44" t="n"/>
      <c r="L235" s="46" t="n"/>
      <c r="M235" s="46" t="n"/>
      <c r="N235" s="47" t="n"/>
      <c r="O235" s="44" t="n"/>
      <c r="P235" s="44">
        <f>IFERROR(MATCH(ROWS($P$2:P235),창고_재고현황!$H:$H,0),"")</f>
        <v/>
      </c>
      <c r="Q235" s="42" t="n"/>
      <c r="R235" s="42" t="n"/>
      <c r="S235" s="42" t="n"/>
      <c r="T235" s="42" t="n"/>
      <c r="U235" s="42" t="n"/>
    </row>
    <row r="236" ht="48" customHeight="1">
      <c r="A236" s="43">
        <f>IF($J236="","",IFERROR(INDEX(고압진공_재고현황!$B:$B,MATCH($J236,고압진공_재고현황!$E:$E,0)),IFERROR(INDEX(조립자재_재고현황!$B:$B,MATCH($J236,조립자재_재고현황!$E:$E,0)),"")))</f>
        <v/>
      </c>
      <c r="B236" s="43">
        <f>IF($J236="","",IFERROR(INDEX(고압진공_재고현황!$C:$C,MATCH($J236,고압진공_재고현황!$E:$E,0)),IFERROR(INDEX(조립자재_재고현황!$C:$C,MATCH($J236,조립자재_재고현황!$E:$E,0)),"")))</f>
        <v/>
      </c>
      <c r="C236" s="44" t="n"/>
      <c r="D236" s="43">
        <f>IF($P236="","",INDEX(창고_재고현황!$B:$B,$P236))</f>
        <v/>
      </c>
      <c r="E236" s="43">
        <f>IF($P236="","",INDEX(창고_재고현황!$C:$C,$P236))</f>
        <v/>
      </c>
      <c r="F236" s="44" t="n"/>
      <c r="G236" s="43">
        <f>IF($P236="","",IF(INDEX(창고_재고현황!$E:$E,$P236)=0,"",INDEX(창고_재고현황!$E:$E,$P236)))</f>
        <v/>
      </c>
      <c r="H236" s="44" t="n"/>
      <c r="I236" s="45">
        <f>IF($J236="","",IFERROR(INDEX(고압진공_재고현황!$D:$D,MATCH($J236,고압진공_재고현황!$E:$E,0)),IFERROR(INDEX(조립자재_재고현황!$D:$D,MATCH($J236,조립자재_재고현황!$E:$E,0)),"")))</f>
        <v/>
      </c>
      <c r="J236" s="45">
        <f>IF($P236="","",INDEX(창고_재고현황!$D:$D,$P236))</f>
        <v/>
      </c>
      <c r="K236" s="44" t="n"/>
      <c r="L236" s="46" t="n"/>
      <c r="M236" s="46" t="n"/>
      <c r="N236" s="47" t="n"/>
      <c r="O236" s="44" t="n"/>
      <c r="P236" s="44">
        <f>IFERROR(MATCH(ROWS($P$2:P236),창고_재고현황!$H:$H,0),"")</f>
        <v/>
      </c>
      <c r="Q236" s="42" t="n"/>
      <c r="R236" s="42" t="n"/>
      <c r="S236" s="42" t="n"/>
      <c r="T236" s="42" t="n"/>
      <c r="U236" s="42" t="n"/>
    </row>
    <row r="237" ht="48" customHeight="1">
      <c r="A237" s="43">
        <f>IF($J237="","",IFERROR(INDEX(고압진공_재고현황!$B:$B,MATCH($J237,고압진공_재고현황!$E:$E,0)),IFERROR(INDEX(조립자재_재고현황!$B:$B,MATCH($J237,조립자재_재고현황!$E:$E,0)),"")))</f>
        <v/>
      </c>
      <c r="B237" s="43">
        <f>IF($J237="","",IFERROR(INDEX(고압진공_재고현황!$C:$C,MATCH($J237,고압진공_재고현황!$E:$E,0)),IFERROR(INDEX(조립자재_재고현황!$C:$C,MATCH($J237,조립자재_재고현황!$E:$E,0)),"")))</f>
        <v/>
      </c>
      <c r="C237" s="44" t="n"/>
      <c r="D237" s="43">
        <f>IF($P237="","",INDEX(창고_재고현황!$B:$B,$P237))</f>
        <v/>
      </c>
      <c r="E237" s="43">
        <f>IF($P237="","",INDEX(창고_재고현황!$C:$C,$P237))</f>
        <v/>
      </c>
      <c r="F237" s="44" t="n"/>
      <c r="G237" s="43">
        <f>IF($P237="","",IF(INDEX(창고_재고현황!$E:$E,$P237)=0,"",INDEX(창고_재고현황!$E:$E,$P237)))</f>
        <v/>
      </c>
      <c r="H237" s="44" t="n"/>
      <c r="I237" s="45">
        <f>IF($J237="","",IFERROR(INDEX(고압진공_재고현황!$D:$D,MATCH($J237,고압진공_재고현황!$E:$E,0)),IFERROR(INDEX(조립자재_재고현황!$D:$D,MATCH($J237,조립자재_재고현황!$E:$E,0)),"")))</f>
        <v/>
      </c>
      <c r="J237" s="45">
        <f>IF($P237="","",INDEX(창고_재고현황!$D:$D,$P237))</f>
        <v/>
      </c>
      <c r="K237" s="44" t="n"/>
      <c r="L237" s="46" t="n"/>
      <c r="M237" s="46" t="n"/>
      <c r="N237" s="47" t="n"/>
      <c r="O237" s="44" t="n"/>
      <c r="P237" s="44">
        <f>IFERROR(MATCH(ROWS($P$2:P237),창고_재고현황!$H:$H,0),"")</f>
        <v/>
      </c>
      <c r="Q237" s="42" t="n"/>
      <c r="R237" s="42" t="n"/>
      <c r="S237" s="42" t="n"/>
      <c r="T237" s="42" t="n"/>
      <c r="U237" s="42" t="n"/>
    </row>
    <row r="238" ht="48" customHeight="1">
      <c r="A238" s="43">
        <f>IF($J238="","",IFERROR(INDEX(고압진공_재고현황!$B:$B,MATCH($J238,고압진공_재고현황!$E:$E,0)),IFERROR(INDEX(조립자재_재고현황!$B:$B,MATCH($J238,조립자재_재고현황!$E:$E,0)),"")))</f>
        <v/>
      </c>
      <c r="B238" s="43">
        <f>IF($J238="","",IFERROR(INDEX(고압진공_재고현황!$C:$C,MATCH($J238,고압진공_재고현황!$E:$E,0)),IFERROR(INDEX(조립자재_재고현황!$C:$C,MATCH($J238,조립자재_재고현황!$E:$E,0)),"")))</f>
        <v/>
      </c>
      <c r="C238" s="44" t="n"/>
      <c r="D238" s="43">
        <f>IF($P238="","",INDEX(창고_재고현황!$B:$B,$P238))</f>
        <v/>
      </c>
      <c r="E238" s="43">
        <f>IF($P238="","",INDEX(창고_재고현황!$C:$C,$P238))</f>
        <v/>
      </c>
      <c r="F238" s="44" t="n"/>
      <c r="G238" s="43">
        <f>IF($P238="","",IF(INDEX(창고_재고현황!$E:$E,$P238)=0,"",INDEX(창고_재고현황!$E:$E,$P238)))</f>
        <v/>
      </c>
      <c r="H238" s="44" t="n"/>
      <c r="I238" s="45">
        <f>IF($J238="","",IFERROR(INDEX(고압진공_재고현황!$D:$D,MATCH($J238,고압진공_재고현황!$E:$E,0)),IFERROR(INDEX(조립자재_재고현황!$D:$D,MATCH($J238,조립자재_재고현황!$E:$E,0)),"")))</f>
        <v/>
      </c>
      <c r="J238" s="45">
        <f>IF($P238="","",INDEX(창고_재고현황!$D:$D,$P238))</f>
        <v/>
      </c>
      <c r="K238" s="44" t="n"/>
      <c r="L238" s="46" t="n"/>
      <c r="M238" s="46" t="n"/>
      <c r="N238" s="47" t="n"/>
      <c r="O238" s="44" t="n"/>
      <c r="P238" s="44">
        <f>IFERROR(MATCH(ROWS($P$2:P238),창고_재고현황!$H:$H,0),"")</f>
        <v/>
      </c>
      <c r="Q238" s="42" t="n"/>
      <c r="R238" s="42" t="n"/>
      <c r="S238" s="42" t="n"/>
      <c r="T238" s="42" t="n"/>
      <c r="U238" s="42" t="n"/>
    </row>
    <row r="239" ht="48" customHeight="1">
      <c r="A239" s="43">
        <f>IF($J239="","",IFERROR(INDEX(고압진공_재고현황!$B:$B,MATCH($J239,고압진공_재고현황!$E:$E,0)),IFERROR(INDEX(조립자재_재고현황!$B:$B,MATCH($J239,조립자재_재고현황!$E:$E,0)),"")))</f>
        <v/>
      </c>
      <c r="B239" s="43">
        <f>IF($J239="","",IFERROR(INDEX(고압진공_재고현황!$C:$C,MATCH($J239,고압진공_재고현황!$E:$E,0)),IFERROR(INDEX(조립자재_재고현황!$C:$C,MATCH($J239,조립자재_재고현황!$E:$E,0)),"")))</f>
        <v/>
      </c>
      <c r="C239" s="44" t="n"/>
      <c r="D239" s="43">
        <f>IF($P239="","",INDEX(창고_재고현황!$B:$B,$P239))</f>
        <v/>
      </c>
      <c r="E239" s="43">
        <f>IF($P239="","",INDEX(창고_재고현황!$C:$C,$P239))</f>
        <v/>
      </c>
      <c r="F239" s="44" t="n"/>
      <c r="G239" s="43">
        <f>IF($P239="","",IF(INDEX(창고_재고현황!$E:$E,$P239)=0,"",INDEX(창고_재고현황!$E:$E,$P239)))</f>
        <v/>
      </c>
      <c r="H239" s="44" t="n"/>
      <c r="I239" s="45">
        <f>IF($J239="","",IFERROR(INDEX(고압진공_재고현황!$D:$D,MATCH($J239,고압진공_재고현황!$E:$E,0)),IFERROR(INDEX(조립자재_재고현황!$D:$D,MATCH($J239,조립자재_재고현황!$E:$E,0)),"")))</f>
        <v/>
      </c>
      <c r="J239" s="45">
        <f>IF($P239="","",INDEX(창고_재고현황!$D:$D,$P239))</f>
        <v/>
      </c>
      <c r="K239" s="44" t="n"/>
      <c r="L239" s="46" t="n"/>
      <c r="M239" s="46" t="n"/>
      <c r="N239" s="47" t="n"/>
      <c r="O239" s="44" t="n"/>
      <c r="P239" s="44">
        <f>IFERROR(MATCH(ROWS($P$2:P239),창고_재고현황!$H:$H,0),"")</f>
        <v/>
      </c>
      <c r="Q239" s="42" t="n"/>
      <c r="R239" s="42" t="n"/>
      <c r="S239" s="42" t="n"/>
      <c r="T239" s="42" t="n"/>
      <c r="U239" s="42" t="n"/>
    </row>
    <row r="240" ht="48" customHeight="1">
      <c r="A240" s="43">
        <f>IF($J240="","",IFERROR(INDEX(고압진공_재고현황!$B:$B,MATCH($J240,고압진공_재고현황!$E:$E,0)),IFERROR(INDEX(조립자재_재고현황!$B:$B,MATCH($J240,조립자재_재고현황!$E:$E,0)),"")))</f>
        <v/>
      </c>
      <c r="B240" s="43">
        <f>IF($J240="","",IFERROR(INDEX(고압진공_재고현황!$C:$C,MATCH($J240,고압진공_재고현황!$E:$E,0)),IFERROR(INDEX(조립자재_재고현황!$C:$C,MATCH($J240,조립자재_재고현황!$E:$E,0)),"")))</f>
        <v/>
      </c>
      <c r="C240" s="44" t="n"/>
      <c r="D240" s="43">
        <f>IF($P240="","",INDEX(창고_재고현황!$B:$B,$P240))</f>
        <v/>
      </c>
      <c r="E240" s="43">
        <f>IF($P240="","",INDEX(창고_재고현황!$C:$C,$P240))</f>
        <v/>
      </c>
      <c r="F240" s="44" t="n"/>
      <c r="G240" s="43">
        <f>IF($P240="","",IF(INDEX(창고_재고현황!$E:$E,$P240)=0,"",INDEX(창고_재고현황!$E:$E,$P240)))</f>
        <v/>
      </c>
      <c r="H240" s="44" t="n"/>
      <c r="I240" s="45">
        <f>IF($J240="","",IFERROR(INDEX(고압진공_재고현황!$D:$D,MATCH($J240,고압진공_재고현황!$E:$E,0)),IFERROR(INDEX(조립자재_재고현황!$D:$D,MATCH($J240,조립자재_재고현황!$E:$E,0)),"")))</f>
        <v/>
      </c>
      <c r="J240" s="45">
        <f>IF($P240="","",INDEX(창고_재고현황!$D:$D,$P240))</f>
        <v/>
      </c>
      <c r="K240" s="44" t="n"/>
      <c r="L240" s="46" t="n"/>
      <c r="M240" s="46" t="n"/>
      <c r="N240" s="47" t="n"/>
      <c r="O240" s="44" t="n"/>
      <c r="P240" s="44">
        <f>IFERROR(MATCH(ROWS($P$2:P240),창고_재고현황!$H:$H,0),"")</f>
        <v/>
      </c>
      <c r="Q240" s="42" t="n"/>
      <c r="R240" s="42" t="n"/>
      <c r="S240" s="42" t="n"/>
      <c r="T240" s="42" t="n"/>
      <c r="U240" s="42" t="n"/>
    </row>
    <row r="241" ht="48" customHeight="1">
      <c r="A241" s="43">
        <f>IF($J241="","",IFERROR(INDEX(고압진공_재고현황!$B:$B,MATCH($J241,고압진공_재고현황!$E:$E,0)),IFERROR(INDEX(조립자재_재고현황!$B:$B,MATCH($J241,조립자재_재고현황!$E:$E,0)),"")))</f>
        <v/>
      </c>
      <c r="B241" s="43">
        <f>IF($J241="","",IFERROR(INDEX(고압진공_재고현황!$C:$C,MATCH($J241,고압진공_재고현황!$E:$E,0)),IFERROR(INDEX(조립자재_재고현황!$C:$C,MATCH($J241,조립자재_재고현황!$E:$E,0)),"")))</f>
        <v/>
      </c>
      <c r="C241" s="44" t="n"/>
      <c r="D241" s="43">
        <f>IF($P241="","",INDEX(창고_재고현황!$B:$B,$P241))</f>
        <v/>
      </c>
      <c r="E241" s="43">
        <f>IF($P241="","",INDEX(창고_재고현황!$C:$C,$P241))</f>
        <v/>
      </c>
      <c r="F241" s="44" t="n"/>
      <c r="G241" s="43">
        <f>IF($P241="","",IF(INDEX(창고_재고현황!$E:$E,$P241)=0,"",INDEX(창고_재고현황!$E:$E,$P241)))</f>
        <v/>
      </c>
      <c r="H241" s="44" t="n"/>
      <c r="I241" s="45">
        <f>IF($J241="","",IFERROR(INDEX(고압진공_재고현황!$D:$D,MATCH($J241,고압진공_재고현황!$E:$E,0)),IFERROR(INDEX(조립자재_재고현황!$D:$D,MATCH($J241,조립자재_재고현황!$E:$E,0)),"")))</f>
        <v/>
      </c>
      <c r="J241" s="45">
        <f>IF($P241="","",INDEX(창고_재고현황!$D:$D,$P241))</f>
        <v/>
      </c>
      <c r="K241" s="44" t="n"/>
      <c r="L241" s="46" t="n"/>
      <c r="M241" s="46" t="n"/>
      <c r="N241" s="47" t="n"/>
      <c r="O241" s="44" t="n"/>
      <c r="P241" s="44">
        <f>IFERROR(MATCH(ROWS($P$2:P241),창고_재고현황!$H:$H,0),"")</f>
        <v/>
      </c>
      <c r="Q241" s="42" t="n"/>
      <c r="R241" s="42" t="n"/>
      <c r="S241" s="42" t="n"/>
      <c r="T241" s="42" t="n"/>
      <c r="U241" s="42" t="n"/>
    </row>
    <row r="242" ht="48" customHeight="1">
      <c r="A242" s="43">
        <f>IF($J242="","",IFERROR(INDEX(고압진공_재고현황!$B:$B,MATCH($J242,고압진공_재고현황!$E:$E,0)),IFERROR(INDEX(조립자재_재고현황!$B:$B,MATCH($J242,조립자재_재고현황!$E:$E,0)),"")))</f>
        <v/>
      </c>
      <c r="B242" s="43">
        <f>IF($J242="","",IFERROR(INDEX(고압진공_재고현황!$C:$C,MATCH($J242,고압진공_재고현황!$E:$E,0)),IFERROR(INDEX(조립자재_재고현황!$C:$C,MATCH($J242,조립자재_재고현황!$E:$E,0)),"")))</f>
        <v/>
      </c>
      <c r="C242" s="44" t="n"/>
      <c r="D242" s="43">
        <f>IF($P242="","",INDEX(창고_재고현황!$B:$B,$P242))</f>
        <v/>
      </c>
      <c r="E242" s="43">
        <f>IF($P242="","",INDEX(창고_재고현황!$C:$C,$P242))</f>
        <v/>
      </c>
      <c r="F242" s="44" t="n"/>
      <c r="G242" s="43">
        <f>IF($P242="","",IF(INDEX(창고_재고현황!$E:$E,$P242)=0,"",INDEX(창고_재고현황!$E:$E,$P242)))</f>
        <v/>
      </c>
      <c r="H242" s="44" t="n"/>
      <c r="I242" s="45">
        <f>IF($J242="","",IFERROR(INDEX(고압진공_재고현황!$D:$D,MATCH($J242,고압진공_재고현황!$E:$E,0)),IFERROR(INDEX(조립자재_재고현황!$D:$D,MATCH($J242,조립자재_재고현황!$E:$E,0)),"")))</f>
        <v/>
      </c>
      <c r="J242" s="45">
        <f>IF($P242="","",INDEX(창고_재고현황!$D:$D,$P242))</f>
        <v/>
      </c>
      <c r="K242" s="44" t="n"/>
      <c r="L242" s="46" t="n"/>
      <c r="M242" s="46" t="n"/>
      <c r="N242" s="47" t="n"/>
      <c r="O242" s="44" t="n"/>
      <c r="P242" s="44">
        <f>IFERROR(MATCH(ROWS($P$2:P242),창고_재고현황!$H:$H,0),"")</f>
        <v/>
      </c>
      <c r="Q242" s="42" t="n"/>
      <c r="R242" s="42" t="n"/>
      <c r="S242" s="42" t="n"/>
      <c r="T242" s="42" t="n"/>
      <c r="U242" s="42" t="n"/>
    </row>
    <row r="243" ht="48" customHeight="1">
      <c r="A243" s="43">
        <f>IF($J243="","",IFERROR(INDEX(고압진공_재고현황!$B:$B,MATCH($J243,고압진공_재고현황!$E:$E,0)),IFERROR(INDEX(조립자재_재고현황!$B:$B,MATCH($J243,조립자재_재고현황!$E:$E,0)),"")))</f>
        <v/>
      </c>
      <c r="B243" s="43">
        <f>IF($J243="","",IFERROR(INDEX(고압진공_재고현황!$C:$C,MATCH($J243,고압진공_재고현황!$E:$E,0)),IFERROR(INDEX(조립자재_재고현황!$C:$C,MATCH($J243,조립자재_재고현황!$E:$E,0)),"")))</f>
        <v/>
      </c>
      <c r="C243" s="44" t="n"/>
      <c r="D243" s="43">
        <f>IF($P243="","",INDEX(창고_재고현황!$B:$B,$P243))</f>
        <v/>
      </c>
      <c r="E243" s="43">
        <f>IF($P243="","",INDEX(창고_재고현황!$C:$C,$P243))</f>
        <v/>
      </c>
      <c r="F243" s="44" t="n"/>
      <c r="G243" s="43">
        <f>IF($P243="","",IF(INDEX(창고_재고현황!$E:$E,$P243)=0,"",INDEX(창고_재고현황!$E:$E,$P243)))</f>
        <v/>
      </c>
      <c r="H243" s="44" t="n"/>
      <c r="I243" s="45">
        <f>IF($J243="","",IFERROR(INDEX(고압진공_재고현황!$D:$D,MATCH($J243,고압진공_재고현황!$E:$E,0)),IFERROR(INDEX(조립자재_재고현황!$D:$D,MATCH($J243,조립자재_재고현황!$E:$E,0)),"")))</f>
        <v/>
      </c>
      <c r="J243" s="45">
        <f>IF($P243="","",INDEX(창고_재고현황!$D:$D,$P243))</f>
        <v/>
      </c>
      <c r="K243" s="44" t="n"/>
      <c r="L243" s="46" t="n"/>
      <c r="M243" s="46" t="n"/>
      <c r="N243" s="47" t="n"/>
      <c r="O243" s="44" t="n"/>
      <c r="P243" s="44">
        <f>IFERROR(MATCH(ROWS($P$2:P243),창고_재고현황!$H:$H,0),"")</f>
        <v/>
      </c>
      <c r="Q243" s="42" t="n"/>
      <c r="R243" s="42" t="n"/>
      <c r="S243" s="42" t="n"/>
      <c r="T243" s="42" t="n"/>
      <c r="U243" s="42" t="n"/>
    </row>
    <row r="244" ht="48" customHeight="1">
      <c r="A244" s="43">
        <f>IF($J244="","",IFERROR(INDEX(고압진공_재고현황!$B:$B,MATCH($J244,고압진공_재고현황!$E:$E,0)),IFERROR(INDEX(조립자재_재고현황!$B:$B,MATCH($J244,조립자재_재고현황!$E:$E,0)),"")))</f>
        <v/>
      </c>
      <c r="B244" s="43">
        <f>IF($J244="","",IFERROR(INDEX(고압진공_재고현황!$C:$C,MATCH($J244,고압진공_재고현황!$E:$E,0)),IFERROR(INDEX(조립자재_재고현황!$C:$C,MATCH($J244,조립자재_재고현황!$E:$E,0)),"")))</f>
        <v/>
      </c>
      <c r="C244" s="44" t="n"/>
      <c r="D244" s="43">
        <f>IF($P244="","",INDEX(창고_재고현황!$B:$B,$P244))</f>
        <v/>
      </c>
      <c r="E244" s="43">
        <f>IF($P244="","",INDEX(창고_재고현황!$C:$C,$P244))</f>
        <v/>
      </c>
      <c r="F244" s="44" t="n"/>
      <c r="G244" s="43">
        <f>IF($P244="","",IF(INDEX(창고_재고현황!$E:$E,$P244)=0,"",INDEX(창고_재고현황!$E:$E,$P244)))</f>
        <v/>
      </c>
      <c r="H244" s="44" t="n"/>
      <c r="I244" s="45">
        <f>IF($J244="","",IFERROR(INDEX(고압진공_재고현황!$D:$D,MATCH($J244,고압진공_재고현황!$E:$E,0)),IFERROR(INDEX(조립자재_재고현황!$D:$D,MATCH($J244,조립자재_재고현황!$E:$E,0)),"")))</f>
        <v/>
      </c>
      <c r="J244" s="45">
        <f>IF($P244="","",INDEX(창고_재고현황!$D:$D,$P244))</f>
        <v/>
      </c>
      <c r="K244" s="44" t="n"/>
      <c r="L244" s="46" t="n"/>
      <c r="M244" s="46" t="n"/>
      <c r="N244" s="47" t="n"/>
      <c r="O244" s="44" t="n"/>
      <c r="P244" s="44">
        <f>IFERROR(MATCH(ROWS($P$2:P244),창고_재고현황!$H:$H,0),"")</f>
        <v/>
      </c>
      <c r="Q244" s="42" t="n"/>
      <c r="R244" s="42" t="n"/>
      <c r="S244" s="42" t="n"/>
      <c r="T244" s="42" t="n"/>
      <c r="U244" s="42" t="n"/>
    </row>
    <row r="245" ht="48" customHeight="1">
      <c r="A245" s="43">
        <f>IF($J245="","",IFERROR(INDEX(고압진공_재고현황!$B:$B,MATCH($J245,고압진공_재고현황!$E:$E,0)),IFERROR(INDEX(조립자재_재고현황!$B:$B,MATCH($J245,조립자재_재고현황!$E:$E,0)),"")))</f>
        <v/>
      </c>
      <c r="B245" s="43">
        <f>IF($J245="","",IFERROR(INDEX(고압진공_재고현황!$C:$C,MATCH($J245,고압진공_재고현황!$E:$E,0)),IFERROR(INDEX(조립자재_재고현황!$C:$C,MATCH($J245,조립자재_재고현황!$E:$E,0)),"")))</f>
        <v/>
      </c>
      <c r="C245" s="44" t="n"/>
      <c r="D245" s="43">
        <f>IF($P245="","",INDEX(창고_재고현황!$B:$B,$P245))</f>
        <v/>
      </c>
      <c r="E245" s="43">
        <f>IF($P245="","",INDEX(창고_재고현황!$C:$C,$P245))</f>
        <v/>
      </c>
      <c r="F245" s="44" t="n"/>
      <c r="G245" s="43">
        <f>IF($P245="","",IF(INDEX(창고_재고현황!$E:$E,$P245)=0,"",INDEX(창고_재고현황!$E:$E,$P245)))</f>
        <v/>
      </c>
      <c r="H245" s="44" t="n"/>
      <c r="I245" s="45">
        <f>IF($J245="","",IFERROR(INDEX(고압진공_재고현황!$D:$D,MATCH($J245,고압진공_재고현황!$E:$E,0)),IFERROR(INDEX(조립자재_재고현황!$D:$D,MATCH($J245,조립자재_재고현황!$E:$E,0)),"")))</f>
        <v/>
      </c>
      <c r="J245" s="45">
        <f>IF($P245="","",INDEX(창고_재고현황!$D:$D,$P245))</f>
        <v/>
      </c>
      <c r="K245" s="44" t="n"/>
      <c r="L245" s="46" t="n"/>
      <c r="M245" s="46" t="n"/>
      <c r="N245" s="47" t="n"/>
      <c r="O245" s="44" t="n"/>
      <c r="P245" s="44">
        <f>IFERROR(MATCH(ROWS($P$2:P245),창고_재고현황!$H:$H,0),"")</f>
        <v/>
      </c>
      <c r="Q245" s="42" t="n"/>
      <c r="R245" s="42" t="n"/>
      <c r="S245" s="42" t="n"/>
      <c r="T245" s="42" t="n"/>
      <c r="U245" s="42" t="n"/>
    </row>
    <row r="246" ht="48" customHeight="1">
      <c r="A246" s="43">
        <f>IF($J246="","",IFERROR(INDEX(고압진공_재고현황!$B:$B,MATCH($J246,고압진공_재고현황!$E:$E,0)),IFERROR(INDEX(조립자재_재고현황!$B:$B,MATCH($J246,조립자재_재고현황!$E:$E,0)),"")))</f>
        <v/>
      </c>
      <c r="B246" s="43">
        <f>IF($J246="","",IFERROR(INDEX(고압진공_재고현황!$C:$C,MATCH($J246,고압진공_재고현황!$E:$E,0)),IFERROR(INDEX(조립자재_재고현황!$C:$C,MATCH($J246,조립자재_재고현황!$E:$E,0)),"")))</f>
        <v/>
      </c>
      <c r="C246" s="44" t="n"/>
      <c r="D246" s="43">
        <f>IF($P246="","",INDEX(창고_재고현황!$B:$B,$P246))</f>
        <v/>
      </c>
      <c r="E246" s="43">
        <f>IF($P246="","",INDEX(창고_재고현황!$C:$C,$P246))</f>
        <v/>
      </c>
      <c r="F246" s="44" t="n"/>
      <c r="G246" s="43">
        <f>IF($P246="","",IF(INDEX(창고_재고현황!$E:$E,$P246)=0,"",INDEX(창고_재고현황!$E:$E,$P246)))</f>
        <v/>
      </c>
      <c r="H246" s="44" t="n"/>
      <c r="I246" s="45">
        <f>IF($J246="","",IFERROR(INDEX(고압진공_재고현황!$D:$D,MATCH($J246,고압진공_재고현황!$E:$E,0)),IFERROR(INDEX(조립자재_재고현황!$D:$D,MATCH($J246,조립자재_재고현황!$E:$E,0)),"")))</f>
        <v/>
      </c>
      <c r="J246" s="45">
        <f>IF($P246="","",INDEX(창고_재고현황!$D:$D,$P246))</f>
        <v/>
      </c>
      <c r="K246" s="44" t="n"/>
      <c r="L246" s="46" t="n"/>
      <c r="M246" s="46" t="n"/>
      <c r="N246" s="47" t="n"/>
      <c r="O246" s="44" t="n"/>
      <c r="P246" s="44">
        <f>IFERROR(MATCH(ROWS($P$2:P246),창고_재고현황!$H:$H,0),"")</f>
        <v/>
      </c>
      <c r="Q246" s="42" t="n"/>
      <c r="R246" s="42" t="n"/>
      <c r="S246" s="42" t="n"/>
      <c r="T246" s="42" t="n"/>
      <c r="U246" s="42" t="n"/>
    </row>
    <row r="247" ht="48" customHeight="1">
      <c r="A247" s="43">
        <f>IF($J247="","",IFERROR(INDEX(고압진공_재고현황!$B:$B,MATCH($J247,고압진공_재고현황!$E:$E,0)),IFERROR(INDEX(조립자재_재고현황!$B:$B,MATCH($J247,조립자재_재고현황!$E:$E,0)),"")))</f>
        <v/>
      </c>
      <c r="B247" s="43">
        <f>IF($J247="","",IFERROR(INDEX(고압진공_재고현황!$C:$C,MATCH($J247,고압진공_재고현황!$E:$E,0)),IFERROR(INDEX(조립자재_재고현황!$C:$C,MATCH($J247,조립자재_재고현황!$E:$E,0)),"")))</f>
        <v/>
      </c>
      <c r="C247" s="44" t="n"/>
      <c r="D247" s="43">
        <f>IF($P247="","",INDEX(창고_재고현황!$B:$B,$P247))</f>
        <v/>
      </c>
      <c r="E247" s="43">
        <f>IF($P247="","",INDEX(창고_재고현황!$C:$C,$P247))</f>
        <v/>
      </c>
      <c r="F247" s="44" t="n"/>
      <c r="G247" s="43">
        <f>IF($P247="","",IF(INDEX(창고_재고현황!$E:$E,$P247)=0,"",INDEX(창고_재고현황!$E:$E,$P247)))</f>
        <v/>
      </c>
      <c r="H247" s="44" t="n"/>
      <c r="I247" s="45">
        <f>IF($J247="","",IFERROR(INDEX(고압진공_재고현황!$D:$D,MATCH($J247,고압진공_재고현황!$E:$E,0)),IFERROR(INDEX(조립자재_재고현황!$D:$D,MATCH($J247,조립자재_재고현황!$E:$E,0)),"")))</f>
        <v/>
      </c>
      <c r="J247" s="45">
        <f>IF($P247="","",INDEX(창고_재고현황!$D:$D,$P247))</f>
        <v/>
      </c>
      <c r="K247" s="44" t="n"/>
      <c r="L247" s="46" t="n"/>
      <c r="M247" s="46" t="n"/>
      <c r="N247" s="47" t="n"/>
      <c r="O247" s="44" t="n"/>
      <c r="P247" s="44">
        <f>IFERROR(MATCH(ROWS($P$2:P247),창고_재고현황!$H:$H,0),"")</f>
        <v/>
      </c>
      <c r="Q247" s="42" t="n"/>
      <c r="R247" s="42" t="n"/>
      <c r="S247" s="42" t="n"/>
      <c r="T247" s="42" t="n"/>
      <c r="U247" s="42" t="n"/>
    </row>
    <row r="248" ht="48" customHeight="1">
      <c r="A248" s="43">
        <f>IF($J248="","",IFERROR(INDEX(고압진공_재고현황!$B:$B,MATCH($J248,고압진공_재고현황!$E:$E,0)),IFERROR(INDEX(조립자재_재고현황!$B:$B,MATCH($J248,조립자재_재고현황!$E:$E,0)),"")))</f>
        <v/>
      </c>
      <c r="B248" s="43">
        <f>IF($J248="","",IFERROR(INDEX(고압진공_재고현황!$C:$C,MATCH($J248,고압진공_재고현황!$E:$E,0)),IFERROR(INDEX(조립자재_재고현황!$C:$C,MATCH($J248,조립자재_재고현황!$E:$E,0)),"")))</f>
        <v/>
      </c>
      <c r="C248" s="44" t="n"/>
      <c r="D248" s="43">
        <f>IF($P248="","",INDEX(창고_재고현황!$B:$B,$P248))</f>
        <v/>
      </c>
      <c r="E248" s="43">
        <f>IF($P248="","",INDEX(창고_재고현황!$C:$C,$P248))</f>
        <v/>
      </c>
      <c r="F248" s="44" t="n"/>
      <c r="G248" s="43">
        <f>IF($P248="","",IF(INDEX(창고_재고현황!$E:$E,$P248)=0,"",INDEX(창고_재고현황!$E:$E,$P248)))</f>
        <v/>
      </c>
      <c r="H248" s="44" t="n"/>
      <c r="I248" s="45">
        <f>IF($J248="","",IFERROR(INDEX(고압진공_재고현황!$D:$D,MATCH($J248,고압진공_재고현황!$E:$E,0)),IFERROR(INDEX(조립자재_재고현황!$D:$D,MATCH($J248,조립자재_재고현황!$E:$E,0)),"")))</f>
        <v/>
      </c>
      <c r="J248" s="45">
        <f>IF($P248="","",INDEX(창고_재고현황!$D:$D,$P248))</f>
        <v/>
      </c>
      <c r="K248" s="44" t="n"/>
      <c r="L248" s="46" t="n"/>
      <c r="M248" s="46" t="n"/>
      <c r="N248" s="47" t="n"/>
      <c r="O248" s="44" t="n"/>
      <c r="P248" s="44">
        <f>IFERROR(MATCH(ROWS($P$2:P248),창고_재고현황!$H:$H,0),"")</f>
        <v/>
      </c>
      <c r="Q248" s="42" t="n"/>
      <c r="R248" s="42" t="n"/>
      <c r="S248" s="42" t="n"/>
      <c r="T248" s="42" t="n"/>
      <c r="U248" s="42" t="n"/>
    </row>
    <row r="249" ht="48" customHeight="1">
      <c r="A249" s="43">
        <f>IF($J249="","",IFERROR(INDEX(고압진공_재고현황!$B:$B,MATCH($J249,고압진공_재고현황!$E:$E,0)),IFERROR(INDEX(조립자재_재고현황!$B:$B,MATCH($J249,조립자재_재고현황!$E:$E,0)),"")))</f>
        <v/>
      </c>
      <c r="B249" s="43">
        <f>IF($J249="","",IFERROR(INDEX(고압진공_재고현황!$C:$C,MATCH($J249,고압진공_재고현황!$E:$E,0)),IFERROR(INDEX(조립자재_재고현황!$C:$C,MATCH($J249,조립자재_재고현황!$E:$E,0)),"")))</f>
        <v/>
      </c>
      <c r="C249" s="44" t="n"/>
      <c r="D249" s="43">
        <f>IF($P249="","",INDEX(창고_재고현황!$B:$B,$P249))</f>
        <v/>
      </c>
      <c r="E249" s="43">
        <f>IF($P249="","",INDEX(창고_재고현황!$C:$C,$P249))</f>
        <v/>
      </c>
      <c r="F249" s="44" t="n"/>
      <c r="G249" s="43">
        <f>IF($P249="","",IF(INDEX(창고_재고현황!$E:$E,$P249)=0,"",INDEX(창고_재고현황!$E:$E,$P249)))</f>
        <v/>
      </c>
      <c r="H249" s="44" t="n"/>
      <c r="I249" s="45">
        <f>IF($J249="","",IFERROR(INDEX(고압진공_재고현황!$D:$D,MATCH($J249,고압진공_재고현황!$E:$E,0)),IFERROR(INDEX(조립자재_재고현황!$D:$D,MATCH($J249,조립자재_재고현황!$E:$E,0)),"")))</f>
        <v/>
      </c>
      <c r="J249" s="45">
        <f>IF($P249="","",INDEX(창고_재고현황!$D:$D,$P249))</f>
        <v/>
      </c>
      <c r="K249" s="44" t="n"/>
      <c r="L249" s="46" t="n"/>
      <c r="M249" s="46" t="n"/>
      <c r="N249" s="47" t="n"/>
      <c r="O249" s="44" t="n"/>
      <c r="P249" s="44">
        <f>IFERROR(MATCH(ROWS($P$2:P249),창고_재고현황!$H:$H,0),"")</f>
        <v/>
      </c>
      <c r="Q249" s="42" t="n"/>
      <c r="R249" s="42" t="n"/>
      <c r="S249" s="42" t="n"/>
      <c r="T249" s="42" t="n"/>
      <c r="U249" s="42" t="n"/>
    </row>
    <row r="250" ht="48" customHeight="1">
      <c r="A250" s="43">
        <f>IF($J250="","",IFERROR(INDEX(고압진공_재고현황!$B:$B,MATCH($J250,고압진공_재고현황!$E:$E,0)),IFERROR(INDEX(조립자재_재고현황!$B:$B,MATCH($J250,조립자재_재고현황!$E:$E,0)),"")))</f>
        <v/>
      </c>
      <c r="B250" s="43">
        <f>IF($J250="","",IFERROR(INDEX(고압진공_재고현황!$C:$C,MATCH($J250,고압진공_재고현황!$E:$E,0)),IFERROR(INDEX(조립자재_재고현황!$C:$C,MATCH($J250,조립자재_재고현황!$E:$E,0)),"")))</f>
        <v/>
      </c>
      <c r="C250" s="44" t="n"/>
      <c r="D250" s="43">
        <f>IF($P250="","",INDEX(창고_재고현황!$B:$B,$P250))</f>
        <v/>
      </c>
      <c r="E250" s="43">
        <f>IF($P250="","",INDEX(창고_재고현황!$C:$C,$P250))</f>
        <v/>
      </c>
      <c r="F250" s="44" t="n"/>
      <c r="G250" s="43">
        <f>IF($P250="","",IF(INDEX(창고_재고현황!$E:$E,$P250)=0,"",INDEX(창고_재고현황!$E:$E,$P250)))</f>
        <v/>
      </c>
      <c r="H250" s="44" t="n"/>
      <c r="I250" s="45">
        <f>IF($J250="","",IFERROR(INDEX(고압진공_재고현황!$D:$D,MATCH($J250,고압진공_재고현황!$E:$E,0)),IFERROR(INDEX(조립자재_재고현황!$D:$D,MATCH($J250,조립자재_재고현황!$E:$E,0)),"")))</f>
        <v/>
      </c>
      <c r="J250" s="45">
        <f>IF($P250="","",INDEX(창고_재고현황!$D:$D,$P250))</f>
        <v/>
      </c>
      <c r="K250" s="44" t="n"/>
      <c r="L250" s="46" t="n"/>
      <c r="M250" s="46" t="n"/>
      <c r="N250" s="47" t="n"/>
      <c r="O250" s="44" t="n"/>
      <c r="P250" s="44">
        <f>IFERROR(MATCH(ROWS($P$2:P250),창고_재고현황!$H:$H,0),"")</f>
        <v/>
      </c>
      <c r="Q250" s="42" t="n"/>
      <c r="R250" s="42" t="n"/>
      <c r="S250" s="42" t="n"/>
      <c r="T250" s="42" t="n"/>
      <c r="U250" s="42" t="n"/>
    </row>
    <row r="251" ht="48" customHeight="1">
      <c r="A251" s="43">
        <f>IF($J251="","",IFERROR(INDEX(고압진공_재고현황!$B:$B,MATCH($J251,고압진공_재고현황!$E:$E,0)),IFERROR(INDEX(조립자재_재고현황!$B:$B,MATCH($J251,조립자재_재고현황!$E:$E,0)),"")))</f>
        <v/>
      </c>
      <c r="B251" s="43">
        <f>IF($J251="","",IFERROR(INDEX(고압진공_재고현황!$C:$C,MATCH($J251,고압진공_재고현황!$E:$E,0)),IFERROR(INDEX(조립자재_재고현황!$C:$C,MATCH($J251,조립자재_재고현황!$E:$E,0)),"")))</f>
        <v/>
      </c>
      <c r="C251" s="44" t="n"/>
      <c r="D251" s="43">
        <f>IF($P251="","",INDEX(창고_재고현황!$B:$B,$P251))</f>
        <v/>
      </c>
      <c r="E251" s="43">
        <f>IF($P251="","",INDEX(창고_재고현황!$C:$C,$P251))</f>
        <v/>
      </c>
      <c r="F251" s="44" t="n"/>
      <c r="G251" s="43">
        <f>IF($P251="","",IF(INDEX(창고_재고현황!$E:$E,$P251)=0,"",INDEX(창고_재고현황!$E:$E,$P251)))</f>
        <v/>
      </c>
      <c r="H251" s="44" t="n"/>
      <c r="I251" s="45">
        <f>IF($J251="","",IFERROR(INDEX(고압진공_재고현황!$D:$D,MATCH($J251,고압진공_재고현황!$E:$E,0)),IFERROR(INDEX(조립자재_재고현황!$D:$D,MATCH($J251,조립자재_재고현황!$E:$E,0)),"")))</f>
        <v/>
      </c>
      <c r="J251" s="45">
        <f>IF($P251="","",INDEX(창고_재고현황!$D:$D,$P251))</f>
        <v/>
      </c>
      <c r="K251" s="44" t="n"/>
      <c r="L251" s="46" t="n"/>
      <c r="M251" s="46" t="n"/>
      <c r="N251" s="47" t="n"/>
      <c r="O251" s="44" t="n"/>
      <c r="P251" s="44">
        <f>IFERROR(MATCH(ROWS($P$2:P251),창고_재고현황!$H:$H,0),"")</f>
        <v/>
      </c>
      <c r="Q251" s="42" t="n"/>
      <c r="R251" s="42" t="n"/>
      <c r="S251" s="42" t="n"/>
      <c r="T251" s="42" t="n"/>
      <c r="U251" s="42" t="n"/>
    </row>
    <row r="252" ht="48" customHeight="1">
      <c r="A252" s="43">
        <f>IF($J252="","",IFERROR(INDEX(고압진공_재고현황!$B:$B,MATCH($J252,고압진공_재고현황!$E:$E,0)),IFERROR(INDEX(조립자재_재고현황!$B:$B,MATCH($J252,조립자재_재고현황!$E:$E,0)),"")))</f>
        <v/>
      </c>
      <c r="B252" s="43">
        <f>IF($J252="","",IFERROR(INDEX(고압진공_재고현황!$C:$C,MATCH($J252,고압진공_재고현황!$E:$E,0)),IFERROR(INDEX(조립자재_재고현황!$C:$C,MATCH($J252,조립자재_재고현황!$E:$E,0)),"")))</f>
        <v/>
      </c>
      <c r="C252" s="44" t="n"/>
      <c r="D252" s="43">
        <f>IF($P252="","",INDEX(창고_재고현황!$B:$B,$P252))</f>
        <v/>
      </c>
      <c r="E252" s="43">
        <f>IF($P252="","",INDEX(창고_재고현황!$C:$C,$P252))</f>
        <v/>
      </c>
      <c r="F252" s="44" t="n"/>
      <c r="G252" s="43">
        <f>IF($P252="","",IF(INDEX(창고_재고현황!$E:$E,$P252)=0,"",INDEX(창고_재고현황!$E:$E,$P252)))</f>
        <v/>
      </c>
      <c r="H252" s="44" t="n"/>
      <c r="I252" s="45">
        <f>IF($J252="","",IFERROR(INDEX(고압진공_재고현황!$D:$D,MATCH($J252,고압진공_재고현황!$E:$E,0)),IFERROR(INDEX(조립자재_재고현황!$D:$D,MATCH($J252,조립자재_재고현황!$E:$E,0)),"")))</f>
        <v/>
      </c>
      <c r="J252" s="45">
        <f>IF($P252="","",INDEX(창고_재고현황!$D:$D,$P252))</f>
        <v/>
      </c>
      <c r="K252" s="44" t="n"/>
      <c r="L252" s="46" t="n"/>
      <c r="M252" s="46" t="n"/>
      <c r="N252" s="47" t="n"/>
      <c r="O252" s="44" t="n"/>
      <c r="P252" s="44">
        <f>IFERROR(MATCH(ROWS($P$2:P252),창고_재고현황!$H:$H,0),"")</f>
        <v/>
      </c>
      <c r="Q252" s="42" t="n"/>
      <c r="R252" s="42" t="n"/>
      <c r="S252" s="42" t="n"/>
      <c r="T252" s="42" t="n"/>
      <c r="U252" s="42" t="n"/>
    </row>
    <row r="253" ht="48" customHeight="1">
      <c r="A253" s="43">
        <f>IF($J253="","",IFERROR(INDEX(고압진공_재고현황!$B:$B,MATCH($J253,고압진공_재고현황!$E:$E,0)),IFERROR(INDEX(조립자재_재고현황!$B:$B,MATCH($J253,조립자재_재고현황!$E:$E,0)),"")))</f>
        <v/>
      </c>
      <c r="B253" s="43">
        <f>IF($J253="","",IFERROR(INDEX(고압진공_재고현황!$C:$C,MATCH($J253,고압진공_재고현황!$E:$E,0)),IFERROR(INDEX(조립자재_재고현황!$C:$C,MATCH($J253,조립자재_재고현황!$E:$E,0)),"")))</f>
        <v/>
      </c>
      <c r="C253" s="44" t="n"/>
      <c r="D253" s="43">
        <f>IF($P253="","",INDEX(창고_재고현황!$B:$B,$P253))</f>
        <v/>
      </c>
      <c r="E253" s="43">
        <f>IF($P253="","",INDEX(창고_재고현황!$C:$C,$P253))</f>
        <v/>
      </c>
      <c r="F253" s="44" t="n"/>
      <c r="G253" s="43">
        <f>IF($P253="","",IF(INDEX(창고_재고현황!$E:$E,$P253)=0,"",INDEX(창고_재고현황!$E:$E,$P253)))</f>
        <v/>
      </c>
      <c r="H253" s="44" t="n"/>
      <c r="I253" s="45">
        <f>IF($J253="","",IFERROR(INDEX(고압진공_재고현황!$D:$D,MATCH($J253,고압진공_재고현황!$E:$E,0)),IFERROR(INDEX(조립자재_재고현황!$D:$D,MATCH($J253,조립자재_재고현황!$E:$E,0)),"")))</f>
        <v/>
      </c>
      <c r="J253" s="45">
        <f>IF($P253="","",INDEX(창고_재고현황!$D:$D,$P253))</f>
        <v/>
      </c>
      <c r="K253" s="44" t="n"/>
      <c r="L253" s="46" t="n"/>
      <c r="M253" s="46" t="n"/>
      <c r="N253" s="47" t="n"/>
      <c r="O253" s="44" t="n"/>
      <c r="P253" s="44">
        <f>IFERROR(MATCH(ROWS($P$2:P253),창고_재고현황!$H:$H,0),"")</f>
        <v/>
      </c>
      <c r="Q253" s="42" t="n"/>
      <c r="R253" s="42" t="n"/>
      <c r="S253" s="42" t="n"/>
      <c r="T253" s="42" t="n"/>
      <c r="U253" s="42" t="n"/>
    </row>
    <row r="254" ht="48" customHeight="1">
      <c r="A254" s="43">
        <f>IF($J254="","",IFERROR(INDEX(고압진공_재고현황!$B:$B,MATCH($J254,고압진공_재고현황!$E:$E,0)),IFERROR(INDEX(조립자재_재고현황!$B:$B,MATCH($J254,조립자재_재고현황!$E:$E,0)),"")))</f>
        <v/>
      </c>
      <c r="B254" s="43">
        <f>IF($J254="","",IFERROR(INDEX(고압진공_재고현황!$C:$C,MATCH($J254,고압진공_재고현황!$E:$E,0)),IFERROR(INDEX(조립자재_재고현황!$C:$C,MATCH($J254,조립자재_재고현황!$E:$E,0)),"")))</f>
        <v/>
      </c>
      <c r="C254" s="44" t="n"/>
      <c r="D254" s="43">
        <f>IF($P254="","",INDEX(창고_재고현황!$B:$B,$P254))</f>
        <v/>
      </c>
      <c r="E254" s="43">
        <f>IF($P254="","",INDEX(창고_재고현황!$C:$C,$P254))</f>
        <v/>
      </c>
      <c r="F254" s="44" t="n"/>
      <c r="G254" s="43">
        <f>IF($P254="","",IF(INDEX(창고_재고현황!$E:$E,$P254)=0,"",INDEX(창고_재고현황!$E:$E,$P254)))</f>
        <v/>
      </c>
      <c r="H254" s="44" t="n"/>
      <c r="I254" s="45">
        <f>IF($J254="","",IFERROR(INDEX(고압진공_재고현황!$D:$D,MATCH($J254,고압진공_재고현황!$E:$E,0)),IFERROR(INDEX(조립자재_재고현황!$D:$D,MATCH($J254,조립자재_재고현황!$E:$E,0)),"")))</f>
        <v/>
      </c>
      <c r="J254" s="45">
        <f>IF($P254="","",INDEX(창고_재고현황!$D:$D,$P254))</f>
        <v/>
      </c>
      <c r="K254" s="44" t="n"/>
      <c r="L254" s="46" t="n"/>
      <c r="M254" s="46" t="n"/>
      <c r="N254" s="47" t="n"/>
      <c r="O254" s="44" t="n"/>
      <c r="P254" s="44">
        <f>IFERROR(MATCH(ROWS($P$2:P254),창고_재고현황!$H:$H,0),"")</f>
        <v/>
      </c>
      <c r="Q254" s="42" t="n"/>
      <c r="R254" s="42" t="n"/>
      <c r="S254" s="42" t="n"/>
      <c r="T254" s="42" t="n"/>
      <c r="U254" s="42" t="n"/>
    </row>
    <row r="255" ht="48" customHeight="1">
      <c r="A255" s="43">
        <f>IF($J255="","",IFERROR(INDEX(고압진공_재고현황!$B:$B,MATCH($J255,고압진공_재고현황!$E:$E,0)),IFERROR(INDEX(조립자재_재고현황!$B:$B,MATCH($J255,조립자재_재고현황!$E:$E,0)),"")))</f>
        <v/>
      </c>
      <c r="B255" s="43">
        <f>IF($J255="","",IFERROR(INDEX(고압진공_재고현황!$C:$C,MATCH($J255,고압진공_재고현황!$E:$E,0)),IFERROR(INDEX(조립자재_재고현황!$C:$C,MATCH($J255,조립자재_재고현황!$E:$E,0)),"")))</f>
        <v/>
      </c>
      <c r="C255" s="44" t="n"/>
      <c r="D255" s="43">
        <f>IF($P255="","",INDEX(창고_재고현황!$B:$B,$P255))</f>
        <v/>
      </c>
      <c r="E255" s="43">
        <f>IF($P255="","",INDEX(창고_재고현황!$C:$C,$P255))</f>
        <v/>
      </c>
      <c r="F255" s="44" t="n"/>
      <c r="G255" s="43">
        <f>IF($P255="","",IF(INDEX(창고_재고현황!$E:$E,$P255)=0,"",INDEX(창고_재고현황!$E:$E,$P255)))</f>
        <v/>
      </c>
      <c r="H255" s="44" t="n"/>
      <c r="I255" s="45">
        <f>IF($J255="","",IFERROR(INDEX(고압진공_재고현황!$D:$D,MATCH($J255,고압진공_재고현황!$E:$E,0)),IFERROR(INDEX(조립자재_재고현황!$D:$D,MATCH($J255,조립자재_재고현황!$E:$E,0)),"")))</f>
        <v/>
      </c>
      <c r="J255" s="45">
        <f>IF($P255="","",INDEX(창고_재고현황!$D:$D,$P255))</f>
        <v/>
      </c>
      <c r="K255" s="44" t="n"/>
      <c r="L255" s="46" t="n"/>
      <c r="M255" s="46" t="n"/>
      <c r="N255" s="47" t="n"/>
      <c r="O255" s="44" t="n"/>
      <c r="P255" s="44">
        <f>IFERROR(MATCH(ROWS($P$2:P255),창고_재고현황!$H:$H,0),"")</f>
        <v/>
      </c>
      <c r="Q255" s="42" t="n"/>
      <c r="R255" s="42" t="n"/>
      <c r="S255" s="42" t="n"/>
      <c r="T255" s="42" t="n"/>
      <c r="U255" s="42" t="n"/>
    </row>
    <row r="256" ht="48" customHeight="1">
      <c r="A256" s="43">
        <f>IF($J256="","",IFERROR(INDEX(고압진공_재고현황!$B:$B,MATCH($J256,고압진공_재고현황!$E:$E,0)),IFERROR(INDEX(조립자재_재고현황!$B:$B,MATCH($J256,조립자재_재고현황!$E:$E,0)),"")))</f>
        <v/>
      </c>
      <c r="B256" s="43">
        <f>IF($J256="","",IFERROR(INDEX(고압진공_재고현황!$C:$C,MATCH($J256,고압진공_재고현황!$E:$E,0)),IFERROR(INDEX(조립자재_재고현황!$C:$C,MATCH($J256,조립자재_재고현황!$E:$E,0)),"")))</f>
        <v/>
      </c>
      <c r="C256" s="44" t="n"/>
      <c r="D256" s="43">
        <f>IF($P256="","",INDEX(창고_재고현황!$B:$B,$P256))</f>
        <v/>
      </c>
      <c r="E256" s="43">
        <f>IF($P256="","",INDEX(창고_재고현황!$C:$C,$P256))</f>
        <v/>
      </c>
      <c r="F256" s="44" t="n"/>
      <c r="G256" s="43">
        <f>IF($P256="","",IF(INDEX(창고_재고현황!$E:$E,$P256)=0,"",INDEX(창고_재고현황!$E:$E,$P256)))</f>
        <v/>
      </c>
      <c r="H256" s="44" t="n"/>
      <c r="I256" s="45">
        <f>IF($J256="","",IFERROR(INDEX(고압진공_재고현황!$D:$D,MATCH($J256,고압진공_재고현황!$E:$E,0)),IFERROR(INDEX(조립자재_재고현황!$D:$D,MATCH($J256,조립자재_재고현황!$E:$E,0)),"")))</f>
        <v/>
      </c>
      <c r="J256" s="45">
        <f>IF($P256="","",INDEX(창고_재고현황!$D:$D,$P256))</f>
        <v/>
      </c>
      <c r="K256" s="44" t="n"/>
      <c r="L256" s="46" t="n"/>
      <c r="M256" s="46" t="n"/>
      <c r="N256" s="47" t="n"/>
      <c r="O256" s="44" t="n"/>
      <c r="P256" s="44">
        <f>IFERROR(MATCH(ROWS($P$2:P256),창고_재고현황!$H:$H,0),"")</f>
        <v/>
      </c>
      <c r="Q256" s="42" t="n"/>
      <c r="R256" s="42" t="n"/>
      <c r="S256" s="42" t="n"/>
      <c r="T256" s="42" t="n"/>
      <c r="U256" s="42" t="n"/>
    </row>
    <row r="257" ht="48" customHeight="1">
      <c r="A257" s="43">
        <f>IF($J257="","",IFERROR(INDEX(고압진공_재고현황!$B:$B,MATCH($J257,고압진공_재고현황!$E:$E,0)),IFERROR(INDEX(조립자재_재고현황!$B:$B,MATCH($J257,조립자재_재고현황!$E:$E,0)),"")))</f>
        <v/>
      </c>
      <c r="B257" s="43">
        <f>IF($J257="","",IFERROR(INDEX(고압진공_재고현황!$C:$C,MATCH($J257,고압진공_재고현황!$E:$E,0)),IFERROR(INDEX(조립자재_재고현황!$C:$C,MATCH($J257,조립자재_재고현황!$E:$E,0)),"")))</f>
        <v/>
      </c>
      <c r="C257" s="44" t="n"/>
      <c r="D257" s="43">
        <f>IF($P257="","",INDEX(창고_재고현황!$B:$B,$P257))</f>
        <v/>
      </c>
      <c r="E257" s="43">
        <f>IF($P257="","",INDEX(창고_재고현황!$C:$C,$P257))</f>
        <v/>
      </c>
      <c r="F257" s="44" t="n"/>
      <c r="G257" s="43">
        <f>IF($P257="","",IF(INDEX(창고_재고현황!$E:$E,$P257)=0,"",INDEX(창고_재고현황!$E:$E,$P257)))</f>
        <v/>
      </c>
      <c r="H257" s="44" t="n"/>
      <c r="I257" s="45">
        <f>IF($J257="","",IFERROR(INDEX(고압진공_재고현황!$D:$D,MATCH($J257,고압진공_재고현황!$E:$E,0)),IFERROR(INDEX(조립자재_재고현황!$D:$D,MATCH($J257,조립자재_재고현황!$E:$E,0)),"")))</f>
        <v/>
      </c>
      <c r="J257" s="45">
        <f>IF($P257="","",INDEX(창고_재고현황!$D:$D,$P257))</f>
        <v/>
      </c>
      <c r="K257" s="44" t="n"/>
      <c r="L257" s="46" t="n"/>
      <c r="M257" s="46" t="n"/>
      <c r="N257" s="47" t="n"/>
      <c r="O257" s="44" t="n"/>
      <c r="P257" s="44">
        <f>IFERROR(MATCH(ROWS($P$2:P257),창고_재고현황!$H:$H,0),"")</f>
        <v/>
      </c>
      <c r="Q257" s="42" t="n"/>
      <c r="R257" s="42" t="n"/>
      <c r="S257" s="42" t="n"/>
      <c r="T257" s="42" t="n"/>
      <c r="U257" s="42" t="n"/>
    </row>
    <row r="258" ht="48" customHeight="1">
      <c r="A258" s="43">
        <f>IF($J258="","",IFERROR(INDEX(고압진공_재고현황!$B:$B,MATCH($J258,고압진공_재고현황!$E:$E,0)),IFERROR(INDEX(조립자재_재고현황!$B:$B,MATCH($J258,조립자재_재고현황!$E:$E,0)),"")))</f>
        <v/>
      </c>
      <c r="B258" s="43">
        <f>IF($J258="","",IFERROR(INDEX(고압진공_재고현황!$C:$C,MATCH($J258,고압진공_재고현황!$E:$E,0)),IFERROR(INDEX(조립자재_재고현황!$C:$C,MATCH($J258,조립자재_재고현황!$E:$E,0)),"")))</f>
        <v/>
      </c>
      <c r="C258" s="44" t="n"/>
      <c r="D258" s="43">
        <f>IF($P258="","",INDEX(창고_재고현황!$B:$B,$P258))</f>
        <v/>
      </c>
      <c r="E258" s="43">
        <f>IF($P258="","",INDEX(창고_재고현황!$C:$C,$P258))</f>
        <v/>
      </c>
      <c r="F258" s="44" t="n"/>
      <c r="G258" s="43">
        <f>IF($P258="","",IF(INDEX(창고_재고현황!$E:$E,$P258)=0,"",INDEX(창고_재고현황!$E:$E,$P258)))</f>
        <v/>
      </c>
      <c r="H258" s="44" t="n"/>
      <c r="I258" s="45">
        <f>IF($J258="","",IFERROR(INDEX(고압진공_재고현황!$D:$D,MATCH($J258,고압진공_재고현황!$E:$E,0)),IFERROR(INDEX(조립자재_재고현황!$D:$D,MATCH($J258,조립자재_재고현황!$E:$E,0)),"")))</f>
        <v/>
      </c>
      <c r="J258" s="45">
        <f>IF($P258="","",INDEX(창고_재고현황!$D:$D,$P258))</f>
        <v/>
      </c>
      <c r="K258" s="44" t="n"/>
      <c r="L258" s="46" t="n"/>
      <c r="M258" s="46" t="n"/>
      <c r="N258" s="47" t="n"/>
      <c r="O258" s="44" t="n"/>
      <c r="P258" s="44">
        <f>IFERROR(MATCH(ROWS($P$2:P258),창고_재고현황!$H:$H,0),"")</f>
        <v/>
      </c>
      <c r="Q258" s="42" t="n"/>
      <c r="R258" s="42" t="n"/>
      <c r="S258" s="42" t="n"/>
      <c r="T258" s="42" t="n"/>
      <c r="U258" s="42" t="n"/>
    </row>
    <row r="259" ht="48" customHeight="1">
      <c r="A259" s="43">
        <f>IF($J259="","",IFERROR(INDEX(고압진공_재고현황!$B:$B,MATCH($J259,고압진공_재고현황!$E:$E,0)),IFERROR(INDEX(조립자재_재고현황!$B:$B,MATCH($J259,조립자재_재고현황!$E:$E,0)),"")))</f>
        <v/>
      </c>
      <c r="B259" s="43">
        <f>IF($J259="","",IFERROR(INDEX(고압진공_재고현황!$C:$C,MATCH($J259,고압진공_재고현황!$E:$E,0)),IFERROR(INDEX(조립자재_재고현황!$C:$C,MATCH($J259,조립자재_재고현황!$E:$E,0)),"")))</f>
        <v/>
      </c>
      <c r="C259" s="44" t="n"/>
      <c r="D259" s="43">
        <f>IF($P259="","",INDEX(창고_재고현황!$B:$B,$P259))</f>
        <v/>
      </c>
      <c r="E259" s="43">
        <f>IF($P259="","",INDEX(창고_재고현황!$C:$C,$P259))</f>
        <v/>
      </c>
      <c r="F259" s="44" t="n"/>
      <c r="G259" s="43">
        <f>IF($P259="","",IF(INDEX(창고_재고현황!$E:$E,$P259)=0,"",INDEX(창고_재고현황!$E:$E,$P259)))</f>
        <v/>
      </c>
      <c r="H259" s="44" t="n"/>
      <c r="I259" s="45">
        <f>IF($J259="","",IFERROR(INDEX(고압진공_재고현황!$D:$D,MATCH($J259,고압진공_재고현황!$E:$E,0)),IFERROR(INDEX(조립자재_재고현황!$D:$D,MATCH($J259,조립자재_재고현황!$E:$E,0)),"")))</f>
        <v/>
      </c>
      <c r="J259" s="45">
        <f>IF($P259="","",INDEX(창고_재고현황!$D:$D,$P259))</f>
        <v/>
      </c>
      <c r="K259" s="44" t="n"/>
      <c r="L259" s="46" t="n"/>
      <c r="M259" s="46" t="n"/>
      <c r="N259" s="47" t="n"/>
      <c r="O259" s="44" t="n"/>
      <c r="P259" s="44">
        <f>IFERROR(MATCH(ROWS($P$2:P259),창고_재고현황!$H:$H,0),"")</f>
        <v/>
      </c>
      <c r="Q259" s="42" t="n"/>
      <c r="R259" s="42" t="n"/>
      <c r="S259" s="42" t="n"/>
      <c r="T259" s="42" t="n"/>
      <c r="U259" s="42" t="n"/>
    </row>
    <row r="260" ht="48" customHeight="1">
      <c r="A260" s="43">
        <f>IF($J260="","",IFERROR(INDEX(고압진공_재고현황!$B:$B,MATCH($J260,고압진공_재고현황!$E:$E,0)),IFERROR(INDEX(조립자재_재고현황!$B:$B,MATCH($J260,조립자재_재고현황!$E:$E,0)),"")))</f>
        <v/>
      </c>
      <c r="B260" s="43">
        <f>IF($J260="","",IFERROR(INDEX(고압진공_재고현황!$C:$C,MATCH($J260,고압진공_재고현황!$E:$E,0)),IFERROR(INDEX(조립자재_재고현황!$C:$C,MATCH($J260,조립자재_재고현황!$E:$E,0)),"")))</f>
        <v/>
      </c>
      <c r="C260" s="44" t="n"/>
      <c r="D260" s="43">
        <f>IF($P260="","",INDEX(창고_재고현황!$B:$B,$P260))</f>
        <v/>
      </c>
      <c r="E260" s="43">
        <f>IF($P260="","",INDEX(창고_재고현황!$C:$C,$P260))</f>
        <v/>
      </c>
      <c r="F260" s="44" t="n"/>
      <c r="G260" s="43">
        <f>IF($P260="","",IF(INDEX(창고_재고현황!$E:$E,$P260)=0,"",INDEX(창고_재고현황!$E:$E,$P260)))</f>
        <v/>
      </c>
      <c r="H260" s="44" t="n"/>
      <c r="I260" s="45">
        <f>IF($J260="","",IFERROR(INDEX(고압진공_재고현황!$D:$D,MATCH($J260,고압진공_재고현황!$E:$E,0)),IFERROR(INDEX(조립자재_재고현황!$D:$D,MATCH($J260,조립자재_재고현황!$E:$E,0)),"")))</f>
        <v/>
      </c>
      <c r="J260" s="45">
        <f>IF($P260="","",INDEX(창고_재고현황!$D:$D,$P260))</f>
        <v/>
      </c>
      <c r="K260" s="44" t="n"/>
      <c r="L260" s="46" t="n"/>
      <c r="M260" s="46" t="n"/>
      <c r="N260" s="47" t="n"/>
      <c r="O260" s="44" t="n"/>
      <c r="P260" s="44">
        <f>IFERROR(MATCH(ROWS($P$2:P260),창고_재고현황!$H:$H,0),"")</f>
        <v/>
      </c>
      <c r="Q260" s="42" t="n"/>
      <c r="R260" s="42" t="n"/>
      <c r="S260" s="42" t="n"/>
      <c r="T260" s="42" t="n"/>
      <c r="U260" s="42" t="n"/>
    </row>
    <row r="261" ht="48" customHeight="1">
      <c r="A261" s="43">
        <f>IF($J261="","",IFERROR(INDEX(고압진공_재고현황!$B:$B,MATCH($J261,고압진공_재고현황!$E:$E,0)),IFERROR(INDEX(조립자재_재고현황!$B:$B,MATCH($J261,조립자재_재고현황!$E:$E,0)),"")))</f>
        <v/>
      </c>
      <c r="B261" s="43">
        <f>IF($J261="","",IFERROR(INDEX(고압진공_재고현황!$C:$C,MATCH($J261,고압진공_재고현황!$E:$E,0)),IFERROR(INDEX(조립자재_재고현황!$C:$C,MATCH($J261,조립자재_재고현황!$E:$E,0)),"")))</f>
        <v/>
      </c>
      <c r="C261" s="44" t="n"/>
      <c r="D261" s="43">
        <f>IF($P261="","",INDEX(창고_재고현황!$B:$B,$P261))</f>
        <v/>
      </c>
      <c r="E261" s="43">
        <f>IF($P261="","",INDEX(창고_재고현황!$C:$C,$P261))</f>
        <v/>
      </c>
      <c r="F261" s="44" t="n"/>
      <c r="G261" s="43">
        <f>IF($P261="","",IF(INDEX(창고_재고현황!$E:$E,$P261)=0,"",INDEX(창고_재고현황!$E:$E,$P261)))</f>
        <v/>
      </c>
      <c r="H261" s="44" t="n"/>
      <c r="I261" s="45">
        <f>IF($J261="","",IFERROR(INDEX(고압진공_재고현황!$D:$D,MATCH($J261,고압진공_재고현황!$E:$E,0)),IFERROR(INDEX(조립자재_재고현황!$D:$D,MATCH($J261,조립자재_재고현황!$E:$E,0)),"")))</f>
        <v/>
      </c>
      <c r="J261" s="45">
        <f>IF($P261="","",INDEX(창고_재고현황!$D:$D,$P261))</f>
        <v/>
      </c>
      <c r="K261" s="44" t="n"/>
      <c r="L261" s="46" t="n"/>
      <c r="M261" s="46" t="n"/>
      <c r="N261" s="47" t="n"/>
      <c r="O261" s="44" t="n"/>
      <c r="P261" s="44">
        <f>IFERROR(MATCH(ROWS($P$2:P261),창고_재고현황!$H:$H,0),"")</f>
        <v/>
      </c>
      <c r="Q261" s="42" t="n"/>
      <c r="R261" s="42" t="n"/>
      <c r="S261" s="42" t="n"/>
      <c r="T261" s="42" t="n"/>
      <c r="U261" s="42" t="n"/>
    </row>
    <row r="262" ht="48" customHeight="1">
      <c r="A262" s="43">
        <f>IF($J262="","",IFERROR(INDEX(고압진공_재고현황!$B:$B,MATCH($J262,고압진공_재고현황!$E:$E,0)),IFERROR(INDEX(조립자재_재고현황!$B:$B,MATCH($J262,조립자재_재고현황!$E:$E,0)),"")))</f>
        <v/>
      </c>
      <c r="B262" s="43">
        <f>IF($J262="","",IFERROR(INDEX(고압진공_재고현황!$C:$C,MATCH($J262,고압진공_재고현황!$E:$E,0)),IFERROR(INDEX(조립자재_재고현황!$C:$C,MATCH($J262,조립자재_재고현황!$E:$E,0)),"")))</f>
        <v/>
      </c>
      <c r="C262" s="44" t="n"/>
      <c r="D262" s="43">
        <f>IF($P262="","",INDEX(창고_재고현황!$B:$B,$P262))</f>
        <v/>
      </c>
      <c r="E262" s="43">
        <f>IF($P262="","",INDEX(창고_재고현황!$C:$C,$P262))</f>
        <v/>
      </c>
      <c r="F262" s="44" t="n"/>
      <c r="G262" s="43">
        <f>IF($P262="","",IF(INDEX(창고_재고현황!$E:$E,$P262)=0,"",INDEX(창고_재고현황!$E:$E,$P262)))</f>
        <v/>
      </c>
      <c r="H262" s="44" t="n"/>
      <c r="I262" s="45">
        <f>IF($J262="","",IFERROR(INDEX(고압진공_재고현황!$D:$D,MATCH($J262,고압진공_재고현황!$E:$E,0)),IFERROR(INDEX(조립자재_재고현황!$D:$D,MATCH($J262,조립자재_재고현황!$E:$E,0)),"")))</f>
        <v/>
      </c>
      <c r="J262" s="45">
        <f>IF($P262="","",INDEX(창고_재고현황!$D:$D,$P262))</f>
        <v/>
      </c>
      <c r="K262" s="44" t="n"/>
      <c r="L262" s="46" t="n"/>
      <c r="M262" s="46" t="n"/>
      <c r="N262" s="47" t="n"/>
      <c r="O262" s="44" t="n"/>
      <c r="P262" s="44">
        <f>IFERROR(MATCH(ROWS($P$2:P262),창고_재고현황!$H:$H,0),"")</f>
        <v/>
      </c>
      <c r="Q262" s="42" t="n"/>
      <c r="R262" s="42" t="n"/>
      <c r="S262" s="42" t="n"/>
      <c r="T262" s="42" t="n"/>
      <c r="U262" s="42" t="n"/>
    </row>
    <row r="263" ht="48" customHeight="1">
      <c r="A263" s="43">
        <f>IF($J263="","",IFERROR(INDEX(고압진공_재고현황!$B:$B,MATCH($J263,고압진공_재고현황!$E:$E,0)),IFERROR(INDEX(조립자재_재고현황!$B:$B,MATCH($J263,조립자재_재고현황!$E:$E,0)),"")))</f>
        <v/>
      </c>
      <c r="B263" s="43">
        <f>IF($J263="","",IFERROR(INDEX(고압진공_재고현황!$C:$C,MATCH($J263,고압진공_재고현황!$E:$E,0)),IFERROR(INDEX(조립자재_재고현황!$C:$C,MATCH($J263,조립자재_재고현황!$E:$E,0)),"")))</f>
        <v/>
      </c>
      <c r="C263" s="44" t="n"/>
      <c r="D263" s="43">
        <f>IF($P263="","",INDEX(창고_재고현황!$B:$B,$P263))</f>
        <v/>
      </c>
      <c r="E263" s="43">
        <f>IF($P263="","",INDEX(창고_재고현황!$C:$C,$P263))</f>
        <v/>
      </c>
      <c r="F263" s="44" t="n"/>
      <c r="G263" s="43">
        <f>IF($P263="","",IF(INDEX(창고_재고현황!$E:$E,$P263)=0,"",INDEX(창고_재고현황!$E:$E,$P263)))</f>
        <v/>
      </c>
      <c r="H263" s="44" t="n"/>
      <c r="I263" s="45">
        <f>IF($J263="","",IFERROR(INDEX(고압진공_재고현황!$D:$D,MATCH($J263,고압진공_재고현황!$E:$E,0)),IFERROR(INDEX(조립자재_재고현황!$D:$D,MATCH($J263,조립자재_재고현황!$E:$E,0)),"")))</f>
        <v/>
      </c>
      <c r="J263" s="45">
        <f>IF($P263="","",INDEX(창고_재고현황!$D:$D,$P263))</f>
        <v/>
      </c>
      <c r="K263" s="44" t="n"/>
      <c r="L263" s="46" t="n"/>
      <c r="M263" s="46" t="n"/>
      <c r="N263" s="47" t="n"/>
      <c r="O263" s="44" t="n"/>
      <c r="P263" s="44">
        <f>IFERROR(MATCH(ROWS($P$2:P263),창고_재고현황!$H:$H,0),"")</f>
        <v/>
      </c>
      <c r="Q263" s="42" t="n"/>
      <c r="R263" s="42" t="n"/>
      <c r="S263" s="42" t="n"/>
      <c r="T263" s="42" t="n"/>
      <c r="U263" s="42" t="n"/>
    </row>
    <row r="264" ht="48" customHeight="1">
      <c r="A264" s="43">
        <f>IF($J264="","",IFERROR(INDEX(고압진공_재고현황!$B:$B,MATCH($J264,고압진공_재고현황!$E:$E,0)),IFERROR(INDEX(조립자재_재고현황!$B:$B,MATCH($J264,조립자재_재고현황!$E:$E,0)),"")))</f>
        <v/>
      </c>
      <c r="B264" s="43">
        <f>IF($J264="","",IFERROR(INDEX(고압진공_재고현황!$C:$C,MATCH($J264,고압진공_재고현황!$E:$E,0)),IFERROR(INDEX(조립자재_재고현황!$C:$C,MATCH($J264,조립자재_재고현황!$E:$E,0)),"")))</f>
        <v/>
      </c>
      <c r="C264" s="44" t="n"/>
      <c r="D264" s="43">
        <f>IF($P264="","",INDEX(창고_재고현황!$B:$B,$P264))</f>
        <v/>
      </c>
      <c r="E264" s="43">
        <f>IF($P264="","",INDEX(창고_재고현황!$C:$C,$P264))</f>
        <v/>
      </c>
      <c r="F264" s="44" t="n"/>
      <c r="G264" s="43">
        <f>IF($P264="","",IF(INDEX(창고_재고현황!$E:$E,$P264)=0,"",INDEX(창고_재고현황!$E:$E,$P264)))</f>
        <v/>
      </c>
      <c r="H264" s="44" t="n"/>
      <c r="I264" s="45">
        <f>IF($J264="","",IFERROR(INDEX(고압진공_재고현황!$D:$D,MATCH($J264,고압진공_재고현황!$E:$E,0)),IFERROR(INDEX(조립자재_재고현황!$D:$D,MATCH($J264,조립자재_재고현황!$E:$E,0)),"")))</f>
        <v/>
      </c>
      <c r="J264" s="45">
        <f>IF($P264="","",INDEX(창고_재고현황!$D:$D,$P264))</f>
        <v/>
      </c>
      <c r="K264" s="44" t="n"/>
      <c r="L264" s="46" t="n"/>
      <c r="M264" s="46" t="n"/>
      <c r="N264" s="47" t="n"/>
      <c r="O264" s="44" t="n"/>
      <c r="P264" s="44">
        <f>IFERROR(MATCH(ROWS($P$2:P264),창고_재고현황!$H:$H,0),"")</f>
        <v/>
      </c>
      <c r="Q264" s="42" t="n"/>
      <c r="R264" s="42" t="n"/>
      <c r="S264" s="42" t="n"/>
      <c r="T264" s="42" t="n"/>
      <c r="U264" s="42" t="n"/>
    </row>
    <row r="265" ht="48" customHeight="1">
      <c r="A265" s="43">
        <f>IF($J265="","",IFERROR(INDEX(고압진공_재고현황!$B:$B,MATCH($J265,고압진공_재고현황!$E:$E,0)),IFERROR(INDEX(조립자재_재고현황!$B:$B,MATCH($J265,조립자재_재고현황!$E:$E,0)),"")))</f>
        <v/>
      </c>
      <c r="B265" s="43">
        <f>IF($J265="","",IFERROR(INDEX(고압진공_재고현황!$C:$C,MATCH($J265,고압진공_재고현황!$E:$E,0)),IFERROR(INDEX(조립자재_재고현황!$C:$C,MATCH($J265,조립자재_재고현황!$E:$E,0)),"")))</f>
        <v/>
      </c>
      <c r="C265" s="44" t="n"/>
      <c r="D265" s="43">
        <f>IF($P265="","",INDEX(창고_재고현황!$B:$B,$P265))</f>
        <v/>
      </c>
      <c r="E265" s="43">
        <f>IF($P265="","",INDEX(창고_재고현황!$C:$C,$P265))</f>
        <v/>
      </c>
      <c r="F265" s="44" t="n"/>
      <c r="G265" s="43">
        <f>IF($P265="","",IF(INDEX(창고_재고현황!$E:$E,$P265)=0,"",INDEX(창고_재고현황!$E:$E,$P265)))</f>
        <v/>
      </c>
      <c r="H265" s="44" t="n"/>
      <c r="I265" s="45">
        <f>IF($J265="","",IFERROR(INDEX(고압진공_재고현황!$D:$D,MATCH($J265,고압진공_재고현황!$E:$E,0)),IFERROR(INDEX(조립자재_재고현황!$D:$D,MATCH($J265,조립자재_재고현황!$E:$E,0)),"")))</f>
        <v/>
      </c>
      <c r="J265" s="45">
        <f>IF($P265="","",INDEX(창고_재고현황!$D:$D,$P265))</f>
        <v/>
      </c>
      <c r="K265" s="44" t="n"/>
      <c r="L265" s="46" t="n"/>
      <c r="M265" s="46" t="n"/>
      <c r="N265" s="47" t="n"/>
      <c r="O265" s="44" t="n"/>
      <c r="P265" s="44">
        <f>IFERROR(MATCH(ROWS($P$2:P265),창고_재고현황!$H:$H,0),"")</f>
        <v/>
      </c>
      <c r="Q265" s="42" t="n"/>
      <c r="R265" s="42" t="n"/>
      <c r="S265" s="42" t="n"/>
      <c r="T265" s="42" t="n"/>
      <c r="U265" s="42" t="n"/>
    </row>
    <row r="266" ht="48" customHeight="1">
      <c r="A266" s="43">
        <f>IF($J266="","",IFERROR(INDEX(고압진공_재고현황!$B:$B,MATCH($J266,고압진공_재고현황!$E:$E,0)),IFERROR(INDEX(조립자재_재고현황!$B:$B,MATCH($J266,조립자재_재고현황!$E:$E,0)),"")))</f>
        <v/>
      </c>
      <c r="B266" s="43">
        <f>IF($J266="","",IFERROR(INDEX(고압진공_재고현황!$C:$C,MATCH($J266,고압진공_재고현황!$E:$E,0)),IFERROR(INDEX(조립자재_재고현황!$C:$C,MATCH($J266,조립자재_재고현황!$E:$E,0)),"")))</f>
        <v/>
      </c>
      <c r="C266" s="44" t="n"/>
      <c r="D266" s="43">
        <f>IF($P266="","",INDEX(창고_재고현황!$B:$B,$P266))</f>
        <v/>
      </c>
      <c r="E266" s="43">
        <f>IF($P266="","",INDEX(창고_재고현황!$C:$C,$P266))</f>
        <v/>
      </c>
      <c r="F266" s="44" t="n"/>
      <c r="G266" s="43">
        <f>IF($P266="","",IF(INDEX(창고_재고현황!$E:$E,$P266)=0,"",INDEX(창고_재고현황!$E:$E,$P266)))</f>
        <v/>
      </c>
      <c r="H266" s="44" t="n"/>
      <c r="I266" s="45">
        <f>IF($J266="","",IFERROR(INDEX(고압진공_재고현황!$D:$D,MATCH($J266,고압진공_재고현황!$E:$E,0)),IFERROR(INDEX(조립자재_재고현황!$D:$D,MATCH($J266,조립자재_재고현황!$E:$E,0)),"")))</f>
        <v/>
      </c>
      <c r="J266" s="45">
        <f>IF($P266="","",INDEX(창고_재고현황!$D:$D,$P266))</f>
        <v/>
      </c>
      <c r="K266" s="44" t="n"/>
      <c r="L266" s="46" t="n"/>
      <c r="M266" s="46" t="n"/>
      <c r="N266" s="47" t="n"/>
      <c r="O266" s="44" t="n"/>
      <c r="P266" s="44">
        <f>IFERROR(MATCH(ROWS($P$2:P266),창고_재고현황!$H:$H,0),"")</f>
        <v/>
      </c>
      <c r="Q266" s="42" t="n"/>
      <c r="R266" s="42" t="n"/>
      <c r="S266" s="42" t="n"/>
      <c r="T266" s="42" t="n"/>
      <c r="U266" s="42" t="n"/>
    </row>
    <row r="267" ht="48" customHeight="1">
      <c r="A267" s="43">
        <f>IF($J267="","",IFERROR(INDEX(고압진공_재고현황!$B:$B,MATCH($J267,고압진공_재고현황!$E:$E,0)),IFERROR(INDEX(조립자재_재고현황!$B:$B,MATCH($J267,조립자재_재고현황!$E:$E,0)),"")))</f>
        <v/>
      </c>
      <c r="B267" s="43">
        <f>IF($J267="","",IFERROR(INDEX(고압진공_재고현황!$C:$C,MATCH($J267,고압진공_재고현황!$E:$E,0)),IFERROR(INDEX(조립자재_재고현황!$C:$C,MATCH($J267,조립자재_재고현황!$E:$E,0)),"")))</f>
        <v/>
      </c>
      <c r="C267" s="44" t="n"/>
      <c r="D267" s="43">
        <f>IF($P267="","",INDEX(창고_재고현황!$B:$B,$P267))</f>
        <v/>
      </c>
      <c r="E267" s="43">
        <f>IF($P267="","",INDEX(창고_재고현황!$C:$C,$P267))</f>
        <v/>
      </c>
      <c r="F267" s="44" t="n"/>
      <c r="G267" s="43">
        <f>IF($P267="","",IF(INDEX(창고_재고현황!$E:$E,$P267)=0,"",INDEX(창고_재고현황!$E:$E,$P267)))</f>
        <v/>
      </c>
      <c r="H267" s="44" t="n"/>
      <c r="I267" s="45">
        <f>IF($J267="","",IFERROR(INDEX(고압진공_재고현황!$D:$D,MATCH($J267,고압진공_재고현황!$E:$E,0)),IFERROR(INDEX(조립자재_재고현황!$D:$D,MATCH($J267,조립자재_재고현황!$E:$E,0)),"")))</f>
        <v/>
      </c>
      <c r="J267" s="45">
        <f>IF($P267="","",INDEX(창고_재고현황!$D:$D,$P267))</f>
        <v/>
      </c>
      <c r="K267" s="44" t="n"/>
      <c r="L267" s="46" t="n"/>
      <c r="M267" s="46" t="n"/>
      <c r="N267" s="47" t="n"/>
      <c r="O267" s="44" t="n"/>
      <c r="P267" s="44">
        <f>IFERROR(MATCH(ROWS($P$2:P267),창고_재고현황!$H:$H,0),"")</f>
        <v/>
      </c>
      <c r="Q267" s="42" t="n"/>
      <c r="R267" s="42" t="n"/>
      <c r="S267" s="42" t="n"/>
      <c r="T267" s="42" t="n"/>
      <c r="U267" s="42" t="n"/>
    </row>
    <row r="268" ht="48" customHeight="1">
      <c r="A268" s="43">
        <f>IF($J268="","",IFERROR(INDEX(고압진공_재고현황!$B:$B,MATCH($J268,고압진공_재고현황!$E:$E,0)),IFERROR(INDEX(조립자재_재고현황!$B:$B,MATCH($J268,조립자재_재고현황!$E:$E,0)),"")))</f>
        <v/>
      </c>
      <c r="B268" s="43">
        <f>IF($J268="","",IFERROR(INDEX(고압진공_재고현황!$C:$C,MATCH($J268,고압진공_재고현황!$E:$E,0)),IFERROR(INDEX(조립자재_재고현황!$C:$C,MATCH($J268,조립자재_재고현황!$E:$E,0)),"")))</f>
        <v/>
      </c>
      <c r="C268" s="44" t="n"/>
      <c r="D268" s="43">
        <f>IF($P268="","",INDEX(창고_재고현황!$B:$B,$P268))</f>
        <v/>
      </c>
      <c r="E268" s="43">
        <f>IF($P268="","",INDEX(창고_재고현황!$C:$C,$P268))</f>
        <v/>
      </c>
      <c r="F268" s="44" t="n"/>
      <c r="G268" s="43">
        <f>IF($P268="","",IF(INDEX(창고_재고현황!$E:$E,$P268)=0,"",INDEX(창고_재고현황!$E:$E,$P268)))</f>
        <v/>
      </c>
      <c r="H268" s="44" t="n"/>
      <c r="I268" s="45">
        <f>IF($J268="","",IFERROR(INDEX(고압진공_재고현황!$D:$D,MATCH($J268,고압진공_재고현황!$E:$E,0)),IFERROR(INDEX(조립자재_재고현황!$D:$D,MATCH($J268,조립자재_재고현황!$E:$E,0)),"")))</f>
        <v/>
      </c>
      <c r="J268" s="45">
        <f>IF($P268="","",INDEX(창고_재고현황!$D:$D,$P268))</f>
        <v/>
      </c>
      <c r="K268" s="44" t="n"/>
      <c r="L268" s="46" t="n"/>
      <c r="M268" s="46" t="n"/>
      <c r="N268" s="47" t="n"/>
      <c r="O268" s="44" t="n"/>
      <c r="P268" s="44">
        <f>IFERROR(MATCH(ROWS($P$2:P268),창고_재고현황!$H:$H,0),"")</f>
        <v/>
      </c>
      <c r="Q268" s="42" t="n"/>
      <c r="R268" s="42" t="n"/>
      <c r="S268" s="42" t="n"/>
      <c r="T268" s="42" t="n"/>
      <c r="U268" s="42" t="n"/>
    </row>
    <row r="269" ht="48" customHeight="1">
      <c r="A269" s="43">
        <f>IF($J269="","",IFERROR(INDEX(고압진공_재고현황!$B:$B,MATCH($J269,고압진공_재고현황!$E:$E,0)),IFERROR(INDEX(조립자재_재고현황!$B:$B,MATCH($J269,조립자재_재고현황!$E:$E,0)),"")))</f>
        <v/>
      </c>
      <c r="B269" s="43">
        <f>IF($J269="","",IFERROR(INDEX(고압진공_재고현황!$C:$C,MATCH($J269,고압진공_재고현황!$E:$E,0)),IFERROR(INDEX(조립자재_재고현황!$C:$C,MATCH($J269,조립자재_재고현황!$E:$E,0)),"")))</f>
        <v/>
      </c>
      <c r="C269" s="44" t="n"/>
      <c r="D269" s="43">
        <f>IF($P269="","",INDEX(창고_재고현황!$B:$B,$P269))</f>
        <v/>
      </c>
      <c r="E269" s="43">
        <f>IF($P269="","",INDEX(창고_재고현황!$C:$C,$P269))</f>
        <v/>
      </c>
      <c r="F269" s="44" t="n"/>
      <c r="G269" s="43">
        <f>IF($P269="","",IF(INDEX(창고_재고현황!$E:$E,$P269)=0,"",INDEX(창고_재고현황!$E:$E,$P269)))</f>
        <v/>
      </c>
      <c r="H269" s="44" t="n"/>
      <c r="I269" s="45">
        <f>IF($J269="","",IFERROR(INDEX(고압진공_재고현황!$D:$D,MATCH($J269,고압진공_재고현황!$E:$E,0)),IFERROR(INDEX(조립자재_재고현황!$D:$D,MATCH($J269,조립자재_재고현황!$E:$E,0)),"")))</f>
        <v/>
      </c>
      <c r="J269" s="45">
        <f>IF($P269="","",INDEX(창고_재고현황!$D:$D,$P269))</f>
        <v/>
      </c>
      <c r="K269" s="44" t="n"/>
      <c r="L269" s="46" t="n"/>
      <c r="M269" s="46" t="n"/>
      <c r="N269" s="47" t="n"/>
      <c r="O269" s="44" t="n"/>
      <c r="P269" s="44">
        <f>IFERROR(MATCH(ROWS($P$2:P269),창고_재고현황!$H:$H,0),"")</f>
        <v/>
      </c>
      <c r="Q269" s="42" t="n"/>
      <c r="R269" s="42" t="n"/>
      <c r="S269" s="42" t="n"/>
      <c r="T269" s="42" t="n"/>
      <c r="U269" s="42" t="n"/>
    </row>
    <row r="270" ht="48" customHeight="1">
      <c r="A270" s="43">
        <f>IF($J270="","",IFERROR(INDEX(고압진공_재고현황!$B:$B,MATCH($J270,고압진공_재고현황!$E:$E,0)),IFERROR(INDEX(조립자재_재고현황!$B:$B,MATCH($J270,조립자재_재고현황!$E:$E,0)),"")))</f>
        <v/>
      </c>
      <c r="B270" s="43">
        <f>IF($J270="","",IFERROR(INDEX(고압진공_재고현황!$C:$C,MATCH($J270,고압진공_재고현황!$E:$E,0)),IFERROR(INDEX(조립자재_재고현황!$C:$C,MATCH($J270,조립자재_재고현황!$E:$E,0)),"")))</f>
        <v/>
      </c>
      <c r="C270" s="44" t="n"/>
      <c r="D270" s="43">
        <f>IF($P270="","",INDEX(창고_재고현황!$B:$B,$P270))</f>
        <v/>
      </c>
      <c r="E270" s="43">
        <f>IF($P270="","",INDEX(창고_재고현황!$C:$C,$P270))</f>
        <v/>
      </c>
      <c r="F270" s="44" t="n"/>
      <c r="G270" s="43">
        <f>IF($P270="","",IF(INDEX(창고_재고현황!$E:$E,$P270)=0,"",INDEX(창고_재고현황!$E:$E,$P270)))</f>
        <v/>
      </c>
      <c r="H270" s="44" t="n"/>
      <c r="I270" s="45">
        <f>IF($J270="","",IFERROR(INDEX(고압진공_재고현황!$D:$D,MATCH($J270,고압진공_재고현황!$E:$E,0)),IFERROR(INDEX(조립자재_재고현황!$D:$D,MATCH($J270,조립자재_재고현황!$E:$E,0)),"")))</f>
        <v/>
      </c>
      <c r="J270" s="45">
        <f>IF($P270="","",INDEX(창고_재고현황!$D:$D,$P270))</f>
        <v/>
      </c>
      <c r="K270" s="44" t="n"/>
      <c r="L270" s="46" t="n"/>
      <c r="M270" s="46" t="n"/>
      <c r="N270" s="47" t="n"/>
      <c r="O270" s="44" t="n"/>
      <c r="P270" s="44">
        <f>IFERROR(MATCH(ROWS($P$2:P270),창고_재고현황!$H:$H,0),"")</f>
        <v/>
      </c>
      <c r="Q270" s="42" t="n"/>
      <c r="R270" s="42" t="n"/>
      <c r="S270" s="42" t="n"/>
      <c r="T270" s="42" t="n"/>
      <c r="U270" s="42" t="n"/>
    </row>
    <row r="271" ht="48" customHeight="1">
      <c r="A271" s="43">
        <f>IF($J271="","",IFERROR(INDEX(고압진공_재고현황!$B:$B,MATCH($J271,고압진공_재고현황!$E:$E,0)),IFERROR(INDEX(조립자재_재고현황!$B:$B,MATCH($J271,조립자재_재고현황!$E:$E,0)),"")))</f>
        <v/>
      </c>
      <c r="B271" s="43">
        <f>IF($J271="","",IFERROR(INDEX(고압진공_재고현황!$C:$C,MATCH($J271,고압진공_재고현황!$E:$E,0)),IFERROR(INDEX(조립자재_재고현황!$C:$C,MATCH($J271,조립자재_재고현황!$E:$E,0)),"")))</f>
        <v/>
      </c>
      <c r="C271" s="44" t="n"/>
      <c r="D271" s="43">
        <f>IF($P271="","",INDEX(창고_재고현황!$B:$B,$P271))</f>
        <v/>
      </c>
      <c r="E271" s="43">
        <f>IF($P271="","",INDEX(창고_재고현황!$C:$C,$P271))</f>
        <v/>
      </c>
      <c r="F271" s="44" t="n"/>
      <c r="G271" s="43">
        <f>IF($P271="","",IF(INDEX(창고_재고현황!$E:$E,$P271)=0,"",INDEX(창고_재고현황!$E:$E,$P271)))</f>
        <v/>
      </c>
      <c r="H271" s="44" t="n"/>
      <c r="I271" s="45">
        <f>IF($J271="","",IFERROR(INDEX(고압진공_재고현황!$D:$D,MATCH($J271,고압진공_재고현황!$E:$E,0)),IFERROR(INDEX(조립자재_재고현황!$D:$D,MATCH($J271,조립자재_재고현황!$E:$E,0)),"")))</f>
        <v/>
      </c>
      <c r="J271" s="45">
        <f>IF($P271="","",INDEX(창고_재고현황!$D:$D,$P271))</f>
        <v/>
      </c>
      <c r="K271" s="44" t="n"/>
      <c r="L271" s="46" t="n"/>
      <c r="M271" s="46" t="n"/>
      <c r="N271" s="47" t="n"/>
      <c r="O271" s="44" t="n"/>
      <c r="P271" s="44">
        <f>IFERROR(MATCH(ROWS($P$2:P271),창고_재고현황!$H:$H,0),"")</f>
        <v/>
      </c>
      <c r="Q271" s="42" t="n"/>
      <c r="R271" s="42" t="n"/>
      <c r="S271" s="42" t="n"/>
      <c r="T271" s="42" t="n"/>
      <c r="U271" s="42" t="n"/>
    </row>
    <row r="272" ht="48" customHeight="1">
      <c r="A272" s="43">
        <f>IF($J272="","",IFERROR(INDEX(고압진공_재고현황!$B:$B,MATCH($J272,고압진공_재고현황!$E:$E,0)),IFERROR(INDEX(조립자재_재고현황!$B:$B,MATCH($J272,조립자재_재고현황!$E:$E,0)),"")))</f>
        <v/>
      </c>
      <c r="B272" s="43">
        <f>IF($J272="","",IFERROR(INDEX(고압진공_재고현황!$C:$C,MATCH($J272,고압진공_재고현황!$E:$E,0)),IFERROR(INDEX(조립자재_재고현황!$C:$C,MATCH($J272,조립자재_재고현황!$E:$E,0)),"")))</f>
        <v/>
      </c>
      <c r="C272" s="44" t="n"/>
      <c r="D272" s="43">
        <f>IF($P272="","",INDEX(창고_재고현황!$B:$B,$P272))</f>
        <v/>
      </c>
      <c r="E272" s="43">
        <f>IF($P272="","",INDEX(창고_재고현황!$C:$C,$P272))</f>
        <v/>
      </c>
      <c r="F272" s="44" t="n"/>
      <c r="G272" s="43">
        <f>IF($P272="","",IF(INDEX(창고_재고현황!$E:$E,$P272)=0,"",INDEX(창고_재고현황!$E:$E,$P272)))</f>
        <v/>
      </c>
      <c r="H272" s="44" t="n"/>
      <c r="I272" s="45">
        <f>IF($J272="","",IFERROR(INDEX(고압진공_재고현황!$D:$D,MATCH($J272,고압진공_재고현황!$E:$E,0)),IFERROR(INDEX(조립자재_재고현황!$D:$D,MATCH($J272,조립자재_재고현황!$E:$E,0)),"")))</f>
        <v/>
      </c>
      <c r="J272" s="45">
        <f>IF($P272="","",INDEX(창고_재고현황!$D:$D,$P272))</f>
        <v/>
      </c>
      <c r="K272" s="44" t="n"/>
      <c r="L272" s="46" t="n"/>
      <c r="M272" s="46" t="n"/>
      <c r="N272" s="47" t="n"/>
      <c r="O272" s="44" t="n"/>
      <c r="P272" s="44">
        <f>IFERROR(MATCH(ROWS($P$2:P272),창고_재고현황!$H:$H,0),"")</f>
        <v/>
      </c>
      <c r="Q272" s="42" t="n"/>
      <c r="R272" s="42" t="n"/>
      <c r="S272" s="42" t="n"/>
      <c r="T272" s="42" t="n"/>
      <c r="U272" s="42" t="n"/>
    </row>
    <row r="273" ht="48" customHeight="1">
      <c r="A273" s="43">
        <f>IF($J273="","",IFERROR(INDEX(고압진공_재고현황!$B:$B,MATCH($J273,고압진공_재고현황!$E:$E,0)),IFERROR(INDEX(조립자재_재고현황!$B:$B,MATCH($J273,조립자재_재고현황!$E:$E,0)),"")))</f>
        <v/>
      </c>
      <c r="B273" s="43">
        <f>IF($J273="","",IFERROR(INDEX(고압진공_재고현황!$C:$C,MATCH($J273,고압진공_재고현황!$E:$E,0)),IFERROR(INDEX(조립자재_재고현황!$C:$C,MATCH($J273,조립자재_재고현황!$E:$E,0)),"")))</f>
        <v/>
      </c>
      <c r="C273" s="44" t="n"/>
      <c r="D273" s="43">
        <f>IF($P273="","",INDEX(창고_재고현황!$B:$B,$P273))</f>
        <v/>
      </c>
      <c r="E273" s="43">
        <f>IF($P273="","",INDEX(창고_재고현황!$C:$C,$P273))</f>
        <v/>
      </c>
      <c r="F273" s="44" t="n"/>
      <c r="G273" s="43">
        <f>IF($P273="","",IF(INDEX(창고_재고현황!$E:$E,$P273)=0,"",INDEX(창고_재고현황!$E:$E,$P273)))</f>
        <v/>
      </c>
      <c r="H273" s="44" t="n"/>
      <c r="I273" s="45">
        <f>IF($J273="","",IFERROR(INDEX(고압진공_재고현황!$D:$D,MATCH($J273,고압진공_재고현황!$E:$E,0)),IFERROR(INDEX(조립자재_재고현황!$D:$D,MATCH($J273,조립자재_재고현황!$E:$E,0)),"")))</f>
        <v/>
      </c>
      <c r="J273" s="45">
        <f>IF($P273="","",INDEX(창고_재고현황!$D:$D,$P273))</f>
        <v/>
      </c>
      <c r="K273" s="44" t="n"/>
      <c r="L273" s="46" t="n"/>
      <c r="M273" s="46" t="n"/>
      <c r="N273" s="47" t="n"/>
      <c r="O273" s="44" t="n"/>
      <c r="P273" s="44">
        <f>IFERROR(MATCH(ROWS($P$2:P273),창고_재고현황!$H:$H,0),"")</f>
        <v/>
      </c>
      <c r="Q273" s="42" t="n"/>
      <c r="R273" s="42" t="n"/>
      <c r="S273" s="42" t="n"/>
      <c r="T273" s="42" t="n"/>
      <c r="U273" s="42" t="n"/>
    </row>
    <row r="274" ht="48" customHeight="1">
      <c r="A274" s="43">
        <f>IF($J274="","",IFERROR(INDEX(고압진공_재고현황!$B:$B,MATCH($J274,고압진공_재고현황!$E:$E,0)),IFERROR(INDEX(조립자재_재고현황!$B:$B,MATCH($J274,조립자재_재고현황!$E:$E,0)),"")))</f>
        <v/>
      </c>
      <c r="B274" s="43">
        <f>IF($J274="","",IFERROR(INDEX(고압진공_재고현황!$C:$C,MATCH($J274,고압진공_재고현황!$E:$E,0)),IFERROR(INDEX(조립자재_재고현황!$C:$C,MATCH($J274,조립자재_재고현황!$E:$E,0)),"")))</f>
        <v/>
      </c>
      <c r="C274" s="44" t="n"/>
      <c r="D274" s="43">
        <f>IF($P274="","",INDEX(창고_재고현황!$B:$B,$P274))</f>
        <v/>
      </c>
      <c r="E274" s="43">
        <f>IF($P274="","",INDEX(창고_재고현황!$C:$C,$P274))</f>
        <v/>
      </c>
      <c r="F274" s="44" t="n"/>
      <c r="G274" s="43">
        <f>IF($P274="","",IF(INDEX(창고_재고현황!$E:$E,$P274)=0,"",INDEX(창고_재고현황!$E:$E,$P274)))</f>
        <v/>
      </c>
      <c r="H274" s="44" t="n"/>
      <c r="I274" s="45">
        <f>IF($J274="","",IFERROR(INDEX(고압진공_재고현황!$D:$D,MATCH($J274,고압진공_재고현황!$E:$E,0)),IFERROR(INDEX(조립자재_재고현황!$D:$D,MATCH($J274,조립자재_재고현황!$E:$E,0)),"")))</f>
        <v/>
      </c>
      <c r="J274" s="45">
        <f>IF($P274="","",INDEX(창고_재고현황!$D:$D,$P274))</f>
        <v/>
      </c>
      <c r="K274" s="44" t="n"/>
      <c r="L274" s="46" t="n"/>
      <c r="M274" s="46" t="n"/>
      <c r="N274" s="47" t="n"/>
      <c r="O274" s="44" t="n"/>
      <c r="P274" s="44">
        <f>IFERROR(MATCH(ROWS($P$2:P274),창고_재고현황!$H:$H,0),"")</f>
        <v/>
      </c>
      <c r="Q274" s="42" t="n"/>
      <c r="R274" s="42" t="n"/>
      <c r="S274" s="42" t="n"/>
      <c r="T274" s="42" t="n"/>
      <c r="U274" s="42" t="n"/>
    </row>
    <row r="275" ht="48" customHeight="1">
      <c r="A275" s="43">
        <f>IF($J275="","",IFERROR(INDEX(고압진공_재고현황!$B:$B,MATCH($J275,고압진공_재고현황!$E:$E,0)),IFERROR(INDEX(조립자재_재고현황!$B:$B,MATCH($J275,조립자재_재고현황!$E:$E,0)),"")))</f>
        <v/>
      </c>
      <c r="B275" s="43">
        <f>IF($J275="","",IFERROR(INDEX(고압진공_재고현황!$C:$C,MATCH($J275,고압진공_재고현황!$E:$E,0)),IFERROR(INDEX(조립자재_재고현황!$C:$C,MATCH($J275,조립자재_재고현황!$E:$E,0)),"")))</f>
        <v/>
      </c>
      <c r="C275" s="44" t="n"/>
      <c r="D275" s="43">
        <f>IF($P275="","",INDEX(창고_재고현황!$B:$B,$P275))</f>
        <v/>
      </c>
      <c r="E275" s="43">
        <f>IF($P275="","",INDEX(창고_재고현황!$C:$C,$P275))</f>
        <v/>
      </c>
      <c r="F275" s="44" t="n"/>
      <c r="G275" s="43">
        <f>IF($P275="","",IF(INDEX(창고_재고현황!$E:$E,$P275)=0,"",INDEX(창고_재고현황!$E:$E,$P275)))</f>
        <v/>
      </c>
      <c r="H275" s="44" t="n"/>
      <c r="I275" s="45">
        <f>IF($J275="","",IFERROR(INDEX(고압진공_재고현황!$D:$D,MATCH($J275,고압진공_재고현황!$E:$E,0)),IFERROR(INDEX(조립자재_재고현황!$D:$D,MATCH($J275,조립자재_재고현황!$E:$E,0)),"")))</f>
        <v/>
      </c>
      <c r="J275" s="45">
        <f>IF($P275="","",INDEX(창고_재고현황!$D:$D,$P275))</f>
        <v/>
      </c>
      <c r="K275" s="44" t="n"/>
      <c r="L275" s="46" t="n"/>
      <c r="M275" s="46" t="n"/>
      <c r="N275" s="47" t="n"/>
      <c r="O275" s="44" t="n"/>
      <c r="P275" s="44">
        <f>IFERROR(MATCH(ROWS($P$2:P275),창고_재고현황!$H:$H,0),"")</f>
        <v/>
      </c>
      <c r="Q275" s="42" t="n"/>
      <c r="R275" s="42" t="n"/>
      <c r="S275" s="42" t="n"/>
      <c r="T275" s="42" t="n"/>
      <c r="U275" s="42" t="n"/>
    </row>
    <row r="276" ht="48" customHeight="1">
      <c r="A276" s="43">
        <f>IF($J276="","",IFERROR(INDEX(고압진공_재고현황!$B:$B,MATCH($J276,고압진공_재고현황!$E:$E,0)),IFERROR(INDEX(조립자재_재고현황!$B:$B,MATCH($J276,조립자재_재고현황!$E:$E,0)),"")))</f>
        <v/>
      </c>
      <c r="B276" s="43">
        <f>IF($J276="","",IFERROR(INDEX(고압진공_재고현황!$C:$C,MATCH($J276,고압진공_재고현황!$E:$E,0)),IFERROR(INDEX(조립자재_재고현황!$C:$C,MATCH($J276,조립자재_재고현황!$E:$E,0)),"")))</f>
        <v/>
      </c>
      <c r="C276" s="44" t="n"/>
      <c r="D276" s="43">
        <f>IF($P276="","",INDEX(창고_재고현황!$B:$B,$P276))</f>
        <v/>
      </c>
      <c r="E276" s="43">
        <f>IF($P276="","",INDEX(창고_재고현황!$C:$C,$P276))</f>
        <v/>
      </c>
      <c r="F276" s="44" t="n"/>
      <c r="G276" s="43">
        <f>IF($P276="","",IF(INDEX(창고_재고현황!$E:$E,$P276)=0,"",INDEX(창고_재고현황!$E:$E,$P276)))</f>
        <v/>
      </c>
      <c r="H276" s="44" t="n"/>
      <c r="I276" s="45">
        <f>IF($J276="","",IFERROR(INDEX(고압진공_재고현황!$D:$D,MATCH($J276,고압진공_재고현황!$E:$E,0)),IFERROR(INDEX(조립자재_재고현황!$D:$D,MATCH($J276,조립자재_재고현황!$E:$E,0)),"")))</f>
        <v/>
      </c>
      <c r="J276" s="45">
        <f>IF($P276="","",INDEX(창고_재고현황!$D:$D,$P276))</f>
        <v/>
      </c>
      <c r="K276" s="44" t="n"/>
      <c r="L276" s="46" t="n"/>
      <c r="M276" s="46" t="n"/>
      <c r="N276" s="47" t="n"/>
      <c r="O276" s="44" t="n"/>
      <c r="P276" s="44">
        <f>IFERROR(MATCH(ROWS($P$2:P276),창고_재고현황!$H:$H,0),"")</f>
        <v/>
      </c>
      <c r="Q276" s="42" t="n"/>
      <c r="R276" s="42" t="n"/>
      <c r="S276" s="42" t="n"/>
      <c r="T276" s="42" t="n"/>
      <c r="U276" s="42" t="n"/>
    </row>
    <row r="277" ht="48" customHeight="1">
      <c r="A277" s="43">
        <f>IF($J277="","",IFERROR(INDEX(고압진공_재고현황!$B:$B,MATCH($J277,고압진공_재고현황!$E:$E,0)),IFERROR(INDEX(조립자재_재고현황!$B:$B,MATCH($J277,조립자재_재고현황!$E:$E,0)),"")))</f>
        <v/>
      </c>
      <c r="B277" s="43">
        <f>IF($J277="","",IFERROR(INDEX(고압진공_재고현황!$C:$C,MATCH($J277,고압진공_재고현황!$E:$E,0)),IFERROR(INDEX(조립자재_재고현황!$C:$C,MATCH($J277,조립자재_재고현황!$E:$E,0)),"")))</f>
        <v/>
      </c>
      <c r="C277" s="44" t="n"/>
      <c r="D277" s="43">
        <f>IF($P277="","",INDEX(창고_재고현황!$B:$B,$P277))</f>
        <v/>
      </c>
      <c r="E277" s="43">
        <f>IF($P277="","",INDEX(창고_재고현황!$C:$C,$P277))</f>
        <v/>
      </c>
      <c r="F277" s="44" t="n"/>
      <c r="G277" s="43">
        <f>IF($P277="","",IF(INDEX(창고_재고현황!$E:$E,$P277)=0,"",INDEX(창고_재고현황!$E:$E,$P277)))</f>
        <v/>
      </c>
      <c r="H277" s="44" t="n"/>
      <c r="I277" s="45">
        <f>IF($J277="","",IFERROR(INDEX(고압진공_재고현황!$D:$D,MATCH($J277,고압진공_재고현황!$E:$E,0)),IFERROR(INDEX(조립자재_재고현황!$D:$D,MATCH($J277,조립자재_재고현황!$E:$E,0)),"")))</f>
        <v/>
      </c>
      <c r="J277" s="45">
        <f>IF($P277="","",INDEX(창고_재고현황!$D:$D,$P277))</f>
        <v/>
      </c>
      <c r="K277" s="44" t="n"/>
      <c r="L277" s="46" t="n"/>
      <c r="M277" s="46" t="n"/>
      <c r="N277" s="47" t="n"/>
      <c r="O277" s="44" t="n"/>
      <c r="P277" s="44">
        <f>IFERROR(MATCH(ROWS($P$2:P277),창고_재고현황!$H:$H,0),"")</f>
        <v/>
      </c>
      <c r="Q277" s="42" t="n"/>
      <c r="R277" s="42" t="n"/>
      <c r="S277" s="42" t="n"/>
      <c r="T277" s="42" t="n"/>
      <c r="U277" s="42" t="n"/>
    </row>
    <row r="278" ht="48" customHeight="1">
      <c r="A278" s="43">
        <f>IF($J278="","",IFERROR(INDEX(고압진공_재고현황!$B:$B,MATCH($J278,고압진공_재고현황!$E:$E,0)),IFERROR(INDEX(조립자재_재고현황!$B:$B,MATCH($J278,조립자재_재고현황!$E:$E,0)),"")))</f>
        <v/>
      </c>
      <c r="B278" s="43">
        <f>IF($J278="","",IFERROR(INDEX(고압진공_재고현황!$C:$C,MATCH($J278,고압진공_재고현황!$E:$E,0)),IFERROR(INDEX(조립자재_재고현황!$C:$C,MATCH($J278,조립자재_재고현황!$E:$E,0)),"")))</f>
        <v/>
      </c>
      <c r="C278" s="44" t="n"/>
      <c r="D278" s="43">
        <f>IF($P278="","",INDEX(창고_재고현황!$B:$B,$P278))</f>
        <v/>
      </c>
      <c r="E278" s="43">
        <f>IF($P278="","",INDEX(창고_재고현황!$C:$C,$P278))</f>
        <v/>
      </c>
      <c r="F278" s="44" t="n"/>
      <c r="G278" s="43">
        <f>IF($P278="","",IF(INDEX(창고_재고현황!$E:$E,$P278)=0,"",INDEX(창고_재고현황!$E:$E,$P278)))</f>
        <v/>
      </c>
      <c r="H278" s="44" t="n"/>
      <c r="I278" s="45">
        <f>IF($J278="","",IFERROR(INDEX(고압진공_재고현황!$D:$D,MATCH($J278,고압진공_재고현황!$E:$E,0)),IFERROR(INDEX(조립자재_재고현황!$D:$D,MATCH($J278,조립자재_재고현황!$E:$E,0)),"")))</f>
        <v/>
      </c>
      <c r="J278" s="45">
        <f>IF($P278="","",INDEX(창고_재고현황!$D:$D,$P278))</f>
        <v/>
      </c>
      <c r="K278" s="44" t="n"/>
      <c r="L278" s="46" t="n"/>
      <c r="M278" s="46" t="n"/>
      <c r="N278" s="47" t="n"/>
      <c r="O278" s="44" t="n"/>
      <c r="P278" s="44">
        <f>IFERROR(MATCH(ROWS($P$2:P278),창고_재고현황!$H:$H,0),"")</f>
        <v/>
      </c>
      <c r="Q278" s="42" t="n"/>
      <c r="R278" s="42" t="n"/>
      <c r="S278" s="42" t="n"/>
      <c r="T278" s="42" t="n"/>
      <c r="U278" s="42" t="n"/>
    </row>
    <row r="279" ht="48" customHeight="1">
      <c r="A279" s="43">
        <f>IF($J279="","",IFERROR(INDEX(고압진공_재고현황!$B:$B,MATCH($J279,고압진공_재고현황!$E:$E,0)),IFERROR(INDEX(조립자재_재고현황!$B:$B,MATCH($J279,조립자재_재고현황!$E:$E,0)),"")))</f>
        <v/>
      </c>
      <c r="B279" s="43">
        <f>IF($J279="","",IFERROR(INDEX(고압진공_재고현황!$C:$C,MATCH($J279,고압진공_재고현황!$E:$E,0)),IFERROR(INDEX(조립자재_재고현황!$C:$C,MATCH($J279,조립자재_재고현황!$E:$E,0)),"")))</f>
        <v/>
      </c>
      <c r="C279" s="44" t="n"/>
      <c r="D279" s="43">
        <f>IF($P279="","",INDEX(창고_재고현황!$B:$B,$P279))</f>
        <v/>
      </c>
      <c r="E279" s="43">
        <f>IF($P279="","",INDEX(창고_재고현황!$C:$C,$P279))</f>
        <v/>
      </c>
      <c r="F279" s="44" t="n"/>
      <c r="G279" s="43">
        <f>IF($P279="","",IF(INDEX(창고_재고현황!$E:$E,$P279)=0,"",INDEX(창고_재고현황!$E:$E,$P279)))</f>
        <v/>
      </c>
      <c r="H279" s="44" t="n"/>
      <c r="I279" s="45">
        <f>IF($J279="","",IFERROR(INDEX(고압진공_재고현황!$D:$D,MATCH($J279,고압진공_재고현황!$E:$E,0)),IFERROR(INDEX(조립자재_재고현황!$D:$D,MATCH($J279,조립자재_재고현황!$E:$E,0)),"")))</f>
        <v/>
      </c>
      <c r="J279" s="45">
        <f>IF($P279="","",INDEX(창고_재고현황!$D:$D,$P279))</f>
        <v/>
      </c>
      <c r="K279" s="44" t="n"/>
      <c r="L279" s="46" t="n"/>
      <c r="M279" s="46" t="n"/>
      <c r="N279" s="47" t="n"/>
      <c r="O279" s="44" t="n"/>
      <c r="P279" s="44">
        <f>IFERROR(MATCH(ROWS($P$2:P279),창고_재고현황!$H:$H,0),"")</f>
        <v/>
      </c>
      <c r="Q279" s="42" t="n"/>
      <c r="R279" s="42" t="n"/>
      <c r="S279" s="42" t="n"/>
      <c r="T279" s="42" t="n"/>
      <c r="U279" s="42" t="n"/>
    </row>
    <row r="280" ht="48" customHeight="1">
      <c r="A280" s="43">
        <f>IF($J280="","",IFERROR(INDEX(고압진공_재고현황!$B:$B,MATCH($J280,고압진공_재고현황!$E:$E,0)),IFERROR(INDEX(조립자재_재고현황!$B:$B,MATCH($J280,조립자재_재고현황!$E:$E,0)),"")))</f>
        <v/>
      </c>
      <c r="B280" s="43">
        <f>IF($J280="","",IFERROR(INDEX(고압진공_재고현황!$C:$C,MATCH($J280,고압진공_재고현황!$E:$E,0)),IFERROR(INDEX(조립자재_재고현황!$C:$C,MATCH($J280,조립자재_재고현황!$E:$E,0)),"")))</f>
        <v/>
      </c>
      <c r="C280" s="44" t="n"/>
      <c r="D280" s="43">
        <f>IF($P280="","",INDEX(창고_재고현황!$B:$B,$P280))</f>
        <v/>
      </c>
      <c r="E280" s="43">
        <f>IF($P280="","",INDEX(창고_재고현황!$C:$C,$P280))</f>
        <v/>
      </c>
      <c r="F280" s="44" t="n"/>
      <c r="G280" s="43">
        <f>IF($P280="","",IF(INDEX(창고_재고현황!$E:$E,$P280)=0,"",INDEX(창고_재고현황!$E:$E,$P280)))</f>
        <v/>
      </c>
      <c r="H280" s="44" t="n"/>
      <c r="I280" s="45">
        <f>IF($J280="","",IFERROR(INDEX(고압진공_재고현황!$D:$D,MATCH($J280,고압진공_재고현황!$E:$E,0)),IFERROR(INDEX(조립자재_재고현황!$D:$D,MATCH($J280,조립자재_재고현황!$E:$E,0)),"")))</f>
        <v/>
      </c>
      <c r="J280" s="45">
        <f>IF($P280="","",INDEX(창고_재고현황!$D:$D,$P280))</f>
        <v/>
      </c>
      <c r="K280" s="44" t="n"/>
      <c r="L280" s="46" t="n"/>
      <c r="M280" s="46" t="n"/>
      <c r="N280" s="47" t="n"/>
      <c r="O280" s="44" t="n"/>
      <c r="P280" s="44">
        <f>IFERROR(MATCH(ROWS($P$2:P280),창고_재고현황!$H:$H,0),"")</f>
        <v/>
      </c>
      <c r="Q280" s="42" t="n"/>
      <c r="R280" s="42" t="n"/>
      <c r="S280" s="42" t="n"/>
      <c r="T280" s="42" t="n"/>
      <c r="U280" s="42" t="n"/>
    </row>
    <row r="281" ht="48" customHeight="1">
      <c r="A281" s="43">
        <f>IF($J281="","",IFERROR(INDEX(고압진공_재고현황!$B:$B,MATCH($J281,고압진공_재고현황!$E:$E,0)),IFERROR(INDEX(조립자재_재고현황!$B:$B,MATCH($J281,조립자재_재고현황!$E:$E,0)),"")))</f>
        <v/>
      </c>
      <c r="B281" s="43">
        <f>IF($J281="","",IFERROR(INDEX(고압진공_재고현황!$C:$C,MATCH($J281,고압진공_재고현황!$E:$E,0)),IFERROR(INDEX(조립자재_재고현황!$C:$C,MATCH($J281,조립자재_재고현황!$E:$E,0)),"")))</f>
        <v/>
      </c>
      <c r="C281" s="44" t="n"/>
      <c r="D281" s="43">
        <f>IF($P281="","",INDEX(창고_재고현황!$B:$B,$P281))</f>
        <v/>
      </c>
      <c r="E281" s="43">
        <f>IF($P281="","",INDEX(창고_재고현황!$C:$C,$P281))</f>
        <v/>
      </c>
      <c r="F281" s="44" t="n"/>
      <c r="G281" s="43">
        <f>IF($P281="","",IF(INDEX(창고_재고현황!$E:$E,$P281)=0,"",INDEX(창고_재고현황!$E:$E,$P281)))</f>
        <v/>
      </c>
      <c r="H281" s="44" t="n"/>
      <c r="I281" s="45">
        <f>IF($J281="","",IFERROR(INDEX(고압진공_재고현황!$D:$D,MATCH($J281,고압진공_재고현황!$E:$E,0)),IFERROR(INDEX(조립자재_재고현황!$D:$D,MATCH($J281,조립자재_재고현황!$E:$E,0)),"")))</f>
        <v/>
      </c>
      <c r="J281" s="45">
        <f>IF($P281="","",INDEX(창고_재고현황!$D:$D,$P281))</f>
        <v/>
      </c>
      <c r="K281" s="44" t="n"/>
      <c r="L281" s="46" t="n"/>
      <c r="M281" s="46" t="n"/>
      <c r="N281" s="47" t="n"/>
      <c r="O281" s="44" t="n"/>
      <c r="P281" s="44">
        <f>IFERROR(MATCH(ROWS($P$2:P281),창고_재고현황!$H:$H,0),"")</f>
        <v/>
      </c>
      <c r="Q281" s="42" t="n"/>
      <c r="R281" s="42" t="n"/>
      <c r="S281" s="42" t="n"/>
      <c r="T281" s="42" t="n"/>
      <c r="U281" s="42" t="n"/>
    </row>
    <row r="282" ht="48" customHeight="1">
      <c r="A282" s="43">
        <f>IF($J282="","",IFERROR(INDEX(고압진공_재고현황!$B:$B,MATCH($J282,고압진공_재고현황!$E:$E,0)),IFERROR(INDEX(조립자재_재고현황!$B:$B,MATCH($J282,조립자재_재고현황!$E:$E,0)),"")))</f>
        <v/>
      </c>
      <c r="B282" s="43">
        <f>IF($J282="","",IFERROR(INDEX(고압진공_재고현황!$C:$C,MATCH($J282,고압진공_재고현황!$E:$E,0)),IFERROR(INDEX(조립자재_재고현황!$C:$C,MATCH($J282,조립자재_재고현황!$E:$E,0)),"")))</f>
        <v/>
      </c>
      <c r="C282" s="44" t="n"/>
      <c r="D282" s="43">
        <f>IF($P282="","",INDEX(창고_재고현황!$B:$B,$P282))</f>
        <v/>
      </c>
      <c r="E282" s="43">
        <f>IF($P282="","",INDEX(창고_재고현황!$C:$C,$P282))</f>
        <v/>
      </c>
      <c r="F282" s="44" t="n"/>
      <c r="G282" s="43">
        <f>IF($P282="","",IF(INDEX(창고_재고현황!$E:$E,$P282)=0,"",INDEX(창고_재고현황!$E:$E,$P282)))</f>
        <v/>
      </c>
      <c r="H282" s="44" t="n"/>
      <c r="I282" s="45">
        <f>IF($J282="","",IFERROR(INDEX(고압진공_재고현황!$D:$D,MATCH($J282,고압진공_재고현황!$E:$E,0)),IFERROR(INDEX(조립자재_재고현황!$D:$D,MATCH($J282,조립자재_재고현황!$E:$E,0)),"")))</f>
        <v/>
      </c>
      <c r="J282" s="45">
        <f>IF($P282="","",INDEX(창고_재고현황!$D:$D,$P282))</f>
        <v/>
      </c>
      <c r="K282" s="44" t="n"/>
      <c r="L282" s="46" t="n"/>
      <c r="M282" s="46" t="n"/>
      <c r="N282" s="47" t="n"/>
      <c r="O282" s="44" t="n"/>
      <c r="P282" s="44">
        <f>IFERROR(MATCH(ROWS($P$2:P282),창고_재고현황!$H:$H,0),"")</f>
        <v/>
      </c>
      <c r="Q282" s="42" t="n"/>
      <c r="R282" s="42" t="n"/>
      <c r="S282" s="42" t="n"/>
      <c r="T282" s="42" t="n"/>
      <c r="U282" s="42" t="n"/>
    </row>
    <row r="283" ht="48" customHeight="1">
      <c r="A283" s="43">
        <f>IF($J283="","",IFERROR(INDEX(고압진공_재고현황!$B:$B,MATCH($J283,고압진공_재고현황!$E:$E,0)),IFERROR(INDEX(조립자재_재고현황!$B:$B,MATCH($J283,조립자재_재고현황!$E:$E,0)),"")))</f>
        <v/>
      </c>
      <c r="B283" s="43">
        <f>IF($J283="","",IFERROR(INDEX(고압진공_재고현황!$C:$C,MATCH($J283,고압진공_재고현황!$E:$E,0)),IFERROR(INDEX(조립자재_재고현황!$C:$C,MATCH($J283,조립자재_재고현황!$E:$E,0)),"")))</f>
        <v/>
      </c>
      <c r="C283" s="44" t="n"/>
      <c r="D283" s="43">
        <f>IF($P283="","",INDEX(창고_재고현황!$B:$B,$P283))</f>
        <v/>
      </c>
      <c r="E283" s="43">
        <f>IF($P283="","",INDEX(창고_재고현황!$C:$C,$P283))</f>
        <v/>
      </c>
      <c r="F283" s="44" t="n"/>
      <c r="G283" s="43">
        <f>IF($P283="","",IF(INDEX(창고_재고현황!$E:$E,$P283)=0,"",INDEX(창고_재고현황!$E:$E,$P283)))</f>
        <v/>
      </c>
      <c r="H283" s="44" t="n"/>
      <c r="I283" s="45">
        <f>IF($J283="","",IFERROR(INDEX(고압진공_재고현황!$D:$D,MATCH($J283,고압진공_재고현황!$E:$E,0)),IFERROR(INDEX(조립자재_재고현황!$D:$D,MATCH($J283,조립자재_재고현황!$E:$E,0)),"")))</f>
        <v/>
      </c>
      <c r="J283" s="45">
        <f>IF($P283="","",INDEX(창고_재고현황!$D:$D,$P283))</f>
        <v/>
      </c>
      <c r="K283" s="44" t="n"/>
      <c r="L283" s="46" t="n"/>
      <c r="M283" s="46" t="n"/>
      <c r="N283" s="47" t="n"/>
      <c r="O283" s="44" t="n"/>
      <c r="P283" s="44">
        <f>IFERROR(MATCH(ROWS($P$2:P283),창고_재고현황!$H:$H,0),"")</f>
        <v/>
      </c>
      <c r="Q283" s="42" t="n"/>
      <c r="R283" s="42" t="n"/>
      <c r="S283" s="42" t="n"/>
      <c r="T283" s="42" t="n"/>
      <c r="U283" s="42" t="n"/>
    </row>
    <row r="284" ht="48" customHeight="1">
      <c r="A284" s="43">
        <f>IF($J284="","",IFERROR(INDEX(고압진공_재고현황!$B:$B,MATCH($J284,고압진공_재고현황!$E:$E,0)),IFERROR(INDEX(조립자재_재고현황!$B:$B,MATCH($J284,조립자재_재고현황!$E:$E,0)),"")))</f>
        <v/>
      </c>
      <c r="B284" s="43">
        <f>IF($J284="","",IFERROR(INDEX(고압진공_재고현황!$C:$C,MATCH($J284,고압진공_재고현황!$E:$E,0)),IFERROR(INDEX(조립자재_재고현황!$C:$C,MATCH($J284,조립자재_재고현황!$E:$E,0)),"")))</f>
        <v/>
      </c>
      <c r="C284" s="44" t="n"/>
      <c r="D284" s="43">
        <f>IF($P284="","",INDEX(창고_재고현황!$B:$B,$P284))</f>
        <v/>
      </c>
      <c r="E284" s="43">
        <f>IF($P284="","",INDEX(창고_재고현황!$C:$C,$P284))</f>
        <v/>
      </c>
      <c r="F284" s="44" t="n"/>
      <c r="G284" s="43">
        <f>IF($P284="","",IF(INDEX(창고_재고현황!$E:$E,$P284)=0,"",INDEX(창고_재고현황!$E:$E,$P284)))</f>
        <v/>
      </c>
      <c r="H284" s="44" t="n"/>
      <c r="I284" s="45">
        <f>IF($J284="","",IFERROR(INDEX(고압진공_재고현황!$D:$D,MATCH($J284,고압진공_재고현황!$E:$E,0)),IFERROR(INDEX(조립자재_재고현황!$D:$D,MATCH($J284,조립자재_재고현황!$E:$E,0)),"")))</f>
        <v/>
      </c>
      <c r="J284" s="45">
        <f>IF($P284="","",INDEX(창고_재고현황!$D:$D,$P284))</f>
        <v/>
      </c>
      <c r="K284" s="44" t="n"/>
      <c r="L284" s="46" t="n"/>
      <c r="M284" s="46" t="n"/>
      <c r="N284" s="47" t="n"/>
      <c r="O284" s="44" t="n"/>
      <c r="P284" s="44">
        <f>IFERROR(MATCH(ROWS($P$2:P284),창고_재고현황!$H:$H,0),"")</f>
        <v/>
      </c>
      <c r="Q284" s="42" t="n"/>
      <c r="R284" s="42" t="n"/>
      <c r="S284" s="42" t="n"/>
      <c r="T284" s="42" t="n"/>
      <c r="U284" s="42" t="n"/>
    </row>
    <row r="285" ht="48" customHeight="1">
      <c r="A285" s="43">
        <f>IF($J285="","",IFERROR(INDEX(고압진공_재고현황!$B:$B,MATCH($J285,고압진공_재고현황!$E:$E,0)),IFERROR(INDEX(조립자재_재고현황!$B:$B,MATCH($J285,조립자재_재고현황!$E:$E,0)),"")))</f>
        <v/>
      </c>
      <c r="B285" s="43">
        <f>IF($J285="","",IFERROR(INDEX(고압진공_재고현황!$C:$C,MATCH($J285,고압진공_재고현황!$E:$E,0)),IFERROR(INDEX(조립자재_재고현황!$C:$C,MATCH($J285,조립자재_재고현황!$E:$E,0)),"")))</f>
        <v/>
      </c>
      <c r="C285" s="44" t="n"/>
      <c r="D285" s="43">
        <f>IF($P285="","",INDEX(창고_재고현황!$B:$B,$P285))</f>
        <v/>
      </c>
      <c r="E285" s="43">
        <f>IF($P285="","",INDEX(창고_재고현황!$C:$C,$P285))</f>
        <v/>
      </c>
      <c r="F285" s="44" t="n"/>
      <c r="G285" s="43">
        <f>IF($P285="","",IF(INDEX(창고_재고현황!$E:$E,$P285)=0,"",INDEX(창고_재고현황!$E:$E,$P285)))</f>
        <v/>
      </c>
      <c r="H285" s="44" t="n"/>
      <c r="I285" s="45">
        <f>IF($J285="","",IFERROR(INDEX(고압진공_재고현황!$D:$D,MATCH($J285,고압진공_재고현황!$E:$E,0)),IFERROR(INDEX(조립자재_재고현황!$D:$D,MATCH($J285,조립자재_재고현황!$E:$E,0)),"")))</f>
        <v/>
      </c>
      <c r="J285" s="45">
        <f>IF($P285="","",INDEX(창고_재고현황!$D:$D,$P285))</f>
        <v/>
      </c>
      <c r="K285" s="44" t="n"/>
      <c r="L285" s="46" t="n"/>
      <c r="M285" s="46" t="n"/>
      <c r="N285" s="47" t="n"/>
      <c r="O285" s="44" t="n"/>
      <c r="P285" s="44">
        <f>IFERROR(MATCH(ROWS($P$2:P285),창고_재고현황!$H:$H,0),"")</f>
        <v/>
      </c>
      <c r="Q285" s="42" t="n"/>
      <c r="R285" s="42" t="n"/>
      <c r="S285" s="42" t="n"/>
      <c r="T285" s="42" t="n"/>
      <c r="U285" s="42" t="n"/>
    </row>
    <row r="286" ht="48" customHeight="1">
      <c r="A286" s="43">
        <f>IF($J286="","",IFERROR(INDEX(고압진공_재고현황!$B:$B,MATCH($J286,고압진공_재고현황!$E:$E,0)),IFERROR(INDEX(조립자재_재고현황!$B:$B,MATCH($J286,조립자재_재고현황!$E:$E,0)),"")))</f>
        <v/>
      </c>
      <c r="B286" s="43">
        <f>IF($J286="","",IFERROR(INDEX(고압진공_재고현황!$C:$C,MATCH($J286,고압진공_재고현황!$E:$E,0)),IFERROR(INDEX(조립자재_재고현황!$C:$C,MATCH($J286,조립자재_재고현황!$E:$E,0)),"")))</f>
        <v/>
      </c>
      <c r="C286" s="44" t="n"/>
      <c r="D286" s="43">
        <f>IF($P286="","",INDEX(창고_재고현황!$B:$B,$P286))</f>
        <v/>
      </c>
      <c r="E286" s="43">
        <f>IF($P286="","",INDEX(창고_재고현황!$C:$C,$P286))</f>
        <v/>
      </c>
      <c r="F286" s="44" t="n"/>
      <c r="G286" s="43">
        <f>IF($P286="","",IF(INDEX(창고_재고현황!$E:$E,$P286)=0,"",INDEX(창고_재고현황!$E:$E,$P286)))</f>
        <v/>
      </c>
      <c r="H286" s="44" t="n"/>
      <c r="I286" s="45">
        <f>IF($J286="","",IFERROR(INDEX(고압진공_재고현황!$D:$D,MATCH($J286,고압진공_재고현황!$E:$E,0)),IFERROR(INDEX(조립자재_재고현황!$D:$D,MATCH($J286,조립자재_재고현황!$E:$E,0)),"")))</f>
        <v/>
      </c>
      <c r="J286" s="45">
        <f>IF($P286="","",INDEX(창고_재고현황!$D:$D,$P286))</f>
        <v/>
      </c>
      <c r="K286" s="44" t="n"/>
      <c r="L286" s="46" t="n"/>
      <c r="M286" s="46" t="n"/>
      <c r="N286" s="47" t="n"/>
      <c r="O286" s="44" t="n"/>
      <c r="P286" s="44">
        <f>IFERROR(MATCH(ROWS($P$2:P286),창고_재고현황!$H:$H,0),"")</f>
        <v/>
      </c>
      <c r="Q286" s="42" t="n"/>
      <c r="R286" s="42" t="n"/>
      <c r="S286" s="42" t="n"/>
      <c r="T286" s="42" t="n"/>
      <c r="U286" s="42" t="n"/>
    </row>
    <row r="287" ht="48" customHeight="1">
      <c r="A287" s="43">
        <f>IF($J287="","",IFERROR(INDEX(고압진공_재고현황!$B:$B,MATCH($J287,고압진공_재고현황!$E:$E,0)),IFERROR(INDEX(조립자재_재고현황!$B:$B,MATCH($J287,조립자재_재고현황!$E:$E,0)),"")))</f>
        <v/>
      </c>
      <c r="B287" s="43">
        <f>IF($J287="","",IFERROR(INDEX(고압진공_재고현황!$C:$C,MATCH($J287,고압진공_재고현황!$E:$E,0)),IFERROR(INDEX(조립자재_재고현황!$C:$C,MATCH($J287,조립자재_재고현황!$E:$E,0)),"")))</f>
        <v/>
      </c>
      <c r="C287" s="44" t="n"/>
      <c r="D287" s="43">
        <f>IF($P287="","",INDEX(창고_재고현황!$B:$B,$P287))</f>
        <v/>
      </c>
      <c r="E287" s="43">
        <f>IF($P287="","",INDEX(창고_재고현황!$C:$C,$P287))</f>
        <v/>
      </c>
      <c r="F287" s="44" t="n"/>
      <c r="G287" s="43">
        <f>IF($P287="","",IF(INDEX(창고_재고현황!$E:$E,$P287)=0,"",INDEX(창고_재고현황!$E:$E,$P287)))</f>
        <v/>
      </c>
      <c r="H287" s="44" t="n"/>
      <c r="I287" s="45">
        <f>IF($J287="","",IFERROR(INDEX(고압진공_재고현황!$D:$D,MATCH($J287,고압진공_재고현황!$E:$E,0)),IFERROR(INDEX(조립자재_재고현황!$D:$D,MATCH($J287,조립자재_재고현황!$E:$E,0)),"")))</f>
        <v/>
      </c>
      <c r="J287" s="45">
        <f>IF($P287="","",INDEX(창고_재고현황!$D:$D,$P287))</f>
        <v/>
      </c>
      <c r="K287" s="44" t="n"/>
      <c r="L287" s="46" t="n"/>
      <c r="M287" s="46" t="n"/>
      <c r="N287" s="47" t="n"/>
      <c r="O287" s="44" t="n"/>
      <c r="P287" s="44">
        <f>IFERROR(MATCH(ROWS($P$2:P287),창고_재고현황!$H:$H,0),"")</f>
        <v/>
      </c>
      <c r="Q287" s="42" t="n"/>
      <c r="R287" s="42" t="n"/>
      <c r="S287" s="42" t="n"/>
      <c r="T287" s="42" t="n"/>
      <c r="U287" s="42" t="n"/>
    </row>
    <row r="288" ht="48" customHeight="1">
      <c r="A288" s="43">
        <f>IF($J288="","",IFERROR(INDEX(고압진공_재고현황!$B:$B,MATCH($J288,고압진공_재고현황!$E:$E,0)),IFERROR(INDEX(조립자재_재고현황!$B:$B,MATCH($J288,조립자재_재고현황!$E:$E,0)),"")))</f>
        <v/>
      </c>
      <c r="B288" s="43">
        <f>IF($J288="","",IFERROR(INDEX(고압진공_재고현황!$C:$C,MATCH($J288,고압진공_재고현황!$E:$E,0)),IFERROR(INDEX(조립자재_재고현황!$C:$C,MATCH($J288,조립자재_재고현황!$E:$E,0)),"")))</f>
        <v/>
      </c>
      <c r="C288" s="44" t="n"/>
      <c r="D288" s="43">
        <f>IF($P288="","",INDEX(창고_재고현황!$B:$B,$P288))</f>
        <v/>
      </c>
      <c r="E288" s="43">
        <f>IF($P288="","",INDEX(창고_재고현황!$C:$C,$P288))</f>
        <v/>
      </c>
      <c r="F288" s="44" t="n"/>
      <c r="G288" s="43">
        <f>IF($P288="","",IF(INDEX(창고_재고현황!$E:$E,$P288)=0,"",INDEX(창고_재고현황!$E:$E,$P288)))</f>
        <v/>
      </c>
      <c r="H288" s="44" t="n"/>
      <c r="I288" s="45">
        <f>IF($J288="","",IFERROR(INDEX(고압진공_재고현황!$D:$D,MATCH($J288,고압진공_재고현황!$E:$E,0)),IFERROR(INDEX(조립자재_재고현황!$D:$D,MATCH($J288,조립자재_재고현황!$E:$E,0)),"")))</f>
        <v/>
      </c>
      <c r="J288" s="45">
        <f>IF($P288="","",INDEX(창고_재고현황!$D:$D,$P288))</f>
        <v/>
      </c>
      <c r="K288" s="44" t="n"/>
      <c r="L288" s="46" t="n"/>
      <c r="M288" s="46" t="n"/>
      <c r="N288" s="47" t="n"/>
      <c r="O288" s="44" t="n"/>
      <c r="P288" s="44">
        <f>IFERROR(MATCH(ROWS($P$2:P288),창고_재고현황!$H:$H,0),"")</f>
        <v/>
      </c>
      <c r="Q288" s="42" t="n"/>
      <c r="R288" s="42" t="n"/>
      <c r="S288" s="42" t="n"/>
      <c r="T288" s="42" t="n"/>
      <c r="U288" s="42" t="n"/>
    </row>
    <row r="289" ht="48" customHeight="1">
      <c r="A289" s="43">
        <f>IF($J289="","",IFERROR(INDEX(고압진공_재고현황!$B:$B,MATCH($J289,고압진공_재고현황!$E:$E,0)),IFERROR(INDEX(조립자재_재고현황!$B:$B,MATCH($J289,조립자재_재고현황!$E:$E,0)),"")))</f>
        <v/>
      </c>
      <c r="B289" s="43">
        <f>IF($J289="","",IFERROR(INDEX(고압진공_재고현황!$C:$C,MATCH($J289,고압진공_재고현황!$E:$E,0)),IFERROR(INDEX(조립자재_재고현황!$C:$C,MATCH($J289,조립자재_재고현황!$E:$E,0)),"")))</f>
        <v/>
      </c>
      <c r="C289" s="44" t="n"/>
      <c r="D289" s="43">
        <f>IF($P289="","",INDEX(창고_재고현황!$B:$B,$P289))</f>
        <v/>
      </c>
      <c r="E289" s="43">
        <f>IF($P289="","",INDEX(창고_재고현황!$C:$C,$P289))</f>
        <v/>
      </c>
      <c r="F289" s="44" t="n"/>
      <c r="G289" s="43">
        <f>IF($P289="","",IF(INDEX(창고_재고현황!$E:$E,$P289)=0,"",INDEX(창고_재고현황!$E:$E,$P289)))</f>
        <v/>
      </c>
      <c r="H289" s="44" t="n"/>
      <c r="I289" s="45">
        <f>IF($J289="","",IFERROR(INDEX(고압진공_재고현황!$D:$D,MATCH($J289,고압진공_재고현황!$E:$E,0)),IFERROR(INDEX(조립자재_재고현황!$D:$D,MATCH($J289,조립자재_재고현황!$E:$E,0)),"")))</f>
        <v/>
      </c>
      <c r="J289" s="45">
        <f>IF($P289="","",INDEX(창고_재고현황!$D:$D,$P289))</f>
        <v/>
      </c>
      <c r="K289" s="44" t="n"/>
      <c r="L289" s="46" t="n"/>
      <c r="M289" s="46" t="n"/>
      <c r="N289" s="47" t="n"/>
      <c r="O289" s="44" t="n"/>
      <c r="P289" s="44">
        <f>IFERROR(MATCH(ROWS($P$2:P289),창고_재고현황!$H:$H,0),"")</f>
        <v/>
      </c>
      <c r="Q289" s="42" t="n"/>
      <c r="R289" s="42" t="n"/>
      <c r="S289" s="42" t="n"/>
      <c r="T289" s="42" t="n"/>
      <c r="U289" s="42" t="n"/>
    </row>
    <row r="290" ht="48" customHeight="1">
      <c r="A290" s="43">
        <f>IF($J290="","",IFERROR(INDEX(고압진공_재고현황!$B:$B,MATCH($J290,고압진공_재고현황!$E:$E,0)),IFERROR(INDEX(조립자재_재고현황!$B:$B,MATCH($J290,조립자재_재고현황!$E:$E,0)),"")))</f>
        <v/>
      </c>
      <c r="B290" s="43">
        <f>IF($J290="","",IFERROR(INDEX(고압진공_재고현황!$C:$C,MATCH($J290,고압진공_재고현황!$E:$E,0)),IFERROR(INDEX(조립자재_재고현황!$C:$C,MATCH($J290,조립자재_재고현황!$E:$E,0)),"")))</f>
        <v/>
      </c>
      <c r="C290" s="44" t="n"/>
      <c r="D290" s="43">
        <f>IF($P290="","",INDEX(창고_재고현황!$B:$B,$P290))</f>
        <v/>
      </c>
      <c r="E290" s="43">
        <f>IF($P290="","",INDEX(창고_재고현황!$C:$C,$P290))</f>
        <v/>
      </c>
      <c r="F290" s="44" t="n"/>
      <c r="G290" s="43">
        <f>IF($P290="","",IF(INDEX(창고_재고현황!$E:$E,$P290)=0,"",INDEX(창고_재고현황!$E:$E,$P290)))</f>
        <v/>
      </c>
      <c r="H290" s="44" t="n"/>
      <c r="I290" s="45">
        <f>IF($J290="","",IFERROR(INDEX(고압진공_재고현황!$D:$D,MATCH($J290,고압진공_재고현황!$E:$E,0)),IFERROR(INDEX(조립자재_재고현황!$D:$D,MATCH($J290,조립자재_재고현황!$E:$E,0)),"")))</f>
        <v/>
      </c>
      <c r="J290" s="45">
        <f>IF($P290="","",INDEX(창고_재고현황!$D:$D,$P290))</f>
        <v/>
      </c>
      <c r="K290" s="44" t="n"/>
      <c r="L290" s="46" t="n"/>
      <c r="M290" s="46" t="n"/>
      <c r="N290" s="47" t="n"/>
      <c r="O290" s="44" t="n"/>
      <c r="P290" s="44">
        <f>IFERROR(MATCH(ROWS($P$2:P290),창고_재고현황!$H:$H,0),"")</f>
        <v/>
      </c>
      <c r="Q290" s="42" t="n"/>
      <c r="R290" s="42" t="n"/>
      <c r="S290" s="42" t="n"/>
      <c r="T290" s="42" t="n"/>
      <c r="U290" s="42" t="n"/>
    </row>
    <row r="291" ht="48" customHeight="1">
      <c r="A291" s="43">
        <f>IF($J291="","",IFERROR(INDEX(고압진공_재고현황!$B:$B,MATCH($J291,고압진공_재고현황!$E:$E,0)),IFERROR(INDEX(조립자재_재고현황!$B:$B,MATCH($J291,조립자재_재고현황!$E:$E,0)),"")))</f>
        <v/>
      </c>
      <c r="B291" s="43">
        <f>IF($J291="","",IFERROR(INDEX(고압진공_재고현황!$C:$C,MATCH($J291,고압진공_재고현황!$E:$E,0)),IFERROR(INDEX(조립자재_재고현황!$C:$C,MATCH($J291,조립자재_재고현황!$E:$E,0)),"")))</f>
        <v/>
      </c>
      <c r="C291" s="44" t="n"/>
      <c r="D291" s="43">
        <f>IF($P291="","",INDEX(창고_재고현황!$B:$B,$P291))</f>
        <v/>
      </c>
      <c r="E291" s="43">
        <f>IF($P291="","",INDEX(창고_재고현황!$C:$C,$P291))</f>
        <v/>
      </c>
      <c r="F291" s="44" t="n"/>
      <c r="G291" s="43">
        <f>IF($P291="","",IF(INDEX(창고_재고현황!$E:$E,$P291)=0,"",INDEX(창고_재고현황!$E:$E,$P291)))</f>
        <v/>
      </c>
      <c r="H291" s="44" t="n"/>
      <c r="I291" s="45">
        <f>IF($J291="","",IFERROR(INDEX(고압진공_재고현황!$D:$D,MATCH($J291,고압진공_재고현황!$E:$E,0)),IFERROR(INDEX(조립자재_재고현황!$D:$D,MATCH($J291,조립자재_재고현황!$E:$E,0)),"")))</f>
        <v/>
      </c>
      <c r="J291" s="45">
        <f>IF($P291="","",INDEX(창고_재고현황!$D:$D,$P291))</f>
        <v/>
      </c>
      <c r="K291" s="44" t="n"/>
      <c r="L291" s="46" t="n"/>
      <c r="M291" s="46" t="n"/>
      <c r="N291" s="47" t="n"/>
      <c r="O291" s="44" t="n"/>
      <c r="P291" s="44">
        <f>IFERROR(MATCH(ROWS($P$2:P291),창고_재고현황!$H:$H,0),"")</f>
        <v/>
      </c>
      <c r="Q291" s="42" t="n"/>
      <c r="R291" s="42" t="n"/>
      <c r="S291" s="42" t="n"/>
      <c r="T291" s="42" t="n"/>
      <c r="U291" s="42" t="n"/>
    </row>
    <row r="292" ht="48" customHeight="1">
      <c r="A292" s="43">
        <f>IF($J292="","",IFERROR(INDEX(고압진공_재고현황!$B:$B,MATCH($J292,고압진공_재고현황!$E:$E,0)),IFERROR(INDEX(조립자재_재고현황!$B:$B,MATCH($J292,조립자재_재고현황!$E:$E,0)),"")))</f>
        <v/>
      </c>
      <c r="B292" s="43">
        <f>IF($J292="","",IFERROR(INDEX(고압진공_재고현황!$C:$C,MATCH($J292,고압진공_재고현황!$E:$E,0)),IFERROR(INDEX(조립자재_재고현황!$C:$C,MATCH($J292,조립자재_재고현황!$E:$E,0)),"")))</f>
        <v/>
      </c>
      <c r="C292" s="44" t="n"/>
      <c r="D292" s="43">
        <f>IF($P292="","",INDEX(창고_재고현황!$B:$B,$P292))</f>
        <v/>
      </c>
      <c r="E292" s="43">
        <f>IF($P292="","",INDEX(창고_재고현황!$C:$C,$P292))</f>
        <v/>
      </c>
      <c r="F292" s="44" t="n"/>
      <c r="G292" s="43">
        <f>IF($P292="","",IF(INDEX(창고_재고현황!$E:$E,$P292)=0,"",INDEX(창고_재고현황!$E:$E,$P292)))</f>
        <v/>
      </c>
      <c r="H292" s="44" t="n"/>
      <c r="I292" s="45">
        <f>IF($J292="","",IFERROR(INDEX(고압진공_재고현황!$D:$D,MATCH($J292,고압진공_재고현황!$E:$E,0)),IFERROR(INDEX(조립자재_재고현황!$D:$D,MATCH($J292,조립자재_재고현황!$E:$E,0)),"")))</f>
        <v/>
      </c>
      <c r="J292" s="45">
        <f>IF($P292="","",INDEX(창고_재고현황!$D:$D,$P292))</f>
        <v/>
      </c>
      <c r="K292" s="44" t="n"/>
      <c r="L292" s="46" t="n"/>
      <c r="M292" s="46" t="n"/>
      <c r="N292" s="47" t="n"/>
      <c r="O292" s="44" t="n"/>
      <c r="P292" s="44">
        <f>IFERROR(MATCH(ROWS($P$2:P292),창고_재고현황!$H:$H,0),"")</f>
        <v/>
      </c>
      <c r="Q292" s="42" t="n"/>
      <c r="R292" s="42" t="n"/>
      <c r="S292" s="42" t="n"/>
      <c r="T292" s="42" t="n"/>
      <c r="U292" s="42" t="n"/>
    </row>
    <row r="293" ht="48" customHeight="1">
      <c r="A293" s="43">
        <f>IF($J293="","",IFERROR(INDEX(고압진공_재고현황!$B:$B,MATCH($J293,고압진공_재고현황!$E:$E,0)),IFERROR(INDEX(조립자재_재고현황!$B:$B,MATCH($J293,조립자재_재고현황!$E:$E,0)),"")))</f>
        <v/>
      </c>
      <c r="B293" s="43">
        <f>IF($J293="","",IFERROR(INDEX(고압진공_재고현황!$C:$C,MATCH($J293,고압진공_재고현황!$E:$E,0)),IFERROR(INDEX(조립자재_재고현황!$C:$C,MATCH($J293,조립자재_재고현황!$E:$E,0)),"")))</f>
        <v/>
      </c>
      <c r="C293" s="44" t="n"/>
      <c r="D293" s="43">
        <f>IF($P293="","",INDEX(창고_재고현황!$B:$B,$P293))</f>
        <v/>
      </c>
      <c r="E293" s="43">
        <f>IF($P293="","",INDEX(창고_재고현황!$C:$C,$P293))</f>
        <v/>
      </c>
      <c r="F293" s="44" t="n"/>
      <c r="G293" s="43">
        <f>IF($P293="","",IF(INDEX(창고_재고현황!$E:$E,$P293)=0,"",INDEX(창고_재고현황!$E:$E,$P293)))</f>
        <v/>
      </c>
      <c r="H293" s="44" t="n"/>
      <c r="I293" s="45">
        <f>IF($J293="","",IFERROR(INDEX(고압진공_재고현황!$D:$D,MATCH($J293,고압진공_재고현황!$E:$E,0)),IFERROR(INDEX(조립자재_재고현황!$D:$D,MATCH($J293,조립자재_재고현황!$E:$E,0)),"")))</f>
        <v/>
      </c>
      <c r="J293" s="45">
        <f>IF($P293="","",INDEX(창고_재고현황!$D:$D,$P293))</f>
        <v/>
      </c>
      <c r="K293" s="44" t="n"/>
      <c r="L293" s="46" t="n"/>
      <c r="M293" s="46" t="n"/>
      <c r="N293" s="47" t="n"/>
      <c r="O293" s="44" t="n"/>
      <c r="P293" s="44">
        <f>IFERROR(MATCH(ROWS($P$2:P293),창고_재고현황!$H:$H,0),"")</f>
        <v/>
      </c>
      <c r="Q293" s="42" t="n"/>
      <c r="R293" s="42" t="n"/>
      <c r="S293" s="42" t="n"/>
      <c r="T293" s="42" t="n"/>
      <c r="U293" s="42" t="n"/>
    </row>
    <row r="294" ht="48" customHeight="1">
      <c r="A294" s="43">
        <f>IF($J294="","",IFERROR(INDEX(고압진공_재고현황!$B:$B,MATCH($J294,고압진공_재고현황!$E:$E,0)),IFERROR(INDEX(조립자재_재고현황!$B:$B,MATCH($J294,조립자재_재고현황!$E:$E,0)),"")))</f>
        <v/>
      </c>
      <c r="B294" s="43">
        <f>IF($J294="","",IFERROR(INDEX(고압진공_재고현황!$C:$C,MATCH($J294,고압진공_재고현황!$E:$E,0)),IFERROR(INDEX(조립자재_재고현황!$C:$C,MATCH($J294,조립자재_재고현황!$E:$E,0)),"")))</f>
        <v/>
      </c>
      <c r="C294" s="44" t="n"/>
      <c r="D294" s="43">
        <f>IF($P294="","",INDEX(창고_재고현황!$B:$B,$P294))</f>
        <v/>
      </c>
      <c r="E294" s="43">
        <f>IF($P294="","",INDEX(창고_재고현황!$C:$C,$P294))</f>
        <v/>
      </c>
      <c r="F294" s="44" t="n"/>
      <c r="G294" s="43">
        <f>IF($P294="","",IF(INDEX(창고_재고현황!$E:$E,$P294)=0,"",INDEX(창고_재고현황!$E:$E,$P294)))</f>
        <v/>
      </c>
      <c r="H294" s="44" t="n"/>
      <c r="I294" s="45">
        <f>IF($J294="","",IFERROR(INDEX(고압진공_재고현황!$D:$D,MATCH($J294,고압진공_재고현황!$E:$E,0)),IFERROR(INDEX(조립자재_재고현황!$D:$D,MATCH($J294,조립자재_재고현황!$E:$E,0)),"")))</f>
        <v/>
      </c>
      <c r="J294" s="45">
        <f>IF($P294="","",INDEX(창고_재고현황!$D:$D,$P294))</f>
        <v/>
      </c>
      <c r="K294" s="44" t="n"/>
      <c r="L294" s="46" t="n"/>
      <c r="M294" s="46" t="n"/>
      <c r="N294" s="47" t="n"/>
      <c r="O294" s="44" t="n"/>
      <c r="P294" s="44">
        <f>IFERROR(MATCH(ROWS($P$2:P294),창고_재고현황!$H:$H,0),"")</f>
        <v/>
      </c>
      <c r="Q294" s="42" t="n"/>
      <c r="R294" s="42" t="n"/>
      <c r="S294" s="42" t="n"/>
      <c r="T294" s="42" t="n"/>
      <c r="U294" s="42" t="n"/>
    </row>
    <row r="295" ht="48" customHeight="1">
      <c r="A295" s="43">
        <f>IF($J295="","",IFERROR(INDEX(고압진공_재고현황!$B:$B,MATCH($J295,고압진공_재고현황!$E:$E,0)),IFERROR(INDEX(조립자재_재고현황!$B:$B,MATCH($J295,조립자재_재고현황!$E:$E,0)),"")))</f>
        <v/>
      </c>
      <c r="B295" s="43">
        <f>IF($J295="","",IFERROR(INDEX(고압진공_재고현황!$C:$C,MATCH($J295,고압진공_재고현황!$E:$E,0)),IFERROR(INDEX(조립자재_재고현황!$C:$C,MATCH($J295,조립자재_재고현황!$E:$E,0)),"")))</f>
        <v/>
      </c>
      <c r="C295" s="44" t="n"/>
      <c r="D295" s="43">
        <f>IF($P295="","",INDEX(창고_재고현황!$B:$B,$P295))</f>
        <v/>
      </c>
      <c r="E295" s="43">
        <f>IF($P295="","",INDEX(창고_재고현황!$C:$C,$P295))</f>
        <v/>
      </c>
      <c r="F295" s="44" t="n"/>
      <c r="G295" s="43">
        <f>IF($P295="","",IF(INDEX(창고_재고현황!$E:$E,$P295)=0,"",INDEX(창고_재고현황!$E:$E,$P295)))</f>
        <v/>
      </c>
      <c r="H295" s="44" t="n"/>
      <c r="I295" s="45">
        <f>IF($J295="","",IFERROR(INDEX(고압진공_재고현황!$D:$D,MATCH($J295,고압진공_재고현황!$E:$E,0)),IFERROR(INDEX(조립자재_재고현황!$D:$D,MATCH($J295,조립자재_재고현황!$E:$E,0)),"")))</f>
        <v/>
      </c>
      <c r="J295" s="45">
        <f>IF($P295="","",INDEX(창고_재고현황!$D:$D,$P295))</f>
        <v/>
      </c>
      <c r="K295" s="44" t="n"/>
      <c r="L295" s="46" t="n"/>
      <c r="M295" s="46" t="n"/>
      <c r="N295" s="47" t="n"/>
      <c r="O295" s="44" t="n"/>
      <c r="P295" s="44">
        <f>IFERROR(MATCH(ROWS($P$2:P295),창고_재고현황!$H:$H,0),"")</f>
        <v/>
      </c>
      <c r="Q295" s="42" t="n"/>
      <c r="R295" s="42" t="n"/>
      <c r="S295" s="42" t="n"/>
      <c r="T295" s="42" t="n"/>
      <c r="U295" s="42" t="n"/>
    </row>
    <row r="296" ht="48" customHeight="1">
      <c r="A296" s="43">
        <f>IF($J296="","",IFERROR(INDEX(고압진공_재고현황!$B:$B,MATCH($J296,고압진공_재고현황!$E:$E,0)),IFERROR(INDEX(조립자재_재고현황!$B:$B,MATCH($J296,조립자재_재고현황!$E:$E,0)),"")))</f>
        <v/>
      </c>
      <c r="B296" s="43">
        <f>IF($J296="","",IFERROR(INDEX(고압진공_재고현황!$C:$C,MATCH($J296,고압진공_재고현황!$E:$E,0)),IFERROR(INDEX(조립자재_재고현황!$C:$C,MATCH($J296,조립자재_재고현황!$E:$E,0)),"")))</f>
        <v/>
      </c>
      <c r="C296" s="44" t="n"/>
      <c r="D296" s="43">
        <f>IF($P296="","",INDEX(창고_재고현황!$B:$B,$P296))</f>
        <v/>
      </c>
      <c r="E296" s="43">
        <f>IF($P296="","",INDEX(창고_재고현황!$C:$C,$P296))</f>
        <v/>
      </c>
      <c r="F296" s="44" t="n"/>
      <c r="G296" s="43">
        <f>IF($P296="","",IF(INDEX(창고_재고현황!$E:$E,$P296)=0,"",INDEX(창고_재고현황!$E:$E,$P296)))</f>
        <v/>
      </c>
      <c r="H296" s="44" t="n"/>
      <c r="I296" s="45">
        <f>IF($J296="","",IFERROR(INDEX(고압진공_재고현황!$D:$D,MATCH($J296,고압진공_재고현황!$E:$E,0)),IFERROR(INDEX(조립자재_재고현황!$D:$D,MATCH($J296,조립자재_재고현황!$E:$E,0)),"")))</f>
        <v/>
      </c>
      <c r="J296" s="45">
        <f>IF($P296="","",INDEX(창고_재고현황!$D:$D,$P296))</f>
        <v/>
      </c>
      <c r="K296" s="44" t="n"/>
      <c r="L296" s="46" t="n"/>
      <c r="M296" s="46" t="n"/>
      <c r="N296" s="47" t="n"/>
      <c r="O296" s="44" t="n"/>
      <c r="P296" s="44">
        <f>IFERROR(MATCH(ROWS($P$2:P296),창고_재고현황!$H:$H,0),"")</f>
        <v/>
      </c>
      <c r="Q296" s="42" t="n"/>
      <c r="R296" s="42" t="n"/>
      <c r="S296" s="42" t="n"/>
      <c r="T296" s="42" t="n"/>
      <c r="U296" s="42" t="n"/>
    </row>
    <row r="297" ht="48" customHeight="1">
      <c r="A297" s="43">
        <f>IF($J297="","",IFERROR(INDEX(고압진공_재고현황!$B:$B,MATCH($J297,고압진공_재고현황!$E:$E,0)),IFERROR(INDEX(조립자재_재고현황!$B:$B,MATCH($J297,조립자재_재고현황!$E:$E,0)),"")))</f>
        <v/>
      </c>
      <c r="B297" s="43">
        <f>IF($J297="","",IFERROR(INDEX(고압진공_재고현황!$C:$C,MATCH($J297,고압진공_재고현황!$E:$E,0)),IFERROR(INDEX(조립자재_재고현황!$C:$C,MATCH($J297,조립자재_재고현황!$E:$E,0)),"")))</f>
        <v/>
      </c>
      <c r="C297" s="44" t="n"/>
      <c r="D297" s="43">
        <f>IF($P297="","",INDEX(창고_재고현황!$B:$B,$P297))</f>
        <v/>
      </c>
      <c r="E297" s="43">
        <f>IF($P297="","",INDEX(창고_재고현황!$C:$C,$P297))</f>
        <v/>
      </c>
      <c r="F297" s="44" t="n"/>
      <c r="G297" s="43">
        <f>IF($P297="","",IF(INDEX(창고_재고현황!$E:$E,$P297)=0,"",INDEX(창고_재고현황!$E:$E,$P297)))</f>
        <v/>
      </c>
      <c r="H297" s="44" t="n"/>
      <c r="I297" s="45">
        <f>IF($J297="","",IFERROR(INDEX(고압진공_재고현황!$D:$D,MATCH($J297,고압진공_재고현황!$E:$E,0)),IFERROR(INDEX(조립자재_재고현황!$D:$D,MATCH($J297,조립자재_재고현황!$E:$E,0)),"")))</f>
        <v/>
      </c>
      <c r="J297" s="45">
        <f>IF($P297="","",INDEX(창고_재고현황!$D:$D,$P297))</f>
        <v/>
      </c>
      <c r="K297" s="44" t="n"/>
      <c r="L297" s="46" t="n"/>
      <c r="M297" s="46" t="n"/>
      <c r="N297" s="47" t="n"/>
      <c r="O297" s="44" t="n"/>
      <c r="P297" s="44">
        <f>IFERROR(MATCH(ROWS($P$2:P297),창고_재고현황!$H:$H,0),"")</f>
        <v/>
      </c>
      <c r="Q297" s="42" t="n"/>
      <c r="R297" s="42" t="n"/>
      <c r="S297" s="42" t="n"/>
      <c r="T297" s="42" t="n"/>
      <c r="U297" s="42" t="n"/>
    </row>
    <row r="298" ht="48" customHeight="1">
      <c r="A298" s="43">
        <f>IF($J298="","",IFERROR(INDEX(고압진공_재고현황!$B:$B,MATCH($J298,고압진공_재고현황!$E:$E,0)),IFERROR(INDEX(조립자재_재고현황!$B:$B,MATCH($J298,조립자재_재고현황!$E:$E,0)),"")))</f>
        <v/>
      </c>
      <c r="B298" s="43">
        <f>IF($J298="","",IFERROR(INDEX(고압진공_재고현황!$C:$C,MATCH($J298,고압진공_재고현황!$E:$E,0)),IFERROR(INDEX(조립자재_재고현황!$C:$C,MATCH($J298,조립자재_재고현황!$E:$E,0)),"")))</f>
        <v/>
      </c>
      <c r="C298" s="44" t="n"/>
      <c r="D298" s="43">
        <f>IF($P298="","",INDEX(창고_재고현황!$B:$B,$P298))</f>
        <v/>
      </c>
      <c r="E298" s="43">
        <f>IF($P298="","",INDEX(창고_재고현황!$C:$C,$P298))</f>
        <v/>
      </c>
      <c r="F298" s="44" t="n"/>
      <c r="G298" s="43">
        <f>IF($P298="","",IF(INDEX(창고_재고현황!$E:$E,$P298)=0,"",INDEX(창고_재고현황!$E:$E,$P298)))</f>
        <v/>
      </c>
      <c r="H298" s="44" t="n"/>
      <c r="I298" s="45">
        <f>IF($J298="","",IFERROR(INDEX(고압진공_재고현황!$D:$D,MATCH($J298,고압진공_재고현황!$E:$E,0)),IFERROR(INDEX(조립자재_재고현황!$D:$D,MATCH($J298,조립자재_재고현황!$E:$E,0)),"")))</f>
        <v/>
      </c>
      <c r="J298" s="45">
        <f>IF($P298="","",INDEX(창고_재고현황!$D:$D,$P298))</f>
        <v/>
      </c>
      <c r="K298" s="44" t="n"/>
      <c r="L298" s="46" t="n"/>
      <c r="M298" s="46" t="n"/>
      <c r="N298" s="47" t="n"/>
      <c r="O298" s="44" t="n"/>
      <c r="P298" s="44">
        <f>IFERROR(MATCH(ROWS($P$2:P298),창고_재고현황!$H:$H,0),"")</f>
        <v/>
      </c>
      <c r="Q298" s="42" t="n"/>
      <c r="R298" s="42" t="n"/>
      <c r="S298" s="42" t="n"/>
      <c r="T298" s="42" t="n"/>
      <c r="U298" s="42" t="n"/>
    </row>
    <row r="299" ht="48" customHeight="1">
      <c r="A299" s="43">
        <f>IF($J299="","",IFERROR(INDEX(고압진공_재고현황!$B:$B,MATCH($J299,고압진공_재고현황!$E:$E,0)),IFERROR(INDEX(조립자재_재고현황!$B:$B,MATCH($J299,조립자재_재고현황!$E:$E,0)),"")))</f>
        <v/>
      </c>
      <c r="B299" s="43">
        <f>IF($J299="","",IFERROR(INDEX(고압진공_재고현황!$C:$C,MATCH($J299,고압진공_재고현황!$E:$E,0)),IFERROR(INDEX(조립자재_재고현황!$C:$C,MATCH($J299,조립자재_재고현황!$E:$E,0)),"")))</f>
        <v/>
      </c>
      <c r="C299" s="44" t="n"/>
      <c r="D299" s="43">
        <f>IF($P299="","",INDEX(창고_재고현황!$B:$B,$P299))</f>
        <v/>
      </c>
      <c r="E299" s="43">
        <f>IF($P299="","",INDEX(창고_재고현황!$C:$C,$P299))</f>
        <v/>
      </c>
      <c r="F299" s="44" t="n"/>
      <c r="G299" s="43">
        <f>IF($P299="","",IF(INDEX(창고_재고현황!$E:$E,$P299)=0,"",INDEX(창고_재고현황!$E:$E,$P299)))</f>
        <v/>
      </c>
      <c r="H299" s="44" t="n"/>
      <c r="I299" s="45">
        <f>IF($J299="","",IFERROR(INDEX(고압진공_재고현황!$D:$D,MATCH($J299,고압진공_재고현황!$E:$E,0)),IFERROR(INDEX(조립자재_재고현황!$D:$D,MATCH($J299,조립자재_재고현황!$E:$E,0)),"")))</f>
        <v/>
      </c>
      <c r="J299" s="45">
        <f>IF($P299="","",INDEX(창고_재고현황!$D:$D,$P299))</f>
        <v/>
      </c>
      <c r="K299" s="44" t="n"/>
      <c r="L299" s="46" t="n"/>
      <c r="M299" s="46" t="n"/>
      <c r="N299" s="47" t="n"/>
      <c r="O299" s="44" t="n"/>
      <c r="P299" s="44">
        <f>IFERROR(MATCH(ROWS($P$2:P299),창고_재고현황!$H:$H,0),"")</f>
        <v/>
      </c>
      <c r="Q299" s="42" t="n"/>
      <c r="R299" s="42" t="n"/>
      <c r="S299" s="42" t="n"/>
      <c r="T299" s="42" t="n"/>
      <c r="U299" s="42" t="n"/>
    </row>
    <row r="300" ht="48" customHeight="1">
      <c r="A300" s="43">
        <f>IF($J300="","",IFERROR(INDEX(고압진공_재고현황!$B:$B,MATCH($J300,고압진공_재고현황!$E:$E,0)),IFERROR(INDEX(조립자재_재고현황!$B:$B,MATCH($J300,조립자재_재고현황!$E:$E,0)),"")))</f>
        <v/>
      </c>
      <c r="B300" s="43">
        <f>IF($J300="","",IFERROR(INDEX(고압진공_재고현황!$C:$C,MATCH($J300,고압진공_재고현황!$E:$E,0)),IFERROR(INDEX(조립자재_재고현황!$C:$C,MATCH($J300,조립자재_재고현황!$E:$E,0)),"")))</f>
        <v/>
      </c>
      <c r="C300" s="44" t="n"/>
      <c r="D300" s="43">
        <f>IF($P300="","",INDEX(창고_재고현황!$B:$B,$P300))</f>
        <v/>
      </c>
      <c r="E300" s="43">
        <f>IF($P300="","",INDEX(창고_재고현황!$C:$C,$P300))</f>
        <v/>
      </c>
      <c r="F300" s="44" t="n"/>
      <c r="G300" s="43">
        <f>IF($P300="","",IF(INDEX(창고_재고현황!$E:$E,$P300)=0,"",INDEX(창고_재고현황!$E:$E,$P300)))</f>
        <v/>
      </c>
      <c r="H300" s="44" t="n"/>
      <c r="I300" s="45">
        <f>IF($J300="","",IFERROR(INDEX(고압진공_재고현황!$D:$D,MATCH($J300,고압진공_재고현황!$E:$E,0)),IFERROR(INDEX(조립자재_재고현황!$D:$D,MATCH($J300,조립자재_재고현황!$E:$E,0)),"")))</f>
        <v/>
      </c>
      <c r="J300" s="45">
        <f>IF($P300="","",INDEX(창고_재고현황!$D:$D,$P300))</f>
        <v/>
      </c>
      <c r="K300" s="44" t="n"/>
      <c r="L300" s="46" t="n"/>
      <c r="M300" s="46" t="n"/>
      <c r="N300" s="47" t="n"/>
      <c r="O300" s="44" t="n"/>
      <c r="P300" s="44">
        <f>IFERROR(MATCH(ROWS($P$2:P300),창고_재고현황!$H:$H,0),"")</f>
        <v/>
      </c>
      <c r="Q300" s="42" t="n"/>
      <c r="R300" s="42" t="n"/>
      <c r="S300" s="42" t="n"/>
      <c r="T300" s="42" t="n"/>
      <c r="U300" s="42" t="n"/>
    </row>
    <row r="301" ht="48" customHeight="1">
      <c r="A301" s="43">
        <f>IF($J301="","",IFERROR(INDEX(고압진공_재고현황!$B:$B,MATCH($J301,고압진공_재고현황!$E:$E,0)),IFERROR(INDEX(조립자재_재고현황!$B:$B,MATCH($J301,조립자재_재고현황!$E:$E,0)),"")))</f>
        <v/>
      </c>
      <c r="B301" s="43">
        <f>IF($J301="","",IFERROR(INDEX(고압진공_재고현황!$C:$C,MATCH($J301,고압진공_재고현황!$E:$E,0)),IFERROR(INDEX(조립자재_재고현황!$C:$C,MATCH($J301,조립자재_재고현황!$E:$E,0)),"")))</f>
        <v/>
      </c>
      <c r="C301" s="44" t="n"/>
      <c r="D301" s="43">
        <f>IF($P301="","",INDEX(창고_재고현황!$B:$B,$P301))</f>
        <v/>
      </c>
      <c r="E301" s="43">
        <f>IF($P301="","",INDEX(창고_재고현황!$C:$C,$P301))</f>
        <v/>
      </c>
      <c r="F301" s="44" t="n"/>
      <c r="G301" s="43">
        <f>IF($P301="","",IF(INDEX(창고_재고현황!$E:$E,$P301)=0,"",INDEX(창고_재고현황!$E:$E,$P301)))</f>
        <v/>
      </c>
      <c r="H301" s="44" t="n"/>
      <c r="I301" s="45">
        <f>IF($J301="","",IFERROR(INDEX(고압진공_재고현황!$D:$D,MATCH($J301,고압진공_재고현황!$E:$E,0)),IFERROR(INDEX(조립자재_재고현황!$D:$D,MATCH($J301,조립자재_재고현황!$E:$E,0)),"")))</f>
        <v/>
      </c>
      <c r="J301" s="45">
        <f>IF($P301="","",INDEX(창고_재고현황!$D:$D,$P301))</f>
        <v/>
      </c>
      <c r="K301" s="44" t="n"/>
      <c r="L301" s="46" t="n"/>
      <c r="M301" s="46" t="n"/>
      <c r="N301" s="47" t="n"/>
      <c r="O301" s="44" t="n"/>
      <c r="P301" s="44">
        <f>IFERROR(MATCH(ROWS($P$2:P301),창고_재고현황!$H:$H,0),"")</f>
        <v/>
      </c>
      <c r="Q301" s="42" t="n"/>
      <c r="R301" s="42" t="n"/>
      <c r="S301" s="42" t="n"/>
      <c r="T301" s="42" t="n"/>
      <c r="U301" s="4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2026-04-24T01:58:39Z</dcterms:created>
  <dcterms:modified xmlns:dcterms="http://purl.org/dc/terms/" xmlns:xsi="http://www.w3.org/2001/XMLSchema-instance" xsi:type="dcterms:W3CDTF">2026-04-24T04:43:07Z</dcterms:modified>
  <cp:lastModifiedBy>승범 유</cp:lastModifiedBy>
</cp:coreProperties>
</file>