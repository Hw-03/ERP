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RP\data\"/>
    </mc:Choice>
  </mc:AlternateContent>
  <xr:revisionPtr revIDLastSave="0" documentId="13_ncr:1_{548DB41D-AC34-48BA-AC0F-104096E4630A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매칭_작업안내" sheetId="1" r:id="rId1"/>
    <sheet name="튜브파트_재고현황" sheetId="2" r:id="rId2"/>
    <sheet name="고압진공_재고현황" sheetId="3" r:id="rId3"/>
    <sheet name="조립자재_재고현황" sheetId="4" r:id="rId4"/>
    <sheet name="조립완제품_재고현황" sheetId="5" r:id="rId5"/>
    <sheet name="창고_재고현황" sheetId="6" r:id="rId6"/>
    <sheet name="출하_재고현황" sheetId="7" r:id="rId7"/>
    <sheet name="마스터_품목" sheetId="8" r:id="rId8"/>
  </sheets>
  <definedNames>
    <definedName name="_xlnm._FilterDatabase" localSheetId="2" hidden="1">고압진공_재고현황!$A$1:$S$165</definedName>
    <definedName name="_xlnm._FilterDatabase" localSheetId="7" hidden="1">마스터_품목!$A$1:$O$916</definedName>
    <definedName name="_xlnm._FilterDatabase" localSheetId="4" hidden="1">조립완제품_재고현황!$A$1:$S$522</definedName>
    <definedName name="_xlnm._FilterDatabase" localSheetId="3" hidden="1">조립자재_재고현황!$A$1:$S$528</definedName>
    <definedName name="_xlnm._FilterDatabase" localSheetId="5" hidden="1">창고_재고현황!$A$1:$T$597</definedName>
    <definedName name="_xlnm._FilterDatabase" localSheetId="6" hidden="1">출하_재고현황!$A$1:$S$51</definedName>
    <definedName name="_xlnm._FilterDatabase" localSheetId="1" hidden="1">튜브파트_재고현황!$A$1:$S$20</definedName>
  </definedNames>
  <calcPr calcId="191029" iterateDelta="1E-4"/>
</workbook>
</file>

<file path=xl/calcChain.xml><?xml version="1.0" encoding="utf-8"?>
<calcChain xmlns="http://schemas.openxmlformats.org/spreadsheetml/2006/main">
  <c r="L916" i="8" l="1"/>
  <c r="H916" i="8"/>
  <c r="L915" i="8"/>
  <c r="H915" i="8"/>
  <c r="L914" i="8"/>
  <c r="H914" i="8"/>
  <c r="L913" i="8"/>
  <c r="H913" i="8"/>
  <c r="L912" i="8"/>
  <c r="H912" i="8"/>
  <c r="L911" i="8"/>
  <c r="H911" i="8"/>
  <c r="L910" i="8"/>
  <c r="H910" i="8"/>
  <c r="L909" i="8"/>
  <c r="H909" i="8"/>
  <c r="L908" i="8"/>
  <c r="H908" i="8"/>
  <c r="L907" i="8"/>
  <c r="H907" i="8"/>
  <c r="L906" i="8"/>
  <c r="H906" i="8"/>
  <c r="L905" i="8"/>
  <c r="H905" i="8"/>
  <c r="L904" i="8"/>
  <c r="H904" i="8"/>
  <c r="L903" i="8"/>
  <c r="H903" i="8"/>
  <c r="L902" i="8"/>
  <c r="H902" i="8"/>
  <c r="L901" i="8"/>
  <c r="H901" i="8"/>
  <c r="L900" i="8"/>
  <c r="H900" i="8"/>
  <c r="L899" i="8"/>
  <c r="H899" i="8"/>
  <c r="L898" i="8"/>
  <c r="H898" i="8"/>
  <c r="L897" i="8"/>
  <c r="H897" i="8"/>
  <c r="L896" i="8"/>
  <c r="H896" i="8"/>
  <c r="L895" i="8"/>
  <c r="H895" i="8"/>
  <c r="L894" i="8"/>
  <c r="H894" i="8"/>
  <c r="L893" i="8"/>
  <c r="H893" i="8"/>
  <c r="L892" i="8"/>
  <c r="H892" i="8"/>
  <c r="L891" i="8"/>
  <c r="H891" i="8"/>
  <c r="L890" i="8"/>
  <c r="H890" i="8"/>
  <c r="L889" i="8"/>
  <c r="H889" i="8"/>
  <c r="L888" i="8"/>
  <c r="H888" i="8"/>
  <c r="L887" i="8"/>
  <c r="H887" i="8"/>
  <c r="L886" i="8"/>
  <c r="H886" i="8"/>
  <c r="L885" i="8"/>
  <c r="H885" i="8"/>
  <c r="L884" i="8"/>
  <c r="H884" i="8"/>
  <c r="L883" i="8"/>
  <c r="H883" i="8"/>
  <c r="L882" i="8"/>
  <c r="H882" i="8"/>
  <c r="L881" i="8"/>
  <c r="H881" i="8"/>
  <c r="L880" i="8"/>
  <c r="H880" i="8"/>
  <c r="L879" i="8"/>
  <c r="H879" i="8"/>
  <c r="L878" i="8"/>
  <c r="H878" i="8"/>
  <c r="L877" i="8"/>
  <c r="H877" i="8"/>
  <c r="L876" i="8"/>
  <c r="H876" i="8"/>
  <c r="L875" i="8"/>
  <c r="H875" i="8"/>
  <c r="L874" i="8"/>
  <c r="H874" i="8"/>
  <c r="L873" i="8"/>
  <c r="H873" i="8"/>
  <c r="L872" i="8"/>
  <c r="H872" i="8"/>
  <c r="L871" i="8"/>
  <c r="H871" i="8"/>
  <c r="L870" i="8"/>
  <c r="H870" i="8"/>
  <c r="L869" i="8"/>
  <c r="H869" i="8"/>
  <c r="L868" i="8"/>
  <c r="H868" i="8"/>
  <c r="L867" i="8"/>
  <c r="H867" i="8"/>
  <c r="L866" i="8"/>
  <c r="H866" i="8"/>
  <c r="L865" i="8"/>
  <c r="H865" i="8"/>
  <c r="L864" i="8"/>
  <c r="H864" i="8"/>
  <c r="L863" i="8"/>
  <c r="H863" i="8"/>
  <c r="L862" i="8"/>
  <c r="H862" i="8"/>
  <c r="L861" i="8"/>
  <c r="H861" i="8"/>
  <c r="L860" i="8"/>
  <c r="H860" i="8"/>
  <c r="L859" i="8"/>
  <c r="H859" i="8"/>
  <c r="L858" i="8"/>
  <c r="H858" i="8"/>
  <c r="L857" i="8"/>
  <c r="H857" i="8"/>
  <c r="L856" i="8"/>
  <c r="H856" i="8"/>
  <c r="L855" i="8"/>
  <c r="H855" i="8"/>
  <c r="L854" i="8"/>
  <c r="H854" i="8"/>
  <c r="L853" i="8"/>
  <c r="H853" i="8"/>
  <c r="L852" i="8"/>
  <c r="H852" i="8"/>
  <c r="L851" i="8"/>
  <c r="H851" i="8"/>
  <c r="L850" i="8"/>
  <c r="H850" i="8"/>
  <c r="L849" i="8"/>
  <c r="H849" i="8"/>
  <c r="L848" i="8"/>
  <c r="H848" i="8"/>
  <c r="L847" i="8"/>
  <c r="H847" i="8"/>
  <c r="L846" i="8"/>
  <c r="H846" i="8"/>
  <c r="L845" i="8"/>
  <c r="H845" i="8"/>
  <c r="L844" i="8"/>
  <c r="H844" i="8"/>
  <c r="L843" i="8"/>
  <c r="H843" i="8"/>
  <c r="L842" i="8"/>
  <c r="H842" i="8"/>
  <c r="L841" i="8"/>
  <c r="H841" i="8"/>
  <c r="L840" i="8"/>
  <c r="H840" i="8"/>
  <c r="L839" i="8"/>
  <c r="H839" i="8"/>
  <c r="L838" i="8"/>
  <c r="H838" i="8"/>
  <c r="L837" i="8"/>
  <c r="H837" i="8"/>
  <c r="L836" i="8"/>
  <c r="H836" i="8"/>
  <c r="L835" i="8"/>
  <c r="H835" i="8"/>
  <c r="L834" i="8"/>
  <c r="H834" i="8"/>
  <c r="L833" i="8"/>
  <c r="H833" i="8"/>
  <c r="L832" i="8"/>
  <c r="H832" i="8"/>
  <c r="L831" i="8"/>
  <c r="H831" i="8"/>
  <c r="L830" i="8"/>
  <c r="H830" i="8"/>
  <c r="L829" i="8"/>
  <c r="H829" i="8"/>
  <c r="L828" i="8"/>
  <c r="H828" i="8"/>
  <c r="L827" i="8"/>
  <c r="H827" i="8"/>
  <c r="L826" i="8"/>
  <c r="H826" i="8"/>
  <c r="L825" i="8"/>
  <c r="H825" i="8"/>
  <c r="L824" i="8"/>
  <c r="H824" i="8"/>
  <c r="L823" i="8"/>
  <c r="H823" i="8"/>
  <c r="L822" i="8"/>
  <c r="H822" i="8"/>
  <c r="L821" i="8"/>
  <c r="H821" i="8"/>
  <c r="L820" i="8"/>
  <c r="H820" i="8"/>
  <c r="L819" i="8"/>
  <c r="H819" i="8"/>
  <c r="L818" i="8"/>
  <c r="H818" i="8"/>
  <c r="L817" i="8"/>
  <c r="H817" i="8"/>
  <c r="L816" i="8"/>
  <c r="H816" i="8"/>
  <c r="L815" i="8"/>
  <c r="H815" i="8"/>
  <c r="L814" i="8"/>
  <c r="H814" i="8"/>
  <c r="L813" i="8"/>
  <c r="H813" i="8"/>
  <c r="L812" i="8"/>
  <c r="H812" i="8"/>
  <c r="L811" i="8"/>
  <c r="H811" i="8"/>
  <c r="L810" i="8"/>
  <c r="H810" i="8"/>
  <c r="L809" i="8"/>
  <c r="H809" i="8"/>
  <c r="L808" i="8"/>
  <c r="H808" i="8"/>
  <c r="L807" i="8"/>
  <c r="H807" i="8"/>
  <c r="L806" i="8"/>
  <c r="H806" i="8"/>
  <c r="L805" i="8"/>
  <c r="H805" i="8"/>
  <c r="L804" i="8"/>
  <c r="H804" i="8"/>
  <c r="L803" i="8"/>
  <c r="H803" i="8"/>
  <c r="L802" i="8"/>
  <c r="H802" i="8"/>
  <c r="L801" i="8"/>
  <c r="H801" i="8"/>
  <c r="L800" i="8"/>
  <c r="H800" i="8"/>
  <c r="L799" i="8"/>
  <c r="H799" i="8"/>
  <c r="L798" i="8"/>
  <c r="H798" i="8"/>
  <c r="L797" i="8"/>
  <c r="H797" i="8"/>
  <c r="L796" i="8"/>
  <c r="H796" i="8"/>
  <c r="L795" i="8"/>
  <c r="H795" i="8"/>
  <c r="L794" i="8"/>
  <c r="H794" i="8"/>
  <c r="L793" i="8"/>
  <c r="H793" i="8"/>
  <c r="L792" i="8"/>
  <c r="H792" i="8"/>
  <c r="L791" i="8"/>
  <c r="H791" i="8"/>
  <c r="L790" i="8"/>
  <c r="H790" i="8"/>
  <c r="L789" i="8"/>
  <c r="H789" i="8"/>
  <c r="L788" i="8"/>
  <c r="H788" i="8"/>
  <c r="L787" i="8"/>
  <c r="H787" i="8"/>
  <c r="L786" i="8"/>
  <c r="H786" i="8"/>
  <c r="L785" i="8"/>
  <c r="H785" i="8"/>
  <c r="L784" i="8"/>
  <c r="H784" i="8"/>
  <c r="L783" i="8"/>
  <c r="H783" i="8"/>
  <c r="L782" i="8"/>
  <c r="H782" i="8"/>
  <c r="L781" i="8"/>
  <c r="H781" i="8"/>
  <c r="L780" i="8"/>
  <c r="H780" i="8"/>
  <c r="L779" i="8"/>
  <c r="H779" i="8"/>
  <c r="L778" i="8"/>
  <c r="H778" i="8"/>
  <c r="L777" i="8"/>
  <c r="H777" i="8"/>
  <c r="L776" i="8"/>
  <c r="H776" i="8"/>
  <c r="L775" i="8"/>
  <c r="H775" i="8"/>
  <c r="L774" i="8"/>
  <c r="H774" i="8"/>
  <c r="L773" i="8"/>
  <c r="H773" i="8"/>
  <c r="L772" i="8"/>
  <c r="H772" i="8"/>
  <c r="L771" i="8"/>
  <c r="H771" i="8"/>
  <c r="L770" i="8"/>
  <c r="H770" i="8"/>
  <c r="L769" i="8"/>
  <c r="H769" i="8"/>
  <c r="L768" i="8"/>
  <c r="H768" i="8"/>
  <c r="L767" i="8"/>
  <c r="H767" i="8"/>
  <c r="L766" i="8"/>
  <c r="H766" i="8"/>
  <c r="L765" i="8"/>
  <c r="H765" i="8"/>
  <c r="L764" i="8"/>
  <c r="H764" i="8"/>
  <c r="L763" i="8"/>
  <c r="H763" i="8"/>
  <c r="L762" i="8"/>
  <c r="H762" i="8"/>
  <c r="L761" i="8"/>
  <c r="H761" i="8"/>
  <c r="L760" i="8"/>
  <c r="H760" i="8"/>
  <c r="L759" i="8"/>
  <c r="H759" i="8"/>
  <c r="L758" i="8"/>
  <c r="H758" i="8"/>
  <c r="L757" i="8"/>
  <c r="H757" i="8"/>
  <c r="L756" i="8"/>
  <c r="H756" i="8"/>
  <c r="L755" i="8"/>
  <c r="H755" i="8"/>
  <c r="L754" i="8"/>
  <c r="H754" i="8"/>
  <c r="L753" i="8"/>
  <c r="H753" i="8"/>
  <c r="L752" i="8"/>
  <c r="H752" i="8"/>
  <c r="L751" i="8"/>
  <c r="H751" i="8"/>
  <c r="L750" i="8"/>
  <c r="H750" i="8"/>
  <c r="L749" i="8"/>
  <c r="H749" i="8"/>
  <c r="L748" i="8"/>
  <c r="H748" i="8"/>
  <c r="L747" i="8"/>
  <c r="H747" i="8"/>
  <c r="L746" i="8"/>
  <c r="H746" i="8"/>
  <c r="L745" i="8"/>
  <c r="H745" i="8"/>
  <c r="L744" i="8"/>
  <c r="H744" i="8"/>
  <c r="L743" i="8"/>
  <c r="H743" i="8"/>
  <c r="L742" i="8"/>
  <c r="H742" i="8"/>
  <c r="L741" i="8"/>
  <c r="H741" i="8"/>
  <c r="L740" i="8"/>
  <c r="H740" i="8"/>
  <c r="L739" i="8"/>
  <c r="H739" i="8"/>
  <c r="L738" i="8"/>
  <c r="H738" i="8"/>
  <c r="L737" i="8"/>
  <c r="H737" i="8"/>
  <c r="L736" i="8"/>
  <c r="H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H680" i="8"/>
  <c r="L679" i="8"/>
  <c r="H679" i="8"/>
  <c r="L678" i="8"/>
  <c r="H678" i="8"/>
  <c r="L677" i="8"/>
  <c r="H677" i="8"/>
  <c r="L676" i="8"/>
  <c r="H676" i="8"/>
  <c r="L675" i="8"/>
  <c r="H675" i="8"/>
  <c r="L674" i="8"/>
  <c r="H674" i="8"/>
  <c r="L673" i="8"/>
  <c r="H673" i="8"/>
  <c r="L672" i="8"/>
  <c r="H672" i="8"/>
  <c r="L671" i="8"/>
  <c r="H671" i="8"/>
  <c r="L670" i="8"/>
  <c r="H670" i="8"/>
  <c r="L669" i="8"/>
  <c r="L668" i="8"/>
  <c r="L667" i="8"/>
  <c r="L666" i="8"/>
  <c r="H666" i="8"/>
  <c r="L665" i="8"/>
  <c r="H665" i="8"/>
  <c r="L664" i="8"/>
  <c r="H664" i="8"/>
  <c r="L663" i="8"/>
  <c r="H663" i="8"/>
  <c r="L662" i="8"/>
  <c r="H662" i="8"/>
  <c r="L661" i="8"/>
  <c r="H661" i="8"/>
  <c r="L660" i="8"/>
  <c r="H660" i="8"/>
  <c r="L659" i="8"/>
  <c r="H659" i="8"/>
  <c r="L658" i="8"/>
  <c r="H658" i="8"/>
  <c r="L657" i="8"/>
  <c r="H657" i="8"/>
  <c r="L656" i="8"/>
  <c r="H656" i="8"/>
  <c r="L655" i="8"/>
  <c r="L654" i="8"/>
  <c r="H654" i="8"/>
  <c r="L653" i="8"/>
  <c r="H653" i="8"/>
  <c r="L652" i="8"/>
  <c r="H652" i="8"/>
  <c r="L651" i="8"/>
  <c r="H651" i="8"/>
  <c r="L650" i="8"/>
  <c r="H650" i="8"/>
  <c r="L649" i="8"/>
  <c r="L648" i="8"/>
  <c r="L647" i="8"/>
  <c r="H647" i="8"/>
  <c r="L646" i="8"/>
  <c r="H646" i="8"/>
  <c r="L645" i="8"/>
  <c r="H645" i="8"/>
  <c r="L644" i="8"/>
  <c r="H644" i="8"/>
  <c r="L643" i="8"/>
  <c r="H643" i="8"/>
  <c r="L642" i="8"/>
  <c r="H642" i="8"/>
  <c r="L641" i="8"/>
  <c r="H641" i="8"/>
  <c r="L640" i="8"/>
  <c r="L639" i="8"/>
  <c r="L638" i="8"/>
  <c r="H638" i="8"/>
  <c r="L637" i="8"/>
  <c r="H637" i="8"/>
  <c r="L636" i="8"/>
  <c r="H636" i="8"/>
  <c r="L635" i="8"/>
  <c r="H635" i="8"/>
  <c r="L634" i="8"/>
  <c r="H634" i="8"/>
  <c r="L633" i="8"/>
  <c r="H633" i="8"/>
  <c r="L632" i="8"/>
  <c r="H632" i="8"/>
  <c r="L631" i="8"/>
  <c r="L630" i="8"/>
  <c r="H630" i="8"/>
  <c r="L629" i="8"/>
  <c r="H629" i="8"/>
  <c r="L628" i="8"/>
  <c r="L627" i="8"/>
  <c r="H627" i="8"/>
  <c r="L626" i="8"/>
  <c r="H626" i="8"/>
  <c r="L625" i="8"/>
  <c r="H625" i="8"/>
  <c r="L624" i="8"/>
  <c r="H624" i="8"/>
  <c r="L623" i="8"/>
  <c r="H623" i="8"/>
  <c r="L622" i="8"/>
  <c r="H622" i="8"/>
  <c r="L621" i="8"/>
  <c r="H621" i="8"/>
  <c r="L620" i="8"/>
  <c r="L619" i="8"/>
  <c r="H619" i="8"/>
  <c r="L618" i="8"/>
  <c r="L617" i="8"/>
  <c r="H617" i="8"/>
  <c r="L616" i="8"/>
  <c r="H616" i="8"/>
  <c r="L615" i="8"/>
  <c r="H615" i="8"/>
  <c r="L614" i="8"/>
  <c r="H614" i="8"/>
  <c r="L613" i="8"/>
  <c r="H613" i="8"/>
  <c r="L612" i="8"/>
  <c r="H612" i="8"/>
  <c r="L611" i="8"/>
  <c r="H611" i="8"/>
  <c r="L610" i="8"/>
  <c r="L609" i="8"/>
  <c r="H609" i="8"/>
  <c r="L608" i="8"/>
  <c r="H608" i="8"/>
  <c r="L607" i="8"/>
  <c r="H607" i="8"/>
  <c r="L606" i="8"/>
  <c r="H606" i="8"/>
  <c r="L605" i="8"/>
  <c r="L604" i="8"/>
  <c r="H604" i="8"/>
  <c r="L603" i="8"/>
  <c r="L602" i="8"/>
  <c r="H602" i="8"/>
  <c r="L601" i="8"/>
  <c r="L600" i="8"/>
  <c r="H600" i="8"/>
  <c r="L599" i="8"/>
  <c r="H599" i="8"/>
  <c r="L598" i="8"/>
  <c r="H598" i="8"/>
  <c r="L597" i="8"/>
  <c r="H597" i="8"/>
  <c r="L596" i="8"/>
  <c r="H596" i="8"/>
  <c r="L595" i="8"/>
  <c r="H595" i="8"/>
  <c r="L594" i="8"/>
  <c r="H594" i="8"/>
  <c r="L593" i="8"/>
  <c r="H593" i="8"/>
  <c r="L592" i="8"/>
  <c r="H592" i="8"/>
  <c r="L591" i="8"/>
  <c r="H591" i="8"/>
  <c r="L590" i="8"/>
  <c r="H590" i="8"/>
  <c r="L589" i="8"/>
  <c r="H589" i="8"/>
  <c r="L588" i="8"/>
  <c r="H588" i="8"/>
  <c r="L587" i="8"/>
  <c r="H587" i="8"/>
  <c r="L586" i="8"/>
  <c r="H586" i="8"/>
  <c r="L585" i="8"/>
  <c r="H585" i="8"/>
  <c r="L584" i="8"/>
  <c r="H584" i="8"/>
  <c r="L583" i="8"/>
  <c r="H583" i="8"/>
  <c r="L582" i="8"/>
  <c r="H582" i="8"/>
  <c r="L581" i="8"/>
  <c r="H581" i="8"/>
  <c r="L580" i="8"/>
  <c r="H580" i="8"/>
  <c r="L579" i="8"/>
  <c r="H579" i="8"/>
  <c r="L578" i="8"/>
  <c r="H578" i="8"/>
  <c r="L577" i="8"/>
  <c r="H577" i="8"/>
  <c r="L576" i="8"/>
  <c r="H576" i="8"/>
  <c r="L575" i="8"/>
  <c r="H575" i="8"/>
  <c r="L574" i="8"/>
  <c r="H574" i="8"/>
  <c r="L573" i="8"/>
  <c r="H573" i="8"/>
  <c r="L572" i="8"/>
  <c r="H572" i="8"/>
  <c r="L571" i="8"/>
  <c r="H571" i="8"/>
  <c r="L570" i="8"/>
  <c r="H570" i="8"/>
  <c r="L569" i="8"/>
  <c r="H569" i="8"/>
  <c r="L568" i="8"/>
  <c r="L567" i="8"/>
  <c r="H567" i="8"/>
  <c r="L566" i="8"/>
  <c r="H566" i="8"/>
  <c r="L565" i="8"/>
  <c r="H565" i="8"/>
  <c r="L564" i="8"/>
  <c r="H564" i="8"/>
  <c r="L563" i="8"/>
  <c r="H563" i="8"/>
  <c r="L562" i="8"/>
  <c r="H562" i="8"/>
  <c r="L561" i="8"/>
  <c r="H561" i="8"/>
  <c r="L560" i="8"/>
  <c r="H560" i="8"/>
  <c r="L559" i="8"/>
  <c r="H559" i="8"/>
  <c r="L558" i="8"/>
  <c r="L557" i="8"/>
  <c r="L556" i="8"/>
  <c r="L555" i="8"/>
  <c r="L554" i="8"/>
  <c r="L553" i="8"/>
  <c r="L552" i="8"/>
  <c r="L551" i="8"/>
  <c r="L550" i="8"/>
  <c r="H550" i="8"/>
  <c r="L549" i="8"/>
  <c r="H549" i="8"/>
  <c r="L548" i="8"/>
  <c r="H548" i="8"/>
  <c r="L547" i="8"/>
  <c r="H547" i="8"/>
  <c r="L546" i="8"/>
  <c r="H546" i="8"/>
  <c r="L545" i="8"/>
  <c r="H545" i="8"/>
  <c r="L544" i="8"/>
  <c r="H544" i="8"/>
  <c r="L543" i="8"/>
  <c r="H543" i="8"/>
  <c r="L542" i="8"/>
  <c r="H542" i="8"/>
  <c r="L541" i="8"/>
  <c r="H541" i="8"/>
  <c r="L540" i="8"/>
  <c r="H540" i="8"/>
  <c r="L539" i="8"/>
  <c r="L538" i="8"/>
  <c r="L537" i="8"/>
  <c r="L536" i="8"/>
  <c r="L535" i="8"/>
  <c r="L534" i="8"/>
  <c r="H534" i="8"/>
  <c r="L533" i="8"/>
  <c r="H533" i="8"/>
  <c r="L532" i="8"/>
  <c r="L531" i="8"/>
  <c r="H531" i="8"/>
  <c r="L530" i="8"/>
  <c r="H530" i="8"/>
  <c r="L529" i="8"/>
  <c r="H529" i="8"/>
  <c r="L528" i="8"/>
  <c r="H528" i="8"/>
  <c r="L527" i="8"/>
  <c r="H527" i="8"/>
  <c r="L526" i="8"/>
  <c r="H526" i="8"/>
  <c r="L525" i="8"/>
  <c r="H525" i="8"/>
  <c r="L524" i="8"/>
  <c r="H524" i="8"/>
  <c r="L523" i="8"/>
  <c r="H523" i="8"/>
  <c r="L522" i="8"/>
  <c r="H522" i="8"/>
  <c r="L521" i="8"/>
  <c r="H521" i="8"/>
  <c r="L520" i="8"/>
  <c r="H520" i="8"/>
  <c r="L519" i="8"/>
  <c r="H519" i="8"/>
  <c r="L518" i="8"/>
  <c r="H518" i="8"/>
  <c r="L517" i="8"/>
  <c r="L516" i="8"/>
  <c r="H516" i="8"/>
  <c r="L515" i="8"/>
  <c r="H515" i="8"/>
  <c r="L514" i="8"/>
  <c r="H514" i="8"/>
  <c r="L513" i="8"/>
  <c r="H513" i="8"/>
  <c r="L512" i="8"/>
  <c r="H512" i="8"/>
  <c r="L511" i="8"/>
  <c r="H511" i="8"/>
  <c r="L510" i="8"/>
  <c r="H510" i="8"/>
  <c r="L509" i="8"/>
  <c r="H509" i="8"/>
  <c r="L508" i="8"/>
  <c r="H508" i="8"/>
  <c r="L507" i="8"/>
  <c r="H507" i="8"/>
  <c r="L506" i="8"/>
  <c r="L505" i="8"/>
  <c r="L504" i="8"/>
  <c r="L503" i="8"/>
  <c r="L502" i="8"/>
  <c r="L501" i="8"/>
  <c r="L500" i="8"/>
  <c r="H500" i="8"/>
  <c r="L499" i="8"/>
  <c r="H499" i="8"/>
  <c r="L498" i="8"/>
  <c r="H498" i="8"/>
  <c r="L497" i="8"/>
  <c r="H497" i="8"/>
  <c r="L496" i="8"/>
  <c r="L495" i="8"/>
  <c r="L494" i="8"/>
  <c r="L493" i="8"/>
  <c r="L492" i="8"/>
  <c r="H492" i="8"/>
  <c r="L491" i="8"/>
  <c r="H491" i="8"/>
  <c r="L490" i="8"/>
  <c r="H490" i="8"/>
  <c r="L489" i="8"/>
  <c r="H489" i="8"/>
  <c r="L488" i="8"/>
  <c r="L487" i="8"/>
  <c r="H487" i="8"/>
  <c r="L486" i="8"/>
  <c r="H486" i="8"/>
  <c r="L485" i="8"/>
  <c r="H485" i="8"/>
  <c r="L484" i="8"/>
  <c r="H484" i="8"/>
  <c r="L483" i="8"/>
  <c r="H483" i="8"/>
  <c r="L482" i="8"/>
  <c r="H482" i="8"/>
  <c r="L481" i="8"/>
  <c r="H481" i="8"/>
  <c r="L480" i="8"/>
  <c r="H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H465" i="8"/>
  <c r="L464" i="8"/>
  <c r="H464" i="8"/>
  <c r="L463" i="8"/>
  <c r="H463" i="8"/>
  <c r="L462" i="8"/>
  <c r="H462" i="8"/>
  <c r="L461" i="8"/>
  <c r="H461" i="8"/>
  <c r="L460" i="8"/>
  <c r="H460" i="8"/>
  <c r="L459" i="8"/>
  <c r="H459" i="8"/>
  <c r="L458" i="8"/>
  <c r="H458" i="8"/>
  <c r="L457" i="8"/>
  <c r="H457" i="8"/>
  <c r="L456" i="8"/>
  <c r="H456" i="8"/>
  <c r="L455" i="8"/>
  <c r="H455" i="8"/>
  <c r="L454" i="8"/>
  <c r="H454" i="8"/>
  <c r="L453" i="8"/>
  <c r="H453" i="8"/>
  <c r="L452" i="8"/>
  <c r="H452" i="8"/>
  <c r="L451" i="8"/>
  <c r="H451" i="8"/>
  <c r="L450" i="8"/>
  <c r="H450" i="8"/>
  <c r="L449" i="8"/>
  <c r="H449" i="8"/>
  <c r="L448" i="8"/>
  <c r="H448" i="8"/>
  <c r="L447" i="8"/>
  <c r="H447" i="8"/>
  <c r="L446" i="8"/>
  <c r="H446" i="8"/>
  <c r="L445" i="8"/>
  <c r="H445" i="8"/>
  <c r="L444" i="8"/>
  <c r="L443" i="8"/>
  <c r="L442" i="8"/>
  <c r="L441" i="8"/>
  <c r="L440" i="8"/>
  <c r="L439" i="8"/>
  <c r="L438" i="8"/>
  <c r="L437" i="8"/>
  <c r="L436" i="8"/>
  <c r="L435" i="8"/>
  <c r="H435" i="8"/>
  <c r="L434" i="8"/>
  <c r="H434" i="8"/>
  <c r="L433" i="8"/>
  <c r="H433" i="8"/>
  <c r="L432" i="8"/>
  <c r="H432" i="8"/>
  <c r="L431" i="8"/>
  <c r="H431" i="8"/>
  <c r="L430" i="8"/>
  <c r="H430" i="8"/>
  <c r="L429" i="8"/>
  <c r="H429" i="8"/>
  <c r="L428" i="8"/>
  <c r="H428" i="8"/>
  <c r="L427" i="8"/>
  <c r="H427" i="8"/>
  <c r="L426" i="8"/>
  <c r="H426" i="8"/>
  <c r="L425" i="8"/>
  <c r="H425" i="8"/>
  <c r="L424" i="8"/>
  <c r="H424" i="8"/>
  <c r="L423" i="8"/>
  <c r="H423" i="8"/>
  <c r="L422" i="8"/>
  <c r="H422" i="8"/>
  <c r="L421" i="8"/>
  <c r="H421" i="8"/>
  <c r="L420" i="8"/>
  <c r="H420" i="8"/>
  <c r="L419" i="8"/>
  <c r="H419" i="8"/>
  <c r="L418" i="8"/>
  <c r="H418" i="8"/>
  <c r="L417" i="8"/>
  <c r="H417" i="8"/>
  <c r="L416" i="8"/>
  <c r="H416" i="8"/>
  <c r="L415" i="8"/>
  <c r="H415" i="8"/>
  <c r="L414" i="8"/>
  <c r="H414" i="8"/>
  <c r="L413" i="8"/>
  <c r="H413" i="8"/>
  <c r="L412" i="8"/>
  <c r="L411" i="8"/>
  <c r="H411" i="8"/>
  <c r="L410" i="8"/>
  <c r="H410" i="8"/>
  <c r="L409" i="8"/>
  <c r="H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H390" i="8"/>
  <c r="L389" i="8"/>
  <c r="H389" i="8"/>
  <c r="L388" i="8"/>
  <c r="H388" i="8"/>
  <c r="L387" i="8"/>
  <c r="H387" i="8"/>
  <c r="L386" i="8"/>
  <c r="H386" i="8"/>
  <c r="L385" i="8"/>
  <c r="H385" i="8"/>
  <c r="L384" i="8"/>
  <c r="L383" i="8"/>
  <c r="H383" i="8"/>
  <c r="L382" i="8"/>
  <c r="H382" i="8"/>
  <c r="L381" i="8"/>
  <c r="H381" i="8"/>
  <c r="L380" i="8"/>
  <c r="H380" i="8"/>
  <c r="L379" i="8"/>
  <c r="H379" i="8"/>
  <c r="L378" i="8"/>
  <c r="H378" i="8"/>
  <c r="L377" i="8"/>
  <c r="H377" i="8"/>
  <c r="L376" i="8"/>
  <c r="H376" i="8"/>
  <c r="L375" i="8"/>
  <c r="H375" i="8"/>
  <c r="L374" i="8"/>
  <c r="L373" i="8"/>
  <c r="H373" i="8"/>
  <c r="L372" i="8"/>
  <c r="H372" i="8"/>
  <c r="L371" i="8"/>
  <c r="H371" i="8"/>
  <c r="L370" i="8"/>
  <c r="H370" i="8"/>
  <c r="L369" i="8"/>
  <c r="H369" i="8"/>
  <c r="L368" i="8"/>
  <c r="H368" i="8"/>
  <c r="L367" i="8"/>
  <c r="H367" i="8"/>
  <c r="L366" i="8"/>
  <c r="H366" i="8"/>
  <c r="L365" i="8"/>
  <c r="H365" i="8"/>
  <c r="L364" i="8"/>
  <c r="H364" i="8"/>
  <c r="L363" i="8"/>
  <c r="H363" i="8"/>
  <c r="L362" i="8"/>
  <c r="H362" i="8"/>
  <c r="L361" i="8"/>
  <c r="H361" i="8"/>
  <c r="L360" i="8"/>
  <c r="H360" i="8"/>
  <c r="L359" i="8"/>
  <c r="H359" i="8"/>
  <c r="L358" i="8"/>
  <c r="H358" i="8"/>
  <c r="L357" i="8"/>
  <c r="H357" i="8"/>
  <c r="L356" i="8"/>
  <c r="H356" i="8"/>
  <c r="L355" i="8"/>
  <c r="H355" i="8"/>
  <c r="L354" i="8"/>
  <c r="H354" i="8"/>
  <c r="L353" i="8"/>
  <c r="H353" i="8"/>
  <c r="L352" i="8"/>
  <c r="H352" i="8"/>
  <c r="L351" i="8"/>
  <c r="H351" i="8"/>
  <c r="L350" i="8"/>
  <c r="H350" i="8"/>
  <c r="L349" i="8"/>
  <c r="H349" i="8"/>
  <c r="L348" i="8"/>
  <c r="H348" i="8"/>
  <c r="L347" i="8"/>
  <c r="H347" i="8"/>
  <c r="L346" i="8"/>
  <c r="H346" i="8"/>
  <c r="L345" i="8"/>
  <c r="H345" i="8"/>
  <c r="L344" i="8"/>
  <c r="H344" i="8"/>
  <c r="L343" i="8"/>
  <c r="H343" i="8"/>
  <c r="L342" i="8"/>
  <c r="H342" i="8"/>
  <c r="L341" i="8"/>
  <c r="H341" i="8"/>
  <c r="L340" i="8"/>
  <c r="H340" i="8"/>
  <c r="L339" i="8"/>
  <c r="H339" i="8"/>
  <c r="L338" i="8"/>
  <c r="H338" i="8"/>
  <c r="L337" i="8"/>
  <c r="H337" i="8"/>
  <c r="L336" i="8"/>
  <c r="H336" i="8"/>
  <c r="L335" i="8"/>
  <c r="H335" i="8"/>
  <c r="L334" i="8"/>
  <c r="H334" i="8"/>
  <c r="L333" i="8"/>
  <c r="H333" i="8"/>
  <c r="L332" i="8"/>
  <c r="H332" i="8"/>
  <c r="L331" i="8"/>
  <c r="H331" i="8"/>
  <c r="L330" i="8"/>
  <c r="H330" i="8"/>
  <c r="L329" i="8"/>
  <c r="L328" i="8"/>
  <c r="H328" i="8"/>
  <c r="L327" i="8"/>
  <c r="H327" i="8"/>
  <c r="L326" i="8"/>
  <c r="H326" i="8"/>
  <c r="L325" i="8"/>
  <c r="H325" i="8"/>
  <c r="L324" i="8"/>
  <c r="H324" i="8"/>
  <c r="L323" i="8"/>
  <c r="H323" i="8"/>
  <c r="L322" i="8"/>
  <c r="H322" i="8"/>
  <c r="L321" i="8"/>
  <c r="H321" i="8"/>
  <c r="L320" i="8"/>
  <c r="H320" i="8"/>
  <c r="L319" i="8"/>
  <c r="L318" i="8"/>
  <c r="H318" i="8"/>
  <c r="L317" i="8"/>
  <c r="H317" i="8"/>
  <c r="L316" i="8"/>
  <c r="H316" i="8"/>
  <c r="L315" i="8"/>
  <c r="H315" i="8"/>
  <c r="L314" i="8"/>
  <c r="H314" i="8"/>
  <c r="L313" i="8"/>
  <c r="H313" i="8"/>
  <c r="L312" i="8"/>
  <c r="H312" i="8"/>
  <c r="L311" i="8"/>
  <c r="H311" i="8"/>
  <c r="L310" i="8"/>
  <c r="H310" i="8"/>
  <c r="L309" i="8"/>
  <c r="H309" i="8"/>
  <c r="L308" i="8"/>
  <c r="H308" i="8"/>
  <c r="L307" i="8"/>
  <c r="H307" i="8"/>
  <c r="L306" i="8"/>
  <c r="L305" i="8"/>
  <c r="L304" i="8"/>
  <c r="L303" i="8"/>
  <c r="L302" i="8"/>
  <c r="L301" i="8"/>
  <c r="L300" i="8"/>
  <c r="L299" i="8"/>
  <c r="L298" i="8"/>
  <c r="H298" i="8"/>
  <c r="L297" i="8"/>
  <c r="L296" i="8"/>
  <c r="H296" i="8"/>
  <c r="L295" i="8"/>
  <c r="H295" i="8"/>
  <c r="L294" i="8"/>
  <c r="H294" i="8"/>
  <c r="L293" i="8"/>
  <c r="H293" i="8"/>
  <c r="L292" i="8"/>
  <c r="H292" i="8"/>
  <c r="L291" i="8"/>
  <c r="H291" i="8"/>
  <c r="L290" i="8"/>
  <c r="H290" i="8"/>
  <c r="L289" i="8"/>
  <c r="H289" i="8"/>
  <c r="L288" i="8"/>
  <c r="H288" i="8"/>
  <c r="L287" i="8"/>
  <c r="H287" i="8"/>
  <c r="L286" i="8"/>
  <c r="H286" i="8"/>
  <c r="L285" i="8"/>
  <c r="H285" i="8"/>
  <c r="L284" i="8"/>
  <c r="H284" i="8"/>
  <c r="L283" i="8"/>
  <c r="H283" i="8"/>
  <c r="L282" i="8"/>
  <c r="H282" i="8"/>
  <c r="L281" i="8"/>
  <c r="H281" i="8"/>
  <c r="L280" i="8"/>
  <c r="H280" i="8"/>
  <c r="L279" i="8"/>
  <c r="H279" i="8"/>
  <c r="L278" i="8"/>
  <c r="H278" i="8"/>
  <c r="L277" i="8"/>
  <c r="H277" i="8"/>
  <c r="L276" i="8"/>
  <c r="L275" i="8"/>
  <c r="H275" i="8"/>
  <c r="L274" i="8"/>
  <c r="H274" i="8"/>
  <c r="L273" i="8"/>
  <c r="H273" i="8"/>
  <c r="L272" i="8"/>
  <c r="H272" i="8"/>
  <c r="L271" i="8"/>
  <c r="H271" i="8"/>
  <c r="L270" i="8"/>
  <c r="H270" i="8"/>
  <c r="L269" i="8"/>
  <c r="H269" i="8"/>
  <c r="L268" i="8"/>
  <c r="H268" i="8"/>
  <c r="L267" i="8"/>
  <c r="H267" i="8"/>
  <c r="L266" i="8"/>
  <c r="H266" i="8"/>
  <c r="L265" i="8"/>
  <c r="H265" i="8"/>
  <c r="L264" i="8"/>
  <c r="H264" i="8"/>
  <c r="L263" i="8"/>
  <c r="H263" i="8"/>
  <c r="L262" i="8"/>
  <c r="H262" i="8"/>
  <c r="L261" i="8"/>
  <c r="H261" i="8"/>
  <c r="L260" i="8"/>
  <c r="H260" i="8"/>
  <c r="L259" i="8"/>
  <c r="H259" i="8"/>
  <c r="L258" i="8"/>
  <c r="H258" i="8"/>
  <c r="L257" i="8"/>
  <c r="H257" i="8"/>
  <c r="L256" i="8"/>
  <c r="H256" i="8"/>
  <c r="L255" i="8"/>
  <c r="H255" i="8"/>
  <c r="L254" i="8"/>
  <c r="H254" i="8"/>
  <c r="L253" i="8"/>
  <c r="H253" i="8"/>
  <c r="L252" i="8"/>
  <c r="H252" i="8"/>
  <c r="L251" i="8"/>
  <c r="H251" i="8"/>
  <c r="L250" i="8"/>
  <c r="H250" i="8"/>
  <c r="L249" i="8"/>
  <c r="H249" i="8"/>
  <c r="L248" i="8"/>
  <c r="H248" i="8"/>
  <c r="L247" i="8"/>
  <c r="H247" i="8"/>
  <c r="L246" i="8"/>
  <c r="H246" i="8"/>
  <c r="L245" i="8"/>
  <c r="H245" i="8"/>
  <c r="L244" i="8"/>
  <c r="H244" i="8"/>
  <c r="L243" i="8"/>
  <c r="H243" i="8"/>
  <c r="L242" i="8"/>
  <c r="L241" i="8"/>
  <c r="L240" i="8"/>
  <c r="L239" i="8"/>
  <c r="L238" i="8"/>
  <c r="H238" i="8"/>
  <c r="L237" i="8"/>
  <c r="H237" i="8"/>
  <c r="L236" i="8"/>
  <c r="H236" i="8"/>
  <c r="L235" i="8"/>
  <c r="H235" i="8"/>
  <c r="L234" i="8"/>
  <c r="H234" i="8"/>
  <c r="L233" i="8"/>
  <c r="H233" i="8"/>
  <c r="L232" i="8"/>
  <c r="H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H215" i="8"/>
  <c r="L214" i="8"/>
  <c r="H214" i="8"/>
  <c r="L213" i="8"/>
  <c r="H213" i="8"/>
  <c r="L212" i="8"/>
  <c r="H212" i="8"/>
  <c r="L211" i="8"/>
  <c r="H211" i="8"/>
  <c r="L210" i="8"/>
  <c r="H210" i="8"/>
  <c r="L209" i="8"/>
  <c r="H209" i="8"/>
  <c r="L208" i="8"/>
  <c r="H208" i="8"/>
  <c r="L207" i="8"/>
  <c r="H207" i="8"/>
  <c r="L206" i="8"/>
  <c r="H206" i="8"/>
  <c r="L205" i="8"/>
  <c r="H205" i="8"/>
  <c r="L204" i="8"/>
  <c r="H204" i="8"/>
  <c r="L203" i="8"/>
  <c r="H203" i="8"/>
  <c r="L202" i="8"/>
  <c r="H202" i="8"/>
  <c r="L201" i="8"/>
  <c r="H201" i="8"/>
  <c r="L200" i="8"/>
  <c r="H200" i="8"/>
  <c r="L199" i="8"/>
  <c r="H199" i="8"/>
  <c r="L198" i="8"/>
  <c r="H198" i="8"/>
  <c r="L197" i="8"/>
  <c r="H197" i="8"/>
  <c r="L196" i="8"/>
  <c r="H196" i="8"/>
  <c r="L195" i="8"/>
  <c r="H195" i="8"/>
  <c r="L194" i="8"/>
  <c r="H194" i="8"/>
  <c r="L193" i="8"/>
  <c r="H193" i="8"/>
  <c r="L192" i="8"/>
  <c r="H192" i="8"/>
  <c r="L191" i="8"/>
  <c r="H191" i="8"/>
  <c r="L190" i="8"/>
  <c r="H190" i="8"/>
  <c r="L189" i="8"/>
  <c r="H189" i="8"/>
  <c r="L188" i="8"/>
  <c r="H188" i="8"/>
  <c r="L187" i="8"/>
  <c r="H187" i="8"/>
  <c r="L186" i="8"/>
  <c r="H186" i="8"/>
  <c r="L185" i="8"/>
  <c r="H185" i="8"/>
  <c r="L184" i="8"/>
  <c r="H184" i="8"/>
  <c r="L183" i="8"/>
  <c r="H183" i="8"/>
  <c r="L182" i="8"/>
  <c r="H182" i="8"/>
  <c r="L181" i="8"/>
  <c r="H181" i="8"/>
  <c r="L180" i="8"/>
  <c r="H180" i="8"/>
  <c r="L179" i="8"/>
  <c r="H179" i="8"/>
  <c r="L178" i="8"/>
  <c r="H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H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H131" i="8"/>
  <c r="L130" i="8"/>
  <c r="H130" i="8"/>
  <c r="L129" i="8"/>
  <c r="H129" i="8"/>
  <c r="L128" i="8"/>
  <c r="H128" i="8"/>
  <c r="L127" i="8"/>
  <c r="L126" i="8"/>
  <c r="L125" i="8"/>
  <c r="H125" i="8"/>
  <c r="L124" i="8"/>
  <c r="H124" i="8"/>
  <c r="L123" i="8"/>
  <c r="H123" i="8"/>
  <c r="L122" i="8"/>
  <c r="H122" i="8"/>
  <c r="L121" i="8"/>
  <c r="H121" i="8"/>
  <c r="L120" i="8"/>
  <c r="L119" i="8"/>
  <c r="L118" i="8"/>
  <c r="L117" i="8"/>
  <c r="H117" i="8"/>
  <c r="L116" i="8"/>
  <c r="H116" i="8"/>
  <c r="L115" i="8"/>
  <c r="H115" i="8"/>
  <c r="L114" i="8"/>
  <c r="H114" i="8"/>
  <c r="L113" i="8"/>
  <c r="H113" i="8"/>
  <c r="L112" i="8"/>
  <c r="L111" i="8"/>
  <c r="H111" i="8"/>
  <c r="L110" i="8"/>
  <c r="H110" i="8"/>
  <c r="L109" i="8"/>
  <c r="H109" i="8"/>
  <c r="L108" i="8"/>
  <c r="L107" i="8"/>
  <c r="L106" i="8"/>
  <c r="L105" i="8"/>
  <c r="L104" i="8"/>
  <c r="H104" i="8"/>
  <c r="L103" i="8"/>
  <c r="H103" i="8"/>
  <c r="L102" i="8"/>
  <c r="H102" i="8"/>
  <c r="L101" i="8"/>
  <c r="L100" i="8"/>
  <c r="H100" i="8"/>
  <c r="L99" i="8"/>
  <c r="H99" i="8"/>
  <c r="L98" i="8"/>
  <c r="L97" i="8"/>
  <c r="H97" i="8"/>
  <c r="L96" i="8"/>
  <c r="H96" i="8"/>
  <c r="L95" i="8"/>
  <c r="H95" i="8"/>
  <c r="L94" i="8"/>
  <c r="H94" i="8"/>
  <c r="L93" i="8"/>
  <c r="H93" i="8"/>
  <c r="L92" i="8"/>
  <c r="H92" i="8"/>
  <c r="L91" i="8"/>
  <c r="H91" i="8"/>
  <c r="L90" i="8"/>
  <c r="L89" i="8"/>
  <c r="H89" i="8"/>
  <c r="L88" i="8"/>
  <c r="H88" i="8"/>
  <c r="L87" i="8"/>
  <c r="H87" i="8"/>
  <c r="L86" i="8"/>
  <c r="H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H70" i="8"/>
  <c r="L69" i="8"/>
  <c r="H69" i="8"/>
  <c r="L68" i="8"/>
  <c r="L67" i="8"/>
  <c r="L66" i="8"/>
  <c r="H66" i="8"/>
  <c r="L65" i="8"/>
  <c r="H65" i="8"/>
  <c r="L64" i="8"/>
  <c r="H64" i="8"/>
  <c r="L63" i="8"/>
  <c r="H63" i="8"/>
  <c r="L62" i="8"/>
  <c r="H62" i="8"/>
  <c r="L61" i="8"/>
  <c r="H61" i="8"/>
  <c r="L60" i="8"/>
  <c r="H60" i="8"/>
  <c r="L59" i="8"/>
  <c r="H59" i="8"/>
  <c r="L58" i="8"/>
  <c r="H58" i="8"/>
  <c r="L57" i="8"/>
  <c r="H57" i="8"/>
  <c r="L56" i="8"/>
  <c r="H56" i="8"/>
  <c r="L55" i="8"/>
  <c r="H55" i="8"/>
  <c r="L54" i="8"/>
  <c r="L53" i="8"/>
  <c r="H53" i="8"/>
  <c r="L52" i="8"/>
  <c r="H52" i="8"/>
  <c r="L51" i="8"/>
  <c r="L50" i="8"/>
  <c r="L49" i="8"/>
  <c r="L48" i="8"/>
  <c r="L47" i="8"/>
  <c r="H47" i="8"/>
  <c r="L46" i="8"/>
  <c r="H46" i="8"/>
  <c r="L45" i="8"/>
  <c r="H45" i="8"/>
  <c r="L44" i="8"/>
  <c r="H44" i="8"/>
  <c r="L43" i="8"/>
  <c r="H43" i="8"/>
  <c r="L42" i="8"/>
  <c r="H42" i="8"/>
  <c r="L41" i="8"/>
  <c r="L40" i="8"/>
  <c r="H40" i="8"/>
  <c r="L39" i="8"/>
  <c r="H39" i="8"/>
  <c r="L38" i="8"/>
  <c r="H38" i="8"/>
  <c r="L37" i="8"/>
  <c r="H37" i="8"/>
  <c r="L36" i="8"/>
  <c r="H36" i="8"/>
  <c r="L35" i="8"/>
  <c r="H35" i="8"/>
  <c r="L34" i="8"/>
  <c r="H34" i="8"/>
  <c r="L33" i="8"/>
  <c r="H33" i="8"/>
  <c r="L32" i="8"/>
  <c r="H32" i="8"/>
  <c r="L31" i="8"/>
  <c r="H31" i="8"/>
  <c r="L30" i="8"/>
  <c r="H30" i="8"/>
  <c r="L29" i="8"/>
  <c r="H29" i="8"/>
  <c r="L28" i="8"/>
  <c r="H28" i="8"/>
  <c r="L27" i="8"/>
  <c r="H27" i="8"/>
  <c r="L26" i="8"/>
  <c r="H26" i="8"/>
  <c r="L25" i="8"/>
  <c r="H25" i="8"/>
  <c r="L24" i="8"/>
  <c r="H24" i="8"/>
  <c r="L23" i="8"/>
  <c r="H23" i="8"/>
  <c r="L22" i="8"/>
  <c r="H22" i="8"/>
  <c r="L21" i="8"/>
  <c r="H21" i="8"/>
  <c r="L20" i="8"/>
  <c r="L19" i="8"/>
  <c r="L18" i="8"/>
  <c r="H18" i="8"/>
  <c r="L17" i="8"/>
  <c r="H17" i="8"/>
  <c r="L16" i="8"/>
  <c r="H16" i="8"/>
  <c r="L15" i="8"/>
  <c r="H15" i="8"/>
  <c r="L14" i="8"/>
  <c r="H14" i="8"/>
  <c r="L13" i="8"/>
  <c r="H13" i="8"/>
  <c r="L12" i="8"/>
  <c r="H12" i="8"/>
  <c r="L11" i="8"/>
  <c r="H11" i="8"/>
  <c r="L10" i="8"/>
  <c r="H10" i="8"/>
  <c r="L9" i="8"/>
  <c r="H9" i="8"/>
  <c r="L8" i="8"/>
  <c r="H8" i="8"/>
  <c r="L7" i="8"/>
  <c r="H7" i="8"/>
  <c r="L6" i="8"/>
  <c r="H6" i="8"/>
  <c r="L5" i="8"/>
  <c r="H5" i="8"/>
  <c r="L4" i="8"/>
  <c r="H4" i="8"/>
  <c r="L3" i="8"/>
  <c r="H3" i="8"/>
  <c r="L2" i="8"/>
  <c r="H2" i="8"/>
  <c r="Q51" i="7"/>
  <c r="I51" i="7"/>
  <c r="P51" i="7" s="1"/>
  <c r="Q50" i="7"/>
  <c r="I50" i="7"/>
  <c r="P50" i="7" s="1"/>
  <c r="Q49" i="7"/>
  <c r="I49" i="7"/>
  <c r="P49" i="7" s="1"/>
  <c r="Q48" i="7"/>
  <c r="I48" i="7"/>
  <c r="P48" i="7" s="1"/>
  <c r="Q47" i="7"/>
  <c r="I47" i="7"/>
  <c r="P47" i="7" s="1"/>
  <c r="Q46" i="7"/>
  <c r="I46" i="7"/>
  <c r="P46" i="7" s="1"/>
  <c r="Q45" i="7"/>
  <c r="I45" i="7"/>
  <c r="P45" i="7" s="1"/>
  <c r="Q44" i="7"/>
  <c r="I44" i="7"/>
  <c r="P44" i="7" s="1"/>
  <c r="Q43" i="7"/>
  <c r="I43" i="7"/>
  <c r="P43" i="7" s="1"/>
  <c r="Q42" i="7"/>
  <c r="I42" i="7"/>
  <c r="P42" i="7" s="1"/>
  <c r="Q41" i="7"/>
  <c r="I41" i="7"/>
  <c r="P41" i="7" s="1"/>
  <c r="Q40" i="7"/>
  <c r="I40" i="7"/>
  <c r="P40" i="7" s="1"/>
  <c r="Q39" i="7"/>
  <c r="I39" i="7"/>
  <c r="P39" i="7" s="1"/>
  <c r="Q38" i="7"/>
  <c r="I38" i="7"/>
  <c r="P38" i="7" s="1"/>
  <c r="Q37" i="7"/>
  <c r="I37" i="7"/>
  <c r="P37" i="7" s="1"/>
  <c r="Q36" i="7"/>
  <c r="I36" i="7"/>
  <c r="P36" i="7" s="1"/>
  <c r="Q35" i="7"/>
  <c r="I35" i="7"/>
  <c r="P35" i="7" s="1"/>
  <c r="Q34" i="7"/>
  <c r="I34" i="7"/>
  <c r="P34" i="7" s="1"/>
  <c r="Q33" i="7"/>
  <c r="I33" i="7"/>
  <c r="P33" i="7" s="1"/>
  <c r="Q32" i="7"/>
  <c r="I32" i="7"/>
  <c r="P32" i="7" s="1"/>
  <c r="Q31" i="7"/>
  <c r="I31" i="7"/>
  <c r="P31" i="7" s="1"/>
  <c r="Q30" i="7"/>
  <c r="I30" i="7"/>
  <c r="P30" i="7" s="1"/>
  <c r="Q29" i="7"/>
  <c r="I29" i="7"/>
  <c r="P29" i="7" s="1"/>
  <c r="Q28" i="7"/>
  <c r="I28" i="7"/>
  <c r="P28" i="7" s="1"/>
  <c r="Q27" i="7"/>
  <c r="I27" i="7"/>
  <c r="P27" i="7" s="1"/>
  <c r="Q26" i="7"/>
  <c r="I26" i="7"/>
  <c r="P26" i="7" s="1"/>
  <c r="Q25" i="7"/>
  <c r="I25" i="7"/>
  <c r="P25" i="7" s="1"/>
  <c r="Q24" i="7"/>
  <c r="I24" i="7"/>
  <c r="P24" i="7" s="1"/>
  <c r="Q23" i="7"/>
  <c r="I23" i="7"/>
  <c r="P23" i="7" s="1"/>
  <c r="Q22" i="7"/>
  <c r="I22" i="7"/>
  <c r="P22" i="7" s="1"/>
  <c r="Q21" i="7"/>
  <c r="I21" i="7"/>
  <c r="P21" i="7" s="1"/>
  <c r="Q20" i="7"/>
  <c r="I20" i="7"/>
  <c r="P20" i="7" s="1"/>
  <c r="Q19" i="7"/>
  <c r="I19" i="7"/>
  <c r="P19" i="7" s="1"/>
  <c r="Q18" i="7"/>
  <c r="I18" i="7"/>
  <c r="P18" i="7" s="1"/>
  <c r="Q17" i="7"/>
  <c r="I17" i="7"/>
  <c r="P17" i="7" s="1"/>
  <c r="Q16" i="7"/>
  <c r="I16" i="7"/>
  <c r="P16" i="7" s="1"/>
  <c r="Q15" i="7"/>
  <c r="I15" i="7"/>
  <c r="P15" i="7" s="1"/>
  <c r="Q14" i="7"/>
  <c r="I14" i="7"/>
  <c r="P14" i="7" s="1"/>
  <c r="Q13" i="7"/>
  <c r="I13" i="7"/>
  <c r="P13" i="7" s="1"/>
  <c r="Q12" i="7"/>
  <c r="I12" i="7"/>
  <c r="P12" i="7" s="1"/>
  <c r="Q11" i="7"/>
  <c r="I11" i="7"/>
  <c r="P11" i="7" s="1"/>
  <c r="Q10" i="7"/>
  <c r="I10" i="7"/>
  <c r="P10" i="7" s="1"/>
  <c r="Q9" i="7"/>
  <c r="I9" i="7"/>
  <c r="P9" i="7" s="1"/>
  <c r="Q8" i="7"/>
  <c r="I8" i="7"/>
  <c r="P8" i="7" s="1"/>
  <c r="Q7" i="7"/>
  <c r="I7" i="7"/>
  <c r="P7" i="7" s="1"/>
  <c r="Q6" i="7"/>
  <c r="I6" i="7"/>
  <c r="P6" i="7" s="1"/>
  <c r="Q5" i="7"/>
  <c r="I5" i="7"/>
  <c r="P5" i="7" s="1"/>
  <c r="Q4" i="7"/>
  <c r="I4" i="7"/>
  <c r="P4" i="7" s="1"/>
  <c r="Q3" i="7"/>
  <c r="I3" i="7"/>
  <c r="P3" i="7" s="1"/>
  <c r="Q2" i="7"/>
  <c r="I2" i="7"/>
  <c r="P2" i="7" s="1"/>
  <c r="R593" i="6"/>
  <c r="I593" i="6"/>
  <c r="P593" i="6" s="1"/>
  <c r="R592" i="6"/>
  <c r="I592" i="6"/>
  <c r="P592" i="6" s="1"/>
  <c r="R591" i="6"/>
  <c r="I591" i="6"/>
  <c r="P591" i="6" s="1"/>
  <c r="R590" i="6"/>
  <c r="I590" i="6"/>
  <c r="P590" i="6" s="1"/>
  <c r="R589" i="6"/>
  <c r="I589" i="6"/>
  <c r="P589" i="6" s="1"/>
  <c r="R588" i="6"/>
  <c r="I588" i="6"/>
  <c r="P588" i="6" s="1"/>
  <c r="R587" i="6"/>
  <c r="I587" i="6"/>
  <c r="P587" i="6" s="1"/>
  <c r="R586" i="6"/>
  <c r="I586" i="6"/>
  <c r="P586" i="6" s="1"/>
  <c r="R585" i="6"/>
  <c r="I585" i="6"/>
  <c r="P585" i="6" s="1"/>
  <c r="R584" i="6"/>
  <c r="I584" i="6"/>
  <c r="P584" i="6" s="1"/>
  <c r="R583" i="6"/>
  <c r="I583" i="6"/>
  <c r="P583" i="6" s="1"/>
  <c r="R582" i="6"/>
  <c r="I582" i="6"/>
  <c r="P582" i="6" s="1"/>
  <c r="R581" i="6"/>
  <c r="I581" i="6"/>
  <c r="P581" i="6" s="1"/>
  <c r="R580" i="6"/>
  <c r="I580" i="6"/>
  <c r="P580" i="6" s="1"/>
  <c r="R579" i="6"/>
  <c r="I579" i="6"/>
  <c r="P579" i="6" s="1"/>
  <c r="R578" i="6"/>
  <c r="I578" i="6"/>
  <c r="P578" i="6" s="1"/>
  <c r="R577" i="6"/>
  <c r="I577" i="6"/>
  <c r="P577" i="6" s="1"/>
  <c r="R576" i="6"/>
  <c r="I576" i="6"/>
  <c r="P576" i="6" s="1"/>
  <c r="R575" i="6"/>
  <c r="I575" i="6"/>
  <c r="P575" i="6" s="1"/>
  <c r="R574" i="6"/>
  <c r="I574" i="6"/>
  <c r="P574" i="6" s="1"/>
  <c r="R573" i="6"/>
  <c r="I573" i="6"/>
  <c r="P573" i="6" s="1"/>
  <c r="R572" i="6"/>
  <c r="I572" i="6"/>
  <c r="P572" i="6" s="1"/>
  <c r="R571" i="6"/>
  <c r="I571" i="6"/>
  <c r="P571" i="6" s="1"/>
  <c r="R570" i="6"/>
  <c r="I570" i="6"/>
  <c r="P570" i="6" s="1"/>
  <c r="R569" i="6"/>
  <c r="I569" i="6"/>
  <c r="P569" i="6" s="1"/>
  <c r="R568" i="6"/>
  <c r="I568" i="6"/>
  <c r="P568" i="6" s="1"/>
  <c r="R567" i="6"/>
  <c r="I567" i="6"/>
  <c r="P567" i="6" s="1"/>
  <c r="R566" i="6"/>
  <c r="I566" i="6"/>
  <c r="P566" i="6" s="1"/>
  <c r="R565" i="6"/>
  <c r="I565" i="6"/>
  <c r="P565" i="6" s="1"/>
  <c r="R564" i="6"/>
  <c r="I564" i="6"/>
  <c r="P564" i="6" s="1"/>
  <c r="R563" i="6"/>
  <c r="I563" i="6"/>
  <c r="P563" i="6" s="1"/>
  <c r="R562" i="6"/>
  <c r="I562" i="6"/>
  <c r="P562" i="6" s="1"/>
  <c r="R561" i="6"/>
  <c r="I561" i="6"/>
  <c r="P561" i="6" s="1"/>
  <c r="R560" i="6"/>
  <c r="I560" i="6"/>
  <c r="P560" i="6" s="1"/>
  <c r="R559" i="6"/>
  <c r="I559" i="6"/>
  <c r="P559" i="6" s="1"/>
  <c r="R558" i="6"/>
  <c r="I558" i="6"/>
  <c r="P558" i="6" s="1"/>
  <c r="R557" i="6"/>
  <c r="P557" i="6"/>
  <c r="I557" i="6"/>
  <c r="R556" i="6"/>
  <c r="I556" i="6"/>
  <c r="P556" i="6" s="1"/>
  <c r="R555" i="6"/>
  <c r="I555" i="6"/>
  <c r="P555" i="6" s="1"/>
  <c r="R554" i="6"/>
  <c r="I554" i="6"/>
  <c r="P554" i="6" s="1"/>
  <c r="R553" i="6"/>
  <c r="I553" i="6"/>
  <c r="P553" i="6" s="1"/>
  <c r="R552" i="6"/>
  <c r="I552" i="6"/>
  <c r="P552" i="6" s="1"/>
  <c r="R551" i="6"/>
  <c r="I551" i="6"/>
  <c r="P551" i="6" s="1"/>
  <c r="R550" i="6"/>
  <c r="I550" i="6"/>
  <c r="P550" i="6" s="1"/>
  <c r="R549" i="6"/>
  <c r="P549" i="6"/>
  <c r="I549" i="6"/>
  <c r="R548" i="6"/>
  <c r="I548" i="6"/>
  <c r="P548" i="6" s="1"/>
  <c r="R547" i="6"/>
  <c r="I547" i="6"/>
  <c r="P547" i="6" s="1"/>
  <c r="R546" i="6"/>
  <c r="I546" i="6"/>
  <c r="P546" i="6" s="1"/>
  <c r="R545" i="6"/>
  <c r="I545" i="6"/>
  <c r="P545" i="6" s="1"/>
  <c r="R544" i="6"/>
  <c r="I544" i="6"/>
  <c r="P544" i="6" s="1"/>
  <c r="R543" i="6"/>
  <c r="I543" i="6"/>
  <c r="P543" i="6" s="1"/>
  <c r="R542" i="6"/>
  <c r="I542" i="6"/>
  <c r="P542" i="6" s="1"/>
  <c r="R541" i="6"/>
  <c r="P541" i="6"/>
  <c r="I541" i="6"/>
  <c r="R540" i="6"/>
  <c r="I540" i="6"/>
  <c r="P540" i="6" s="1"/>
  <c r="R539" i="6"/>
  <c r="I539" i="6"/>
  <c r="P539" i="6" s="1"/>
  <c r="R538" i="6"/>
  <c r="I538" i="6"/>
  <c r="P538" i="6" s="1"/>
  <c r="R537" i="6"/>
  <c r="P537" i="6"/>
  <c r="I537" i="6"/>
  <c r="R536" i="6"/>
  <c r="I536" i="6"/>
  <c r="P536" i="6" s="1"/>
  <c r="R535" i="6"/>
  <c r="I535" i="6"/>
  <c r="P535" i="6" s="1"/>
  <c r="R534" i="6"/>
  <c r="I534" i="6"/>
  <c r="P534" i="6" s="1"/>
  <c r="R533" i="6"/>
  <c r="P533" i="6"/>
  <c r="I533" i="6"/>
  <c r="R532" i="6"/>
  <c r="I532" i="6"/>
  <c r="P532" i="6" s="1"/>
  <c r="R531" i="6"/>
  <c r="I531" i="6"/>
  <c r="P531" i="6" s="1"/>
  <c r="R530" i="6"/>
  <c r="I530" i="6"/>
  <c r="P530" i="6" s="1"/>
  <c r="R529" i="6"/>
  <c r="I529" i="6"/>
  <c r="P529" i="6" s="1"/>
  <c r="R528" i="6"/>
  <c r="I528" i="6"/>
  <c r="P528" i="6" s="1"/>
  <c r="R527" i="6"/>
  <c r="I527" i="6"/>
  <c r="P527" i="6" s="1"/>
  <c r="R526" i="6"/>
  <c r="I526" i="6"/>
  <c r="P526" i="6" s="1"/>
  <c r="R525" i="6"/>
  <c r="P525" i="6"/>
  <c r="I525" i="6"/>
  <c r="R524" i="6"/>
  <c r="I524" i="6"/>
  <c r="P524" i="6" s="1"/>
  <c r="R523" i="6"/>
  <c r="I523" i="6"/>
  <c r="P523" i="6" s="1"/>
  <c r="R522" i="6"/>
  <c r="I522" i="6"/>
  <c r="P522" i="6" s="1"/>
  <c r="R521" i="6"/>
  <c r="I521" i="6"/>
  <c r="P521" i="6" s="1"/>
  <c r="R520" i="6"/>
  <c r="I520" i="6"/>
  <c r="P520" i="6" s="1"/>
  <c r="R519" i="6"/>
  <c r="I519" i="6"/>
  <c r="P519" i="6" s="1"/>
  <c r="R518" i="6"/>
  <c r="I518" i="6"/>
  <c r="P518" i="6" s="1"/>
  <c r="R517" i="6"/>
  <c r="P517" i="6"/>
  <c r="I517" i="6"/>
  <c r="R516" i="6"/>
  <c r="I516" i="6"/>
  <c r="P516" i="6" s="1"/>
  <c r="R515" i="6"/>
  <c r="I515" i="6"/>
  <c r="P515" i="6" s="1"/>
  <c r="R514" i="6"/>
  <c r="I514" i="6"/>
  <c r="P514" i="6" s="1"/>
  <c r="R513" i="6"/>
  <c r="I513" i="6"/>
  <c r="P513" i="6" s="1"/>
  <c r="R512" i="6"/>
  <c r="I512" i="6"/>
  <c r="P512" i="6" s="1"/>
  <c r="R511" i="6"/>
  <c r="I511" i="6"/>
  <c r="P511" i="6" s="1"/>
  <c r="R510" i="6"/>
  <c r="I510" i="6"/>
  <c r="P510" i="6" s="1"/>
  <c r="R509" i="6"/>
  <c r="P509" i="6"/>
  <c r="I509" i="6"/>
  <c r="R508" i="6"/>
  <c r="I508" i="6"/>
  <c r="P508" i="6" s="1"/>
  <c r="R507" i="6"/>
  <c r="I507" i="6"/>
  <c r="P507" i="6" s="1"/>
  <c r="R506" i="6"/>
  <c r="I506" i="6"/>
  <c r="P506" i="6" s="1"/>
  <c r="R505" i="6"/>
  <c r="P505" i="6"/>
  <c r="I505" i="6"/>
  <c r="R504" i="6"/>
  <c r="I504" i="6"/>
  <c r="P504" i="6" s="1"/>
  <c r="R503" i="6"/>
  <c r="I503" i="6"/>
  <c r="P503" i="6" s="1"/>
  <c r="R502" i="6"/>
  <c r="I502" i="6"/>
  <c r="P502" i="6" s="1"/>
  <c r="R501" i="6"/>
  <c r="P501" i="6"/>
  <c r="I501" i="6"/>
  <c r="R500" i="6"/>
  <c r="I500" i="6"/>
  <c r="P500" i="6" s="1"/>
  <c r="R499" i="6"/>
  <c r="I499" i="6"/>
  <c r="P499" i="6" s="1"/>
  <c r="R498" i="6"/>
  <c r="P498" i="6"/>
  <c r="I498" i="6"/>
  <c r="R497" i="6"/>
  <c r="I497" i="6"/>
  <c r="P497" i="6" s="1"/>
  <c r="R496" i="6"/>
  <c r="P496" i="6"/>
  <c r="I496" i="6"/>
  <c r="R495" i="6"/>
  <c r="I495" i="6"/>
  <c r="P495" i="6" s="1"/>
  <c r="R494" i="6"/>
  <c r="P494" i="6"/>
  <c r="I494" i="6"/>
  <c r="R493" i="6"/>
  <c r="I493" i="6"/>
  <c r="P493" i="6" s="1"/>
  <c r="R492" i="6"/>
  <c r="P492" i="6"/>
  <c r="I492" i="6"/>
  <c r="R491" i="6"/>
  <c r="I491" i="6"/>
  <c r="P491" i="6" s="1"/>
  <c r="R490" i="6"/>
  <c r="P490" i="6"/>
  <c r="I490" i="6"/>
  <c r="R489" i="6"/>
  <c r="I489" i="6"/>
  <c r="P489" i="6" s="1"/>
  <c r="R488" i="6"/>
  <c r="P488" i="6"/>
  <c r="I488" i="6"/>
  <c r="R487" i="6"/>
  <c r="I487" i="6"/>
  <c r="P487" i="6" s="1"/>
  <c r="R486" i="6"/>
  <c r="P486" i="6"/>
  <c r="I486" i="6"/>
  <c r="R485" i="6"/>
  <c r="I485" i="6"/>
  <c r="P485" i="6" s="1"/>
  <c r="R484" i="6"/>
  <c r="P484" i="6"/>
  <c r="I484" i="6"/>
  <c r="R483" i="6"/>
  <c r="I483" i="6"/>
  <c r="P483" i="6" s="1"/>
  <c r="R482" i="6"/>
  <c r="P482" i="6"/>
  <c r="I482" i="6"/>
  <c r="R481" i="6"/>
  <c r="I481" i="6"/>
  <c r="P481" i="6" s="1"/>
  <c r="R480" i="6"/>
  <c r="P480" i="6"/>
  <c r="I480" i="6"/>
  <c r="R479" i="6"/>
  <c r="I479" i="6"/>
  <c r="P479" i="6" s="1"/>
  <c r="R478" i="6"/>
  <c r="P478" i="6"/>
  <c r="I478" i="6"/>
  <c r="R477" i="6"/>
  <c r="I477" i="6"/>
  <c r="P477" i="6" s="1"/>
  <c r="R476" i="6"/>
  <c r="P476" i="6"/>
  <c r="I476" i="6"/>
  <c r="R475" i="6"/>
  <c r="I475" i="6"/>
  <c r="P475" i="6" s="1"/>
  <c r="R474" i="6"/>
  <c r="P474" i="6"/>
  <c r="I474" i="6"/>
  <c r="R473" i="6"/>
  <c r="I473" i="6"/>
  <c r="P473" i="6" s="1"/>
  <c r="R472" i="6"/>
  <c r="P472" i="6"/>
  <c r="I472" i="6"/>
  <c r="R471" i="6"/>
  <c r="I471" i="6"/>
  <c r="P471" i="6" s="1"/>
  <c r="R470" i="6"/>
  <c r="P470" i="6"/>
  <c r="I470" i="6"/>
  <c r="R469" i="6"/>
  <c r="I469" i="6"/>
  <c r="P469" i="6" s="1"/>
  <c r="R468" i="6"/>
  <c r="P468" i="6"/>
  <c r="I468" i="6"/>
  <c r="R467" i="6"/>
  <c r="I467" i="6"/>
  <c r="P467" i="6" s="1"/>
  <c r="R466" i="6"/>
  <c r="P466" i="6"/>
  <c r="I466" i="6"/>
  <c r="R465" i="6"/>
  <c r="I465" i="6"/>
  <c r="P465" i="6" s="1"/>
  <c r="R464" i="6"/>
  <c r="P464" i="6"/>
  <c r="I464" i="6"/>
  <c r="R463" i="6"/>
  <c r="I463" i="6"/>
  <c r="P463" i="6" s="1"/>
  <c r="R462" i="6"/>
  <c r="P462" i="6"/>
  <c r="I462" i="6"/>
  <c r="R461" i="6"/>
  <c r="I461" i="6"/>
  <c r="P461" i="6" s="1"/>
  <c r="R460" i="6"/>
  <c r="P460" i="6"/>
  <c r="I460" i="6"/>
  <c r="R459" i="6"/>
  <c r="I459" i="6"/>
  <c r="P459" i="6" s="1"/>
  <c r="R458" i="6"/>
  <c r="P458" i="6"/>
  <c r="I458" i="6"/>
  <c r="R457" i="6"/>
  <c r="I457" i="6"/>
  <c r="P457" i="6" s="1"/>
  <c r="R456" i="6"/>
  <c r="P456" i="6"/>
  <c r="I456" i="6"/>
  <c r="R455" i="6"/>
  <c r="I455" i="6"/>
  <c r="P455" i="6" s="1"/>
  <c r="R454" i="6"/>
  <c r="I454" i="6"/>
  <c r="P454" i="6" s="1"/>
  <c r="R453" i="6"/>
  <c r="I453" i="6"/>
  <c r="P453" i="6" s="1"/>
  <c r="R452" i="6"/>
  <c r="P452" i="6"/>
  <c r="I452" i="6"/>
  <c r="R451" i="6"/>
  <c r="I451" i="6"/>
  <c r="P451" i="6" s="1"/>
  <c r="R450" i="6"/>
  <c r="I450" i="6"/>
  <c r="P450" i="6" s="1"/>
  <c r="R449" i="6"/>
  <c r="I449" i="6"/>
  <c r="P449" i="6" s="1"/>
  <c r="R448" i="6"/>
  <c r="P448" i="6"/>
  <c r="I448" i="6"/>
  <c r="R447" i="6"/>
  <c r="I447" i="6"/>
  <c r="P447" i="6" s="1"/>
  <c r="R446" i="6"/>
  <c r="I446" i="6"/>
  <c r="P446" i="6" s="1"/>
  <c r="R445" i="6"/>
  <c r="I445" i="6"/>
  <c r="P445" i="6" s="1"/>
  <c r="R444" i="6"/>
  <c r="P444" i="6"/>
  <c r="I444" i="6"/>
  <c r="R443" i="6"/>
  <c r="I443" i="6"/>
  <c r="P443" i="6" s="1"/>
  <c r="R442" i="6"/>
  <c r="I442" i="6"/>
  <c r="P442" i="6" s="1"/>
  <c r="R441" i="6"/>
  <c r="I441" i="6"/>
  <c r="P441" i="6" s="1"/>
  <c r="R440" i="6"/>
  <c r="P440" i="6"/>
  <c r="I440" i="6"/>
  <c r="R439" i="6"/>
  <c r="I439" i="6"/>
  <c r="P439" i="6" s="1"/>
  <c r="R438" i="6"/>
  <c r="P438" i="6"/>
  <c r="I438" i="6"/>
  <c r="R437" i="6"/>
  <c r="I437" i="6"/>
  <c r="P437" i="6" s="1"/>
  <c r="R436" i="6"/>
  <c r="P436" i="6"/>
  <c r="I436" i="6"/>
  <c r="R435" i="6"/>
  <c r="I435" i="6"/>
  <c r="P435" i="6" s="1"/>
  <c r="R434" i="6"/>
  <c r="I434" i="6"/>
  <c r="P434" i="6" s="1"/>
  <c r="R433" i="6"/>
  <c r="I433" i="6"/>
  <c r="P433" i="6" s="1"/>
  <c r="R432" i="6"/>
  <c r="P432" i="6"/>
  <c r="I432" i="6"/>
  <c r="R431" i="6"/>
  <c r="I431" i="6"/>
  <c r="P431" i="6" s="1"/>
  <c r="R430" i="6"/>
  <c r="I430" i="6"/>
  <c r="P430" i="6" s="1"/>
  <c r="R429" i="6"/>
  <c r="I429" i="6"/>
  <c r="P429" i="6" s="1"/>
  <c r="I428" i="6"/>
  <c r="P428" i="6" s="1"/>
  <c r="I427" i="6"/>
  <c r="P427" i="6" s="1"/>
  <c r="I426" i="6"/>
  <c r="P426" i="6" s="1"/>
  <c r="R425" i="6"/>
  <c r="I425" i="6"/>
  <c r="P425" i="6" s="1"/>
  <c r="R424" i="6"/>
  <c r="I424" i="6"/>
  <c r="P424" i="6" s="1"/>
  <c r="R423" i="6"/>
  <c r="P423" i="6"/>
  <c r="I423" i="6"/>
  <c r="R422" i="6"/>
  <c r="I422" i="6"/>
  <c r="P422" i="6" s="1"/>
  <c r="R421" i="6"/>
  <c r="I421" i="6"/>
  <c r="P421" i="6" s="1"/>
  <c r="R420" i="6"/>
  <c r="I420" i="6"/>
  <c r="P420" i="6" s="1"/>
  <c r="R419" i="6"/>
  <c r="P419" i="6"/>
  <c r="I419" i="6"/>
  <c r="R418" i="6"/>
  <c r="I418" i="6"/>
  <c r="P418" i="6" s="1"/>
  <c r="R417" i="6"/>
  <c r="I417" i="6"/>
  <c r="P417" i="6" s="1"/>
  <c r="R416" i="6"/>
  <c r="I416" i="6"/>
  <c r="P416" i="6" s="1"/>
  <c r="R415" i="6"/>
  <c r="P415" i="6"/>
  <c r="I415" i="6"/>
  <c r="P414" i="6"/>
  <c r="I414" i="6"/>
  <c r="P413" i="6"/>
  <c r="I413" i="6"/>
  <c r="P412" i="6"/>
  <c r="I412" i="6"/>
  <c r="R411" i="6"/>
  <c r="I411" i="6"/>
  <c r="P411" i="6" s="1"/>
  <c r="R410" i="6"/>
  <c r="I410" i="6"/>
  <c r="P410" i="6" s="1"/>
  <c r="P409" i="6"/>
  <c r="I409" i="6"/>
  <c r="I408" i="6"/>
  <c r="P408" i="6" s="1"/>
  <c r="R407" i="6"/>
  <c r="P407" i="6"/>
  <c r="I407" i="6"/>
  <c r="R406" i="6"/>
  <c r="I406" i="6"/>
  <c r="P406" i="6" s="1"/>
  <c r="R405" i="6"/>
  <c r="P405" i="6"/>
  <c r="I405" i="6"/>
  <c r="R404" i="6"/>
  <c r="I404" i="6"/>
  <c r="P404" i="6" s="1"/>
  <c r="R403" i="6"/>
  <c r="P403" i="6"/>
  <c r="I403" i="6"/>
  <c r="R402" i="6"/>
  <c r="I402" i="6"/>
  <c r="P402" i="6" s="1"/>
  <c r="R401" i="6"/>
  <c r="P401" i="6"/>
  <c r="I401" i="6"/>
  <c r="R400" i="6"/>
  <c r="I400" i="6"/>
  <c r="P400" i="6" s="1"/>
  <c r="R399" i="6"/>
  <c r="P399" i="6"/>
  <c r="I399" i="6"/>
  <c r="R398" i="6"/>
  <c r="I398" i="6"/>
  <c r="P398" i="6" s="1"/>
  <c r="R397" i="6"/>
  <c r="P397" i="6"/>
  <c r="I397" i="6"/>
  <c r="R396" i="6"/>
  <c r="I396" i="6"/>
  <c r="P396" i="6" s="1"/>
  <c r="R395" i="6"/>
  <c r="P395" i="6"/>
  <c r="I395" i="6"/>
  <c r="R394" i="6"/>
  <c r="I394" i="6"/>
  <c r="P394" i="6" s="1"/>
  <c r="R393" i="6"/>
  <c r="P393" i="6"/>
  <c r="I393" i="6"/>
  <c r="R392" i="6"/>
  <c r="I392" i="6"/>
  <c r="P392" i="6" s="1"/>
  <c r="R391" i="6"/>
  <c r="P391" i="6"/>
  <c r="I391" i="6"/>
  <c r="R390" i="6"/>
  <c r="I390" i="6"/>
  <c r="P390" i="6" s="1"/>
  <c r="R389" i="6"/>
  <c r="P389" i="6"/>
  <c r="I389" i="6"/>
  <c r="R388" i="6"/>
  <c r="I388" i="6"/>
  <c r="P388" i="6" s="1"/>
  <c r="R387" i="6"/>
  <c r="P387" i="6"/>
  <c r="I387" i="6"/>
  <c r="R386" i="6"/>
  <c r="I386" i="6"/>
  <c r="P386" i="6" s="1"/>
  <c r="R385" i="6"/>
  <c r="P385" i="6"/>
  <c r="I385" i="6"/>
  <c r="R384" i="6"/>
  <c r="I384" i="6"/>
  <c r="P384" i="6" s="1"/>
  <c r="R383" i="6"/>
  <c r="P383" i="6"/>
  <c r="I383" i="6"/>
  <c r="R382" i="6"/>
  <c r="I382" i="6"/>
  <c r="P382" i="6" s="1"/>
  <c r="R381" i="6"/>
  <c r="P381" i="6"/>
  <c r="I381" i="6"/>
  <c r="R380" i="6"/>
  <c r="I380" i="6"/>
  <c r="P380" i="6" s="1"/>
  <c r="R379" i="6"/>
  <c r="P379" i="6"/>
  <c r="I379" i="6"/>
  <c r="R378" i="6"/>
  <c r="I378" i="6"/>
  <c r="P378" i="6" s="1"/>
  <c r="R377" i="6"/>
  <c r="I377" i="6"/>
  <c r="P377" i="6" s="1"/>
  <c r="R376" i="6"/>
  <c r="I376" i="6"/>
  <c r="P376" i="6" s="1"/>
  <c r="R375" i="6"/>
  <c r="P375" i="6"/>
  <c r="I375" i="6"/>
  <c r="R374" i="6"/>
  <c r="I374" i="6"/>
  <c r="P374" i="6" s="1"/>
  <c r="R373" i="6"/>
  <c r="I373" i="6"/>
  <c r="P373" i="6" s="1"/>
  <c r="R372" i="6"/>
  <c r="I372" i="6"/>
  <c r="P372" i="6" s="1"/>
  <c r="R371" i="6"/>
  <c r="P371" i="6"/>
  <c r="I371" i="6"/>
  <c r="R370" i="6"/>
  <c r="I370" i="6"/>
  <c r="P370" i="6" s="1"/>
  <c r="R369" i="6"/>
  <c r="I369" i="6"/>
  <c r="P369" i="6" s="1"/>
  <c r="R368" i="6"/>
  <c r="I368" i="6"/>
  <c r="P368" i="6" s="1"/>
  <c r="R367" i="6"/>
  <c r="P367" i="6"/>
  <c r="I367" i="6"/>
  <c r="R366" i="6"/>
  <c r="I366" i="6"/>
  <c r="P366" i="6" s="1"/>
  <c r="R365" i="6"/>
  <c r="I365" i="6"/>
  <c r="P365" i="6" s="1"/>
  <c r="R364" i="6"/>
  <c r="I364" i="6"/>
  <c r="P364" i="6" s="1"/>
  <c r="R363" i="6"/>
  <c r="P363" i="6"/>
  <c r="I363" i="6"/>
  <c r="R362" i="6"/>
  <c r="I362" i="6"/>
  <c r="P362" i="6" s="1"/>
  <c r="R361" i="6"/>
  <c r="I361" i="6"/>
  <c r="P361" i="6" s="1"/>
  <c r="R360" i="6"/>
  <c r="I360" i="6"/>
  <c r="P360" i="6" s="1"/>
  <c r="R359" i="6"/>
  <c r="P359" i="6"/>
  <c r="I359" i="6"/>
  <c r="R358" i="6"/>
  <c r="I358" i="6"/>
  <c r="P358" i="6" s="1"/>
  <c r="R357" i="6"/>
  <c r="I357" i="6"/>
  <c r="P357" i="6" s="1"/>
  <c r="R356" i="6"/>
  <c r="I356" i="6"/>
  <c r="P356" i="6" s="1"/>
  <c r="R355" i="6"/>
  <c r="P355" i="6"/>
  <c r="I355" i="6"/>
  <c r="R354" i="6"/>
  <c r="I354" i="6"/>
  <c r="P354" i="6" s="1"/>
  <c r="R353" i="6"/>
  <c r="I353" i="6"/>
  <c r="P353" i="6" s="1"/>
  <c r="R352" i="6"/>
  <c r="I352" i="6"/>
  <c r="P352" i="6" s="1"/>
  <c r="R351" i="6"/>
  <c r="P351" i="6"/>
  <c r="I351" i="6"/>
  <c r="R350" i="6"/>
  <c r="I350" i="6"/>
  <c r="P350" i="6" s="1"/>
  <c r="R349" i="6"/>
  <c r="I349" i="6"/>
  <c r="P349" i="6" s="1"/>
  <c r="R348" i="6"/>
  <c r="I348" i="6"/>
  <c r="P348" i="6" s="1"/>
  <c r="R347" i="6"/>
  <c r="I347" i="6"/>
  <c r="P347" i="6" s="1"/>
  <c r="R346" i="6"/>
  <c r="I346" i="6"/>
  <c r="P346" i="6" s="1"/>
  <c r="R345" i="6"/>
  <c r="I345" i="6"/>
  <c r="P345" i="6" s="1"/>
  <c r="R344" i="6"/>
  <c r="I344" i="6"/>
  <c r="P344" i="6" s="1"/>
  <c r="R343" i="6"/>
  <c r="I343" i="6"/>
  <c r="P343" i="6" s="1"/>
  <c r="R342" i="6"/>
  <c r="I342" i="6"/>
  <c r="P342" i="6" s="1"/>
  <c r="R341" i="6"/>
  <c r="I341" i="6"/>
  <c r="P341" i="6" s="1"/>
  <c r="R340" i="6"/>
  <c r="I340" i="6"/>
  <c r="P340" i="6" s="1"/>
  <c r="R339" i="6"/>
  <c r="I339" i="6"/>
  <c r="P339" i="6" s="1"/>
  <c r="R338" i="6"/>
  <c r="I338" i="6"/>
  <c r="P338" i="6" s="1"/>
  <c r="R337" i="6"/>
  <c r="I337" i="6"/>
  <c r="P337" i="6" s="1"/>
  <c r="R336" i="6"/>
  <c r="I336" i="6"/>
  <c r="P336" i="6" s="1"/>
  <c r="R335" i="6"/>
  <c r="I335" i="6"/>
  <c r="P335" i="6" s="1"/>
  <c r="R334" i="6"/>
  <c r="I334" i="6"/>
  <c r="P334" i="6" s="1"/>
  <c r="R333" i="6"/>
  <c r="I333" i="6"/>
  <c r="P333" i="6" s="1"/>
  <c r="R332" i="6"/>
  <c r="I332" i="6"/>
  <c r="P332" i="6" s="1"/>
  <c r="R331" i="6"/>
  <c r="I331" i="6"/>
  <c r="P331" i="6" s="1"/>
  <c r="R330" i="6"/>
  <c r="I330" i="6"/>
  <c r="P330" i="6" s="1"/>
  <c r="R329" i="6"/>
  <c r="I329" i="6"/>
  <c r="P329" i="6" s="1"/>
  <c r="R328" i="6"/>
  <c r="I328" i="6"/>
  <c r="P328" i="6" s="1"/>
  <c r="R327" i="6"/>
  <c r="I327" i="6"/>
  <c r="P327" i="6" s="1"/>
  <c r="I326" i="6"/>
  <c r="P326" i="6" s="1"/>
  <c r="R325" i="6"/>
  <c r="P325" i="6"/>
  <c r="I325" i="6"/>
  <c r="R324" i="6"/>
  <c r="I324" i="6"/>
  <c r="P324" i="6" s="1"/>
  <c r="R323" i="6"/>
  <c r="I323" i="6"/>
  <c r="P323" i="6" s="1"/>
  <c r="R322" i="6"/>
  <c r="I322" i="6"/>
  <c r="P322" i="6" s="1"/>
  <c r="R321" i="6"/>
  <c r="P321" i="6"/>
  <c r="I321" i="6"/>
  <c r="R320" i="6"/>
  <c r="I320" i="6"/>
  <c r="P320" i="6" s="1"/>
  <c r="R319" i="6"/>
  <c r="I319" i="6"/>
  <c r="P319" i="6" s="1"/>
  <c r="R318" i="6"/>
  <c r="I318" i="6"/>
  <c r="P318" i="6" s="1"/>
  <c r="R317" i="6"/>
  <c r="I317" i="6"/>
  <c r="P317" i="6" s="1"/>
  <c r="R316" i="6"/>
  <c r="I316" i="6"/>
  <c r="P316" i="6" s="1"/>
  <c r="R315" i="6"/>
  <c r="I315" i="6"/>
  <c r="P315" i="6" s="1"/>
  <c r="R314" i="6"/>
  <c r="I314" i="6"/>
  <c r="P314" i="6" s="1"/>
  <c r="R313" i="6"/>
  <c r="P313" i="6"/>
  <c r="I313" i="6"/>
  <c r="R312" i="6"/>
  <c r="I312" i="6"/>
  <c r="P312" i="6" s="1"/>
  <c r="R311" i="6"/>
  <c r="I311" i="6"/>
  <c r="P311" i="6" s="1"/>
  <c r="R310" i="6"/>
  <c r="I310" i="6"/>
  <c r="P310" i="6" s="1"/>
  <c r="R309" i="6"/>
  <c r="P309" i="6"/>
  <c r="I309" i="6"/>
  <c r="R308" i="6"/>
  <c r="I308" i="6"/>
  <c r="P308" i="6" s="1"/>
  <c r="R307" i="6"/>
  <c r="I307" i="6"/>
  <c r="P307" i="6" s="1"/>
  <c r="R306" i="6"/>
  <c r="I306" i="6"/>
  <c r="P306" i="6" s="1"/>
  <c r="R305" i="6"/>
  <c r="I305" i="6"/>
  <c r="P305" i="6" s="1"/>
  <c r="R304" i="6"/>
  <c r="I304" i="6"/>
  <c r="P304" i="6" s="1"/>
  <c r="R303" i="6"/>
  <c r="P303" i="6"/>
  <c r="I303" i="6"/>
  <c r="R302" i="6"/>
  <c r="I302" i="6"/>
  <c r="P302" i="6" s="1"/>
  <c r="R301" i="6"/>
  <c r="P301" i="6"/>
  <c r="I301" i="6"/>
  <c r="R300" i="6"/>
  <c r="I300" i="6"/>
  <c r="P300" i="6" s="1"/>
  <c r="R299" i="6"/>
  <c r="I299" i="6"/>
  <c r="P299" i="6" s="1"/>
  <c r="R298" i="6"/>
  <c r="I298" i="6"/>
  <c r="P298" i="6" s="1"/>
  <c r="R297" i="6"/>
  <c r="P297" i="6"/>
  <c r="I297" i="6"/>
  <c r="R296" i="6"/>
  <c r="I296" i="6"/>
  <c r="P296" i="6" s="1"/>
  <c r="R295" i="6"/>
  <c r="I295" i="6"/>
  <c r="P295" i="6" s="1"/>
  <c r="R294" i="6"/>
  <c r="I294" i="6"/>
  <c r="P294" i="6" s="1"/>
  <c r="R293" i="6"/>
  <c r="I293" i="6"/>
  <c r="P293" i="6" s="1"/>
  <c r="R292" i="6"/>
  <c r="I292" i="6"/>
  <c r="P292" i="6" s="1"/>
  <c r="R291" i="6"/>
  <c r="I291" i="6"/>
  <c r="P291" i="6" s="1"/>
  <c r="R290" i="6"/>
  <c r="I290" i="6"/>
  <c r="P290" i="6" s="1"/>
  <c r="R289" i="6"/>
  <c r="P289" i="6"/>
  <c r="I289" i="6"/>
  <c r="R288" i="6"/>
  <c r="I288" i="6"/>
  <c r="P288" i="6" s="1"/>
  <c r="R287" i="6"/>
  <c r="I287" i="6"/>
  <c r="P287" i="6" s="1"/>
  <c r="R286" i="6"/>
  <c r="I286" i="6"/>
  <c r="P286" i="6" s="1"/>
  <c r="R285" i="6"/>
  <c r="P285" i="6"/>
  <c r="I285" i="6"/>
  <c r="R284" i="6"/>
  <c r="I284" i="6"/>
  <c r="P284" i="6" s="1"/>
  <c r="R283" i="6"/>
  <c r="I283" i="6"/>
  <c r="P283" i="6" s="1"/>
  <c r="R282" i="6"/>
  <c r="I282" i="6"/>
  <c r="P282" i="6" s="1"/>
  <c r="R281" i="6"/>
  <c r="I281" i="6"/>
  <c r="P281" i="6" s="1"/>
  <c r="R280" i="6"/>
  <c r="I280" i="6"/>
  <c r="P280" i="6" s="1"/>
  <c r="R279" i="6"/>
  <c r="P279" i="6"/>
  <c r="I279" i="6"/>
  <c r="R278" i="6"/>
  <c r="I278" i="6"/>
  <c r="P278" i="6" s="1"/>
  <c r="R277" i="6"/>
  <c r="P277" i="6"/>
  <c r="I277" i="6"/>
  <c r="R276" i="6"/>
  <c r="I276" i="6"/>
  <c r="P276" i="6" s="1"/>
  <c r="R275" i="6"/>
  <c r="I275" i="6"/>
  <c r="P275" i="6" s="1"/>
  <c r="R274" i="6"/>
  <c r="I274" i="6"/>
  <c r="P274" i="6" s="1"/>
  <c r="R273" i="6"/>
  <c r="P273" i="6"/>
  <c r="I273" i="6"/>
  <c r="R272" i="6"/>
  <c r="I272" i="6"/>
  <c r="P272" i="6" s="1"/>
  <c r="R271" i="6"/>
  <c r="I271" i="6"/>
  <c r="P271" i="6" s="1"/>
  <c r="R270" i="6"/>
  <c r="I270" i="6"/>
  <c r="P270" i="6" s="1"/>
  <c r="R269" i="6"/>
  <c r="I269" i="6"/>
  <c r="P269" i="6" s="1"/>
  <c r="R268" i="6"/>
  <c r="I268" i="6"/>
  <c r="P268" i="6" s="1"/>
  <c r="R267" i="6"/>
  <c r="I267" i="6"/>
  <c r="P267" i="6" s="1"/>
  <c r="R266" i="6"/>
  <c r="I266" i="6"/>
  <c r="P266" i="6" s="1"/>
  <c r="R265" i="6"/>
  <c r="P265" i="6"/>
  <c r="I265" i="6"/>
  <c r="R264" i="6"/>
  <c r="I264" i="6"/>
  <c r="P264" i="6" s="1"/>
  <c r="R263" i="6"/>
  <c r="I263" i="6"/>
  <c r="P263" i="6" s="1"/>
  <c r="R262" i="6"/>
  <c r="I262" i="6"/>
  <c r="P262" i="6" s="1"/>
  <c r="R261" i="6"/>
  <c r="P261" i="6"/>
  <c r="I261" i="6"/>
  <c r="R260" i="6"/>
  <c r="I260" i="6"/>
  <c r="P260" i="6" s="1"/>
  <c r="R259" i="6"/>
  <c r="I259" i="6"/>
  <c r="P259" i="6" s="1"/>
  <c r="R258" i="6"/>
  <c r="I258" i="6"/>
  <c r="P258" i="6" s="1"/>
  <c r="R257" i="6"/>
  <c r="I257" i="6"/>
  <c r="P257" i="6" s="1"/>
  <c r="R256" i="6"/>
  <c r="I256" i="6"/>
  <c r="P256" i="6" s="1"/>
  <c r="R255" i="6"/>
  <c r="P255" i="6"/>
  <c r="I255" i="6"/>
  <c r="R254" i="6"/>
  <c r="I254" i="6"/>
  <c r="P254" i="6" s="1"/>
  <c r="R253" i="6"/>
  <c r="P253" i="6"/>
  <c r="I253" i="6"/>
  <c r="R252" i="6"/>
  <c r="I252" i="6"/>
  <c r="P252" i="6" s="1"/>
  <c r="R251" i="6"/>
  <c r="I251" i="6"/>
  <c r="P251" i="6" s="1"/>
  <c r="R250" i="6"/>
  <c r="I250" i="6"/>
  <c r="P250" i="6" s="1"/>
  <c r="R249" i="6"/>
  <c r="P249" i="6"/>
  <c r="I249" i="6"/>
  <c r="R248" i="6"/>
  <c r="I248" i="6"/>
  <c r="P248" i="6" s="1"/>
  <c r="R247" i="6"/>
  <c r="I247" i="6"/>
  <c r="P247" i="6" s="1"/>
  <c r="R246" i="6"/>
  <c r="I246" i="6"/>
  <c r="P246" i="6" s="1"/>
  <c r="R245" i="6"/>
  <c r="I245" i="6"/>
  <c r="P245" i="6" s="1"/>
  <c r="R244" i="6"/>
  <c r="I244" i="6"/>
  <c r="P244" i="6" s="1"/>
  <c r="R243" i="6"/>
  <c r="I243" i="6"/>
  <c r="P243" i="6" s="1"/>
  <c r="R242" i="6"/>
  <c r="I242" i="6"/>
  <c r="P242" i="6" s="1"/>
  <c r="R241" i="6"/>
  <c r="P241" i="6"/>
  <c r="I241" i="6"/>
  <c r="R240" i="6"/>
  <c r="I240" i="6"/>
  <c r="P240" i="6" s="1"/>
  <c r="R239" i="6"/>
  <c r="I239" i="6"/>
  <c r="P239" i="6" s="1"/>
  <c r="R238" i="6"/>
  <c r="I238" i="6"/>
  <c r="P238" i="6" s="1"/>
  <c r="R237" i="6"/>
  <c r="P237" i="6"/>
  <c r="I237" i="6"/>
  <c r="R236" i="6"/>
  <c r="I236" i="6"/>
  <c r="P236" i="6" s="1"/>
  <c r="R235" i="6"/>
  <c r="I235" i="6"/>
  <c r="P235" i="6" s="1"/>
  <c r="R234" i="6"/>
  <c r="I234" i="6"/>
  <c r="P234" i="6" s="1"/>
  <c r="R233" i="6"/>
  <c r="I233" i="6"/>
  <c r="P233" i="6" s="1"/>
  <c r="R232" i="6"/>
  <c r="I232" i="6"/>
  <c r="P232" i="6" s="1"/>
  <c r="R231" i="6"/>
  <c r="P231" i="6"/>
  <c r="I231" i="6"/>
  <c r="R230" i="6"/>
  <c r="I230" i="6"/>
  <c r="P230" i="6" s="1"/>
  <c r="R229" i="6"/>
  <c r="P229" i="6"/>
  <c r="I229" i="6"/>
  <c r="R228" i="6"/>
  <c r="I228" i="6"/>
  <c r="P228" i="6" s="1"/>
  <c r="R227" i="6"/>
  <c r="I227" i="6"/>
  <c r="P227" i="6" s="1"/>
  <c r="R226" i="6"/>
  <c r="I226" i="6"/>
  <c r="P226" i="6" s="1"/>
  <c r="R225" i="6"/>
  <c r="P225" i="6"/>
  <c r="I225" i="6"/>
  <c r="R224" i="6"/>
  <c r="I224" i="6"/>
  <c r="P224" i="6" s="1"/>
  <c r="R223" i="6"/>
  <c r="I223" i="6"/>
  <c r="P223" i="6" s="1"/>
  <c r="R222" i="6"/>
  <c r="I222" i="6"/>
  <c r="P222" i="6" s="1"/>
  <c r="R221" i="6"/>
  <c r="I221" i="6"/>
  <c r="P221" i="6" s="1"/>
  <c r="R220" i="6"/>
  <c r="I220" i="6"/>
  <c r="P220" i="6" s="1"/>
  <c r="R219" i="6"/>
  <c r="I219" i="6"/>
  <c r="P219" i="6" s="1"/>
  <c r="R218" i="6"/>
  <c r="I218" i="6"/>
  <c r="P218" i="6" s="1"/>
  <c r="R217" i="6"/>
  <c r="P217" i="6"/>
  <c r="I217" i="6"/>
  <c r="R216" i="6"/>
  <c r="I216" i="6"/>
  <c r="P216" i="6" s="1"/>
  <c r="R215" i="6"/>
  <c r="I215" i="6"/>
  <c r="P215" i="6" s="1"/>
  <c r="R214" i="6"/>
  <c r="I214" i="6"/>
  <c r="P214" i="6" s="1"/>
  <c r="R213" i="6"/>
  <c r="P213" i="6"/>
  <c r="I213" i="6"/>
  <c r="R212" i="6"/>
  <c r="I212" i="6"/>
  <c r="P212" i="6" s="1"/>
  <c r="R211" i="6"/>
  <c r="I211" i="6"/>
  <c r="P211" i="6" s="1"/>
  <c r="R210" i="6"/>
  <c r="I210" i="6"/>
  <c r="P210" i="6" s="1"/>
  <c r="R209" i="6"/>
  <c r="I209" i="6"/>
  <c r="P209" i="6" s="1"/>
  <c r="R208" i="6"/>
  <c r="I208" i="6"/>
  <c r="P208" i="6" s="1"/>
  <c r="R207" i="6"/>
  <c r="P207" i="6"/>
  <c r="I207" i="6"/>
  <c r="R206" i="6"/>
  <c r="I206" i="6"/>
  <c r="P206" i="6" s="1"/>
  <c r="R205" i="6"/>
  <c r="P205" i="6"/>
  <c r="I205" i="6"/>
  <c r="R204" i="6"/>
  <c r="I204" i="6"/>
  <c r="P204" i="6" s="1"/>
  <c r="R203" i="6"/>
  <c r="I203" i="6"/>
  <c r="P203" i="6" s="1"/>
  <c r="R202" i="6"/>
  <c r="I202" i="6"/>
  <c r="P202" i="6" s="1"/>
  <c r="R201" i="6"/>
  <c r="P201" i="6"/>
  <c r="I201" i="6"/>
  <c r="R200" i="6"/>
  <c r="I200" i="6"/>
  <c r="P200" i="6" s="1"/>
  <c r="R199" i="6"/>
  <c r="I199" i="6"/>
  <c r="P199" i="6" s="1"/>
  <c r="R198" i="6"/>
  <c r="I198" i="6"/>
  <c r="P198" i="6" s="1"/>
  <c r="R197" i="6"/>
  <c r="I197" i="6"/>
  <c r="P197" i="6" s="1"/>
  <c r="R196" i="6"/>
  <c r="I196" i="6"/>
  <c r="P196" i="6" s="1"/>
  <c r="R195" i="6"/>
  <c r="I195" i="6"/>
  <c r="P195" i="6" s="1"/>
  <c r="R194" i="6"/>
  <c r="I194" i="6"/>
  <c r="P194" i="6" s="1"/>
  <c r="R193" i="6"/>
  <c r="P193" i="6"/>
  <c r="I193" i="6"/>
  <c r="R192" i="6"/>
  <c r="I192" i="6"/>
  <c r="P192" i="6" s="1"/>
  <c r="R191" i="6"/>
  <c r="I191" i="6"/>
  <c r="P191" i="6" s="1"/>
  <c r="R190" i="6"/>
  <c r="I190" i="6"/>
  <c r="P190" i="6" s="1"/>
  <c r="R189" i="6"/>
  <c r="P189" i="6"/>
  <c r="I189" i="6"/>
  <c r="R188" i="6"/>
  <c r="I188" i="6"/>
  <c r="P188" i="6" s="1"/>
  <c r="R187" i="6"/>
  <c r="I187" i="6"/>
  <c r="P187" i="6" s="1"/>
  <c r="R186" i="6"/>
  <c r="I186" i="6"/>
  <c r="P186" i="6" s="1"/>
  <c r="R185" i="6"/>
  <c r="I185" i="6"/>
  <c r="P185" i="6" s="1"/>
  <c r="R184" i="6"/>
  <c r="I184" i="6"/>
  <c r="P184" i="6" s="1"/>
  <c r="R183" i="6"/>
  <c r="P183" i="6"/>
  <c r="I183" i="6"/>
  <c r="R182" i="6"/>
  <c r="I182" i="6"/>
  <c r="P182" i="6" s="1"/>
  <c r="R181" i="6"/>
  <c r="P181" i="6"/>
  <c r="I181" i="6"/>
  <c r="R180" i="6"/>
  <c r="I180" i="6"/>
  <c r="P180" i="6" s="1"/>
  <c r="R179" i="6"/>
  <c r="I179" i="6"/>
  <c r="P179" i="6" s="1"/>
  <c r="R178" i="6"/>
  <c r="I178" i="6"/>
  <c r="P178" i="6" s="1"/>
  <c r="R177" i="6"/>
  <c r="P177" i="6"/>
  <c r="I177" i="6"/>
  <c r="R176" i="6"/>
  <c r="I176" i="6"/>
  <c r="P176" i="6" s="1"/>
  <c r="R175" i="6"/>
  <c r="I175" i="6"/>
  <c r="P175" i="6" s="1"/>
  <c r="R174" i="6"/>
  <c r="I174" i="6"/>
  <c r="P174" i="6" s="1"/>
  <c r="R173" i="6"/>
  <c r="I173" i="6"/>
  <c r="P173" i="6" s="1"/>
  <c r="R172" i="6"/>
  <c r="I172" i="6"/>
  <c r="P172" i="6" s="1"/>
  <c r="R171" i="6"/>
  <c r="I171" i="6"/>
  <c r="P171" i="6" s="1"/>
  <c r="R170" i="6"/>
  <c r="I170" i="6"/>
  <c r="P170" i="6" s="1"/>
  <c r="R169" i="6"/>
  <c r="P169" i="6"/>
  <c r="I169" i="6"/>
  <c r="R168" i="6"/>
  <c r="I168" i="6"/>
  <c r="P168" i="6" s="1"/>
  <c r="R167" i="6"/>
  <c r="I167" i="6"/>
  <c r="P167" i="6" s="1"/>
  <c r="R166" i="6"/>
  <c r="I166" i="6"/>
  <c r="P166" i="6" s="1"/>
  <c r="R165" i="6"/>
  <c r="P165" i="6"/>
  <c r="I165" i="6"/>
  <c r="R164" i="6"/>
  <c r="I164" i="6"/>
  <c r="P164" i="6" s="1"/>
  <c r="R163" i="6"/>
  <c r="I163" i="6"/>
  <c r="P163" i="6" s="1"/>
  <c r="R162" i="6"/>
  <c r="I162" i="6"/>
  <c r="P162" i="6" s="1"/>
  <c r="R161" i="6"/>
  <c r="I161" i="6"/>
  <c r="P161" i="6" s="1"/>
  <c r="R160" i="6"/>
  <c r="I160" i="6"/>
  <c r="P160" i="6" s="1"/>
  <c r="R159" i="6"/>
  <c r="P159" i="6"/>
  <c r="I159" i="6"/>
  <c r="R158" i="6"/>
  <c r="I158" i="6"/>
  <c r="P158" i="6" s="1"/>
  <c r="R157" i="6"/>
  <c r="P157" i="6"/>
  <c r="I157" i="6"/>
  <c r="R156" i="6"/>
  <c r="I156" i="6"/>
  <c r="P156" i="6" s="1"/>
  <c r="R155" i="6"/>
  <c r="I155" i="6"/>
  <c r="P155" i="6" s="1"/>
  <c r="R154" i="6"/>
  <c r="I154" i="6"/>
  <c r="P154" i="6" s="1"/>
  <c r="R153" i="6"/>
  <c r="P153" i="6"/>
  <c r="I153" i="6"/>
  <c r="R152" i="6"/>
  <c r="I152" i="6"/>
  <c r="P152" i="6" s="1"/>
  <c r="R151" i="6"/>
  <c r="I151" i="6"/>
  <c r="P151" i="6" s="1"/>
  <c r="R150" i="6"/>
  <c r="I150" i="6"/>
  <c r="P150" i="6" s="1"/>
  <c r="R149" i="6"/>
  <c r="I149" i="6"/>
  <c r="P149" i="6" s="1"/>
  <c r="R148" i="6"/>
  <c r="I148" i="6"/>
  <c r="P148" i="6" s="1"/>
  <c r="R147" i="6"/>
  <c r="I147" i="6"/>
  <c r="P147" i="6" s="1"/>
  <c r="R146" i="6"/>
  <c r="I146" i="6"/>
  <c r="P146" i="6" s="1"/>
  <c r="R145" i="6"/>
  <c r="P145" i="6"/>
  <c r="I145" i="6"/>
  <c r="R144" i="6"/>
  <c r="I144" i="6"/>
  <c r="P144" i="6" s="1"/>
  <c r="R143" i="6"/>
  <c r="I143" i="6"/>
  <c r="P143" i="6" s="1"/>
  <c r="R142" i="6"/>
  <c r="I142" i="6"/>
  <c r="P142" i="6" s="1"/>
  <c r="R141" i="6"/>
  <c r="P141" i="6"/>
  <c r="I141" i="6"/>
  <c r="R140" i="6"/>
  <c r="I140" i="6"/>
  <c r="P140" i="6" s="1"/>
  <c r="R139" i="6"/>
  <c r="I139" i="6"/>
  <c r="P139" i="6" s="1"/>
  <c r="R138" i="6"/>
  <c r="I138" i="6"/>
  <c r="P138" i="6" s="1"/>
  <c r="R137" i="6"/>
  <c r="I137" i="6"/>
  <c r="P137" i="6" s="1"/>
  <c r="R136" i="6"/>
  <c r="I136" i="6"/>
  <c r="P136" i="6" s="1"/>
  <c r="R135" i="6"/>
  <c r="P135" i="6"/>
  <c r="I135" i="6"/>
  <c r="R134" i="6"/>
  <c r="I134" i="6"/>
  <c r="P134" i="6" s="1"/>
  <c r="R133" i="6"/>
  <c r="P133" i="6"/>
  <c r="I133" i="6"/>
  <c r="R132" i="6"/>
  <c r="I132" i="6"/>
  <c r="P132" i="6" s="1"/>
  <c r="R131" i="6"/>
  <c r="I131" i="6"/>
  <c r="P131" i="6" s="1"/>
  <c r="R130" i="6"/>
  <c r="I130" i="6"/>
  <c r="P130" i="6" s="1"/>
  <c r="R129" i="6"/>
  <c r="P129" i="6"/>
  <c r="I129" i="6"/>
  <c r="R128" i="6"/>
  <c r="I128" i="6"/>
  <c r="P128" i="6" s="1"/>
  <c r="R127" i="6"/>
  <c r="I127" i="6"/>
  <c r="P127" i="6" s="1"/>
  <c r="R126" i="6"/>
  <c r="I126" i="6"/>
  <c r="P126" i="6" s="1"/>
  <c r="R125" i="6"/>
  <c r="I125" i="6"/>
  <c r="P125" i="6" s="1"/>
  <c r="R124" i="6"/>
  <c r="I124" i="6"/>
  <c r="P124" i="6" s="1"/>
  <c r="R123" i="6"/>
  <c r="I123" i="6"/>
  <c r="P123" i="6" s="1"/>
  <c r="R122" i="6"/>
  <c r="I122" i="6"/>
  <c r="P122" i="6" s="1"/>
  <c r="R121" i="6"/>
  <c r="P121" i="6"/>
  <c r="I121" i="6"/>
  <c r="R120" i="6"/>
  <c r="I120" i="6"/>
  <c r="P120" i="6" s="1"/>
  <c r="R119" i="6"/>
  <c r="I119" i="6"/>
  <c r="P119" i="6" s="1"/>
  <c r="R118" i="6"/>
  <c r="I118" i="6"/>
  <c r="P118" i="6" s="1"/>
  <c r="R117" i="6"/>
  <c r="P117" i="6"/>
  <c r="I117" i="6"/>
  <c r="R116" i="6"/>
  <c r="I116" i="6"/>
  <c r="P116" i="6" s="1"/>
  <c r="R115" i="6"/>
  <c r="I115" i="6"/>
  <c r="P115" i="6" s="1"/>
  <c r="R114" i="6"/>
  <c r="I114" i="6"/>
  <c r="P114" i="6" s="1"/>
  <c r="R113" i="6"/>
  <c r="I113" i="6"/>
  <c r="P113" i="6" s="1"/>
  <c r="R112" i="6"/>
  <c r="I112" i="6"/>
  <c r="P112" i="6" s="1"/>
  <c r="R111" i="6"/>
  <c r="I111" i="6"/>
  <c r="P111" i="6" s="1"/>
  <c r="R110" i="6"/>
  <c r="I110" i="6"/>
  <c r="P110" i="6" s="1"/>
  <c r="R109" i="6"/>
  <c r="I109" i="6"/>
  <c r="P109" i="6" s="1"/>
  <c r="R108" i="6"/>
  <c r="P108" i="6"/>
  <c r="I108" i="6"/>
  <c r="R107" i="6"/>
  <c r="P107" i="6"/>
  <c r="I107" i="6"/>
  <c r="R106" i="6"/>
  <c r="I106" i="6"/>
  <c r="P106" i="6" s="1"/>
  <c r="R105" i="6"/>
  <c r="P105" i="6"/>
  <c r="I105" i="6"/>
  <c r="R104" i="6"/>
  <c r="I104" i="6"/>
  <c r="P104" i="6" s="1"/>
  <c r="R103" i="6"/>
  <c r="P103" i="6"/>
  <c r="I103" i="6"/>
  <c r="R102" i="6"/>
  <c r="I102" i="6"/>
  <c r="P102" i="6" s="1"/>
  <c r="R101" i="6"/>
  <c r="I101" i="6"/>
  <c r="P101" i="6" s="1"/>
  <c r="R100" i="6"/>
  <c r="I100" i="6"/>
  <c r="P100" i="6" s="1"/>
  <c r="R99" i="6"/>
  <c r="I99" i="6"/>
  <c r="P99" i="6" s="1"/>
  <c r="R98" i="6"/>
  <c r="I98" i="6"/>
  <c r="P98" i="6" s="1"/>
  <c r="R97" i="6"/>
  <c r="P97" i="6"/>
  <c r="I97" i="6"/>
  <c r="R96" i="6"/>
  <c r="I96" i="6"/>
  <c r="P96" i="6" s="1"/>
  <c r="R95" i="6"/>
  <c r="P95" i="6"/>
  <c r="I95" i="6"/>
  <c r="R94" i="6"/>
  <c r="I94" i="6"/>
  <c r="P94" i="6" s="1"/>
  <c r="R93" i="6"/>
  <c r="I93" i="6"/>
  <c r="P93" i="6" s="1"/>
  <c r="R92" i="6"/>
  <c r="P92" i="6"/>
  <c r="I92" i="6"/>
  <c r="R91" i="6"/>
  <c r="I91" i="6"/>
  <c r="P91" i="6" s="1"/>
  <c r="R90" i="6"/>
  <c r="I90" i="6"/>
  <c r="P90" i="6" s="1"/>
  <c r="R89" i="6"/>
  <c r="I89" i="6"/>
  <c r="P89" i="6" s="1"/>
  <c r="R88" i="6"/>
  <c r="I88" i="6"/>
  <c r="P88" i="6" s="1"/>
  <c r="R87" i="6"/>
  <c r="I87" i="6"/>
  <c r="P87" i="6" s="1"/>
  <c r="R86" i="6"/>
  <c r="I86" i="6"/>
  <c r="P86" i="6" s="1"/>
  <c r="R85" i="6"/>
  <c r="P85" i="6"/>
  <c r="I85" i="6"/>
  <c r="R84" i="6"/>
  <c r="P84" i="6"/>
  <c r="I84" i="6"/>
  <c r="R83" i="6"/>
  <c r="I83" i="6"/>
  <c r="P83" i="6" s="1"/>
  <c r="R82" i="6"/>
  <c r="P82" i="6"/>
  <c r="I82" i="6"/>
  <c r="R81" i="6"/>
  <c r="P81" i="6"/>
  <c r="I81" i="6"/>
  <c r="R80" i="6"/>
  <c r="P80" i="6"/>
  <c r="I80" i="6"/>
  <c r="R79" i="6"/>
  <c r="I79" i="6"/>
  <c r="P79" i="6" s="1"/>
  <c r="R78" i="6"/>
  <c r="P78" i="6"/>
  <c r="I78" i="6"/>
  <c r="R77" i="6"/>
  <c r="P77" i="6"/>
  <c r="I77" i="6"/>
  <c r="R76" i="6"/>
  <c r="P76" i="6"/>
  <c r="I76" i="6"/>
  <c r="R75" i="6"/>
  <c r="I75" i="6"/>
  <c r="P75" i="6" s="1"/>
  <c r="R74" i="6"/>
  <c r="P74" i="6"/>
  <c r="I74" i="6"/>
  <c r="R73" i="6"/>
  <c r="P73" i="6"/>
  <c r="I73" i="6"/>
  <c r="R72" i="6"/>
  <c r="P72" i="6"/>
  <c r="I72" i="6"/>
  <c r="R71" i="6"/>
  <c r="I71" i="6"/>
  <c r="P71" i="6" s="1"/>
  <c r="R70" i="6"/>
  <c r="P70" i="6"/>
  <c r="I70" i="6"/>
  <c r="R69" i="6"/>
  <c r="P69" i="6"/>
  <c r="I69" i="6"/>
  <c r="R68" i="6"/>
  <c r="P68" i="6"/>
  <c r="I68" i="6"/>
  <c r="R67" i="6"/>
  <c r="I67" i="6"/>
  <c r="P67" i="6" s="1"/>
  <c r="R66" i="6"/>
  <c r="P66" i="6"/>
  <c r="I66" i="6"/>
  <c r="R65" i="6"/>
  <c r="P65" i="6"/>
  <c r="I65" i="6"/>
  <c r="R64" i="6"/>
  <c r="P64" i="6"/>
  <c r="I64" i="6"/>
  <c r="R63" i="6"/>
  <c r="I63" i="6"/>
  <c r="P63" i="6" s="1"/>
  <c r="R62" i="6"/>
  <c r="P62" i="6"/>
  <c r="I62" i="6"/>
  <c r="R61" i="6"/>
  <c r="P61" i="6"/>
  <c r="I61" i="6"/>
  <c r="R60" i="6"/>
  <c r="P60" i="6"/>
  <c r="I60" i="6"/>
  <c r="R59" i="6"/>
  <c r="I59" i="6"/>
  <c r="P59" i="6" s="1"/>
  <c r="R58" i="6"/>
  <c r="P58" i="6"/>
  <c r="I58" i="6"/>
  <c r="R57" i="6"/>
  <c r="P57" i="6"/>
  <c r="I57" i="6"/>
  <c r="R56" i="6"/>
  <c r="P56" i="6"/>
  <c r="I56" i="6"/>
  <c r="R55" i="6"/>
  <c r="I55" i="6"/>
  <c r="P55" i="6" s="1"/>
  <c r="R54" i="6"/>
  <c r="P54" i="6"/>
  <c r="I54" i="6"/>
  <c r="R53" i="6"/>
  <c r="P53" i="6"/>
  <c r="I53" i="6"/>
  <c r="R52" i="6"/>
  <c r="P52" i="6"/>
  <c r="I52" i="6"/>
  <c r="R51" i="6"/>
  <c r="I51" i="6"/>
  <c r="P51" i="6" s="1"/>
  <c r="R50" i="6"/>
  <c r="P50" i="6"/>
  <c r="I50" i="6"/>
  <c r="R49" i="6"/>
  <c r="P49" i="6"/>
  <c r="I49" i="6"/>
  <c r="R48" i="6"/>
  <c r="P48" i="6"/>
  <c r="I48" i="6"/>
  <c r="R47" i="6"/>
  <c r="I47" i="6"/>
  <c r="P47" i="6" s="1"/>
  <c r="R46" i="6"/>
  <c r="P46" i="6"/>
  <c r="I46" i="6"/>
  <c r="R45" i="6"/>
  <c r="P45" i="6"/>
  <c r="I45" i="6"/>
  <c r="R44" i="6"/>
  <c r="P44" i="6"/>
  <c r="I44" i="6"/>
  <c r="R43" i="6"/>
  <c r="I43" i="6"/>
  <c r="P43" i="6" s="1"/>
  <c r="R42" i="6"/>
  <c r="P42" i="6"/>
  <c r="I42" i="6"/>
  <c r="R41" i="6"/>
  <c r="P41" i="6"/>
  <c r="I41" i="6"/>
  <c r="R40" i="6"/>
  <c r="P40" i="6"/>
  <c r="I40" i="6"/>
  <c r="R39" i="6"/>
  <c r="I39" i="6"/>
  <c r="P39" i="6" s="1"/>
  <c r="R38" i="6"/>
  <c r="P38" i="6"/>
  <c r="I38" i="6"/>
  <c r="R37" i="6"/>
  <c r="P37" i="6"/>
  <c r="I37" i="6"/>
  <c r="R36" i="6"/>
  <c r="P36" i="6"/>
  <c r="I36" i="6"/>
  <c r="R35" i="6"/>
  <c r="I35" i="6"/>
  <c r="P35" i="6" s="1"/>
  <c r="R34" i="6"/>
  <c r="P34" i="6"/>
  <c r="I34" i="6"/>
  <c r="R33" i="6"/>
  <c r="P33" i="6"/>
  <c r="I33" i="6"/>
  <c r="R32" i="6"/>
  <c r="P32" i="6"/>
  <c r="I32" i="6"/>
  <c r="R31" i="6"/>
  <c r="I31" i="6"/>
  <c r="P31" i="6" s="1"/>
  <c r="R30" i="6"/>
  <c r="P30" i="6"/>
  <c r="I30" i="6"/>
  <c r="R29" i="6"/>
  <c r="P29" i="6"/>
  <c r="I29" i="6"/>
  <c r="R28" i="6"/>
  <c r="P28" i="6"/>
  <c r="I28" i="6"/>
  <c r="R27" i="6"/>
  <c r="I27" i="6"/>
  <c r="P27" i="6" s="1"/>
  <c r="R26" i="6"/>
  <c r="P26" i="6"/>
  <c r="I26" i="6"/>
  <c r="R25" i="6"/>
  <c r="P25" i="6"/>
  <c r="I25" i="6"/>
  <c r="R24" i="6"/>
  <c r="P24" i="6"/>
  <c r="I24" i="6"/>
  <c r="R23" i="6"/>
  <c r="I23" i="6"/>
  <c r="P23" i="6" s="1"/>
  <c r="R22" i="6"/>
  <c r="P22" i="6"/>
  <c r="I22" i="6"/>
  <c r="R21" i="6"/>
  <c r="P21" i="6"/>
  <c r="I21" i="6"/>
  <c r="R20" i="6"/>
  <c r="P20" i="6"/>
  <c r="I20" i="6"/>
  <c r="R19" i="6"/>
  <c r="I19" i="6"/>
  <c r="P19" i="6" s="1"/>
  <c r="R18" i="6"/>
  <c r="P18" i="6"/>
  <c r="I18" i="6"/>
  <c r="R17" i="6"/>
  <c r="P17" i="6"/>
  <c r="I17" i="6"/>
  <c r="R16" i="6"/>
  <c r="P16" i="6"/>
  <c r="I16" i="6"/>
  <c r="R15" i="6"/>
  <c r="I15" i="6"/>
  <c r="P15" i="6" s="1"/>
  <c r="R14" i="6"/>
  <c r="P14" i="6"/>
  <c r="I14" i="6"/>
  <c r="R13" i="6"/>
  <c r="P13" i="6"/>
  <c r="I13" i="6"/>
  <c r="R12" i="6"/>
  <c r="P12" i="6"/>
  <c r="I12" i="6"/>
  <c r="R11" i="6"/>
  <c r="I11" i="6"/>
  <c r="P11" i="6" s="1"/>
  <c r="R10" i="6"/>
  <c r="P10" i="6"/>
  <c r="I10" i="6"/>
  <c r="R9" i="6"/>
  <c r="P9" i="6"/>
  <c r="I9" i="6"/>
  <c r="R8" i="6"/>
  <c r="P8" i="6"/>
  <c r="I8" i="6"/>
  <c r="R7" i="6"/>
  <c r="I7" i="6"/>
  <c r="P7" i="6" s="1"/>
  <c r="R6" i="6"/>
  <c r="P6" i="6"/>
  <c r="I6" i="6"/>
  <c r="R5" i="6"/>
  <c r="P5" i="6"/>
  <c r="I5" i="6"/>
  <c r="R4" i="6"/>
  <c r="P4" i="6"/>
  <c r="I4" i="6"/>
  <c r="R3" i="6"/>
  <c r="I3" i="6"/>
  <c r="P3" i="6" s="1"/>
  <c r="R2" i="6"/>
  <c r="P2" i="6"/>
  <c r="I2" i="6"/>
  <c r="Q522" i="5"/>
  <c r="I522" i="5"/>
  <c r="P522" i="5" s="1"/>
  <c r="Q521" i="5"/>
  <c r="P521" i="5"/>
  <c r="I521" i="5"/>
  <c r="Q43" i="5"/>
  <c r="I43" i="5"/>
  <c r="P43" i="5" s="1"/>
  <c r="Q42" i="5"/>
  <c r="I42" i="5"/>
  <c r="P42" i="5" s="1"/>
  <c r="Q41" i="5"/>
  <c r="I41" i="5"/>
  <c r="P41" i="5" s="1"/>
  <c r="Q40" i="5"/>
  <c r="P40" i="5"/>
  <c r="I40" i="5"/>
  <c r="Q39" i="5"/>
  <c r="I39" i="5"/>
  <c r="P39" i="5" s="1"/>
  <c r="Q38" i="5"/>
  <c r="P38" i="5"/>
  <c r="I38" i="5"/>
  <c r="Q37" i="5"/>
  <c r="I37" i="5"/>
  <c r="P37" i="5" s="1"/>
  <c r="Q36" i="5"/>
  <c r="P36" i="5"/>
  <c r="I36" i="5"/>
  <c r="Q35" i="5"/>
  <c r="I35" i="5"/>
  <c r="P35" i="5" s="1"/>
  <c r="Q34" i="5"/>
  <c r="P34" i="5"/>
  <c r="I34" i="5"/>
  <c r="Q33" i="5"/>
  <c r="I33" i="5"/>
  <c r="P33" i="5" s="1"/>
  <c r="Q32" i="5"/>
  <c r="I32" i="5"/>
  <c r="P32" i="5" s="1"/>
  <c r="Q31" i="5"/>
  <c r="I31" i="5"/>
  <c r="P31" i="5" s="1"/>
  <c r="Q30" i="5"/>
  <c r="P30" i="5"/>
  <c r="I30" i="5"/>
  <c r="Q29" i="5"/>
  <c r="I29" i="5"/>
  <c r="P29" i="5" s="1"/>
  <c r="Q28" i="5"/>
  <c r="I28" i="5"/>
  <c r="P28" i="5" s="1"/>
  <c r="Q27" i="5"/>
  <c r="I27" i="5"/>
  <c r="P27" i="5" s="1"/>
  <c r="Q26" i="5"/>
  <c r="P26" i="5"/>
  <c r="I26" i="5"/>
  <c r="Q25" i="5"/>
  <c r="I25" i="5"/>
  <c r="P25" i="5" s="1"/>
  <c r="Q24" i="5"/>
  <c r="I24" i="5"/>
  <c r="P24" i="5" s="1"/>
  <c r="Q23" i="5"/>
  <c r="I23" i="5"/>
  <c r="P23" i="5" s="1"/>
  <c r="Q22" i="5"/>
  <c r="I22" i="5"/>
  <c r="P22" i="5" s="1"/>
  <c r="Q21" i="5"/>
  <c r="I21" i="5"/>
  <c r="P21" i="5" s="1"/>
  <c r="Q20" i="5"/>
  <c r="I20" i="5"/>
  <c r="P20" i="5" s="1"/>
  <c r="Q19" i="5"/>
  <c r="I19" i="5"/>
  <c r="P19" i="5" s="1"/>
  <c r="Q18" i="5"/>
  <c r="P18" i="5"/>
  <c r="I18" i="5"/>
  <c r="Q17" i="5"/>
  <c r="I17" i="5"/>
  <c r="P17" i="5" s="1"/>
  <c r="Q16" i="5"/>
  <c r="I16" i="5"/>
  <c r="P16" i="5" s="1"/>
  <c r="Q15" i="5"/>
  <c r="I15" i="5"/>
  <c r="P15" i="5" s="1"/>
  <c r="Q14" i="5"/>
  <c r="P14" i="5"/>
  <c r="I14" i="5"/>
  <c r="Q13" i="5"/>
  <c r="I13" i="5"/>
  <c r="P13" i="5" s="1"/>
  <c r="Q12" i="5"/>
  <c r="I12" i="5"/>
  <c r="P12" i="5" s="1"/>
  <c r="Q11" i="5"/>
  <c r="I11" i="5"/>
  <c r="P11" i="5" s="1"/>
  <c r="Q10" i="5"/>
  <c r="P10" i="5"/>
  <c r="I10" i="5"/>
  <c r="Q9" i="5"/>
  <c r="I9" i="5"/>
  <c r="P9" i="5" s="1"/>
  <c r="Q8" i="5"/>
  <c r="I8" i="5"/>
  <c r="P8" i="5" s="1"/>
  <c r="Q7" i="5"/>
  <c r="I7" i="5"/>
  <c r="P7" i="5" s="1"/>
  <c r="Q6" i="5"/>
  <c r="I6" i="5"/>
  <c r="P6" i="5" s="1"/>
  <c r="Q5" i="5"/>
  <c r="I5" i="5"/>
  <c r="P5" i="5" s="1"/>
  <c r="Q4" i="5"/>
  <c r="I4" i="5"/>
  <c r="P4" i="5" s="1"/>
  <c r="Q3" i="5"/>
  <c r="I3" i="5"/>
  <c r="P3" i="5" s="1"/>
  <c r="Q2" i="5"/>
  <c r="P2" i="5"/>
  <c r="I2" i="5"/>
  <c r="Q528" i="4"/>
  <c r="I528" i="4"/>
  <c r="P528" i="4" s="1"/>
  <c r="Q527" i="4"/>
  <c r="I527" i="4"/>
  <c r="P527" i="4" s="1"/>
  <c r="Q526" i="4"/>
  <c r="I526" i="4"/>
  <c r="P526" i="4" s="1"/>
  <c r="Q525" i="4"/>
  <c r="P525" i="4"/>
  <c r="I525" i="4"/>
  <c r="Q524" i="4"/>
  <c r="I524" i="4"/>
  <c r="P524" i="4" s="1"/>
  <c r="Q523" i="4"/>
  <c r="I523" i="4"/>
  <c r="P523" i="4" s="1"/>
  <c r="Q522" i="4"/>
  <c r="I522" i="4"/>
  <c r="P522" i="4" s="1"/>
  <c r="Q521" i="4"/>
  <c r="P521" i="4"/>
  <c r="I521" i="4"/>
  <c r="Q520" i="4"/>
  <c r="I520" i="4"/>
  <c r="P520" i="4" s="1"/>
  <c r="Q519" i="4"/>
  <c r="I519" i="4"/>
  <c r="P519" i="4" s="1"/>
  <c r="Q518" i="4"/>
  <c r="I518" i="4"/>
  <c r="P518" i="4" s="1"/>
  <c r="Q517" i="4"/>
  <c r="I517" i="4"/>
  <c r="P517" i="4" s="1"/>
  <c r="Q516" i="4"/>
  <c r="I516" i="4"/>
  <c r="P516" i="4" s="1"/>
  <c r="Q515" i="4"/>
  <c r="I515" i="4"/>
  <c r="P515" i="4" s="1"/>
  <c r="Q514" i="4"/>
  <c r="I514" i="4"/>
  <c r="P514" i="4" s="1"/>
  <c r="Q513" i="4"/>
  <c r="P513" i="4"/>
  <c r="I513" i="4"/>
  <c r="Q512" i="4"/>
  <c r="I512" i="4"/>
  <c r="P512" i="4" s="1"/>
  <c r="Q511" i="4"/>
  <c r="I511" i="4"/>
  <c r="P511" i="4" s="1"/>
  <c r="Q510" i="4"/>
  <c r="I510" i="4"/>
  <c r="P510" i="4" s="1"/>
  <c r="Q509" i="4"/>
  <c r="P509" i="4"/>
  <c r="I509" i="4"/>
  <c r="Q508" i="4"/>
  <c r="I508" i="4"/>
  <c r="P508" i="4" s="1"/>
  <c r="Q507" i="4"/>
  <c r="I507" i="4"/>
  <c r="P507" i="4" s="1"/>
  <c r="Q506" i="4"/>
  <c r="I506" i="4"/>
  <c r="P506" i="4" s="1"/>
  <c r="Q505" i="4"/>
  <c r="P505" i="4"/>
  <c r="I505" i="4"/>
  <c r="Q504" i="4"/>
  <c r="I504" i="4"/>
  <c r="P504" i="4" s="1"/>
  <c r="Q503" i="4"/>
  <c r="I503" i="4"/>
  <c r="P503" i="4" s="1"/>
  <c r="Q502" i="4"/>
  <c r="I502" i="4"/>
  <c r="P502" i="4" s="1"/>
  <c r="Q501" i="4"/>
  <c r="I501" i="4"/>
  <c r="P501" i="4" s="1"/>
  <c r="Q500" i="4"/>
  <c r="I500" i="4"/>
  <c r="P500" i="4" s="1"/>
  <c r="Q499" i="4"/>
  <c r="I499" i="4"/>
  <c r="P499" i="4" s="1"/>
  <c r="Q498" i="4"/>
  <c r="I498" i="4"/>
  <c r="P498" i="4" s="1"/>
  <c r="Q497" i="4"/>
  <c r="P497" i="4"/>
  <c r="I497" i="4"/>
  <c r="Q496" i="4"/>
  <c r="I496" i="4"/>
  <c r="P496" i="4" s="1"/>
  <c r="Q495" i="4"/>
  <c r="I495" i="4"/>
  <c r="P495" i="4" s="1"/>
  <c r="Q494" i="4"/>
  <c r="I494" i="4"/>
  <c r="P494" i="4" s="1"/>
  <c r="Q493" i="4"/>
  <c r="P493" i="4"/>
  <c r="I493" i="4"/>
  <c r="Q492" i="4"/>
  <c r="I492" i="4"/>
  <c r="P492" i="4" s="1"/>
  <c r="Q491" i="4"/>
  <c r="I491" i="4"/>
  <c r="P491" i="4" s="1"/>
  <c r="Q490" i="4"/>
  <c r="I490" i="4"/>
  <c r="P490" i="4" s="1"/>
  <c r="Q489" i="4"/>
  <c r="P489" i="4"/>
  <c r="I489" i="4"/>
  <c r="Q488" i="4"/>
  <c r="I488" i="4"/>
  <c r="P488" i="4" s="1"/>
  <c r="Q487" i="4"/>
  <c r="I487" i="4"/>
  <c r="P487" i="4" s="1"/>
  <c r="Q486" i="4"/>
  <c r="I486" i="4"/>
  <c r="P486" i="4" s="1"/>
  <c r="Q485" i="4"/>
  <c r="I485" i="4"/>
  <c r="P485" i="4" s="1"/>
  <c r="Q484" i="4"/>
  <c r="I484" i="4"/>
  <c r="P484" i="4" s="1"/>
  <c r="Q483" i="4"/>
  <c r="I483" i="4"/>
  <c r="P483" i="4" s="1"/>
  <c r="Q482" i="4"/>
  <c r="I482" i="4"/>
  <c r="P482" i="4" s="1"/>
  <c r="Q481" i="4"/>
  <c r="P481" i="4"/>
  <c r="I481" i="4"/>
  <c r="Q480" i="4"/>
  <c r="I480" i="4"/>
  <c r="P480" i="4" s="1"/>
  <c r="Q479" i="4"/>
  <c r="I479" i="4"/>
  <c r="P479" i="4" s="1"/>
  <c r="Q478" i="4"/>
  <c r="I478" i="4"/>
  <c r="P478" i="4" s="1"/>
  <c r="Q477" i="4"/>
  <c r="P477" i="4"/>
  <c r="I477" i="4"/>
  <c r="Q476" i="4"/>
  <c r="I476" i="4"/>
  <c r="P476" i="4" s="1"/>
  <c r="Q475" i="4"/>
  <c r="I475" i="4"/>
  <c r="P475" i="4" s="1"/>
  <c r="Q474" i="4"/>
  <c r="I474" i="4"/>
  <c r="P474" i="4" s="1"/>
  <c r="Q473" i="4"/>
  <c r="P473" i="4"/>
  <c r="I473" i="4"/>
  <c r="Q472" i="4"/>
  <c r="I472" i="4"/>
  <c r="P472" i="4" s="1"/>
  <c r="Q471" i="4"/>
  <c r="I471" i="4"/>
  <c r="P471" i="4" s="1"/>
  <c r="Q470" i="4"/>
  <c r="I470" i="4"/>
  <c r="P470" i="4" s="1"/>
  <c r="Q469" i="4"/>
  <c r="I469" i="4"/>
  <c r="P469" i="4" s="1"/>
  <c r="Q468" i="4"/>
  <c r="I468" i="4"/>
  <c r="P468" i="4" s="1"/>
  <c r="Q467" i="4"/>
  <c r="I467" i="4"/>
  <c r="P467" i="4" s="1"/>
  <c r="Q466" i="4"/>
  <c r="I466" i="4"/>
  <c r="P466" i="4" s="1"/>
  <c r="Q465" i="4"/>
  <c r="P465" i="4"/>
  <c r="I465" i="4"/>
  <c r="Q464" i="4"/>
  <c r="I464" i="4"/>
  <c r="P464" i="4" s="1"/>
  <c r="Q463" i="4"/>
  <c r="I463" i="4"/>
  <c r="P463" i="4" s="1"/>
  <c r="Q462" i="4"/>
  <c r="I462" i="4"/>
  <c r="P462" i="4" s="1"/>
  <c r="Q461" i="4"/>
  <c r="P461" i="4"/>
  <c r="I461" i="4"/>
  <c r="Q460" i="4"/>
  <c r="I460" i="4"/>
  <c r="P460" i="4" s="1"/>
  <c r="Q459" i="4"/>
  <c r="I459" i="4"/>
  <c r="P459" i="4" s="1"/>
  <c r="Q458" i="4"/>
  <c r="I458" i="4"/>
  <c r="P458" i="4" s="1"/>
  <c r="Q457" i="4"/>
  <c r="P457" i="4"/>
  <c r="I457" i="4"/>
  <c r="Q456" i="4"/>
  <c r="I456" i="4"/>
  <c r="P456" i="4" s="1"/>
  <c r="Q455" i="4"/>
  <c r="I455" i="4"/>
  <c r="P455" i="4" s="1"/>
  <c r="Q454" i="4"/>
  <c r="I454" i="4"/>
  <c r="P454" i="4" s="1"/>
  <c r="Q453" i="4"/>
  <c r="I453" i="4"/>
  <c r="P453" i="4" s="1"/>
  <c r="Q452" i="4"/>
  <c r="I452" i="4"/>
  <c r="P452" i="4" s="1"/>
  <c r="Q451" i="4"/>
  <c r="I451" i="4"/>
  <c r="P451" i="4" s="1"/>
  <c r="Q450" i="4"/>
  <c r="I450" i="4"/>
  <c r="P450" i="4" s="1"/>
  <c r="Q449" i="4"/>
  <c r="P449" i="4"/>
  <c r="I449" i="4"/>
  <c r="Q448" i="4"/>
  <c r="I448" i="4"/>
  <c r="P448" i="4" s="1"/>
  <c r="Q447" i="4"/>
  <c r="I447" i="4"/>
  <c r="P447" i="4" s="1"/>
  <c r="Q446" i="4"/>
  <c r="I446" i="4"/>
  <c r="P446" i="4" s="1"/>
  <c r="Q445" i="4"/>
  <c r="P445" i="4"/>
  <c r="I445" i="4"/>
  <c r="Q444" i="4"/>
  <c r="I444" i="4"/>
  <c r="P444" i="4" s="1"/>
  <c r="Q443" i="4"/>
  <c r="I443" i="4"/>
  <c r="P443" i="4" s="1"/>
  <c r="Q442" i="4"/>
  <c r="I442" i="4"/>
  <c r="P442" i="4" s="1"/>
  <c r="Q441" i="4"/>
  <c r="P441" i="4"/>
  <c r="I441" i="4"/>
  <c r="Q440" i="4"/>
  <c r="I440" i="4"/>
  <c r="P440" i="4" s="1"/>
  <c r="Q439" i="4"/>
  <c r="I439" i="4"/>
  <c r="P439" i="4" s="1"/>
  <c r="Q438" i="4"/>
  <c r="I438" i="4"/>
  <c r="P438" i="4" s="1"/>
  <c r="Q437" i="4"/>
  <c r="I437" i="4"/>
  <c r="P437" i="4" s="1"/>
  <c r="Q436" i="4"/>
  <c r="I436" i="4"/>
  <c r="P436" i="4" s="1"/>
  <c r="Q435" i="4"/>
  <c r="I435" i="4"/>
  <c r="P435" i="4" s="1"/>
  <c r="Q434" i="4"/>
  <c r="I434" i="4"/>
  <c r="P434" i="4" s="1"/>
  <c r="Q433" i="4"/>
  <c r="P433" i="4"/>
  <c r="I433" i="4"/>
  <c r="Q432" i="4"/>
  <c r="I432" i="4"/>
  <c r="P432" i="4" s="1"/>
  <c r="Q431" i="4"/>
  <c r="I431" i="4"/>
  <c r="P431" i="4" s="1"/>
  <c r="Q430" i="4"/>
  <c r="I430" i="4"/>
  <c r="P430" i="4" s="1"/>
  <c r="Q429" i="4"/>
  <c r="P429" i="4"/>
  <c r="I429" i="4"/>
  <c r="Q428" i="4"/>
  <c r="I428" i="4"/>
  <c r="P428" i="4" s="1"/>
  <c r="Q427" i="4"/>
  <c r="I427" i="4"/>
  <c r="P427" i="4" s="1"/>
  <c r="Q426" i="4"/>
  <c r="I426" i="4"/>
  <c r="P426" i="4" s="1"/>
  <c r="Q425" i="4"/>
  <c r="P425" i="4"/>
  <c r="I425" i="4"/>
  <c r="Q424" i="4"/>
  <c r="I424" i="4"/>
  <c r="P424" i="4" s="1"/>
  <c r="Q423" i="4"/>
  <c r="I423" i="4"/>
  <c r="P423" i="4" s="1"/>
  <c r="Q422" i="4"/>
  <c r="I422" i="4"/>
  <c r="P422" i="4" s="1"/>
  <c r="Q421" i="4"/>
  <c r="I421" i="4"/>
  <c r="P421" i="4" s="1"/>
  <c r="Q420" i="4"/>
  <c r="I420" i="4"/>
  <c r="P420" i="4" s="1"/>
  <c r="Q419" i="4"/>
  <c r="I419" i="4"/>
  <c r="P419" i="4" s="1"/>
  <c r="Q418" i="4"/>
  <c r="I418" i="4"/>
  <c r="P418" i="4" s="1"/>
  <c r="Q417" i="4"/>
  <c r="P417" i="4"/>
  <c r="I417" i="4"/>
  <c r="Q416" i="4"/>
  <c r="I416" i="4"/>
  <c r="P416" i="4" s="1"/>
  <c r="Q415" i="4"/>
  <c r="I415" i="4"/>
  <c r="P415" i="4" s="1"/>
  <c r="Q414" i="4"/>
  <c r="I414" i="4"/>
  <c r="P414" i="4" s="1"/>
  <c r="Q413" i="4"/>
  <c r="P413" i="4"/>
  <c r="I413" i="4"/>
  <c r="Q412" i="4"/>
  <c r="I412" i="4"/>
  <c r="P412" i="4" s="1"/>
  <c r="Q411" i="4"/>
  <c r="I411" i="4"/>
  <c r="P411" i="4" s="1"/>
  <c r="Q410" i="4"/>
  <c r="I410" i="4"/>
  <c r="P410" i="4" s="1"/>
  <c r="Q409" i="4"/>
  <c r="P409" i="4"/>
  <c r="I409" i="4"/>
  <c r="Q408" i="4"/>
  <c r="I408" i="4"/>
  <c r="P408" i="4" s="1"/>
  <c r="Q407" i="4"/>
  <c r="I407" i="4"/>
  <c r="P407" i="4" s="1"/>
  <c r="Q406" i="4"/>
  <c r="I406" i="4"/>
  <c r="P406" i="4" s="1"/>
  <c r="Q405" i="4"/>
  <c r="I405" i="4"/>
  <c r="P405" i="4" s="1"/>
  <c r="Q404" i="4"/>
  <c r="I404" i="4"/>
  <c r="P404" i="4" s="1"/>
  <c r="Q403" i="4"/>
  <c r="I403" i="4"/>
  <c r="P403" i="4" s="1"/>
  <c r="Q402" i="4"/>
  <c r="I402" i="4"/>
  <c r="P402" i="4" s="1"/>
  <c r="Q401" i="4"/>
  <c r="P401" i="4"/>
  <c r="I401" i="4"/>
  <c r="Q400" i="4"/>
  <c r="I400" i="4"/>
  <c r="P400" i="4" s="1"/>
  <c r="Q399" i="4"/>
  <c r="I399" i="4"/>
  <c r="P399" i="4" s="1"/>
  <c r="Q398" i="4"/>
  <c r="I398" i="4"/>
  <c r="P398" i="4" s="1"/>
  <c r="Q397" i="4"/>
  <c r="P397" i="4"/>
  <c r="I397" i="4"/>
  <c r="Q396" i="4"/>
  <c r="I396" i="4"/>
  <c r="P396" i="4" s="1"/>
  <c r="Q395" i="4"/>
  <c r="I395" i="4"/>
  <c r="P395" i="4" s="1"/>
  <c r="Q394" i="4"/>
  <c r="I394" i="4"/>
  <c r="P394" i="4" s="1"/>
  <c r="Q393" i="4"/>
  <c r="P393" i="4"/>
  <c r="I393" i="4"/>
  <c r="Q392" i="4"/>
  <c r="I392" i="4"/>
  <c r="P392" i="4" s="1"/>
  <c r="Q391" i="4"/>
  <c r="I391" i="4"/>
  <c r="P391" i="4" s="1"/>
  <c r="Q390" i="4"/>
  <c r="I390" i="4"/>
  <c r="P390" i="4" s="1"/>
  <c r="Q389" i="4"/>
  <c r="I389" i="4"/>
  <c r="P389" i="4" s="1"/>
  <c r="Q388" i="4"/>
  <c r="I388" i="4"/>
  <c r="P388" i="4" s="1"/>
  <c r="Q387" i="4"/>
  <c r="I387" i="4"/>
  <c r="P387" i="4" s="1"/>
  <c r="Q386" i="4"/>
  <c r="I386" i="4"/>
  <c r="P386" i="4" s="1"/>
  <c r="Q385" i="4"/>
  <c r="P385" i="4"/>
  <c r="I385" i="4"/>
  <c r="Q384" i="4"/>
  <c r="I384" i="4"/>
  <c r="P384" i="4" s="1"/>
  <c r="Q383" i="4"/>
  <c r="I383" i="4"/>
  <c r="P383" i="4" s="1"/>
  <c r="Q382" i="4"/>
  <c r="I382" i="4"/>
  <c r="P382" i="4" s="1"/>
  <c r="Q381" i="4"/>
  <c r="P381" i="4"/>
  <c r="I381" i="4"/>
  <c r="Q380" i="4"/>
  <c r="I380" i="4"/>
  <c r="P380" i="4" s="1"/>
  <c r="Q379" i="4"/>
  <c r="I379" i="4"/>
  <c r="P379" i="4" s="1"/>
  <c r="Q378" i="4"/>
  <c r="I378" i="4"/>
  <c r="P378" i="4" s="1"/>
  <c r="Q377" i="4"/>
  <c r="P377" i="4"/>
  <c r="I377" i="4"/>
  <c r="Q376" i="4"/>
  <c r="I376" i="4"/>
  <c r="P376" i="4" s="1"/>
  <c r="Q375" i="4"/>
  <c r="I375" i="4"/>
  <c r="P375" i="4" s="1"/>
  <c r="Q374" i="4"/>
  <c r="I374" i="4"/>
  <c r="P374" i="4" s="1"/>
  <c r="Q373" i="4"/>
  <c r="I373" i="4"/>
  <c r="P373" i="4" s="1"/>
  <c r="Q372" i="4"/>
  <c r="I372" i="4"/>
  <c r="P372" i="4" s="1"/>
  <c r="Q371" i="4"/>
  <c r="I371" i="4"/>
  <c r="P371" i="4" s="1"/>
  <c r="Q370" i="4"/>
  <c r="I370" i="4"/>
  <c r="P370" i="4" s="1"/>
  <c r="Q369" i="4"/>
  <c r="P369" i="4"/>
  <c r="I369" i="4"/>
  <c r="Q368" i="4"/>
  <c r="I368" i="4"/>
  <c r="P368" i="4" s="1"/>
  <c r="Q367" i="4"/>
  <c r="I367" i="4"/>
  <c r="P367" i="4" s="1"/>
  <c r="Q366" i="4"/>
  <c r="I366" i="4"/>
  <c r="P366" i="4" s="1"/>
  <c r="Q365" i="4"/>
  <c r="P365" i="4"/>
  <c r="I365" i="4"/>
  <c r="Q364" i="4"/>
  <c r="I364" i="4"/>
  <c r="P364" i="4" s="1"/>
  <c r="Q363" i="4"/>
  <c r="I363" i="4"/>
  <c r="P363" i="4" s="1"/>
  <c r="Q362" i="4"/>
  <c r="I362" i="4"/>
  <c r="P362" i="4" s="1"/>
  <c r="Q361" i="4"/>
  <c r="P361" i="4"/>
  <c r="I361" i="4"/>
  <c r="Q360" i="4"/>
  <c r="I360" i="4"/>
  <c r="P360" i="4" s="1"/>
  <c r="Q359" i="4"/>
  <c r="I359" i="4"/>
  <c r="P359" i="4" s="1"/>
  <c r="Q358" i="4"/>
  <c r="I358" i="4"/>
  <c r="P358" i="4" s="1"/>
  <c r="Q357" i="4"/>
  <c r="I357" i="4"/>
  <c r="P357" i="4" s="1"/>
  <c r="Q356" i="4"/>
  <c r="I356" i="4"/>
  <c r="P356" i="4" s="1"/>
  <c r="Q355" i="4"/>
  <c r="I355" i="4"/>
  <c r="P355" i="4" s="1"/>
  <c r="Q354" i="4"/>
  <c r="I354" i="4"/>
  <c r="P354" i="4" s="1"/>
  <c r="Q353" i="4"/>
  <c r="P353" i="4"/>
  <c r="I353" i="4"/>
  <c r="Q352" i="4"/>
  <c r="I352" i="4"/>
  <c r="P352" i="4" s="1"/>
  <c r="Q351" i="4"/>
  <c r="I351" i="4"/>
  <c r="P351" i="4" s="1"/>
  <c r="Q350" i="4"/>
  <c r="I350" i="4"/>
  <c r="P350" i="4" s="1"/>
  <c r="Q349" i="4"/>
  <c r="P349" i="4"/>
  <c r="I349" i="4"/>
  <c r="Q348" i="4"/>
  <c r="I348" i="4"/>
  <c r="P348" i="4" s="1"/>
  <c r="Q347" i="4"/>
  <c r="I347" i="4"/>
  <c r="P347" i="4" s="1"/>
  <c r="Q346" i="4"/>
  <c r="I346" i="4"/>
  <c r="P346" i="4" s="1"/>
  <c r="Q345" i="4"/>
  <c r="P345" i="4"/>
  <c r="I345" i="4"/>
  <c r="Q344" i="4"/>
  <c r="I344" i="4"/>
  <c r="P344" i="4" s="1"/>
  <c r="Q343" i="4"/>
  <c r="I343" i="4"/>
  <c r="P343" i="4" s="1"/>
  <c r="Q342" i="4"/>
  <c r="I342" i="4"/>
  <c r="P342" i="4" s="1"/>
  <c r="Q341" i="4"/>
  <c r="I341" i="4"/>
  <c r="P341" i="4" s="1"/>
  <c r="Q340" i="4"/>
  <c r="I340" i="4"/>
  <c r="P340" i="4" s="1"/>
  <c r="Q339" i="4"/>
  <c r="I339" i="4"/>
  <c r="P339" i="4" s="1"/>
  <c r="Q338" i="4"/>
  <c r="I338" i="4"/>
  <c r="P338" i="4" s="1"/>
  <c r="Q337" i="4"/>
  <c r="P337" i="4"/>
  <c r="I337" i="4"/>
  <c r="Q336" i="4"/>
  <c r="I336" i="4"/>
  <c r="P336" i="4" s="1"/>
  <c r="Q335" i="4"/>
  <c r="I335" i="4"/>
  <c r="P335" i="4" s="1"/>
  <c r="Q334" i="4"/>
  <c r="I334" i="4"/>
  <c r="P334" i="4" s="1"/>
  <c r="Q333" i="4"/>
  <c r="P333" i="4"/>
  <c r="I333" i="4"/>
  <c r="Q332" i="4"/>
  <c r="I332" i="4"/>
  <c r="P332" i="4" s="1"/>
  <c r="Q331" i="4"/>
  <c r="I331" i="4"/>
  <c r="P331" i="4" s="1"/>
  <c r="Q330" i="4"/>
  <c r="I330" i="4"/>
  <c r="P330" i="4" s="1"/>
  <c r="Q329" i="4"/>
  <c r="P329" i="4"/>
  <c r="I329" i="4"/>
  <c r="Q328" i="4"/>
  <c r="I328" i="4"/>
  <c r="P328" i="4" s="1"/>
  <c r="Q327" i="4"/>
  <c r="I327" i="4"/>
  <c r="P327" i="4" s="1"/>
  <c r="Q326" i="4"/>
  <c r="I326" i="4"/>
  <c r="P326" i="4" s="1"/>
  <c r="Q325" i="4"/>
  <c r="I325" i="4"/>
  <c r="P325" i="4" s="1"/>
  <c r="Q324" i="4"/>
  <c r="I324" i="4"/>
  <c r="P324" i="4" s="1"/>
  <c r="Q323" i="4"/>
  <c r="I323" i="4"/>
  <c r="P323" i="4" s="1"/>
  <c r="Q322" i="4"/>
  <c r="I322" i="4"/>
  <c r="P322" i="4" s="1"/>
  <c r="Q321" i="4"/>
  <c r="P321" i="4"/>
  <c r="I321" i="4"/>
  <c r="Q320" i="4"/>
  <c r="I320" i="4"/>
  <c r="P320" i="4" s="1"/>
  <c r="Q319" i="4"/>
  <c r="I319" i="4"/>
  <c r="P319" i="4" s="1"/>
  <c r="Q318" i="4"/>
  <c r="I318" i="4"/>
  <c r="P318" i="4" s="1"/>
  <c r="Q317" i="4"/>
  <c r="P317" i="4"/>
  <c r="I317" i="4"/>
  <c r="Q316" i="4"/>
  <c r="I316" i="4"/>
  <c r="P316" i="4" s="1"/>
  <c r="Q315" i="4"/>
  <c r="I315" i="4"/>
  <c r="P315" i="4" s="1"/>
  <c r="Q314" i="4"/>
  <c r="I314" i="4"/>
  <c r="P314" i="4" s="1"/>
  <c r="Q313" i="4"/>
  <c r="P313" i="4"/>
  <c r="I313" i="4"/>
  <c r="Q312" i="4"/>
  <c r="I312" i="4"/>
  <c r="P312" i="4" s="1"/>
  <c r="Q311" i="4"/>
  <c r="I311" i="4"/>
  <c r="P311" i="4" s="1"/>
  <c r="Q310" i="4"/>
  <c r="I310" i="4"/>
  <c r="P310" i="4" s="1"/>
  <c r="Q309" i="4"/>
  <c r="I309" i="4"/>
  <c r="P309" i="4" s="1"/>
  <c r="Q308" i="4"/>
  <c r="I308" i="4"/>
  <c r="P308" i="4" s="1"/>
  <c r="Q307" i="4"/>
  <c r="I307" i="4"/>
  <c r="P307" i="4" s="1"/>
  <c r="Q306" i="4"/>
  <c r="I306" i="4"/>
  <c r="P306" i="4" s="1"/>
  <c r="Q305" i="4"/>
  <c r="P305" i="4"/>
  <c r="I305" i="4"/>
  <c r="Q304" i="4"/>
  <c r="I304" i="4"/>
  <c r="P304" i="4" s="1"/>
  <c r="Q303" i="4"/>
  <c r="I303" i="4"/>
  <c r="P303" i="4" s="1"/>
  <c r="Q302" i="4"/>
  <c r="I302" i="4"/>
  <c r="P302" i="4" s="1"/>
  <c r="Q301" i="4"/>
  <c r="P301" i="4"/>
  <c r="I301" i="4"/>
  <c r="Q300" i="4"/>
  <c r="I300" i="4"/>
  <c r="P300" i="4" s="1"/>
  <c r="Q299" i="4"/>
  <c r="I299" i="4"/>
  <c r="P299" i="4" s="1"/>
  <c r="Q298" i="4"/>
  <c r="I298" i="4"/>
  <c r="P298" i="4" s="1"/>
  <c r="Q297" i="4"/>
  <c r="P297" i="4"/>
  <c r="I297" i="4"/>
  <c r="Q296" i="4"/>
  <c r="I296" i="4"/>
  <c r="P296" i="4" s="1"/>
  <c r="Q295" i="4"/>
  <c r="I295" i="4"/>
  <c r="P295" i="4" s="1"/>
  <c r="Q294" i="4"/>
  <c r="I294" i="4"/>
  <c r="P294" i="4" s="1"/>
  <c r="Q293" i="4"/>
  <c r="I293" i="4"/>
  <c r="P293" i="4" s="1"/>
  <c r="Q292" i="4"/>
  <c r="I292" i="4"/>
  <c r="P292" i="4" s="1"/>
  <c r="Q291" i="4"/>
  <c r="I291" i="4"/>
  <c r="P291" i="4" s="1"/>
  <c r="Q290" i="4"/>
  <c r="I290" i="4"/>
  <c r="P290" i="4" s="1"/>
  <c r="Q289" i="4"/>
  <c r="P289" i="4"/>
  <c r="I289" i="4"/>
  <c r="Q288" i="4"/>
  <c r="I288" i="4"/>
  <c r="P288" i="4" s="1"/>
  <c r="Q287" i="4"/>
  <c r="I287" i="4"/>
  <c r="P287" i="4" s="1"/>
  <c r="Q286" i="4"/>
  <c r="I286" i="4"/>
  <c r="P286" i="4" s="1"/>
  <c r="Q285" i="4"/>
  <c r="P285" i="4"/>
  <c r="I285" i="4"/>
  <c r="Q284" i="4"/>
  <c r="I284" i="4"/>
  <c r="P284" i="4" s="1"/>
  <c r="Q283" i="4"/>
  <c r="I283" i="4"/>
  <c r="P283" i="4" s="1"/>
  <c r="Q282" i="4"/>
  <c r="I282" i="4"/>
  <c r="P282" i="4" s="1"/>
  <c r="Q281" i="4"/>
  <c r="P281" i="4"/>
  <c r="I281" i="4"/>
  <c r="Q280" i="4"/>
  <c r="I280" i="4"/>
  <c r="P280" i="4" s="1"/>
  <c r="Q279" i="4"/>
  <c r="I279" i="4"/>
  <c r="P279" i="4" s="1"/>
  <c r="Q278" i="4"/>
  <c r="I278" i="4"/>
  <c r="P278" i="4" s="1"/>
  <c r="Q277" i="4"/>
  <c r="I277" i="4"/>
  <c r="P277" i="4" s="1"/>
  <c r="Q276" i="4"/>
  <c r="I276" i="4"/>
  <c r="P276" i="4" s="1"/>
  <c r="Q275" i="4"/>
  <c r="I275" i="4"/>
  <c r="P275" i="4" s="1"/>
  <c r="Q274" i="4"/>
  <c r="I274" i="4"/>
  <c r="P274" i="4" s="1"/>
  <c r="Q273" i="4"/>
  <c r="P273" i="4"/>
  <c r="I273" i="4"/>
  <c r="Q272" i="4"/>
  <c r="I272" i="4"/>
  <c r="P272" i="4" s="1"/>
  <c r="Q271" i="4"/>
  <c r="I271" i="4"/>
  <c r="P271" i="4" s="1"/>
  <c r="Q270" i="4"/>
  <c r="I270" i="4"/>
  <c r="P270" i="4" s="1"/>
  <c r="Q269" i="4"/>
  <c r="P269" i="4"/>
  <c r="I269" i="4"/>
  <c r="Q268" i="4"/>
  <c r="I268" i="4"/>
  <c r="P268" i="4" s="1"/>
  <c r="Q267" i="4"/>
  <c r="I267" i="4"/>
  <c r="P267" i="4" s="1"/>
  <c r="Q266" i="4"/>
  <c r="I266" i="4"/>
  <c r="P266" i="4" s="1"/>
  <c r="Q265" i="4"/>
  <c r="P265" i="4"/>
  <c r="I265" i="4"/>
  <c r="Q264" i="4"/>
  <c r="I264" i="4"/>
  <c r="P264" i="4" s="1"/>
  <c r="Q263" i="4"/>
  <c r="I263" i="4"/>
  <c r="P263" i="4" s="1"/>
  <c r="Q262" i="4"/>
  <c r="I262" i="4"/>
  <c r="P262" i="4" s="1"/>
  <c r="Q261" i="4"/>
  <c r="I261" i="4"/>
  <c r="P261" i="4" s="1"/>
  <c r="Q260" i="4"/>
  <c r="I260" i="4"/>
  <c r="P260" i="4" s="1"/>
  <c r="Q259" i="4"/>
  <c r="I259" i="4"/>
  <c r="P259" i="4" s="1"/>
  <c r="Q258" i="4"/>
  <c r="I258" i="4"/>
  <c r="P258" i="4" s="1"/>
  <c r="Q257" i="4"/>
  <c r="P257" i="4"/>
  <c r="I257" i="4"/>
  <c r="Q256" i="4"/>
  <c r="I256" i="4"/>
  <c r="P256" i="4" s="1"/>
  <c r="Q255" i="4"/>
  <c r="I255" i="4"/>
  <c r="P255" i="4" s="1"/>
  <c r="Q254" i="4"/>
  <c r="I254" i="4"/>
  <c r="P254" i="4" s="1"/>
  <c r="Q253" i="4"/>
  <c r="P253" i="4"/>
  <c r="I253" i="4"/>
  <c r="Q252" i="4"/>
  <c r="I252" i="4"/>
  <c r="P252" i="4" s="1"/>
  <c r="Q251" i="4"/>
  <c r="I251" i="4"/>
  <c r="P251" i="4" s="1"/>
  <c r="Q250" i="4"/>
  <c r="I250" i="4"/>
  <c r="P250" i="4" s="1"/>
  <c r="Q249" i="4"/>
  <c r="P249" i="4"/>
  <c r="I249" i="4"/>
  <c r="Q248" i="4"/>
  <c r="I248" i="4"/>
  <c r="P248" i="4" s="1"/>
  <c r="Q247" i="4"/>
  <c r="I247" i="4"/>
  <c r="P247" i="4" s="1"/>
  <c r="Q246" i="4"/>
  <c r="I246" i="4"/>
  <c r="P246" i="4" s="1"/>
  <c r="Q245" i="4"/>
  <c r="I245" i="4"/>
  <c r="P245" i="4" s="1"/>
  <c r="Q244" i="4"/>
  <c r="I244" i="4"/>
  <c r="P244" i="4" s="1"/>
  <c r="Q243" i="4"/>
  <c r="I243" i="4"/>
  <c r="P243" i="4" s="1"/>
  <c r="Q242" i="4"/>
  <c r="I242" i="4"/>
  <c r="P242" i="4" s="1"/>
  <c r="Q241" i="4"/>
  <c r="P241" i="4"/>
  <c r="I241" i="4"/>
  <c r="Q240" i="4"/>
  <c r="I240" i="4"/>
  <c r="P240" i="4" s="1"/>
  <c r="Q239" i="4"/>
  <c r="I239" i="4"/>
  <c r="P239" i="4" s="1"/>
  <c r="Q238" i="4"/>
  <c r="I238" i="4"/>
  <c r="P238" i="4" s="1"/>
  <c r="Q237" i="4"/>
  <c r="P237" i="4"/>
  <c r="I237" i="4"/>
  <c r="Q236" i="4"/>
  <c r="P236" i="4"/>
  <c r="I236" i="4"/>
  <c r="Q235" i="4"/>
  <c r="I235" i="4"/>
  <c r="P235" i="4" s="1"/>
  <c r="Q234" i="4"/>
  <c r="I234" i="4"/>
  <c r="P234" i="4" s="1"/>
  <c r="I233" i="4"/>
  <c r="P233" i="4" s="1"/>
  <c r="Q232" i="4"/>
  <c r="P232" i="4"/>
  <c r="I232" i="4"/>
  <c r="Q231" i="4"/>
  <c r="P231" i="4"/>
  <c r="I231" i="4"/>
  <c r="Q230" i="4"/>
  <c r="P230" i="4"/>
  <c r="I230" i="4"/>
  <c r="Q229" i="4"/>
  <c r="I229" i="4"/>
  <c r="P229" i="4" s="1"/>
  <c r="Q228" i="4"/>
  <c r="I228" i="4"/>
  <c r="P228" i="4" s="1"/>
  <c r="Q227" i="4"/>
  <c r="P227" i="4"/>
  <c r="I227" i="4"/>
  <c r="Q226" i="4"/>
  <c r="P226" i="4"/>
  <c r="I226" i="4"/>
  <c r="Q225" i="4"/>
  <c r="I225" i="4"/>
  <c r="P225" i="4" s="1"/>
  <c r="Q224" i="4"/>
  <c r="P224" i="4"/>
  <c r="I224" i="4"/>
  <c r="Q223" i="4"/>
  <c r="P223" i="4"/>
  <c r="I223" i="4"/>
  <c r="Q222" i="4"/>
  <c r="P222" i="4"/>
  <c r="I222" i="4"/>
  <c r="Q221" i="4"/>
  <c r="I221" i="4"/>
  <c r="P221" i="4" s="1"/>
  <c r="Q220" i="4"/>
  <c r="P220" i="4"/>
  <c r="I220" i="4"/>
  <c r="Q219" i="4"/>
  <c r="P219" i="4"/>
  <c r="I219" i="4"/>
  <c r="Q218" i="4"/>
  <c r="P218" i="4"/>
  <c r="I218" i="4"/>
  <c r="Q217" i="4"/>
  <c r="I217" i="4"/>
  <c r="P217" i="4" s="1"/>
  <c r="Q216" i="4"/>
  <c r="I216" i="4"/>
  <c r="P216" i="4" s="1"/>
  <c r="Q215" i="4"/>
  <c r="P215" i="4"/>
  <c r="I215" i="4"/>
  <c r="Q214" i="4"/>
  <c r="P214" i="4"/>
  <c r="I214" i="4"/>
  <c r="Q213" i="4"/>
  <c r="I213" i="4"/>
  <c r="P213" i="4" s="1"/>
  <c r="Q212" i="4"/>
  <c r="I212" i="4"/>
  <c r="P212" i="4" s="1"/>
  <c r="Q211" i="4"/>
  <c r="P211" i="4"/>
  <c r="I211" i="4"/>
  <c r="Q210" i="4"/>
  <c r="P210" i="4"/>
  <c r="I210" i="4"/>
  <c r="Q209" i="4"/>
  <c r="I209" i="4"/>
  <c r="P209" i="4" s="1"/>
  <c r="Q208" i="4"/>
  <c r="I208" i="4"/>
  <c r="P208" i="4" s="1"/>
  <c r="Q207" i="4"/>
  <c r="P207" i="4"/>
  <c r="I207" i="4"/>
  <c r="Q206" i="4"/>
  <c r="P206" i="4"/>
  <c r="I206" i="4"/>
  <c r="Q205" i="4"/>
  <c r="I205" i="4"/>
  <c r="P205" i="4" s="1"/>
  <c r="Q204" i="4"/>
  <c r="I204" i="4"/>
  <c r="P204" i="4" s="1"/>
  <c r="Q203" i="4"/>
  <c r="P203" i="4"/>
  <c r="I203" i="4"/>
  <c r="Q202" i="4"/>
  <c r="P202" i="4"/>
  <c r="I202" i="4"/>
  <c r="Q201" i="4"/>
  <c r="I201" i="4"/>
  <c r="P201" i="4" s="1"/>
  <c r="Q200" i="4"/>
  <c r="P200" i="4"/>
  <c r="I200" i="4"/>
  <c r="Q199" i="4"/>
  <c r="P199" i="4"/>
  <c r="I199" i="4"/>
  <c r="Q198" i="4"/>
  <c r="P198" i="4"/>
  <c r="I198" i="4"/>
  <c r="Q197" i="4"/>
  <c r="I197" i="4"/>
  <c r="P197" i="4" s="1"/>
  <c r="Q196" i="4"/>
  <c r="P196" i="4"/>
  <c r="I196" i="4"/>
  <c r="Q195" i="4"/>
  <c r="I195" i="4"/>
  <c r="P195" i="4" s="1"/>
  <c r="Q194" i="4"/>
  <c r="P194" i="4"/>
  <c r="I194" i="4"/>
  <c r="Q193" i="4"/>
  <c r="I193" i="4"/>
  <c r="P193" i="4" s="1"/>
  <c r="Q192" i="4"/>
  <c r="I192" i="4"/>
  <c r="P192" i="4" s="1"/>
  <c r="Q191" i="4"/>
  <c r="I191" i="4"/>
  <c r="P191" i="4" s="1"/>
  <c r="Q190" i="4"/>
  <c r="P190" i="4"/>
  <c r="I190" i="4"/>
  <c r="Q189" i="4"/>
  <c r="I189" i="4"/>
  <c r="P189" i="4" s="1"/>
  <c r="Q188" i="4"/>
  <c r="P188" i="4"/>
  <c r="I188" i="4"/>
  <c r="Q187" i="4"/>
  <c r="P187" i="4"/>
  <c r="I187" i="4"/>
  <c r="Q186" i="4"/>
  <c r="P186" i="4"/>
  <c r="I186" i="4"/>
  <c r="Q185" i="4"/>
  <c r="I185" i="4"/>
  <c r="P185" i="4" s="1"/>
  <c r="Q184" i="4"/>
  <c r="P184" i="4"/>
  <c r="I184" i="4"/>
  <c r="Q183" i="4"/>
  <c r="P183" i="4"/>
  <c r="I183" i="4"/>
  <c r="Q182" i="4"/>
  <c r="P182" i="4"/>
  <c r="I182" i="4"/>
  <c r="Q181" i="4"/>
  <c r="I181" i="4"/>
  <c r="P181" i="4" s="1"/>
  <c r="Q180" i="4"/>
  <c r="I180" i="4"/>
  <c r="P180" i="4" s="1"/>
  <c r="Q179" i="4"/>
  <c r="I179" i="4"/>
  <c r="P179" i="4" s="1"/>
  <c r="Q178" i="4"/>
  <c r="P178" i="4"/>
  <c r="I178" i="4"/>
  <c r="Q177" i="4"/>
  <c r="I177" i="4"/>
  <c r="P177" i="4" s="1"/>
  <c r="Q176" i="4"/>
  <c r="P176" i="4"/>
  <c r="I176" i="4"/>
  <c r="Q175" i="4"/>
  <c r="P175" i="4"/>
  <c r="I175" i="4"/>
  <c r="Q174" i="4"/>
  <c r="P174" i="4"/>
  <c r="I174" i="4"/>
  <c r="Q173" i="4"/>
  <c r="I173" i="4"/>
  <c r="P173" i="4" s="1"/>
  <c r="Q172" i="4"/>
  <c r="P172" i="4"/>
  <c r="I172" i="4"/>
  <c r="Q171" i="4"/>
  <c r="P171" i="4"/>
  <c r="I171" i="4"/>
  <c r="Q170" i="4"/>
  <c r="P170" i="4"/>
  <c r="I170" i="4"/>
  <c r="Q169" i="4"/>
  <c r="I169" i="4"/>
  <c r="P169" i="4" s="1"/>
  <c r="Q168" i="4"/>
  <c r="I168" i="4"/>
  <c r="P168" i="4" s="1"/>
  <c r="Q167" i="4"/>
  <c r="I167" i="4"/>
  <c r="P167" i="4" s="1"/>
  <c r="Q166" i="4"/>
  <c r="P166" i="4"/>
  <c r="I166" i="4"/>
  <c r="Q165" i="4"/>
  <c r="I165" i="4"/>
  <c r="P165" i="4" s="1"/>
  <c r="Q164" i="4"/>
  <c r="I164" i="4"/>
  <c r="P164" i="4" s="1"/>
  <c r="Q163" i="4"/>
  <c r="P163" i="4"/>
  <c r="I163" i="4"/>
  <c r="Q162" i="4"/>
  <c r="P162" i="4"/>
  <c r="I162" i="4"/>
  <c r="Q161" i="4"/>
  <c r="I161" i="4"/>
  <c r="P161" i="4" s="1"/>
  <c r="Q160" i="4"/>
  <c r="I160" i="4"/>
  <c r="P160" i="4" s="1"/>
  <c r="Q159" i="4"/>
  <c r="P159" i="4"/>
  <c r="I159" i="4"/>
  <c r="Q158" i="4"/>
  <c r="P158" i="4"/>
  <c r="I158" i="4"/>
  <c r="Q157" i="4"/>
  <c r="I157" i="4"/>
  <c r="P157" i="4" s="1"/>
  <c r="Q156" i="4"/>
  <c r="I156" i="4"/>
  <c r="P156" i="4" s="1"/>
  <c r="Q155" i="4"/>
  <c r="I155" i="4"/>
  <c r="P155" i="4" s="1"/>
  <c r="Q154" i="4"/>
  <c r="P154" i="4"/>
  <c r="I154" i="4"/>
  <c r="Q153" i="4"/>
  <c r="I153" i="4"/>
  <c r="P153" i="4" s="1"/>
  <c r="Q152" i="4"/>
  <c r="P152" i="4"/>
  <c r="I152" i="4"/>
  <c r="Q151" i="4"/>
  <c r="I151" i="4"/>
  <c r="P151" i="4" s="1"/>
  <c r="Q150" i="4"/>
  <c r="P150" i="4"/>
  <c r="I150" i="4"/>
  <c r="Q149" i="4"/>
  <c r="I149" i="4"/>
  <c r="P149" i="4" s="1"/>
  <c r="Q148" i="4"/>
  <c r="P148" i="4"/>
  <c r="I148" i="4"/>
  <c r="Q147" i="4"/>
  <c r="I147" i="4"/>
  <c r="P147" i="4" s="1"/>
  <c r="Q146" i="4"/>
  <c r="P146" i="4"/>
  <c r="I146" i="4"/>
  <c r="Q145" i="4"/>
  <c r="I145" i="4"/>
  <c r="P145" i="4" s="1"/>
  <c r="Q144" i="4"/>
  <c r="I144" i="4"/>
  <c r="P144" i="4" s="1"/>
  <c r="Q143" i="4"/>
  <c r="I143" i="4"/>
  <c r="P143" i="4" s="1"/>
  <c r="Q142" i="4"/>
  <c r="P142" i="4"/>
  <c r="I142" i="4"/>
  <c r="Q141" i="4"/>
  <c r="I141" i="4"/>
  <c r="P141" i="4" s="1"/>
  <c r="Q140" i="4"/>
  <c r="P140" i="4"/>
  <c r="I140" i="4"/>
  <c r="Q139" i="4"/>
  <c r="P139" i="4"/>
  <c r="I139" i="4"/>
  <c r="Q138" i="4"/>
  <c r="P138" i="4"/>
  <c r="I138" i="4"/>
  <c r="Q137" i="4"/>
  <c r="I137" i="4"/>
  <c r="P137" i="4" s="1"/>
  <c r="Q136" i="4"/>
  <c r="P136" i="4"/>
  <c r="I136" i="4"/>
  <c r="Q135" i="4"/>
  <c r="P135" i="4"/>
  <c r="I135" i="4"/>
  <c r="Q134" i="4"/>
  <c r="P134" i="4"/>
  <c r="I134" i="4"/>
  <c r="Q133" i="4"/>
  <c r="I133" i="4"/>
  <c r="P133" i="4" s="1"/>
  <c r="Q132" i="4"/>
  <c r="I132" i="4"/>
  <c r="P132" i="4" s="1"/>
  <c r="Q131" i="4"/>
  <c r="I131" i="4"/>
  <c r="P131" i="4" s="1"/>
  <c r="Q130" i="4"/>
  <c r="P130" i="4"/>
  <c r="I130" i="4"/>
  <c r="Q129" i="4"/>
  <c r="I129" i="4"/>
  <c r="P129" i="4" s="1"/>
  <c r="Q128" i="4"/>
  <c r="P128" i="4"/>
  <c r="I128" i="4"/>
  <c r="Q127" i="4"/>
  <c r="P127" i="4"/>
  <c r="I127" i="4"/>
  <c r="Q126" i="4"/>
  <c r="P126" i="4"/>
  <c r="I126" i="4"/>
  <c r="Q125" i="4"/>
  <c r="I125" i="4"/>
  <c r="P125" i="4" s="1"/>
  <c r="Q124" i="4"/>
  <c r="P124" i="4"/>
  <c r="I124" i="4"/>
  <c r="Q123" i="4"/>
  <c r="P123" i="4"/>
  <c r="I123" i="4"/>
  <c r="Q122" i="4"/>
  <c r="P122" i="4"/>
  <c r="I122" i="4"/>
  <c r="Q121" i="4"/>
  <c r="I121" i="4"/>
  <c r="P121" i="4" s="1"/>
  <c r="Q120" i="4"/>
  <c r="I120" i="4"/>
  <c r="P120" i="4" s="1"/>
  <c r="Q119" i="4"/>
  <c r="I119" i="4"/>
  <c r="P119" i="4" s="1"/>
  <c r="Q118" i="4"/>
  <c r="I118" i="4"/>
  <c r="P118" i="4" s="1"/>
  <c r="Q117" i="4"/>
  <c r="I117" i="4"/>
  <c r="P117" i="4" s="1"/>
  <c r="Q116" i="4"/>
  <c r="I116" i="4"/>
  <c r="P116" i="4" s="1"/>
  <c r="Q115" i="4"/>
  <c r="P115" i="4"/>
  <c r="I115" i="4"/>
  <c r="Q114" i="4"/>
  <c r="P114" i="4"/>
  <c r="I114" i="4"/>
  <c r="Q113" i="4"/>
  <c r="I113" i="4"/>
  <c r="P113" i="4" s="1"/>
  <c r="Q112" i="4"/>
  <c r="I112" i="4"/>
  <c r="P112" i="4" s="1"/>
  <c r="Q111" i="4"/>
  <c r="P111" i="4"/>
  <c r="I111" i="4"/>
  <c r="Q110" i="4"/>
  <c r="P110" i="4"/>
  <c r="I110" i="4"/>
  <c r="Q109" i="4"/>
  <c r="I109" i="4"/>
  <c r="P109" i="4" s="1"/>
  <c r="Q108" i="4"/>
  <c r="I108" i="4"/>
  <c r="P108" i="4" s="1"/>
  <c r="Q107" i="4"/>
  <c r="I107" i="4"/>
  <c r="P107" i="4" s="1"/>
  <c r="Q106" i="4"/>
  <c r="I106" i="4"/>
  <c r="P106" i="4" s="1"/>
  <c r="Q105" i="4"/>
  <c r="I105" i="4"/>
  <c r="P105" i="4" s="1"/>
  <c r="Q104" i="4"/>
  <c r="P104" i="4"/>
  <c r="I104" i="4"/>
  <c r="Q103" i="4"/>
  <c r="I103" i="4"/>
  <c r="P103" i="4" s="1"/>
  <c r="Q102" i="4"/>
  <c r="P102" i="4"/>
  <c r="I102" i="4"/>
  <c r="Q101" i="4"/>
  <c r="I101" i="4"/>
  <c r="P101" i="4" s="1"/>
  <c r="Q100" i="4"/>
  <c r="P100" i="4"/>
  <c r="I100" i="4"/>
  <c r="Q99" i="4"/>
  <c r="I99" i="4"/>
  <c r="P99" i="4" s="1"/>
  <c r="Q98" i="4"/>
  <c r="P98" i="4"/>
  <c r="I98" i="4"/>
  <c r="Q97" i="4"/>
  <c r="I97" i="4"/>
  <c r="P97" i="4" s="1"/>
  <c r="Q96" i="4"/>
  <c r="I96" i="4"/>
  <c r="P96" i="4" s="1"/>
  <c r="Q95" i="4"/>
  <c r="I95" i="4"/>
  <c r="P95" i="4" s="1"/>
  <c r="Q94" i="4"/>
  <c r="I94" i="4"/>
  <c r="P94" i="4" s="1"/>
  <c r="Q93" i="4"/>
  <c r="I93" i="4"/>
  <c r="P93" i="4" s="1"/>
  <c r="Q92" i="4"/>
  <c r="P92" i="4"/>
  <c r="I92" i="4"/>
  <c r="Q91" i="4"/>
  <c r="P91" i="4"/>
  <c r="I91" i="4"/>
  <c r="Q90" i="4"/>
  <c r="I90" i="4"/>
  <c r="P90" i="4" s="1"/>
  <c r="Q89" i="4"/>
  <c r="I89" i="4"/>
  <c r="P89" i="4" s="1"/>
  <c r="Q88" i="4"/>
  <c r="I88" i="4"/>
  <c r="P88" i="4" s="1"/>
  <c r="Q87" i="4"/>
  <c r="P87" i="4"/>
  <c r="I87" i="4"/>
  <c r="Q86" i="4"/>
  <c r="I86" i="4"/>
  <c r="P86" i="4" s="1"/>
  <c r="Q85" i="4"/>
  <c r="I85" i="4"/>
  <c r="P85" i="4" s="1"/>
  <c r="Q84" i="4"/>
  <c r="I84" i="4"/>
  <c r="P84" i="4" s="1"/>
  <c r="Q83" i="4"/>
  <c r="I83" i="4"/>
  <c r="P83" i="4" s="1"/>
  <c r="Q82" i="4"/>
  <c r="I82" i="4"/>
  <c r="P82" i="4" s="1"/>
  <c r="Q81" i="4"/>
  <c r="I81" i="4"/>
  <c r="P81" i="4" s="1"/>
  <c r="Q80" i="4"/>
  <c r="P80" i="4"/>
  <c r="I80" i="4"/>
  <c r="Q79" i="4"/>
  <c r="P79" i="4"/>
  <c r="I79" i="4"/>
  <c r="Q78" i="4"/>
  <c r="P78" i="4"/>
  <c r="I78" i="4"/>
  <c r="Q77" i="4"/>
  <c r="I77" i="4"/>
  <c r="P77" i="4" s="1"/>
  <c r="Q76" i="4"/>
  <c r="P76" i="4"/>
  <c r="I76" i="4"/>
  <c r="Q75" i="4"/>
  <c r="I75" i="4"/>
  <c r="P75" i="4" s="1"/>
  <c r="Q74" i="4"/>
  <c r="P74" i="4"/>
  <c r="I74" i="4"/>
  <c r="Q73" i="4"/>
  <c r="I73" i="4"/>
  <c r="P73" i="4" s="1"/>
  <c r="Q72" i="4"/>
  <c r="I72" i="4"/>
  <c r="P72" i="4" s="1"/>
  <c r="Q71" i="4"/>
  <c r="I71" i="4"/>
  <c r="P71" i="4" s="1"/>
  <c r="Q70" i="4"/>
  <c r="I70" i="4"/>
  <c r="P70" i="4" s="1"/>
  <c r="Q69" i="4"/>
  <c r="I69" i="4"/>
  <c r="P69" i="4" s="1"/>
  <c r="Q68" i="4"/>
  <c r="I68" i="4"/>
  <c r="P68" i="4" s="1"/>
  <c r="Q67" i="4"/>
  <c r="P67" i="4"/>
  <c r="I67" i="4"/>
  <c r="Q66" i="4"/>
  <c r="P66" i="4"/>
  <c r="I66" i="4"/>
  <c r="Q65" i="4"/>
  <c r="I65" i="4"/>
  <c r="P65" i="4" s="1"/>
  <c r="Q64" i="4"/>
  <c r="I64" i="4"/>
  <c r="P64" i="4" s="1"/>
  <c r="Q63" i="4"/>
  <c r="P63" i="4"/>
  <c r="I63" i="4"/>
  <c r="Q62" i="4"/>
  <c r="I62" i="4"/>
  <c r="P62" i="4" s="1"/>
  <c r="Q61" i="4"/>
  <c r="I61" i="4"/>
  <c r="P61" i="4" s="1"/>
  <c r="Q60" i="4"/>
  <c r="I60" i="4"/>
  <c r="P60" i="4" s="1"/>
  <c r="Q59" i="4"/>
  <c r="I59" i="4"/>
  <c r="P59" i="4" s="1"/>
  <c r="Q58" i="4"/>
  <c r="I58" i="4"/>
  <c r="P58" i="4" s="1"/>
  <c r="Q57" i="4"/>
  <c r="I57" i="4"/>
  <c r="P57" i="4" s="1"/>
  <c r="Q56" i="4"/>
  <c r="P56" i="4"/>
  <c r="I56" i="4"/>
  <c r="Q55" i="4"/>
  <c r="I55" i="4"/>
  <c r="P55" i="4" s="1"/>
  <c r="Q54" i="4"/>
  <c r="P54" i="4"/>
  <c r="I54" i="4"/>
  <c r="Q53" i="4"/>
  <c r="I53" i="4"/>
  <c r="P53" i="4" s="1"/>
  <c r="Q52" i="4"/>
  <c r="P52" i="4"/>
  <c r="I52" i="4"/>
  <c r="Q51" i="4"/>
  <c r="I51" i="4"/>
  <c r="P51" i="4" s="1"/>
  <c r="Q50" i="4"/>
  <c r="P50" i="4"/>
  <c r="I50" i="4"/>
  <c r="Q49" i="4"/>
  <c r="I49" i="4"/>
  <c r="P49" i="4" s="1"/>
  <c r="Q48" i="4"/>
  <c r="I48" i="4"/>
  <c r="P48" i="4" s="1"/>
  <c r="Q47" i="4"/>
  <c r="I47" i="4"/>
  <c r="P47" i="4" s="1"/>
  <c r="Q46" i="4"/>
  <c r="I46" i="4"/>
  <c r="P46" i="4" s="1"/>
  <c r="Q45" i="4"/>
  <c r="I45" i="4"/>
  <c r="P45" i="4" s="1"/>
  <c r="Q44" i="4"/>
  <c r="P44" i="4"/>
  <c r="I44" i="4"/>
  <c r="Q43" i="4"/>
  <c r="P43" i="4"/>
  <c r="I43" i="4"/>
  <c r="Q42" i="4"/>
  <c r="I42" i="4"/>
  <c r="P42" i="4" s="1"/>
  <c r="Q41" i="4"/>
  <c r="I41" i="4"/>
  <c r="P41" i="4" s="1"/>
  <c r="Q40" i="4"/>
  <c r="I40" i="4"/>
  <c r="P40" i="4" s="1"/>
  <c r="Q39" i="4"/>
  <c r="P39" i="4"/>
  <c r="I39" i="4"/>
  <c r="Q38" i="4"/>
  <c r="I38" i="4"/>
  <c r="P38" i="4" s="1"/>
  <c r="Q37" i="4"/>
  <c r="P37" i="4"/>
  <c r="I37" i="4"/>
  <c r="Q36" i="4"/>
  <c r="I36" i="4"/>
  <c r="P36" i="4" s="1"/>
  <c r="Q35" i="4"/>
  <c r="P35" i="4"/>
  <c r="I35" i="4"/>
  <c r="Q34" i="4"/>
  <c r="I34" i="4"/>
  <c r="P34" i="4" s="1"/>
  <c r="Q33" i="4"/>
  <c r="P33" i="4"/>
  <c r="I33" i="4"/>
  <c r="Q32" i="4"/>
  <c r="I32" i="4"/>
  <c r="P32" i="4" s="1"/>
  <c r="Q31" i="4"/>
  <c r="P31" i="4"/>
  <c r="I31" i="4"/>
  <c r="Q30" i="4"/>
  <c r="I30" i="4"/>
  <c r="P30" i="4" s="1"/>
  <c r="Q29" i="4"/>
  <c r="P29" i="4"/>
  <c r="I29" i="4"/>
  <c r="Q28" i="4"/>
  <c r="I28" i="4"/>
  <c r="P28" i="4" s="1"/>
  <c r="Q27" i="4"/>
  <c r="P27" i="4"/>
  <c r="I27" i="4"/>
  <c r="Q26" i="4"/>
  <c r="I26" i="4"/>
  <c r="P26" i="4" s="1"/>
  <c r="Q25" i="4"/>
  <c r="P25" i="4"/>
  <c r="I25" i="4"/>
  <c r="Q24" i="4"/>
  <c r="I24" i="4"/>
  <c r="P24" i="4" s="1"/>
  <c r="Q23" i="4"/>
  <c r="P23" i="4"/>
  <c r="I23" i="4"/>
  <c r="Q22" i="4"/>
  <c r="I22" i="4"/>
  <c r="P22" i="4" s="1"/>
  <c r="Q21" i="4"/>
  <c r="P21" i="4"/>
  <c r="I21" i="4"/>
  <c r="Q20" i="4"/>
  <c r="I20" i="4"/>
  <c r="P20" i="4" s="1"/>
  <c r="Q19" i="4"/>
  <c r="P19" i="4"/>
  <c r="I19" i="4"/>
  <c r="Q18" i="4"/>
  <c r="I18" i="4"/>
  <c r="P18" i="4" s="1"/>
  <c r="Q17" i="4"/>
  <c r="P17" i="4"/>
  <c r="I17" i="4"/>
  <c r="Q16" i="4"/>
  <c r="I16" i="4"/>
  <c r="P16" i="4" s="1"/>
  <c r="Q15" i="4"/>
  <c r="P15" i="4"/>
  <c r="I15" i="4"/>
  <c r="Q14" i="4"/>
  <c r="I14" i="4"/>
  <c r="P14" i="4" s="1"/>
  <c r="Q13" i="4"/>
  <c r="P13" i="4"/>
  <c r="I13" i="4"/>
  <c r="Q12" i="4"/>
  <c r="I12" i="4"/>
  <c r="P12" i="4" s="1"/>
  <c r="Q11" i="4"/>
  <c r="P11" i="4"/>
  <c r="I11" i="4"/>
  <c r="Q10" i="4"/>
  <c r="I10" i="4"/>
  <c r="P10" i="4" s="1"/>
  <c r="Q9" i="4"/>
  <c r="P9" i="4"/>
  <c r="I9" i="4"/>
  <c r="Q8" i="4"/>
  <c r="I8" i="4"/>
  <c r="P8" i="4" s="1"/>
  <c r="Q7" i="4"/>
  <c r="P7" i="4"/>
  <c r="I7" i="4"/>
  <c r="Q6" i="4"/>
  <c r="I6" i="4"/>
  <c r="P6" i="4" s="1"/>
  <c r="Q5" i="4"/>
  <c r="P5" i="4"/>
  <c r="I5" i="4"/>
  <c r="Q4" i="4"/>
  <c r="I4" i="4"/>
  <c r="P4" i="4" s="1"/>
  <c r="Q3" i="4"/>
  <c r="I3" i="4"/>
  <c r="P3" i="4" s="1"/>
  <c r="Q2" i="4"/>
  <c r="I2" i="4"/>
  <c r="P2" i="4" s="1"/>
  <c r="Q165" i="3"/>
  <c r="P165" i="3"/>
  <c r="I165" i="3"/>
  <c r="Q164" i="3"/>
  <c r="I164" i="3"/>
  <c r="P164" i="3" s="1"/>
  <c r="Q163" i="3"/>
  <c r="I163" i="3"/>
  <c r="P163" i="3" s="1"/>
  <c r="Q162" i="3"/>
  <c r="I162" i="3"/>
  <c r="P162" i="3" s="1"/>
  <c r="Q161" i="3"/>
  <c r="P161" i="3"/>
  <c r="I161" i="3"/>
  <c r="Q160" i="3"/>
  <c r="I160" i="3"/>
  <c r="P160" i="3" s="1"/>
  <c r="Q159" i="3"/>
  <c r="I159" i="3"/>
  <c r="P159" i="3" s="1"/>
  <c r="Q158" i="3"/>
  <c r="I158" i="3"/>
  <c r="P158" i="3" s="1"/>
  <c r="Q157" i="3"/>
  <c r="P157" i="3"/>
  <c r="I157" i="3"/>
  <c r="Q156" i="3"/>
  <c r="I156" i="3"/>
  <c r="P156" i="3" s="1"/>
  <c r="Q155" i="3"/>
  <c r="I155" i="3"/>
  <c r="P155" i="3" s="1"/>
  <c r="Q154" i="3"/>
  <c r="I154" i="3"/>
  <c r="P154" i="3" s="1"/>
  <c r="Q153" i="3"/>
  <c r="P153" i="3"/>
  <c r="I153" i="3"/>
  <c r="Q152" i="3"/>
  <c r="I152" i="3"/>
  <c r="P152" i="3" s="1"/>
  <c r="Q151" i="3"/>
  <c r="I151" i="3"/>
  <c r="P151" i="3" s="1"/>
  <c r="Q150" i="3"/>
  <c r="I150" i="3"/>
  <c r="P150" i="3" s="1"/>
  <c r="Q149" i="3"/>
  <c r="P149" i="3"/>
  <c r="I149" i="3"/>
  <c r="Q148" i="3"/>
  <c r="I148" i="3"/>
  <c r="P148" i="3" s="1"/>
  <c r="Q147" i="3"/>
  <c r="I147" i="3"/>
  <c r="P147" i="3" s="1"/>
  <c r="Q146" i="3"/>
  <c r="I146" i="3"/>
  <c r="P146" i="3" s="1"/>
  <c r="Q145" i="3"/>
  <c r="P145" i="3"/>
  <c r="I145" i="3"/>
  <c r="Q144" i="3"/>
  <c r="I144" i="3"/>
  <c r="P144" i="3" s="1"/>
  <c r="Q143" i="3"/>
  <c r="I143" i="3"/>
  <c r="P143" i="3" s="1"/>
  <c r="Q142" i="3"/>
  <c r="I142" i="3"/>
  <c r="P142" i="3" s="1"/>
  <c r="Q141" i="3"/>
  <c r="P141" i="3"/>
  <c r="I141" i="3"/>
  <c r="Q140" i="3"/>
  <c r="I140" i="3"/>
  <c r="P140" i="3" s="1"/>
  <c r="Q139" i="3"/>
  <c r="I139" i="3"/>
  <c r="P139" i="3" s="1"/>
  <c r="Q138" i="3"/>
  <c r="I138" i="3"/>
  <c r="P138" i="3" s="1"/>
  <c r="Q137" i="3"/>
  <c r="P137" i="3"/>
  <c r="I137" i="3"/>
  <c r="Q136" i="3"/>
  <c r="I136" i="3"/>
  <c r="P136" i="3" s="1"/>
  <c r="Q135" i="3"/>
  <c r="I135" i="3"/>
  <c r="P135" i="3" s="1"/>
  <c r="Q134" i="3"/>
  <c r="I134" i="3"/>
  <c r="P134" i="3" s="1"/>
  <c r="Q133" i="3"/>
  <c r="P133" i="3"/>
  <c r="I133" i="3"/>
  <c r="Q132" i="3"/>
  <c r="I132" i="3"/>
  <c r="P132" i="3" s="1"/>
  <c r="Q131" i="3"/>
  <c r="I131" i="3"/>
  <c r="P131" i="3" s="1"/>
  <c r="Q130" i="3"/>
  <c r="I130" i="3"/>
  <c r="P130" i="3" s="1"/>
  <c r="Q129" i="3"/>
  <c r="P129" i="3"/>
  <c r="I129" i="3"/>
  <c r="Q128" i="3"/>
  <c r="I128" i="3"/>
  <c r="P128" i="3" s="1"/>
  <c r="Q127" i="3"/>
  <c r="I127" i="3"/>
  <c r="P127" i="3" s="1"/>
  <c r="Q126" i="3"/>
  <c r="I126" i="3"/>
  <c r="P126" i="3" s="1"/>
  <c r="Q125" i="3"/>
  <c r="P125" i="3"/>
  <c r="I125" i="3"/>
  <c r="Q124" i="3"/>
  <c r="I124" i="3"/>
  <c r="P124" i="3" s="1"/>
  <c r="Q123" i="3"/>
  <c r="I123" i="3"/>
  <c r="P123" i="3" s="1"/>
  <c r="Q122" i="3"/>
  <c r="I122" i="3"/>
  <c r="P122" i="3" s="1"/>
  <c r="Q121" i="3"/>
  <c r="P121" i="3"/>
  <c r="I121" i="3"/>
  <c r="Q120" i="3"/>
  <c r="I120" i="3"/>
  <c r="P120" i="3" s="1"/>
  <c r="Q119" i="3"/>
  <c r="I119" i="3"/>
  <c r="P119" i="3" s="1"/>
  <c r="Q118" i="3"/>
  <c r="I118" i="3"/>
  <c r="P118" i="3" s="1"/>
  <c r="Q117" i="3"/>
  <c r="P117" i="3"/>
  <c r="I117" i="3"/>
  <c r="Q116" i="3"/>
  <c r="I116" i="3"/>
  <c r="P116" i="3" s="1"/>
  <c r="Q115" i="3"/>
  <c r="I115" i="3"/>
  <c r="P115" i="3" s="1"/>
  <c r="Q114" i="3"/>
  <c r="I114" i="3"/>
  <c r="P114" i="3" s="1"/>
  <c r="Q113" i="3"/>
  <c r="P113" i="3"/>
  <c r="I113" i="3"/>
  <c r="Q112" i="3"/>
  <c r="I112" i="3"/>
  <c r="P112" i="3" s="1"/>
  <c r="Q111" i="3"/>
  <c r="I111" i="3"/>
  <c r="P111" i="3" s="1"/>
  <c r="Q110" i="3"/>
  <c r="I110" i="3"/>
  <c r="P110" i="3" s="1"/>
  <c r="Q109" i="3"/>
  <c r="P109" i="3"/>
  <c r="I109" i="3"/>
  <c r="Q108" i="3"/>
  <c r="I108" i="3"/>
  <c r="P108" i="3" s="1"/>
  <c r="Q107" i="3"/>
  <c r="I107" i="3"/>
  <c r="P107" i="3" s="1"/>
  <c r="Q106" i="3"/>
  <c r="I106" i="3"/>
  <c r="P106" i="3" s="1"/>
  <c r="Q105" i="3"/>
  <c r="P105" i="3"/>
  <c r="I105" i="3"/>
  <c r="Q104" i="3"/>
  <c r="I104" i="3"/>
  <c r="P104" i="3" s="1"/>
  <c r="Q103" i="3"/>
  <c r="I103" i="3"/>
  <c r="P103" i="3" s="1"/>
  <c r="Q102" i="3"/>
  <c r="I102" i="3"/>
  <c r="P102" i="3" s="1"/>
  <c r="Q101" i="3"/>
  <c r="P101" i="3"/>
  <c r="I101" i="3"/>
  <c r="Q100" i="3"/>
  <c r="I100" i="3"/>
  <c r="P100" i="3" s="1"/>
  <c r="Q99" i="3"/>
  <c r="I99" i="3"/>
  <c r="P99" i="3" s="1"/>
  <c r="Q98" i="3"/>
  <c r="I98" i="3"/>
  <c r="P98" i="3" s="1"/>
  <c r="Q97" i="3"/>
  <c r="P97" i="3"/>
  <c r="I97" i="3"/>
  <c r="Q96" i="3"/>
  <c r="I96" i="3"/>
  <c r="P96" i="3" s="1"/>
  <c r="Q95" i="3"/>
  <c r="I95" i="3"/>
  <c r="P95" i="3" s="1"/>
  <c r="Q94" i="3"/>
  <c r="I94" i="3"/>
  <c r="P94" i="3" s="1"/>
  <c r="Q93" i="3"/>
  <c r="P93" i="3"/>
  <c r="I93" i="3"/>
  <c r="Q92" i="3"/>
  <c r="I92" i="3"/>
  <c r="P92" i="3" s="1"/>
  <c r="Q91" i="3"/>
  <c r="I91" i="3"/>
  <c r="P91" i="3" s="1"/>
  <c r="Q90" i="3"/>
  <c r="I90" i="3"/>
  <c r="P90" i="3" s="1"/>
  <c r="Q89" i="3"/>
  <c r="P89" i="3"/>
  <c r="I89" i="3"/>
  <c r="Q88" i="3"/>
  <c r="I88" i="3"/>
  <c r="P88" i="3" s="1"/>
  <c r="Q87" i="3"/>
  <c r="I87" i="3"/>
  <c r="P87" i="3" s="1"/>
  <c r="Q86" i="3"/>
  <c r="I86" i="3"/>
  <c r="P86" i="3" s="1"/>
  <c r="Q85" i="3"/>
  <c r="P85" i="3"/>
  <c r="I85" i="3"/>
  <c r="Q84" i="3"/>
  <c r="I84" i="3"/>
  <c r="P84" i="3" s="1"/>
  <c r="Q83" i="3"/>
  <c r="I83" i="3"/>
  <c r="P83" i="3" s="1"/>
  <c r="Q82" i="3"/>
  <c r="I82" i="3"/>
  <c r="P82" i="3" s="1"/>
  <c r="Q81" i="3"/>
  <c r="P81" i="3"/>
  <c r="I81" i="3"/>
  <c r="Q80" i="3"/>
  <c r="I80" i="3"/>
  <c r="P80" i="3" s="1"/>
  <c r="Q79" i="3"/>
  <c r="I79" i="3"/>
  <c r="P79" i="3" s="1"/>
  <c r="Q78" i="3"/>
  <c r="I78" i="3"/>
  <c r="P78" i="3" s="1"/>
  <c r="Q77" i="3"/>
  <c r="I77" i="3"/>
  <c r="P77" i="3" s="1"/>
  <c r="Q76" i="3"/>
  <c r="I76" i="3"/>
  <c r="P76" i="3" s="1"/>
  <c r="Q75" i="3"/>
  <c r="I75" i="3"/>
  <c r="P75" i="3" s="1"/>
  <c r="Q74" i="3"/>
  <c r="I74" i="3"/>
  <c r="P74" i="3" s="1"/>
  <c r="Q73" i="3"/>
  <c r="I73" i="3"/>
  <c r="P73" i="3" s="1"/>
  <c r="Q72" i="3"/>
  <c r="I72" i="3"/>
  <c r="P72" i="3" s="1"/>
  <c r="Q71" i="3"/>
  <c r="I71" i="3"/>
  <c r="P71" i="3" s="1"/>
  <c r="Q70" i="3"/>
  <c r="I70" i="3"/>
  <c r="P70" i="3" s="1"/>
  <c r="Q69" i="3"/>
  <c r="I69" i="3"/>
  <c r="P69" i="3" s="1"/>
  <c r="Q68" i="3"/>
  <c r="I68" i="3"/>
  <c r="P68" i="3" s="1"/>
  <c r="Q67" i="3"/>
  <c r="I67" i="3"/>
  <c r="P67" i="3" s="1"/>
  <c r="Q66" i="3"/>
  <c r="I66" i="3"/>
  <c r="P66" i="3" s="1"/>
  <c r="Q65" i="3"/>
  <c r="I65" i="3"/>
  <c r="P65" i="3" s="1"/>
  <c r="Q64" i="3"/>
  <c r="I64" i="3"/>
  <c r="P64" i="3" s="1"/>
  <c r="Q63" i="3"/>
  <c r="I63" i="3"/>
  <c r="P63" i="3" s="1"/>
  <c r="Q62" i="3"/>
  <c r="I62" i="3"/>
  <c r="P62" i="3" s="1"/>
  <c r="Q61" i="3"/>
  <c r="I61" i="3"/>
  <c r="P61" i="3" s="1"/>
  <c r="Q60" i="3"/>
  <c r="I60" i="3"/>
  <c r="P60" i="3" s="1"/>
  <c r="Q59" i="3"/>
  <c r="I59" i="3"/>
  <c r="P59" i="3" s="1"/>
  <c r="Q58" i="3"/>
  <c r="I58" i="3"/>
  <c r="P58" i="3" s="1"/>
  <c r="Q57" i="3"/>
  <c r="I57" i="3"/>
  <c r="P57" i="3" s="1"/>
  <c r="Q56" i="3"/>
  <c r="I56" i="3"/>
  <c r="P56" i="3" s="1"/>
  <c r="Q55" i="3"/>
  <c r="I55" i="3"/>
  <c r="P55" i="3" s="1"/>
  <c r="Q54" i="3"/>
  <c r="I54" i="3"/>
  <c r="P54" i="3" s="1"/>
  <c r="Q53" i="3"/>
  <c r="I53" i="3"/>
  <c r="P53" i="3" s="1"/>
  <c r="Q52" i="3"/>
  <c r="I52" i="3"/>
  <c r="P52" i="3" s="1"/>
  <c r="Q51" i="3"/>
  <c r="I51" i="3"/>
  <c r="P51" i="3" s="1"/>
  <c r="Q50" i="3"/>
  <c r="I50" i="3"/>
  <c r="P50" i="3" s="1"/>
  <c r="Q49" i="3"/>
  <c r="I49" i="3"/>
  <c r="P49" i="3" s="1"/>
  <c r="Q48" i="3"/>
  <c r="I48" i="3"/>
  <c r="P48" i="3" s="1"/>
  <c r="Q47" i="3"/>
  <c r="I47" i="3"/>
  <c r="P47" i="3" s="1"/>
  <c r="Q46" i="3"/>
  <c r="I46" i="3"/>
  <c r="P46" i="3" s="1"/>
  <c r="Q45" i="3"/>
  <c r="I45" i="3"/>
  <c r="P45" i="3" s="1"/>
  <c r="Q44" i="3"/>
  <c r="I44" i="3"/>
  <c r="P44" i="3" s="1"/>
  <c r="Q43" i="3"/>
  <c r="I43" i="3"/>
  <c r="P43" i="3" s="1"/>
  <c r="Q42" i="3"/>
  <c r="I42" i="3"/>
  <c r="P42" i="3" s="1"/>
  <c r="Q41" i="3"/>
  <c r="I41" i="3"/>
  <c r="P41" i="3" s="1"/>
  <c r="Q40" i="3"/>
  <c r="I40" i="3"/>
  <c r="P40" i="3" s="1"/>
  <c r="Q39" i="3"/>
  <c r="I39" i="3"/>
  <c r="P39" i="3" s="1"/>
  <c r="Q38" i="3"/>
  <c r="I38" i="3"/>
  <c r="P38" i="3" s="1"/>
  <c r="Q37" i="3"/>
  <c r="I37" i="3"/>
  <c r="P37" i="3" s="1"/>
  <c r="Q36" i="3"/>
  <c r="I36" i="3"/>
  <c r="P36" i="3" s="1"/>
  <c r="Q35" i="3"/>
  <c r="I35" i="3"/>
  <c r="P35" i="3" s="1"/>
  <c r="Q34" i="3"/>
  <c r="I34" i="3"/>
  <c r="P34" i="3" s="1"/>
  <c r="Q33" i="3"/>
  <c r="I33" i="3"/>
  <c r="P33" i="3" s="1"/>
  <c r="Q32" i="3"/>
  <c r="I32" i="3"/>
  <c r="P32" i="3" s="1"/>
  <c r="Q31" i="3"/>
  <c r="I31" i="3"/>
  <c r="P31" i="3" s="1"/>
  <c r="Q30" i="3"/>
  <c r="I30" i="3"/>
  <c r="P30" i="3" s="1"/>
  <c r="Q29" i="3"/>
  <c r="I29" i="3"/>
  <c r="P29" i="3" s="1"/>
  <c r="Q28" i="3"/>
  <c r="I28" i="3"/>
  <c r="P28" i="3" s="1"/>
  <c r="Q27" i="3"/>
  <c r="I27" i="3"/>
  <c r="P27" i="3" s="1"/>
  <c r="Q26" i="3"/>
  <c r="I26" i="3"/>
  <c r="P26" i="3" s="1"/>
  <c r="Q25" i="3"/>
  <c r="I25" i="3"/>
  <c r="P25" i="3" s="1"/>
  <c r="Q24" i="3"/>
  <c r="I24" i="3"/>
  <c r="P24" i="3" s="1"/>
  <c r="Q23" i="3"/>
  <c r="I23" i="3"/>
  <c r="P23" i="3" s="1"/>
  <c r="Q22" i="3"/>
  <c r="I22" i="3"/>
  <c r="P22" i="3" s="1"/>
  <c r="Q21" i="3"/>
  <c r="I21" i="3"/>
  <c r="P21" i="3" s="1"/>
  <c r="Q20" i="3"/>
  <c r="I20" i="3"/>
  <c r="P20" i="3" s="1"/>
  <c r="Q19" i="3"/>
  <c r="I19" i="3"/>
  <c r="P19" i="3" s="1"/>
  <c r="Q18" i="3"/>
  <c r="I18" i="3"/>
  <c r="P18" i="3" s="1"/>
  <c r="Q17" i="3"/>
  <c r="I17" i="3"/>
  <c r="P17" i="3" s="1"/>
  <c r="Q16" i="3"/>
  <c r="I16" i="3"/>
  <c r="P16" i="3" s="1"/>
  <c r="Q15" i="3"/>
  <c r="I15" i="3"/>
  <c r="P15" i="3" s="1"/>
  <c r="Q14" i="3"/>
  <c r="I14" i="3"/>
  <c r="P14" i="3" s="1"/>
  <c r="Q13" i="3"/>
  <c r="I13" i="3"/>
  <c r="P13" i="3" s="1"/>
  <c r="Q12" i="3"/>
  <c r="I12" i="3"/>
  <c r="P12" i="3" s="1"/>
  <c r="Q11" i="3"/>
  <c r="I11" i="3"/>
  <c r="P11" i="3" s="1"/>
  <c r="Q10" i="3"/>
  <c r="I10" i="3"/>
  <c r="P10" i="3" s="1"/>
  <c r="Q9" i="3"/>
  <c r="I9" i="3"/>
  <c r="P9" i="3" s="1"/>
  <c r="Q8" i="3"/>
  <c r="I8" i="3"/>
  <c r="P8" i="3" s="1"/>
  <c r="Q7" i="3"/>
  <c r="I7" i="3"/>
  <c r="P7" i="3" s="1"/>
  <c r="Q6" i="3"/>
  <c r="I6" i="3"/>
  <c r="P6" i="3" s="1"/>
  <c r="Q5" i="3"/>
  <c r="I5" i="3"/>
  <c r="P5" i="3" s="1"/>
  <c r="Q4" i="3"/>
  <c r="I4" i="3"/>
  <c r="P4" i="3" s="1"/>
  <c r="Q3" i="3"/>
  <c r="I3" i="3"/>
  <c r="P3" i="3" s="1"/>
  <c r="Q2" i="3"/>
  <c r="I2" i="3"/>
  <c r="P2" i="3" s="1"/>
  <c r="Q20" i="2"/>
  <c r="I20" i="2"/>
  <c r="P20" i="2" s="1"/>
  <c r="Q19" i="2"/>
  <c r="I19" i="2"/>
  <c r="P19" i="2" s="1"/>
  <c r="Q18" i="2"/>
  <c r="I18" i="2"/>
  <c r="P18" i="2" s="1"/>
  <c r="Q17" i="2"/>
  <c r="I17" i="2"/>
  <c r="P17" i="2" s="1"/>
  <c r="Q16" i="2"/>
  <c r="I16" i="2"/>
  <c r="P16" i="2" s="1"/>
  <c r="Q15" i="2"/>
  <c r="I15" i="2"/>
  <c r="P15" i="2" s="1"/>
  <c r="Q14" i="2"/>
  <c r="I14" i="2"/>
  <c r="P14" i="2" s="1"/>
  <c r="Q13" i="2"/>
  <c r="I13" i="2"/>
  <c r="P13" i="2" s="1"/>
  <c r="Q12" i="2"/>
  <c r="I12" i="2"/>
  <c r="P12" i="2" s="1"/>
  <c r="Q11" i="2"/>
  <c r="I11" i="2"/>
  <c r="P11" i="2" s="1"/>
  <c r="Q10" i="2"/>
  <c r="I10" i="2"/>
  <c r="P10" i="2" s="1"/>
  <c r="Q9" i="2"/>
  <c r="I9" i="2"/>
  <c r="P9" i="2" s="1"/>
  <c r="Q8" i="2"/>
  <c r="I8" i="2"/>
  <c r="P8" i="2" s="1"/>
  <c r="Q7" i="2"/>
  <c r="I7" i="2"/>
  <c r="P7" i="2" s="1"/>
  <c r="Q6" i="2"/>
  <c r="I6" i="2"/>
  <c r="P6" i="2" s="1"/>
  <c r="Q5" i="2"/>
  <c r="I5" i="2"/>
  <c r="P5" i="2" s="1"/>
  <c r="Q4" i="2"/>
  <c r="I4" i="2"/>
  <c r="P4" i="2" s="1"/>
  <c r="Q3" i="2"/>
  <c r="I3" i="2"/>
  <c r="P3" i="2" s="1"/>
  <c r="Q2" i="2"/>
  <c r="I2" i="2"/>
  <c r="P2" i="2" s="1"/>
  <c r="D912" i="8"/>
  <c r="I909" i="8"/>
  <c r="E907" i="8"/>
  <c r="D900" i="8"/>
  <c r="I897" i="8"/>
  <c r="E895" i="8"/>
  <c r="D888" i="8"/>
  <c r="I885" i="8"/>
  <c r="E883" i="8"/>
  <c r="D876" i="8"/>
  <c r="I873" i="8"/>
  <c r="E871" i="8"/>
  <c r="D864" i="8"/>
  <c r="I861" i="8"/>
  <c r="E859" i="8"/>
  <c r="D852" i="8"/>
  <c r="I849" i="8"/>
  <c r="E847" i="8"/>
  <c r="D840" i="8"/>
  <c r="I837" i="8"/>
  <c r="E835" i="8"/>
  <c r="D828" i="8"/>
  <c r="I825" i="8"/>
  <c r="E823" i="8"/>
  <c r="D816" i="8"/>
  <c r="I813" i="8"/>
  <c r="E811" i="8"/>
  <c r="D804" i="8"/>
  <c r="I801" i="8"/>
  <c r="E799" i="8"/>
  <c r="D792" i="8"/>
  <c r="I789" i="8"/>
  <c r="E787" i="8"/>
  <c r="D780" i="8"/>
  <c r="I777" i="8"/>
  <c r="E775" i="8"/>
  <c r="D768" i="8"/>
  <c r="I765" i="8"/>
  <c r="E763" i="8"/>
  <c r="D756" i="8"/>
  <c r="I753" i="8"/>
  <c r="E751" i="8"/>
  <c r="D744" i="8"/>
  <c r="I741" i="8"/>
  <c r="E739" i="8"/>
  <c r="D732" i="8"/>
  <c r="I729" i="8"/>
  <c r="E727" i="8"/>
  <c r="D720" i="8"/>
  <c r="I717" i="8"/>
  <c r="E715" i="8"/>
  <c r="D708" i="8"/>
  <c r="I705" i="8"/>
  <c r="E703" i="8"/>
  <c r="D696" i="8"/>
  <c r="I693" i="8"/>
  <c r="E691" i="8"/>
  <c r="D684" i="8"/>
  <c r="I681" i="8"/>
  <c r="E679" i="8"/>
  <c r="D672" i="8"/>
  <c r="I669" i="8"/>
  <c r="E667" i="8"/>
  <c r="D660" i="8"/>
  <c r="I657" i="8"/>
  <c r="E655" i="8"/>
  <c r="D648" i="8"/>
  <c r="I645" i="8"/>
  <c r="E643" i="8"/>
  <c r="D636" i="8"/>
  <c r="I633" i="8"/>
  <c r="E631" i="8"/>
  <c r="D624" i="8"/>
  <c r="I621" i="8"/>
  <c r="E619" i="8"/>
  <c r="D612" i="8"/>
  <c r="I609" i="8"/>
  <c r="E607" i="8"/>
  <c r="D600" i="8"/>
  <c r="I597" i="8"/>
  <c r="E595" i="8"/>
  <c r="D588" i="8"/>
  <c r="I585" i="8"/>
  <c r="E583" i="8"/>
  <c r="D576" i="8"/>
  <c r="I573" i="8"/>
  <c r="E571" i="8"/>
  <c r="D564" i="8"/>
  <c r="I561" i="8"/>
  <c r="E559" i="8"/>
  <c r="D552" i="8"/>
  <c r="I549" i="8"/>
  <c r="E547" i="8"/>
  <c r="D540" i="8"/>
  <c r="I537" i="8"/>
  <c r="E535" i="8"/>
  <c r="D528" i="8"/>
  <c r="I525" i="8"/>
  <c r="E523" i="8"/>
  <c r="D516" i="8"/>
  <c r="I916" i="8"/>
  <c r="E914" i="8"/>
  <c r="D907" i="8"/>
  <c r="I904" i="8"/>
  <c r="E902" i="8"/>
  <c r="D895" i="8"/>
  <c r="I892" i="8"/>
  <c r="E890" i="8"/>
  <c r="D883" i="8"/>
  <c r="I880" i="8"/>
  <c r="E878" i="8"/>
  <c r="D871" i="8"/>
  <c r="I868" i="8"/>
  <c r="E866" i="8"/>
  <c r="D859" i="8"/>
  <c r="I856" i="8"/>
  <c r="E854" i="8"/>
  <c r="D847" i="8"/>
  <c r="I844" i="8"/>
  <c r="E842" i="8"/>
  <c r="D835" i="8"/>
  <c r="I832" i="8"/>
  <c r="E830" i="8"/>
  <c r="D823" i="8"/>
  <c r="I820" i="8"/>
  <c r="E818" i="8"/>
  <c r="D811" i="8"/>
  <c r="I808" i="8"/>
  <c r="E806" i="8"/>
  <c r="D799" i="8"/>
  <c r="I796" i="8"/>
  <c r="E794" i="8"/>
  <c r="D787" i="8"/>
  <c r="I784" i="8"/>
  <c r="E782" i="8"/>
  <c r="D775" i="8"/>
  <c r="I772" i="8"/>
  <c r="E770" i="8"/>
  <c r="D763" i="8"/>
  <c r="I760" i="8"/>
  <c r="E758" i="8"/>
  <c r="D751" i="8"/>
  <c r="I748" i="8"/>
  <c r="E746" i="8"/>
  <c r="D739" i="8"/>
  <c r="I736" i="8"/>
  <c r="E734" i="8"/>
  <c r="D727" i="8"/>
  <c r="I724" i="8"/>
  <c r="E722" i="8"/>
  <c r="D715" i="8"/>
  <c r="I712" i="8"/>
  <c r="E710" i="8"/>
  <c r="D703" i="8"/>
  <c r="I700" i="8"/>
  <c r="E698" i="8"/>
  <c r="D691" i="8"/>
  <c r="I688" i="8"/>
  <c r="E686" i="8"/>
  <c r="D679" i="8"/>
  <c r="I676" i="8"/>
  <c r="E674" i="8"/>
  <c r="D667" i="8"/>
  <c r="I664" i="8"/>
  <c r="E662" i="8"/>
  <c r="D655" i="8"/>
  <c r="I652" i="8"/>
  <c r="E650" i="8"/>
  <c r="D643" i="8"/>
  <c r="I640" i="8"/>
  <c r="E638" i="8"/>
  <c r="D631" i="8"/>
  <c r="I628" i="8"/>
  <c r="E626" i="8"/>
  <c r="D619" i="8"/>
  <c r="I616" i="8"/>
  <c r="E614" i="8"/>
  <c r="D607" i="8"/>
  <c r="I604" i="8"/>
  <c r="E602" i="8"/>
  <c r="D595" i="8"/>
  <c r="I592" i="8"/>
  <c r="E590" i="8"/>
  <c r="D583" i="8"/>
  <c r="I580" i="8"/>
  <c r="E578" i="8"/>
  <c r="D571" i="8"/>
  <c r="I568" i="8"/>
  <c r="E566" i="8"/>
  <c r="D559" i="8"/>
  <c r="I556" i="8"/>
  <c r="E554" i="8"/>
  <c r="D547" i="8"/>
  <c r="I544" i="8"/>
  <c r="E542" i="8"/>
  <c r="D535" i="8"/>
  <c r="I532" i="8"/>
  <c r="E530" i="8"/>
  <c r="D523" i="8"/>
  <c r="I520" i="8"/>
  <c r="E518" i="8"/>
  <c r="D914" i="8"/>
  <c r="I911" i="8"/>
  <c r="E909" i="8"/>
  <c r="D902" i="8"/>
  <c r="I899" i="8"/>
  <c r="E897" i="8"/>
  <c r="D890" i="8"/>
  <c r="I887" i="8"/>
  <c r="E885" i="8"/>
  <c r="D878" i="8"/>
  <c r="I875" i="8"/>
  <c r="E873" i="8"/>
  <c r="D866" i="8"/>
  <c r="I863" i="8"/>
  <c r="E861" i="8"/>
  <c r="D854" i="8"/>
  <c r="I851" i="8"/>
  <c r="E849" i="8"/>
  <c r="D842" i="8"/>
  <c r="I839" i="8"/>
  <c r="E837" i="8"/>
  <c r="D830" i="8"/>
  <c r="I827" i="8"/>
  <c r="E825" i="8"/>
  <c r="D818" i="8"/>
  <c r="I815" i="8"/>
  <c r="E813" i="8"/>
  <c r="D806" i="8"/>
  <c r="I803" i="8"/>
  <c r="E801" i="8"/>
  <c r="D794" i="8"/>
  <c r="I791" i="8"/>
  <c r="E789" i="8"/>
  <c r="D782" i="8"/>
  <c r="I779" i="8"/>
  <c r="E777" i="8"/>
  <c r="D770" i="8"/>
  <c r="I767" i="8"/>
  <c r="E765" i="8"/>
  <c r="D758" i="8"/>
  <c r="I755" i="8"/>
  <c r="E753" i="8"/>
  <c r="D746" i="8"/>
  <c r="I743" i="8"/>
  <c r="E741" i="8"/>
  <c r="D734" i="8"/>
  <c r="I731" i="8"/>
  <c r="E729" i="8"/>
  <c r="D722" i="8"/>
  <c r="I719" i="8"/>
  <c r="E717" i="8"/>
  <c r="D710" i="8"/>
  <c r="I707" i="8"/>
  <c r="E705" i="8"/>
  <c r="D698" i="8"/>
  <c r="I695" i="8"/>
  <c r="E693" i="8"/>
  <c r="D686" i="8"/>
  <c r="I683" i="8"/>
  <c r="E681" i="8"/>
  <c r="D674" i="8"/>
  <c r="I671" i="8"/>
  <c r="E669" i="8"/>
  <c r="D662" i="8"/>
  <c r="I659" i="8"/>
  <c r="E657" i="8"/>
  <c r="D650" i="8"/>
  <c r="I647" i="8"/>
  <c r="E645" i="8"/>
  <c r="D638" i="8"/>
  <c r="I635" i="8"/>
  <c r="E633" i="8"/>
  <c r="D626" i="8"/>
  <c r="I623" i="8"/>
  <c r="E621" i="8"/>
  <c r="D614" i="8"/>
  <c r="I611" i="8"/>
  <c r="E609" i="8"/>
  <c r="D602" i="8"/>
  <c r="I599" i="8"/>
  <c r="E597" i="8"/>
  <c r="D590" i="8"/>
  <c r="I587" i="8"/>
  <c r="E585" i="8"/>
  <c r="D578" i="8"/>
  <c r="I575" i="8"/>
  <c r="E573" i="8"/>
  <c r="D566" i="8"/>
  <c r="I563" i="8"/>
  <c r="E561" i="8"/>
  <c r="D554" i="8"/>
  <c r="I551" i="8"/>
  <c r="E549" i="8"/>
  <c r="D542" i="8"/>
  <c r="I539" i="8"/>
  <c r="E537" i="8"/>
  <c r="D530" i="8"/>
  <c r="I527" i="8"/>
  <c r="E525" i="8"/>
  <c r="D518" i="8"/>
  <c r="I515" i="8"/>
  <c r="E513" i="8"/>
  <c r="E916" i="8"/>
  <c r="D909" i="8"/>
  <c r="I906" i="8"/>
  <c r="E904" i="8"/>
  <c r="D897" i="8"/>
  <c r="I894" i="8"/>
  <c r="E892" i="8"/>
  <c r="D885" i="8"/>
  <c r="I882" i="8"/>
  <c r="E880" i="8"/>
  <c r="D873" i="8"/>
  <c r="I870" i="8"/>
  <c r="E868" i="8"/>
  <c r="D861" i="8"/>
  <c r="I858" i="8"/>
  <c r="E856" i="8"/>
  <c r="D849" i="8"/>
  <c r="I846" i="8"/>
  <c r="E844" i="8"/>
  <c r="D837" i="8"/>
  <c r="I834" i="8"/>
  <c r="E832" i="8"/>
  <c r="D825" i="8"/>
  <c r="I822" i="8"/>
  <c r="E820" i="8"/>
  <c r="D813" i="8"/>
  <c r="I810" i="8"/>
  <c r="E808" i="8"/>
  <c r="D801" i="8"/>
  <c r="I798" i="8"/>
  <c r="E796" i="8"/>
  <c r="D789" i="8"/>
  <c r="I786" i="8"/>
  <c r="E784" i="8"/>
  <c r="D777" i="8"/>
  <c r="I774" i="8"/>
  <c r="E772" i="8"/>
  <c r="D765" i="8"/>
  <c r="I762" i="8"/>
  <c r="E760" i="8"/>
  <c r="D753" i="8"/>
  <c r="I750" i="8"/>
  <c r="E748" i="8"/>
  <c r="D741" i="8"/>
  <c r="I738" i="8"/>
  <c r="E736" i="8"/>
  <c r="D729" i="8"/>
  <c r="I726" i="8"/>
  <c r="E724" i="8"/>
  <c r="D717" i="8"/>
  <c r="I714" i="8"/>
  <c r="E712" i="8"/>
  <c r="D705" i="8"/>
  <c r="I702" i="8"/>
  <c r="E700" i="8"/>
  <c r="D693" i="8"/>
  <c r="I690" i="8"/>
  <c r="E688" i="8"/>
  <c r="D681" i="8"/>
  <c r="I678" i="8"/>
  <c r="E676" i="8"/>
  <c r="D669" i="8"/>
  <c r="I666" i="8"/>
  <c r="E664" i="8"/>
  <c r="D657" i="8"/>
  <c r="I654" i="8"/>
  <c r="E652" i="8"/>
  <c r="D645" i="8"/>
  <c r="I642" i="8"/>
  <c r="E640" i="8"/>
  <c r="D633" i="8"/>
  <c r="I630" i="8"/>
  <c r="E628" i="8"/>
  <c r="D621" i="8"/>
  <c r="I618" i="8"/>
  <c r="E616" i="8"/>
  <c r="D609" i="8"/>
  <c r="I606" i="8"/>
  <c r="E604" i="8"/>
  <c r="D597" i="8"/>
  <c r="I594" i="8"/>
  <c r="E592" i="8"/>
  <c r="D585" i="8"/>
  <c r="I582" i="8"/>
  <c r="E580" i="8"/>
  <c r="D573" i="8"/>
  <c r="I570" i="8"/>
  <c r="E568" i="8"/>
  <c r="D561" i="8"/>
  <c r="I558" i="8"/>
  <c r="E556" i="8"/>
  <c r="D549" i="8"/>
  <c r="I546" i="8"/>
  <c r="E544" i="8"/>
  <c r="D537" i="8"/>
  <c r="I534" i="8"/>
  <c r="E532" i="8"/>
  <c r="D525" i="8"/>
  <c r="I522" i="8"/>
  <c r="E520" i="8"/>
  <c r="D513" i="8"/>
  <c r="I510" i="8"/>
  <c r="E508" i="8"/>
  <c r="D501" i="8"/>
  <c r="I498" i="8"/>
  <c r="E496" i="8"/>
  <c r="D489" i="8"/>
  <c r="I486" i="8"/>
  <c r="E484" i="8"/>
  <c r="D477" i="8"/>
  <c r="I474" i="8"/>
  <c r="E472" i="8"/>
  <c r="D916" i="8"/>
  <c r="I913" i="8"/>
  <c r="E911" i="8"/>
  <c r="D904" i="8"/>
  <c r="I901" i="8"/>
  <c r="E899" i="8"/>
  <c r="D892" i="8"/>
  <c r="I889" i="8"/>
  <c r="E887" i="8"/>
  <c r="D880" i="8"/>
  <c r="I877" i="8"/>
  <c r="E875" i="8"/>
  <c r="D868" i="8"/>
  <c r="I865" i="8"/>
  <c r="E863" i="8"/>
  <c r="D856" i="8"/>
  <c r="I853" i="8"/>
  <c r="E851" i="8"/>
  <c r="D844" i="8"/>
  <c r="I841" i="8"/>
  <c r="E839" i="8"/>
  <c r="D832" i="8"/>
  <c r="I829" i="8"/>
  <c r="E827" i="8"/>
  <c r="D820" i="8"/>
  <c r="I817" i="8"/>
  <c r="E815" i="8"/>
  <c r="D808" i="8"/>
  <c r="I805" i="8"/>
  <c r="E803" i="8"/>
  <c r="D796" i="8"/>
  <c r="I793" i="8"/>
  <c r="E791" i="8"/>
  <c r="D784" i="8"/>
  <c r="I781" i="8"/>
  <c r="E779" i="8"/>
  <c r="D772" i="8"/>
  <c r="I769" i="8"/>
  <c r="E767" i="8"/>
  <c r="D760" i="8"/>
  <c r="I757" i="8"/>
  <c r="E755" i="8"/>
  <c r="D748" i="8"/>
  <c r="I745" i="8"/>
  <c r="E743" i="8"/>
  <c r="D736" i="8"/>
  <c r="I733" i="8"/>
  <c r="E731" i="8"/>
  <c r="D724" i="8"/>
  <c r="I721" i="8"/>
  <c r="E719" i="8"/>
  <c r="D712" i="8"/>
  <c r="I709" i="8"/>
  <c r="E707" i="8"/>
  <c r="D700" i="8"/>
  <c r="I697" i="8"/>
  <c r="E695" i="8"/>
  <c r="D688" i="8"/>
  <c r="I685" i="8"/>
  <c r="E683" i="8"/>
  <c r="D676" i="8"/>
  <c r="I673" i="8"/>
  <c r="E671" i="8"/>
  <c r="D664" i="8"/>
  <c r="I661" i="8"/>
  <c r="E659" i="8"/>
  <c r="D652" i="8"/>
  <c r="I649" i="8"/>
  <c r="E647" i="8"/>
  <c r="D640" i="8"/>
  <c r="I637" i="8"/>
  <c r="E635" i="8"/>
  <c r="D628" i="8"/>
  <c r="I625" i="8"/>
  <c r="E623" i="8"/>
  <c r="D616" i="8"/>
  <c r="I613" i="8"/>
  <c r="E611" i="8"/>
  <c r="D604" i="8"/>
  <c r="I601" i="8"/>
  <c r="E599" i="8"/>
  <c r="D592" i="8"/>
  <c r="I589" i="8"/>
  <c r="E587" i="8"/>
  <c r="D580" i="8"/>
  <c r="I577" i="8"/>
  <c r="E575" i="8"/>
  <c r="D568" i="8"/>
  <c r="I565" i="8"/>
  <c r="E563" i="8"/>
  <c r="D556" i="8"/>
  <c r="I553" i="8"/>
  <c r="E551" i="8"/>
  <c r="D544" i="8"/>
  <c r="I541" i="8"/>
  <c r="E539" i="8"/>
  <c r="D532" i="8"/>
  <c r="I529" i="8"/>
  <c r="E527" i="8"/>
  <c r="D520" i="8"/>
  <c r="I517" i="8"/>
  <c r="E515" i="8"/>
  <c r="D508" i="8"/>
  <c r="I505" i="8"/>
  <c r="E503" i="8"/>
  <c r="D496" i="8"/>
  <c r="I493" i="8"/>
  <c r="E491" i="8"/>
  <c r="D484" i="8"/>
  <c r="I481" i="8"/>
  <c r="E479" i="8"/>
  <c r="D472" i="8"/>
  <c r="I469" i="8"/>
  <c r="E467" i="8"/>
  <c r="D911" i="8"/>
  <c r="I908" i="8"/>
  <c r="E906" i="8"/>
  <c r="D899" i="8"/>
  <c r="I896" i="8"/>
  <c r="E894" i="8"/>
  <c r="D887" i="8"/>
  <c r="I884" i="8"/>
  <c r="E882" i="8"/>
  <c r="D875" i="8"/>
  <c r="I872" i="8"/>
  <c r="E870" i="8"/>
  <c r="D863" i="8"/>
  <c r="I860" i="8"/>
  <c r="E858" i="8"/>
  <c r="D851" i="8"/>
  <c r="I848" i="8"/>
  <c r="E846" i="8"/>
  <c r="D839" i="8"/>
  <c r="I836" i="8"/>
  <c r="E834" i="8"/>
  <c r="D827" i="8"/>
  <c r="I824" i="8"/>
  <c r="E822" i="8"/>
  <c r="D815" i="8"/>
  <c r="I812" i="8"/>
  <c r="E810" i="8"/>
  <c r="D803" i="8"/>
  <c r="I800" i="8"/>
  <c r="E798" i="8"/>
  <c r="D791" i="8"/>
  <c r="I788" i="8"/>
  <c r="E786" i="8"/>
  <c r="D779" i="8"/>
  <c r="I776" i="8"/>
  <c r="E774" i="8"/>
  <c r="D767" i="8"/>
  <c r="I764" i="8"/>
  <c r="E762" i="8"/>
  <c r="D755" i="8"/>
  <c r="I752" i="8"/>
  <c r="E750" i="8"/>
  <c r="D743" i="8"/>
  <c r="I740" i="8"/>
  <c r="E738" i="8"/>
  <c r="D731" i="8"/>
  <c r="I728" i="8"/>
  <c r="E726" i="8"/>
  <c r="D719" i="8"/>
  <c r="I716" i="8"/>
  <c r="E714" i="8"/>
  <c r="D707" i="8"/>
  <c r="I704" i="8"/>
  <c r="E702" i="8"/>
  <c r="D695" i="8"/>
  <c r="I692" i="8"/>
  <c r="E690" i="8"/>
  <c r="D683" i="8"/>
  <c r="I680" i="8"/>
  <c r="E678" i="8"/>
  <c r="D671" i="8"/>
  <c r="I668" i="8"/>
  <c r="E666" i="8"/>
  <c r="D659" i="8"/>
  <c r="I656" i="8"/>
  <c r="E654" i="8"/>
  <c r="D647" i="8"/>
  <c r="I644" i="8"/>
  <c r="E642" i="8"/>
  <c r="D635" i="8"/>
  <c r="I632" i="8"/>
  <c r="E630" i="8"/>
  <c r="D623" i="8"/>
  <c r="I620" i="8"/>
  <c r="E618" i="8"/>
  <c r="D611" i="8"/>
  <c r="I608" i="8"/>
  <c r="E606" i="8"/>
  <c r="D599" i="8"/>
  <c r="I596" i="8"/>
  <c r="E594" i="8"/>
  <c r="D587" i="8"/>
  <c r="I584" i="8"/>
  <c r="E582" i="8"/>
  <c r="D575" i="8"/>
  <c r="I572" i="8"/>
  <c r="E570" i="8"/>
  <c r="D563" i="8"/>
  <c r="I560" i="8"/>
  <c r="E558" i="8"/>
  <c r="D551" i="8"/>
  <c r="I548" i="8"/>
  <c r="E546" i="8"/>
  <c r="D539" i="8"/>
  <c r="I536" i="8"/>
  <c r="E534" i="8"/>
  <c r="D527" i="8"/>
  <c r="I524" i="8"/>
  <c r="E522" i="8"/>
  <c r="D515" i="8"/>
  <c r="I512" i="8"/>
  <c r="E510" i="8"/>
  <c r="D503" i="8"/>
  <c r="I500" i="8"/>
  <c r="E498" i="8"/>
  <c r="D491" i="8"/>
  <c r="I488" i="8"/>
  <c r="E486" i="8"/>
  <c r="D479" i="8"/>
  <c r="I476" i="8"/>
  <c r="E474" i="8"/>
  <c r="I915" i="8"/>
  <c r="E913" i="8"/>
  <c r="D906" i="8"/>
  <c r="I903" i="8"/>
  <c r="E901" i="8"/>
  <c r="D894" i="8"/>
  <c r="I891" i="8"/>
  <c r="E889" i="8"/>
  <c r="D882" i="8"/>
  <c r="I879" i="8"/>
  <c r="E877" i="8"/>
  <c r="D870" i="8"/>
  <c r="I867" i="8"/>
  <c r="E865" i="8"/>
  <c r="D858" i="8"/>
  <c r="I855" i="8"/>
  <c r="E853" i="8"/>
  <c r="D846" i="8"/>
  <c r="I843" i="8"/>
  <c r="E841" i="8"/>
  <c r="D834" i="8"/>
  <c r="I831" i="8"/>
  <c r="E829" i="8"/>
  <c r="D822" i="8"/>
  <c r="I819" i="8"/>
  <c r="E817" i="8"/>
  <c r="D810" i="8"/>
  <c r="I807" i="8"/>
  <c r="E805" i="8"/>
  <c r="D798" i="8"/>
  <c r="I795" i="8"/>
  <c r="E793" i="8"/>
  <c r="D786" i="8"/>
  <c r="I783" i="8"/>
  <c r="E781" i="8"/>
  <c r="D774" i="8"/>
  <c r="I771" i="8"/>
  <c r="E769" i="8"/>
  <c r="D762" i="8"/>
  <c r="I759" i="8"/>
  <c r="E757" i="8"/>
  <c r="D750" i="8"/>
  <c r="I747" i="8"/>
  <c r="E745" i="8"/>
  <c r="D738" i="8"/>
  <c r="I735" i="8"/>
  <c r="E733" i="8"/>
  <c r="D726" i="8"/>
  <c r="I723" i="8"/>
  <c r="E721" i="8"/>
  <c r="D714" i="8"/>
  <c r="I711" i="8"/>
  <c r="E709" i="8"/>
  <c r="D702" i="8"/>
  <c r="I699" i="8"/>
  <c r="E697" i="8"/>
  <c r="D690" i="8"/>
  <c r="I687" i="8"/>
  <c r="E685" i="8"/>
  <c r="D678" i="8"/>
  <c r="I675" i="8"/>
  <c r="E673" i="8"/>
  <c r="D666" i="8"/>
  <c r="I663" i="8"/>
  <c r="E661" i="8"/>
  <c r="D654" i="8"/>
  <c r="I651" i="8"/>
  <c r="E649" i="8"/>
  <c r="D642" i="8"/>
  <c r="I639" i="8"/>
  <c r="E637" i="8"/>
  <c r="D630" i="8"/>
  <c r="I627" i="8"/>
  <c r="E625" i="8"/>
  <c r="D618" i="8"/>
  <c r="I615" i="8"/>
  <c r="E613" i="8"/>
  <c r="D606" i="8"/>
  <c r="I603" i="8"/>
  <c r="E601" i="8"/>
  <c r="D594" i="8"/>
  <c r="I591" i="8"/>
  <c r="E589" i="8"/>
  <c r="D582" i="8"/>
  <c r="I579" i="8"/>
  <c r="E577" i="8"/>
  <c r="D570" i="8"/>
  <c r="I567" i="8"/>
  <c r="E565" i="8"/>
  <c r="D558" i="8"/>
  <c r="I555" i="8"/>
  <c r="E553" i="8"/>
  <c r="D546" i="8"/>
  <c r="I543" i="8"/>
  <c r="E541" i="8"/>
  <c r="D534" i="8"/>
  <c r="I531" i="8"/>
  <c r="E529" i="8"/>
  <c r="D522" i="8"/>
  <c r="I519" i="8"/>
  <c r="E517" i="8"/>
  <c r="D913" i="8"/>
  <c r="I910" i="8"/>
  <c r="E908" i="8"/>
  <c r="D901" i="8"/>
  <c r="I898" i="8"/>
  <c r="E896" i="8"/>
  <c r="D889" i="8"/>
  <c r="I886" i="8"/>
  <c r="E884" i="8"/>
  <c r="D877" i="8"/>
  <c r="I874" i="8"/>
  <c r="E872" i="8"/>
  <c r="D865" i="8"/>
  <c r="I862" i="8"/>
  <c r="E860" i="8"/>
  <c r="D853" i="8"/>
  <c r="I850" i="8"/>
  <c r="E848" i="8"/>
  <c r="D841" i="8"/>
  <c r="I838" i="8"/>
  <c r="E836" i="8"/>
  <c r="D829" i="8"/>
  <c r="I826" i="8"/>
  <c r="E824" i="8"/>
  <c r="D817" i="8"/>
  <c r="I814" i="8"/>
  <c r="E812" i="8"/>
  <c r="D805" i="8"/>
  <c r="I802" i="8"/>
  <c r="E800" i="8"/>
  <c r="D793" i="8"/>
  <c r="I790" i="8"/>
  <c r="E788" i="8"/>
  <c r="D781" i="8"/>
  <c r="I778" i="8"/>
  <c r="E776" i="8"/>
  <c r="D769" i="8"/>
  <c r="I766" i="8"/>
  <c r="E764" i="8"/>
  <c r="D757" i="8"/>
  <c r="I754" i="8"/>
  <c r="E752" i="8"/>
  <c r="D745" i="8"/>
  <c r="I742" i="8"/>
  <c r="E740" i="8"/>
  <c r="D733" i="8"/>
  <c r="I730" i="8"/>
  <c r="E728" i="8"/>
  <c r="D721" i="8"/>
  <c r="I718" i="8"/>
  <c r="E716" i="8"/>
  <c r="D709" i="8"/>
  <c r="I706" i="8"/>
  <c r="E704" i="8"/>
  <c r="D697" i="8"/>
  <c r="I694" i="8"/>
  <c r="E692" i="8"/>
  <c r="D685" i="8"/>
  <c r="I682" i="8"/>
  <c r="E680" i="8"/>
  <c r="D673" i="8"/>
  <c r="I670" i="8"/>
  <c r="E668" i="8"/>
  <c r="D661" i="8"/>
  <c r="I658" i="8"/>
  <c r="E656" i="8"/>
  <c r="D649" i="8"/>
  <c r="I646" i="8"/>
  <c r="E644" i="8"/>
  <c r="D637" i="8"/>
  <c r="I634" i="8"/>
  <c r="E632" i="8"/>
  <c r="D625" i="8"/>
  <c r="I622" i="8"/>
  <c r="E620" i="8"/>
  <c r="D613" i="8"/>
  <c r="I610" i="8"/>
  <c r="E608" i="8"/>
  <c r="D601" i="8"/>
  <c r="I598" i="8"/>
  <c r="E596" i="8"/>
  <c r="D589" i="8"/>
  <c r="I586" i="8"/>
  <c r="E584" i="8"/>
  <c r="D577" i="8"/>
  <c r="I574" i="8"/>
  <c r="E572" i="8"/>
  <c r="D565" i="8"/>
  <c r="I562" i="8"/>
  <c r="E560" i="8"/>
  <c r="D553" i="8"/>
  <c r="I550" i="8"/>
  <c r="E548" i="8"/>
  <c r="D541" i="8"/>
  <c r="I538" i="8"/>
  <c r="E536" i="8"/>
  <c r="D529" i="8"/>
  <c r="I526" i="8"/>
  <c r="E524" i="8"/>
  <c r="E915" i="8"/>
  <c r="D908" i="8"/>
  <c r="I905" i="8"/>
  <c r="E903" i="8"/>
  <c r="D896" i="8"/>
  <c r="I893" i="8"/>
  <c r="E891" i="8"/>
  <c r="D884" i="8"/>
  <c r="I881" i="8"/>
  <c r="E879" i="8"/>
  <c r="D872" i="8"/>
  <c r="I869" i="8"/>
  <c r="E867" i="8"/>
  <c r="D860" i="8"/>
  <c r="I857" i="8"/>
  <c r="E855" i="8"/>
  <c r="D848" i="8"/>
  <c r="I845" i="8"/>
  <c r="E843" i="8"/>
  <c r="D836" i="8"/>
  <c r="I833" i="8"/>
  <c r="E831" i="8"/>
  <c r="D824" i="8"/>
  <c r="I821" i="8"/>
  <c r="E819" i="8"/>
  <c r="D812" i="8"/>
  <c r="I809" i="8"/>
  <c r="E807" i="8"/>
  <c r="D800" i="8"/>
  <c r="I797" i="8"/>
  <c r="E795" i="8"/>
  <c r="D788" i="8"/>
  <c r="I785" i="8"/>
  <c r="E783" i="8"/>
  <c r="D776" i="8"/>
  <c r="I773" i="8"/>
  <c r="E771" i="8"/>
  <c r="D764" i="8"/>
  <c r="I761" i="8"/>
  <c r="E759" i="8"/>
  <c r="D752" i="8"/>
  <c r="I749" i="8"/>
  <c r="E747" i="8"/>
  <c r="D740" i="8"/>
  <c r="I737" i="8"/>
  <c r="E735" i="8"/>
  <c r="D728" i="8"/>
  <c r="I725" i="8"/>
  <c r="E723" i="8"/>
  <c r="D716" i="8"/>
  <c r="I713" i="8"/>
  <c r="E711" i="8"/>
  <c r="D704" i="8"/>
  <c r="I701" i="8"/>
  <c r="E699" i="8"/>
  <c r="D692" i="8"/>
  <c r="I689" i="8"/>
  <c r="E687" i="8"/>
  <c r="D680" i="8"/>
  <c r="I677" i="8"/>
  <c r="E675" i="8"/>
  <c r="D668" i="8"/>
  <c r="I665" i="8"/>
  <c r="E663" i="8"/>
  <c r="D656" i="8"/>
  <c r="I653" i="8"/>
  <c r="E651" i="8"/>
  <c r="D644" i="8"/>
  <c r="I641" i="8"/>
  <c r="E639" i="8"/>
  <c r="D632" i="8"/>
  <c r="I629" i="8"/>
  <c r="E627" i="8"/>
  <c r="D620" i="8"/>
  <c r="I617" i="8"/>
  <c r="E615" i="8"/>
  <c r="D608" i="8"/>
  <c r="I605" i="8"/>
  <c r="E603" i="8"/>
  <c r="D596" i="8"/>
  <c r="I593" i="8"/>
  <c r="E591" i="8"/>
  <c r="D584" i="8"/>
  <c r="I581" i="8"/>
  <c r="E579" i="8"/>
  <c r="D572" i="8"/>
  <c r="I569" i="8"/>
  <c r="E567" i="8"/>
  <c r="D560" i="8"/>
  <c r="I557" i="8"/>
  <c r="E555" i="8"/>
  <c r="D548" i="8"/>
  <c r="I545" i="8"/>
  <c r="E543" i="8"/>
  <c r="D536" i="8"/>
  <c r="I533" i="8"/>
  <c r="E531" i="8"/>
  <c r="D524" i="8"/>
  <c r="I521" i="8"/>
  <c r="E519" i="8"/>
  <c r="D915" i="8"/>
  <c r="I912" i="8"/>
  <c r="E910" i="8"/>
  <c r="D903" i="8"/>
  <c r="I900" i="8"/>
  <c r="E898" i="8"/>
  <c r="D891" i="8"/>
  <c r="I888" i="8"/>
  <c r="E886" i="8"/>
  <c r="D879" i="8"/>
  <c r="I876" i="8"/>
  <c r="E874" i="8"/>
  <c r="D867" i="8"/>
  <c r="I864" i="8"/>
  <c r="E862" i="8"/>
  <c r="D855" i="8"/>
  <c r="I852" i="8"/>
  <c r="E850" i="8"/>
  <c r="D843" i="8"/>
  <c r="I840" i="8"/>
  <c r="E838" i="8"/>
  <c r="D831" i="8"/>
  <c r="I828" i="8"/>
  <c r="E826" i="8"/>
  <c r="D819" i="8"/>
  <c r="I816" i="8"/>
  <c r="E814" i="8"/>
  <c r="D807" i="8"/>
  <c r="I804" i="8"/>
  <c r="E802" i="8"/>
  <c r="D795" i="8"/>
  <c r="I792" i="8"/>
  <c r="E790" i="8"/>
  <c r="D783" i="8"/>
  <c r="I780" i="8"/>
  <c r="E778" i="8"/>
  <c r="D771" i="8"/>
  <c r="I768" i="8"/>
  <c r="E766" i="8"/>
  <c r="D759" i="8"/>
  <c r="I756" i="8"/>
  <c r="E754" i="8"/>
  <c r="D747" i="8"/>
  <c r="I744" i="8"/>
  <c r="E742" i="8"/>
  <c r="D735" i="8"/>
  <c r="I732" i="8"/>
  <c r="E730" i="8"/>
  <c r="D723" i="8"/>
  <c r="I720" i="8"/>
  <c r="E718" i="8"/>
  <c r="D711" i="8"/>
  <c r="I708" i="8"/>
  <c r="E706" i="8"/>
  <c r="D699" i="8"/>
  <c r="I696" i="8"/>
  <c r="E694" i="8"/>
  <c r="D687" i="8"/>
  <c r="I684" i="8"/>
  <c r="E682" i="8"/>
  <c r="D675" i="8"/>
  <c r="I672" i="8"/>
  <c r="E670" i="8"/>
  <c r="D663" i="8"/>
  <c r="I660" i="8"/>
  <c r="E658" i="8"/>
  <c r="D651" i="8"/>
  <c r="I648" i="8"/>
  <c r="E646" i="8"/>
  <c r="D639" i="8"/>
  <c r="I636" i="8"/>
  <c r="E634" i="8"/>
  <c r="D627" i="8"/>
  <c r="I624" i="8"/>
  <c r="E622" i="8"/>
  <c r="D615" i="8"/>
  <c r="I612" i="8"/>
  <c r="E610" i="8"/>
  <c r="D603" i="8"/>
  <c r="I600" i="8"/>
  <c r="E598" i="8"/>
  <c r="D591" i="8"/>
  <c r="I588" i="8"/>
  <c r="E586" i="8"/>
  <c r="D579" i="8"/>
  <c r="I576" i="8"/>
  <c r="E574" i="8"/>
  <c r="D567" i="8"/>
  <c r="I564" i="8"/>
  <c r="E562" i="8"/>
  <c r="D555" i="8"/>
  <c r="I552" i="8"/>
  <c r="E550" i="8"/>
  <c r="D543" i="8"/>
  <c r="I540" i="8"/>
  <c r="E538" i="8"/>
  <c r="D531" i="8"/>
  <c r="I528" i="8"/>
  <c r="E526" i="8"/>
  <c r="D519" i="8"/>
  <c r="I516" i="8"/>
  <c r="E514" i="8"/>
  <c r="D507" i="8"/>
  <c r="I504" i="8"/>
  <c r="E502" i="8"/>
  <c r="D495" i="8"/>
  <c r="I492" i="8"/>
  <c r="E490" i="8"/>
  <c r="D483" i="8"/>
  <c r="I480" i="8"/>
  <c r="E478" i="8"/>
  <c r="D471" i="8"/>
  <c r="I468" i="8"/>
  <c r="E466" i="8"/>
  <c r="E677" i="8"/>
  <c r="D622" i="8"/>
  <c r="I595" i="8"/>
  <c r="D586" i="8"/>
  <c r="E581" i="8"/>
  <c r="I571" i="8"/>
  <c r="I566" i="8"/>
  <c r="E533" i="8"/>
  <c r="E528" i="8"/>
  <c r="I518" i="8"/>
  <c r="D514" i="8"/>
  <c r="D511" i="8"/>
  <c r="E492" i="8"/>
  <c r="E489" i="8"/>
  <c r="D486" i="8"/>
  <c r="E483" i="8"/>
  <c r="E480" i="8"/>
  <c r="I473" i="8"/>
  <c r="I467" i="8"/>
  <c r="I464" i="8"/>
  <c r="E462" i="8"/>
  <c r="D455" i="8"/>
  <c r="I452" i="8"/>
  <c r="E450" i="8"/>
  <c r="D443" i="8"/>
  <c r="I440" i="8"/>
  <c r="E438" i="8"/>
  <c r="D431" i="8"/>
  <c r="I428" i="8"/>
  <c r="E426" i="8"/>
  <c r="D419" i="8"/>
  <c r="I416" i="8"/>
  <c r="E414" i="8"/>
  <c r="D407" i="8"/>
  <c r="I404" i="8"/>
  <c r="E402" i="8"/>
  <c r="D395" i="8"/>
  <c r="I392" i="8"/>
  <c r="E390" i="8"/>
  <c r="D383" i="8"/>
  <c r="I380" i="8"/>
  <c r="E378" i="8"/>
  <c r="D371" i="8"/>
  <c r="I368" i="8"/>
  <c r="E366" i="8"/>
  <c r="D359" i="8"/>
  <c r="I356" i="8"/>
  <c r="E354" i="8"/>
  <c r="D347" i="8"/>
  <c r="I344" i="8"/>
  <c r="E342" i="8"/>
  <c r="D335" i="8"/>
  <c r="I332" i="8"/>
  <c r="E330" i="8"/>
  <c r="D323" i="8"/>
  <c r="I320" i="8"/>
  <c r="E318" i="8"/>
  <c r="D311" i="8"/>
  <c r="I308" i="8"/>
  <c r="E306" i="8"/>
  <c r="D299" i="8"/>
  <c r="I296" i="8"/>
  <c r="E294" i="8"/>
  <c r="D287" i="8"/>
  <c r="I284" i="8"/>
  <c r="E282" i="8"/>
  <c r="D275" i="8"/>
  <c r="I272" i="8"/>
  <c r="E270" i="8"/>
  <c r="D263" i="8"/>
  <c r="I260" i="8"/>
  <c r="E258" i="8"/>
  <c r="D251" i="8"/>
  <c r="I248" i="8"/>
  <c r="E246" i="8"/>
  <c r="D239" i="8"/>
  <c r="I236" i="8"/>
  <c r="E234" i="8"/>
  <c r="D227" i="8"/>
  <c r="I224" i="8"/>
  <c r="E222" i="8"/>
  <c r="E725" i="8"/>
  <c r="D718" i="8"/>
  <c r="I703" i="8"/>
  <c r="E689" i="8"/>
  <c r="D682" i="8"/>
  <c r="D677" i="8"/>
  <c r="E672" i="8"/>
  <c r="I631" i="8"/>
  <c r="I626" i="8"/>
  <c r="E600" i="8"/>
  <c r="I590" i="8"/>
  <c r="D581" i="8"/>
  <c r="E576" i="8"/>
  <c r="D533" i="8"/>
  <c r="I507" i="8"/>
  <c r="E501" i="8"/>
  <c r="D498" i="8"/>
  <c r="E495" i="8"/>
  <c r="D492" i="8"/>
  <c r="D480" i="8"/>
  <c r="E473" i="8"/>
  <c r="E470" i="8"/>
  <c r="D467" i="8"/>
  <c r="D462" i="8"/>
  <c r="I459" i="8"/>
  <c r="E457" i="8"/>
  <c r="D450" i="8"/>
  <c r="I447" i="8"/>
  <c r="E445" i="8"/>
  <c r="D438" i="8"/>
  <c r="I435" i="8"/>
  <c r="E433" i="8"/>
  <c r="D426" i="8"/>
  <c r="I423" i="8"/>
  <c r="E421" i="8"/>
  <c r="D414" i="8"/>
  <c r="I411" i="8"/>
  <c r="E409" i="8"/>
  <c r="D402" i="8"/>
  <c r="I399" i="8"/>
  <c r="E397" i="8"/>
  <c r="D390" i="8"/>
  <c r="I387" i="8"/>
  <c r="E385" i="8"/>
  <c r="D378" i="8"/>
  <c r="I375" i="8"/>
  <c r="E373" i="8"/>
  <c r="D366" i="8"/>
  <c r="I363" i="8"/>
  <c r="E361" i="8"/>
  <c r="D354" i="8"/>
  <c r="I351" i="8"/>
  <c r="E349" i="8"/>
  <c r="D342" i="8"/>
  <c r="I339" i="8"/>
  <c r="E337" i="8"/>
  <c r="D330" i="8"/>
  <c r="I327" i="8"/>
  <c r="E325" i="8"/>
  <c r="D318" i="8"/>
  <c r="I315" i="8"/>
  <c r="E313" i="8"/>
  <c r="D306" i="8"/>
  <c r="I303" i="8"/>
  <c r="E301" i="8"/>
  <c r="D294" i="8"/>
  <c r="I291" i="8"/>
  <c r="E289" i="8"/>
  <c r="D282" i="8"/>
  <c r="I279" i="8"/>
  <c r="E277" i="8"/>
  <c r="D270" i="8"/>
  <c r="I267" i="8"/>
  <c r="E265" i="8"/>
  <c r="D258" i="8"/>
  <c r="I255" i="8"/>
  <c r="E253" i="8"/>
  <c r="D246" i="8"/>
  <c r="I243" i="8"/>
  <c r="E241" i="8"/>
  <c r="D234" i="8"/>
  <c r="I231" i="8"/>
  <c r="E229" i="8"/>
  <c r="D222" i="8"/>
  <c r="I219" i="8"/>
  <c r="E217" i="8"/>
  <c r="D210" i="8"/>
  <c r="I207" i="8"/>
  <c r="E205" i="8"/>
  <c r="D198" i="8"/>
  <c r="I195" i="8"/>
  <c r="E193" i="8"/>
  <c r="D186" i="8"/>
  <c r="I183" i="8"/>
  <c r="E181" i="8"/>
  <c r="D174" i="8"/>
  <c r="I171" i="8"/>
  <c r="E169" i="8"/>
  <c r="D162" i="8"/>
  <c r="I159" i="8"/>
  <c r="E157" i="8"/>
  <c r="D150" i="8"/>
  <c r="I147" i="8"/>
  <c r="E145" i="8"/>
  <c r="D138" i="8"/>
  <c r="I135" i="8"/>
  <c r="E133" i="8"/>
  <c r="D126" i="8"/>
  <c r="I123" i="8"/>
  <c r="E732" i="8"/>
  <c r="D725" i="8"/>
  <c r="I710" i="8"/>
  <c r="E696" i="8"/>
  <c r="D689" i="8"/>
  <c r="E636" i="8"/>
  <c r="E605" i="8"/>
  <c r="I554" i="8"/>
  <c r="D538" i="8"/>
  <c r="I513" i="8"/>
  <c r="E504" i="8"/>
  <c r="I485" i="8"/>
  <c r="I482" i="8"/>
  <c r="E476" i="8"/>
  <c r="D473" i="8"/>
  <c r="D470" i="8"/>
  <c r="E464" i="8"/>
  <c r="D457" i="8"/>
  <c r="I454" i="8"/>
  <c r="E452" i="8"/>
  <c r="D445" i="8"/>
  <c r="I442" i="8"/>
  <c r="E440" i="8"/>
  <c r="D433" i="8"/>
  <c r="I430" i="8"/>
  <c r="E428" i="8"/>
  <c r="D421" i="8"/>
  <c r="I418" i="8"/>
  <c r="E416" i="8"/>
  <c r="D409" i="8"/>
  <c r="I406" i="8"/>
  <c r="E404" i="8"/>
  <c r="D397" i="8"/>
  <c r="I394" i="8"/>
  <c r="E392" i="8"/>
  <c r="D385" i="8"/>
  <c r="I382" i="8"/>
  <c r="E380" i="8"/>
  <c r="D373" i="8"/>
  <c r="I370" i="8"/>
  <c r="E368" i="8"/>
  <c r="D361" i="8"/>
  <c r="I358" i="8"/>
  <c r="E356" i="8"/>
  <c r="D349" i="8"/>
  <c r="I346" i="8"/>
  <c r="E344" i="8"/>
  <c r="D337" i="8"/>
  <c r="I334" i="8"/>
  <c r="E332" i="8"/>
  <c r="D325" i="8"/>
  <c r="I322" i="8"/>
  <c r="E320" i="8"/>
  <c r="D313" i="8"/>
  <c r="I310" i="8"/>
  <c r="E308" i="8"/>
  <c r="D301" i="8"/>
  <c r="I298" i="8"/>
  <c r="E296" i="8"/>
  <c r="D289" i="8"/>
  <c r="I286" i="8"/>
  <c r="E284" i="8"/>
  <c r="D277" i="8"/>
  <c r="I274" i="8"/>
  <c r="E272" i="8"/>
  <c r="D265" i="8"/>
  <c r="I262" i="8"/>
  <c r="E260" i="8"/>
  <c r="D253" i="8"/>
  <c r="I250" i="8"/>
  <c r="E248" i="8"/>
  <c r="D241" i="8"/>
  <c r="I238" i="8"/>
  <c r="E236" i="8"/>
  <c r="D229" i="8"/>
  <c r="I226" i="8"/>
  <c r="E224" i="8"/>
  <c r="D217" i="8"/>
  <c r="I214" i="8"/>
  <c r="E212" i="8"/>
  <c r="D205" i="8"/>
  <c r="I202" i="8"/>
  <c r="E200" i="8"/>
  <c r="D193" i="8"/>
  <c r="I190" i="8"/>
  <c r="E188" i="8"/>
  <c r="D181" i="8"/>
  <c r="I178" i="8"/>
  <c r="E176" i="8"/>
  <c r="D169" i="8"/>
  <c r="I166" i="8"/>
  <c r="E164" i="8"/>
  <c r="D157" i="8"/>
  <c r="I154" i="8"/>
  <c r="E152" i="8"/>
  <c r="D145" i="8"/>
  <c r="I142" i="8"/>
  <c r="E140" i="8"/>
  <c r="D133" i="8"/>
  <c r="I130" i="8"/>
  <c r="E128" i="8"/>
  <c r="D121" i="8"/>
  <c r="D646" i="8"/>
  <c r="E641" i="8"/>
  <c r="D610" i="8"/>
  <c r="D605" i="8"/>
  <c r="D517" i="8"/>
  <c r="D510" i="8"/>
  <c r="E507" i="8"/>
  <c r="D504" i="8"/>
  <c r="I497" i="8"/>
  <c r="I494" i="8"/>
  <c r="I491" i="8"/>
  <c r="E488" i="8"/>
  <c r="I479" i="8"/>
  <c r="D476" i="8"/>
  <c r="I466" i="8"/>
  <c r="D464" i="8"/>
  <c r="I461" i="8"/>
  <c r="E459" i="8"/>
  <c r="D452" i="8"/>
  <c r="I449" i="8"/>
  <c r="E447" i="8"/>
  <c r="D440" i="8"/>
  <c r="I437" i="8"/>
  <c r="E435" i="8"/>
  <c r="D428" i="8"/>
  <c r="I425" i="8"/>
  <c r="E423" i="8"/>
  <c r="D416" i="8"/>
  <c r="I413" i="8"/>
  <c r="E411" i="8"/>
  <c r="D404" i="8"/>
  <c r="I401" i="8"/>
  <c r="E399" i="8"/>
  <c r="D392" i="8"/>
  <c r="I389" i="8"/>
  <c r="E387" i="8"/>
  <c r="D380" i="8"/>
  <c r="I377" i="8"/>
  <c r="E375" i="8"/>
  <c r="D368" i="8"/>
  <c r="I365" i="8"/>
  <c r="E363" i="8"/>
  <c r="D356" i="8"/>
  <c r="I353" i="8"/>
  <c r="E351" i="8"/>
  <c r="D344" i="8"/>
  <c r="I341" i="8"/>
  <c r="E339" i="8"/>
  <c r="D332" i="8"/>
  <c r="I329" i="8"/>
  <c r="E327" i="8"/>
  <c r="D320" i="8"/>
  <c r="I317" i="8"/>
  <c r="E315" i="8"/>
  <c r="D308" i="8"/>
  <c r="I305" i="8"/>
  <c r="E303" i="8"/>
  <c r="D296" i="8"/>
  <c r="I293" i="8"/>
  <c r="E291" i="8"/>
  <c r="D284" i="8"/>
  <c r="I281" i="8"/>
  <c r="E279" i="8"/>
  <c r="D272" i="8"/>
  <c r="I269" i="8"/>
  <c r="E267" i="8"/>
  <c r="D260" i="8"/>
  <c r="I257" i="8"/>
  <c r="E255" i="8"/>
  <c r="D248" i="8"/>
  <c r="I245" i="8"/>
  <c r="E243" i="8"/>
  <c r="D236" i="8"/>
  <c r="I233" i="8"/>
  <c r="E231" i="8"/>
  <c r="D224" i="8"/>
  <c r="I221" i="8"/>
  <c r="E219" i="8"/>
  <c r="D212" i="8"/>
  <c r="I209" i="8"/>
  <c r="E207" i="8"/>
  <c r="D200" i="8"/>
  <c r="I197" i="8"/>
  <c r="E195" i="8"/>
  <c r="D188" i="8"/>
  <c r="I185" i="8"/>
  <c r="E183" i="8"/>
  <c r="D176" i="8"/>
  <c r="I173" i="8"/>
  <c r="E171" i="8"/>
  <c r="D164" i="8"/>
  <c r="I161" i="8"/>
  <c r="E159" i="8"/>
  <c r="D152" i="8"/>
  <c r="I149" i="8"/>
  <c r="E147" i="8"/>
  <c r="D140" i="8"/>
  <c r="I137" i="8"/>
  <c r="E135" i="8"/>
  <c r="D128" i="8"/>
  <c r="I125" i="8"/>
  <c r="E123" i="8"/>
  <c r="D910" i="8"/>
  <c r="E905" i="8"/>
  <c r="I895" i="8"/>
  <c r="D886" i="8"/>
  <c r="E881" i="8"/>
  <c r="I871" i="8"/>
  <c r="D862" i="8"/>
  <c r="E857" i="8"/>
  <c r="I847" i="8"/>
  <c r="D838" i="8"/>
  <c r="E833" i="8"/>
  <c r="I823" i="8"/>
  <c r="D814" i="8"/>
  <c r="E809" i="8"/>
  <c r="I799" i="8"/>
  <c r="D790" i="8"/>
  <c r="E785" i="8"/>
  <c r="I775" i="8"/>
  <c r="D766" i="8"/>
  <c r="E761" i="8"/>
  <c r="I751" i="8"/>
  <c r="D742" i="8"/>
  <c r="E737" i="8"/>
  <c r="E665" i="8"/>
  <c r="I655" i="8"/>
  <c r="D641" i="8"/>
  <c r="I547" i="8"/>
  <c r="E500" i="8"/>
  <c r="D488" i="8"/>
  <c r="E485" i="8"/>
  <c r="E482" i="8"/>
  <c r="I472" i="8"/>
  <c r="D459" i="8"/>
  <c r="I456" i="8"/>
  <c r="E454" i="8"/>
  <c r="D447" i="8"/>
  <c r="I444" i="8"/>
  <c r="E442" i="8"/>
  <c r="D435" i="8"/>
  <c r="I432" i="8"/>
  <c r="E430" i="8"/>
  <c r="D423" i="8"/>
  <c r="I420" i="8"/>
  <c r="E418" i="8"/>
  <c r="D411" i="8"/>
  <c r="I408" i="8"/>
  <c r="E406" i="8"/>
  <c r="D399" i="8"/>
  <c r="I396" i="8"/>
  <c r="E394" i="8"/>
  <c r="D387" i="8"/>
  <c r="I384" i="8"/>
  <c r="E382" i="8"/>
  <c r="D375" i="8"/>
  <c r="I372" i="8"/>
  <c r="E370" i="8"/>
  <c r="D363" i="8"/>
  <c r="I360" i="8"/>
  <c r="E358" i="8"/>
  <c r="D351" i="8"/>
  <c r="I348" i="8"/>
  <c r="E346" i="8"/>
  <c r="D339" i="8"/>
  <c r="I336" i="8"/>
  <c r="E334" i="8"/>
  <c r="D327" i="8"/>
  <c r="I324" i="8"/>
  <c r="E322" i="8"/>
  <c r="D315" i="8"/>
  <c r="I312" i="8"/>
  <c r="E310" i="8"/>
  <c r="D303" i="8"/>
  <c r="I300" i="8"/>
  <c r="E298" i="8"/>
  <c r="D291" i="8"/>
  <c r="I288" i="8"/>
  <c r="E286" i="8"/>
  <c r="D279" i="8"/>
  <c r="I276" i="8"/>
  <c r="E274" i="8"/>
  <c r="D267" i="8"/>
  <c r="I264" i="8"/>
  <c r="E262" i="8"/>
  <c r="D255" i="8"/>
  <c r="I252" i="8"/>
  <c r="E250" i="8"/>
  <c r="D243" i="8"/>
  <c r="I240" i="8"/>
  <c r="E238" i="8"/>
  <c r="D231" i="8"/>
  <c r="I228" i="8"/>
  <c r="E226" i="8"/>
  <c r="D219" i="8"/>
  <c r="I216" i="8"/>
  <c r="E214" i="8"/>
  <c r="D207" i="8"/>
  <c r="I204" i="8"/>
  <c r="E202" i="8"/>
  <c r="I914" i="8"/>
  <c r="D905" i="8"/>
  <c r="E900" i="8"/>
  <c r="I890" i="8"/>
  <c r="D881" i="8"/>
  <c r="E876" i="8"/>
  <c r="I866" i="8"/>
  <c r="D857" i="8"/>
  <c r="E852" i="8"/>
  <c r="I842" i="8"/>
  <c r="D833" i="8"/>
  <c r="E828" i="8"/>
  <c r="I818" i="8"/>
  <c r="D809" i="8"/>
  <c r="E804" i="8"/>
  <c r="I794" i="8"/>
  <c r="D785" i="8"/>
  <c r="E780" i="8"/>
  <c r="I770" i="8"/>
  <c r="D761" i="8"/>
  <c r="E756" i="8"/>
  <c r="I746" i="8"/>
  <c r="D737" i="8"/>
  <c r="D730" i="8"/>
  <c r="I715" i="8"/>
  <c r="E701" i="8"/>
  <c r="D694" i="8"/>
  <c r="D665" i="8"/>
  <c r="E660" i="8"/>
  <c r="I650" i="8"/>
  <c r="I619" i="8"/>
  <c r="I614" i="8"/>
  <c r="I559" i="8"/>
  <c r="I542" i="8"/>
  <c r="D526" i="8"/>
  <c r="E521" i="8"/>
  <c r="I509" i="8"/>
  <c r="I506" i="8"/>
  <c r="I503" i="8"/>
  <c r="D500" i="8"/>
  <c r="E497" i="8"/>
  <c r="E494" i="8"/>
  <c r="D485" i="8"/>
  <c r="D482" i="8"/>
  <c r="I478" i="8"/>
  <c r="I475" i="8"/>
  <c r="E469" i="8"/>
  <c r="D466" i="8"/>
  <c r="I463" i="8"/>
  <c r="E461" i="8"/>
  <c r="D454" i="8"/>
  <c r="I451" i="8"/>
  <c r="E449" i="8"/>
  <c r="D442" i="8"/>
  <c r="I439" i="8"/>
  <c r="E437" i="8"/>
  <c r="D430" i="8"/>
  <c r="I427" i="8"/>
  <c r="E425" i="8"/>
  <c r="D418" i="8"/>
  <c r="I415" i="8"/>
  <c r="E413" i="8"/>
  <c r="D406" i="8"/>
  <c r="I403" i="8"/>
  <c r="E401" i="8"/>
  <c r="D394" i="8"/>
  <c r="I391" i="8"/>
  <c r="E389" i="8"/>
  <c r="D382" i="8"/>
  <c r="I379" i="8"/>
  <c r="E377" i="8"/>
  <c r="D370" i="8"/>
  <c r="I367" i="8"/>
  <c r="E365" i="8"/>
  <c r="D358" i="8"/>
  <c r="I355" i="8"/>
  <c r="E353" i="8"/>
  <c r="D346" i="8"/>
  <c r="I343" i="8"/>
  <c r="E341" i="8"/>
  <c r="D334" i="8"/>
  <c r="I722" i="8"/>
  <c r="E708" i="8"/>
  <c r="D701" i="8"/>
  <c r="I686" i="8"/>
  <c r="I679" i="8"/>
  <c r="D670" i="8"/>
  <c r="D598" i="8"/>
  <c r="E593" i="8"/>
  <c r="I583" i="8"/>
  <c r="D574" i="8"/>
  <c r="E569" i="8"/>
  <c r="E564" i="8"/>
  <c r="E552" i="8"/>
  <c r="I535" i="8"/>
  <c r="I530" i="8"/>
  <c r="D521" i="8"/>
  <c r="E516" i="8"/>
  <c r="E512" i="8"/>
  <c r="D497" i="8"/>
  <c r="D494" i="8"/>
  <c r="I490" i="8"/>
  <c r="I487" i="8"/>
  <c r="D469" i="8"/>
  <c r="D461" i="8"/>
  <c r="I458" i="8"/>
  <c r="E456" i="8"/>
  <c r="D449" i="8"/>
  <c r="I446" i="8"/>
  <c r="E444" i="8"/>
  <c r="D437" i="8"/>
  <c r="I434" i="8"/>
  <c r="E432" i="8"/>
  <c r="D425" i="8"/>
  <c r="I422" i="8"/>
  <c r="E420" i="8"/>
  <c r="D413" i="8"/>
  <c r="I410" i="8"/>
  <c r="E408" i="8"/>
  <c r="D401" i="8"/>
  <c r="I398" i="8"/>
  <c r="E396" i="8"/>
  <c r="D389" i="8"/>
  <c r="I386" i="8"/>
  <c r="E384" i="8"/>
  <c r="D377" i="8"/>
  <c r="I374" i="8"/>
  <c r="E372" i="8"/>
  <c r="D365" i="8"/>
  <c r="I362" i="8"/>
  <c r="E360" i="8"/>
  <c r="D353" i="8"/>
  <c r="I350" i="8"/>
  <c r="E348" i="8"/>
  <c r="D341" i="8"/>
  <c r="I338" i="8"/>
  <c r="E336" i="8"/>
  <c r="D329" i="8"/>
  <c r="I326" i="8"/>
  <c r="E324" i="8"/>
  <c r="D317" i="8"/>
  <c r="I314" i="8"/>
  <c r="E312" i="8"/>
  <c r="D305" i="8"/>
  <c r="I302" i="8"/>
  <c r="E300" i="8"/>
  <c r="D293" i="8"/>
  <c r="I290" i="8"/>
  <c r="E288" i="8"/>
  <c r="D281" i="8"/>
  <c r="I278" i="8"/>
  <c r="E276" i="8"/>
  <c r="D269" i="8"/>
  <c r="I266" i="8"/>
  <c r="E264" i="8"/>
  <c r="D257" i="8"/>
  <c r="I254" i="8"/>
  <c r="E252" i="8"/>
  <c r="D245" i="8"/>
  <c r="I242" i="8"/>
  <c r="E240" i="8"/>
  <c r="D233" i="8"/>
  <c r="I230" i="8"/>
  <c r="E228" i="8"/>
  <c r="I674" i="8"/>
  <c r="D634" i="8"/>
  <c r="E629" i="8"/>
  <c r="E624" i="8"/>
  <c r="D593" i="8"/>
  <c r="E588" i="8"/>
  <c r="I578" i="8"/>
  <c r="D569" i="8"/>
  <c r="D512" i="8"/>
  <c r="E509" i="8"/>
  <c r="E506" i="8"/>
  <c r="I502" i="8"/>
  <c r="I499" i="8"/>
  <c r="I484" i="8"/>
  <c r="D478" i="8"/>
  <c r="E475" i="8"/>
  <c r="I471" i="8"/>
  <c r="I465" i="8"/>
  <c r="E463" i="8"/>
  <c r="D456" i="8"/>
  <c r="I453" i="8"/>
  <c r="E451" i="8"/>
  <c r="D444" i="8"/>
  <c r="I441" i="8"/>
  <c r="E439" i="8"/>
  <c r="D432" i="8"/>
  <c r="I429" i="8"/>
  <c r="E427" i="8"/>
  <c r="D420" i="8"/>
  <c r="I417" i="8"/>
  <c r="E415" i="8"/>
  <c r="D408" i="8"/>
  <c r="I405" i="8"/>
  <c r="E403" i="8"/>
  <c r="D396" i="8"/>
  <c r="I393" i="8"/>
  <c r="E391" i="8"/>
  <c r="D384" i="8"/>
  <c r="I381" i="8"/>
  <c r="E379" i="8"/>
  <c r="D372" i="8"/>
  <c r="I369" i="8"/>
  <c r="E367" i="8"/>
  <c r="D360" i="8"/>
  <c r="I357" i="8"/>
  <c r="E355" i="8"/>
  <c r="D348" i="8"/>
  <c r="I345" i="8"/>
  <c r="E343" i="8"/>
  <c r="D336" i="8"/>
  <c r="I333" i="8"/>
  <c r="E331" i="8"/>
  <c r="D324" i="8"/>
  <c r="I321" i="8"/>
  <c r="E319" i="8"/>
  <c r="D312" i="8"/>
  <c r="I309" i="8"/>
  <c r="E307" i="8"/>
  <c r="D300" i="8"/>
  <c r="I297" i="8"/>
  <c r="E295" i="8"/>
  <c r="D288" i="8"/>
  <c r="I285" i="8"/>
  <c r="E283" i="8"/>
  <c r="D276" i="8"/>
  <c r="I273" i="8"/>
  <c r="E271" i="8"/>
  <c r="D264" i="8"/>
  <c r="I261" i="8"/>
  <c r="E259" i="8"/>
  <c r="D252" i="8"/>
  <c r="I249" i="8"/>
  <c r="E247" i="8"/>
  <c r="D240" i="8"/>
  <c r="I237" i="8"/>
  <c r="E235" i="8"/>
  <c r="D228" i="8"/>
  <c r="I225" i="8"/>
  <c r="E223" i="8"/>
  <c r="D216" i="8"/>
  <c r="I213" i="8"/>
  <c r="E211" i="8"/>
  <c r="D204" i="8"/>
  <c r="I201" i="8"/>
  <c r="E199" i="8"/>
  <c r="D192" i="8"/>
  <c r="I189" i="8"/>
  <c r="E187" i="8"/>
  <c r="D180" i="8"/>
  <c r="I177" i="8"/>
  <c r="E175" i="8"/>
  <c r="D168" i="8"/>
  <c r="I165" i="8"/>
  <c r="E163" i="8"/>
  <c r="D156" i="8"/>
  <c r="I153" i="8"/>
  <c r="E151" i="8"/>
  <c r="D144" i="8"/>
  <c r="I141" i="8"/>
  <c r="E139" i="8"/>
  <c r="I727" i="8"/>
  <c r="E713" i="8"/>
  <c r="D706" i="8"/>
  <c r="I691" i="8"/>
  <c r="I643" i="8"/>
  <c r="I607" i="8"/>
  <c r="E557" i="8"/>
  <c r="I511" i="8"/>
  <c r="D502" i="8"/>
  <c r="E499" i="8"/>
  <c r="D493" i="8"/>
  <c r="D487" i="8"/>
  <c r="D481" i="8"/>
  <c r="I477" i="8"/>
  <c r="E471" i="8"/>
  <c r="E468" i="8"/>
  <c r="E465" i="8"/>
  <c r="D458" i="8"/>
  <c r="I455" i="8"/>
  <c r="E453" i="8"/>
  <c r="D446" i="8"/>
  <c r="I443" i="8"/>
  <c r="E441" i="8"/>
  <c r="D434" i="8"/>
  <c r="I431" i="8"/>
  <c r="E429" i="8"/>
  <c r="D422" i="8"/>
  <c r="I419" i="8"/>
  <c r="E417" i="8"/>
  <c r="D410" i="8"/>
  <c r="I407" i="8"/>
  <c r="E405" i="8"/>
  <c r="D398" i="8"/>
  <c r="I395" i="8"/>
  <c r="E393" i="8"/>
  <c r="D386" i="8"/>
  <c r="I383" i="8"/>
  <c r="E381" i="8"/>
  <c r="D374" i="8"/>
  <c r="I371" i="8"/>
  <c r="E369" i="8"/>
  <c r="D362" i="8"/>
  <c r="I359" i="8"/>
  <c r="E357" i="8"/>
  <c r="D350" i="8"/>
  <c r="I347" i="8"/>
  <c r="E345" i="8"/>
  <c r="D338" i="8"/>
  <c r="I335" i="8"/>
  <c r="E333" i="8"/>
  <c r="D326" i="8"/>
  <c r="I323" i="8"/>
  <c r="E321" i="8"/>
  <c r="D314" i="8"/>
  <c r="I311" i="8"/>
  <c r="E309" i="8"/>
  <c r="D302" i="8"/>
  <c r="I299" i="8"/>
  <c r="E297" i="8"/>
  <c r="D290" i="8"/>
  <c r="I287" i="8"/>
  <c r="E285" i="8"/>
  <c r="D278" i="8"/>
  <c r="I275" i="8"/>
  <c r="E273" i="8"/>
  <c r="D266" i="8"/>
  <c r="I263" i="8"/>
  <c r="E261" i="8"/>
  <c r="D254" i="8"/>
  <c r="I251" i="8"/>
  <c r="E249" i="8"/>
  <c r="D242" i="8"/>
  <c r="I239" i="8"/>
  <c r="E237" i="8"/>
  <c r="D230" i="8"/>
  <c r="I227" i="8"/>
  <c r="E225" i="8"/>
  <c r="D218" i="8"/>
  <c r="I215" i="8"/>
  <c r="E213" i="8"/>
  <c r="D206" i="8"/>
  <c r="I203" i="8"/>
  <c r="E201" i="8"/>
  <c r="D194" i="8"/>
  <c r="I191" i="8"/>
  <c r="E189" i="8"/>
  <c r="D182" i="8"/>
  <c r="I179" i="8"/>
  <c r="E177" i="8"/>
  <c r="D170" i="8"/>
  <c r="I167" i="8"/>
  <c r="E165" i="8"/>
  <c r="D158" i="8"/>
  <c r="I155" i="8"/>
  <c r="I907" i="8"/>
  <c r="D898" i="8"/>
  <c r="E893" i="8"/>
  <c r="I883" i="8"/>
  <c r="D874" i="8"/>
  <c r="E869" i="8"/>
  <c r="I859" i="8"/>
  <c r="D850" i="8"/>
  <c r="E845" i="8"/>
  <c r="I835" i="8"/>
  <c r="D826" i="8"/>
  <c r="E821" i="8"/>
  <c r="I811" i="8"/>
  <c r="D802" i="8"/>
  <c r="E797" i="8"/>
  <c r="I787" i="8"/>
  <c r="D778" i="8"/>
  <c r="E773" i="8"/>
  <c r="E912" i="8"/>
  <c r="I902" i="8"/>
  <c r="D893" i="8"/>
  <c r="E888" i="8"/>
  <c r="I878" i="8"/>
  <c r="D869" i="8"/>
  <c r="E864" i="8"/>
  <c r="I854" i="8"/>
  <c r="D845" i="8"/>
  <c r="E840" i="8"/>
  <c r="I830" i="8"/>
  <c r="D821" i="8"/>
  <c r="E816" i="8"/>
  <c r="I806" i="8"/>
  <c r="D797" i="8"/>
  <c r="E792" i="8"/>
  <c r="I782" i="8"/>
  <c r="D773" i="8"/>
  <c r="E768" i="8"/>
  <c r="I758" i="8"/>
  <c r="D749" i="8"/>
  <c r="E744" i="8"/>
  <c r="I662" i="8"/>
  <c r="D653" i="8"/>
  <c r="D617" i="8"/>
  <c r="E612" i="8"/>
  <c r="D562" i="8"/>
  <c r="D545" i="8"/>
  <c r="E540" i="8"/>
  <c r="I523" i="8"/>
  <c r="E511" i="8"/>
  <c r="D505" i="8"/>
  <c r="I501" i="8"/>
  <c r="I495" i="8"/>
  <c r="E477" i="8"/>
  <c r="I470" i="8"/>
  <c r="D460" i="8"/>
  <c r="I457" i="8"/>
  <c r="E455" i="8"/>
  <c r="D448" i="8"/>
  <c r="I445" i="8"/>
  <c r="E443" i="8"/>
  <c r="D436" i="8"/>
  <c r="I433" i="8"/>
  <c r="E431" i="8"/>
  <c r="D424" i="8"/>
  <c r="I421" i="8"/>
  <c r="E419" i="8"/>
  <c r="D412" i="8"/>
  <c r="I409" i="8"/>
  <c r="E407" i="8"/>
  <c r="D400" i="8"/>
  <c r="I397" i="8"/>
  <c r="E395" i="8"/>
  <c r="D388" i="8"/>
  <c r="I385" i="8"/>
  <c r="E383" i="8"/>
  <c r="D376" i="8"/>
  <c r="I373" i="8"/>
  <c r="E371" i="8"/>
  <c r="D364" i="8"/>
  <c r="I361" i="8"/>
  <c r="E359" i="8"/>
  <c r="D352" i="8"/>
  <c r="I349" i="8"/>
  <c r="E347" i="8"/>
  <c r="D340" i="8"/>
  <c r="I337" i="8"/>
  <c r="E335" i="8"/>
  <c r="D328" i="8"/>
  <c r="I325" i="8"/>
  <c r="E323" i="8"/>
  <c r="D316" i="8"/>
  <c r="I313" i="8"/>
  <c r="E311" i="8"/>
  <c r="D304" i="8"/>
  <c r="I301" i="8"/>
  <c r="E299" i="8"/>
  <c r="D292" i="8"/>
  <c r="I289" i="8"/>
  <c r="E287" i="8"/>
  <c r="D280" i="8"/>
  <c r="I277" i="8"/>
  <c r="E275" i="8"/>
  <c r="D268" i="8"/>
  <c r="I265" i="8"/>
  <c r="E263" i="8"/>
  <c r="D256" i="8"/>
  <c r="I253" i="8"/>
  <c r="E251" i="8"/>
  <c r="D244" i="8"/>
  <c r="I241" i="8"/>
  <c r="E239" i="8"/>
  <c r="D232" i="8"/>
  <c r="I229" i="8"/>
  <c r="E720" i="8"/>
  <c r="I698" i="8"/>
  <c r="D629" i="8"/>
  <c r="D453" i="8"/>
  <c r="I448" i="8"/>
  <c r="I436" i="8"/>
  <c r="I426" i="8"/>
  <c r="E422" i="8"/>
  <c r="E412" i="8"/>
  <c r="D357" i="8"/>
  <c r="I352" i="8"/>
  <c r="D333" i="8"/>
  <c r="I319" i="8"/>
  <c r="I306" i="8"/>
  <c r="I282" i="8"/>
  <c r="I256" i="8"/>
  <c r="D223" i="8"/>
  <c r="D211" i="8"/>
  <c r="E208" i="8"/>
  <c r="I194" i="8"/>
  <c r="E191" i="8"/>
  <c r="D147" i="8"/>
  <c r="E137" i="8"/>
  <c r="D134" i="8"/>
  <c r="E131" i="8"/>
  <c r="I128" i="8"/>
  <c r="I122" i="8"/>
  <c r="D120" i="8"/>
  <c r="I117" i="8"/>
  <c r="E115" i="8"/>
  <c r="D108" i="8"/>
  <c r="I105" i="8"/>
  <c r="E103" i="8"/>
  <c r="D96" i="8"/>
  <c r="I93" i="8"/>
  <c r="E91" i="8"/>
  <c r="D84" i="8"/>
  <c r="I81" i="8"/>
  <c r="E79" i="8"/>
  <c r="D72" i="8"/>
  <c r="I69" i="8"/>
  <c r="E67" i="8"/>
  <c r="D60" i="8"/>
  <c r="I57" i="8"/>
  <c r="E55" i="8"/>
  <c r="D48" i="8"/>
  <c r="I45" i="8"/>
  <c r="E43" i="8"/>
  <c r="D36" i="8"/>
  <c r="I33" i="8"/>
  <c r="E31" i="8"/>
  <c r="D24" i="8"/>
  <c r="I21" i="8"/>
  <c r="E19" i="8"/>
  <c r="D12" i="8"/>
  <c r="I9" i="8"/>
  <c r="E7" i="8"/>
  <c r="I602" i="8"/>
  <c r="E545" i="8"/>
  <c r="E493" i="8"/>
  <c r="D468" i="8"/>
  <c r="I462" i="8"/>
  <c r="E458" i="8"/>
  <c r="E436" i="8"/>
  <c r="D391" i="8"/>
  <c r="D381" i="8"/>
  <c r="I376" i="8"/>
  <c r="I366" i="8"/>
  <c r="E362" i="8"/>
  <c r="I342" i="8"/>
  <c r="E338" i="8"/>
  <c r="I328" i="8"/>
  <c r="D319" i="8"/>
  <c r="D310" i="8"/>
  <c r="D295" i="8"/>
  <c r="D286" i="8"/>
  <c r="E278" i="8"/>
  <c r="D273" i="8"/>
  <c r="E269" i="8"/>
  <c r="D247" i="8"/>
  <c r="I218" i="8"/>
  <c r="D208" i="8"/>
  <c r="E204" i="8"/>
  <c r="I200" i="8"/>
  <c r="E197" i="8"/>
  <c r="D191" i="8"/>
  <c r="I187" i="8"/>
  <c r="I184" i="8"/>
  <c r="I181" i="8"/>
  <c r="E178" i="8"/>
  <c r="I174" i="8"/>
  <c r="D171" i="8"/>
  <c r="I163" i="8"/>
  <c r="I160" i="8"/>
  <c r="E150" i="8"/>
  <c r="I143" i="8"/>
  <c r="I140" i="8"/>
  <c r="D137" i="8"/>
  <c r="D131" i="8"/>
  <c r="E125" i="8"/>
  <c r="D115" i="8"/>
  <c r="I112" i="8"/>
  <c r="E110" i="8"/>
  <c r="D103" i="8"/>
  <c r="I100" i="8"/>
  <c r="E98" i="8"/>
  <c r="D91" i="8"/>
  <c r="I88" i="8"/>
  <c r="E86" i="8"/>
  <c r="D79" i="8"/>
  <c r="I76" i="8"/>
  <c r="E74" i="8"/>
  <c r="D67" i="8"/>
  <c r="I64" i="8"/>
  <c r="E62" i="8"/>
  <c r="D55" i="8"/>
  <c r="I52" i="8"/>
  <c r="E50" i="8"/>
  <c r="D43" i="8"/>
  <c r="I40" i="8"/>
  <c r="E38" i="8"/>
  <c r="D31" i="8"/>
  <c r="I28" i="8"/>
  <c r="E26" i="8"/>
  <c r="D19" i="8"/>
  <c r="I16" i="8"/>
  <c r="E14" i="8"/>
  <c r="D7" i="8"/>
  <c r="I4" i="8"/>
  <c r="E2" i="8"/>
  <c r="E749" i="8"/>
  <c r="E653" i="8"/>
  <c r="D550" i="8"/>
  <c r="D475" i="8"/>
  <c r="E448" i="8"/>
  <c r="D405" i="8"/>
  <c r="E398" i="8"/>
  <c r="E352" i="8"/>
  <c r="E305" i="8"/>
  <c r="I259" i="8"/>
  <c r="E256" i="8"/>
  <c r="D237" i="8"/>
  <c r="E233" i="8"/>
  <c r="I222" i="8"/>
  <c r="E218" i="8"/>
  <c r="D214" i="8"/>
  <c r="I210" i="8"/>
  <c r="D197" i="8"/>
  <c r="E194" i="8"/>
  <c r="D178" i="8"/>
  <c r="E167" i="8"/>
  <c r="I156" i="8"/>
  <c r="E153" i="8"/>
  <c r="I146" i="8"/>
  <c r="I133" i="8"/>
  <c r="D125" i="8"/>
  <c r="E122" i="8"/>
  <c r="I119" i="8"/>
  <c r="E117" i="8"/>
  <c r="D110" i="8"/>
  <c r="I107" i="8"/>
  <c r="E105" i="8"/>
  <c r="D98" i="8"/>
  <c r="I95" i="8"/>
  <c r="E93" i="8"/>
  <c r="D86" i="8"/>
  <c r="I83" i="8"/>
  <c r="E81" i="8"/>
  <c r="D74" i="8"/>
  <c r="I71" i="8"/>
  <c r="E69" i="8"/>
  <c r="D62" i="8"/>
  <c r="I59" i="8"/>
  <c r="E57" i="8"/>
  <c r="D50" i="8"/>
  <c r="I47" i="8"/>
  <c r="E45" i="8"/>
  <c r="D38" i="8"/>
  <c r="I35" i="8"/>
  <c r="E33" i="8"/>
  <c r="D26" i="8"/>
  <c r="I23" i="8"/>
  <c r="E21" i="8"/>
  <c r="D14" i="8"/>
  <c r="I11" i="8"/>
  <c r="E9" i="8"/>
  <c r="D2" i="8"/>
  <c r="D754" i="8"/>
  <c r="D506" i="8"/>
  <c r="D499" i="8"/>
  <c r="E487" i="8"/>
  <c r="I390" i="8"/>
  <c r="E386" i="8"/>
  <c r="E376" i="8"/>
  <c r="E328" i="8"/>
  <c r="I318" i="8"/>
  <c r="I294" i="8"/>
  <c r="I268" i="8"/>
  <c r="I246" i="8"/>
  <c r="E242" i="8"/>
  <c r="E227" i="8"/>
  <c r="D187" i="8"/>
  <c r="E184" i="8"/>
  <c r="E174" i="8"/>
  <c r="I170" i="8"/>
  <c r="D167" i="8"/>
  <c r="D163" i="8"/>
  <c r="E160" i="8"/>
  <c r="D153" i="8"/>
  <c r="E146" i="8"/>
  <c r="E143" i="8"/>
  <c r="I139" i="8"/>
  <c r="I136" i="8"/>
  <c r="I127" i="8"/>
  <c r="D122" i="8"/>
  <c r="D117" i="8"/>
  <c r="I114" i="8"/>
  <c r="E112" i="8"/>
  <c r="D105" i="8"/>
  <c r="I102" i="8"/>
  <c r="E100" i="8"/>
  <c r="D93" i="8"/>
  <c r="I90" i="8"/>
  <c r="E88" i="8"/>
  <c r="D81" i="8"/>
  <c r="I78" i="8"/>
  <c r="E76" i="8"/>
  <c r="D69" i="8"/>
  <c r="I66" i="8"/>
  <c r="E64" i="8"/>
  <c r="D57" i="8"/>
  <c r="I54" i="8"/>
  <c r="E52" i="8"/>
  <c r="D45" i="8"/>
  <c r="I42" i="8"/>
  <c r="E40" i="8"/>
  <c r="D33" i="8"/>
  <c r="I30" i="8"/>
  <c r="E28" i="8"/>
  <c r="D21" i="8"/>
  <c r="I18" i="8"/>
  <c r="E16" i="8"/>
  <c r="D9" i="8"/>
  <c r="I6" i="8"/>
  <c r="E4" i="8"/>
  <c r="E684" i="8"/>
  <c r="D658" i="8"/>
  <c r="D474" i="8"/>
  <c r="D441" i="8"/>
  <c r="D415" i="8"/>
  <c r="I331" i="8"/>
  <c r="E314" i="8"/>
  <c r="D309" i="8"/>
  <c r="I304" i="8"/>
  <c r="D298" i="8"/>
  <c r="E290" i="8"/>
  <c r="D285" i="8"/>
  <c r="E281" i="8"/>
  <c r="D259" i="8"/>
  <c r="D250" i="8"/>
  <c r="I232" i="8"/>
  <c r="I217" i="8"/>
  <c r="E210" i="8"/>
  <c r="E203" i="8"/>
  <c r="I199" i="8"/>
  <c r="I196" i="8"/>
  <c r="I193" i="8"/>
  <c r="E190" i="8"/>
  <c r="D184" i="8"/>
  <c r="I180" i="8"/>
  <c r="E170" i="8"/>
  <c r="D160" i="8"/>
  <c r="E156" i="8"/>
  <c r="E149" i="8"/>
  <c r="D146" i="8"/>
  <c r="D143" i="8"/>
  <c r="E130" i="8"/>
  <c r="I124" i="8"/>
  <c r="E119" i="8"/>
  <c r="D112" i="8"/>
  <c r="I109" i="8"/>
  <c r="E107" i="8"/>
  <c r="D100" i="8"/>
  <c r="I97" i="8"/>
  <c r="E95" i="8"/>
  <c r="D88" i="8"/>
  <c r="I85" i="8"/>
  <c r="E83" i="8"/>
  <c r="D76" i="8"/>
  <c r="I73" i="8"/>
  <c r="E71" i="8"/>
  <c r="D64" i="8"/>
  <c r="I61" i="8"/>
  <c r="E59" i="8"/>
  <c r="D52" i="8"/>
  <c r="I49" i="8"/>
  <c r="E47" i="8"/>
  <c r="D40" i="8"/>
  <c r="I37" i="8"/>
  <c r="E35" i="8"/>
  <c r="D28" i="8"/>
  <c r="I25" i="8"/>
  <c r="E23" i="8"/>
  <c r="D16" i="8"/>
  <c r="I13" i="8"/>
  <c r="E11" i="8"/>
  <c r="D4" i="8"/>
  <c r="I638" i="8"/>
  <c r="D557" i="8"/>
  <c r="E505" i="8"/>
  <c r="E481" i="8"/>
  <c r="D451" i="8"/>
  <c r="D429" i="8"/>
  <c r="I424" i="8"/>
  <c r="E410" i="8"/>
  <c r="D403" i="8"/>
  <c r="D355" i="8"/>
  <c r="D322" i="8"/>
  <c r="E304" i="8"/>
  <c r="I271" i="8"/>
  <c r="E268" i="8"/>
  <c r="D226" i="8"/>
  <c r="E221" i="8"/>
  <c r="D213" i="8"/>
  <c r="I206" i="8"/>
  <c r="D203" i="8"/>
  <c r="D190" i="8"/>
  <c r="I186" i="8"/>
  <c r="D177" i="8"/>
  <c r="E166" i="8"/>
  <c r="I162" i="8"/>
  <c r="I152" i="8"/>
  <c r="D149" i="8"/>
  <c r="D139" i="8"/>
  <c r="E136" i="8"/>
  <c r="I132" i="8"/>
  <c r="D130" i="8"/>
  <c r="E127" i="8"/>
  <c r="I121" i="8"/>
  <c r="D119" i="8"/>
  <c r="I116" i="8"/>
  <c r="E114" i="8"/>
  <c r="D107" i="8"/>
  <c r="I104" i="8"/>
  <c r="E102" i="8"/>
  <c r="D95" i="8"/>
  <c r="I92" i="8"/>
  <c r="E90" i="8"/>
  <c r="D83" i="8"/>
  <c r="I80" i="8"/>
  <c r="E78" i="8"/>
  <c r="D71" i="8"/>
  <c r="I68" i="8"/>
  <c r="E66" i="8"/>
  <c r="D59" i="8"/>
  <c r="I56" i="8"/>
  <c r="E54" i="8"/>
  <c r="D47" i="8"/>
  <c r="I44" i="8"/>
  <c r="E42" i="8"/>
  <c r="D35" i="8"/>
  <c r="I32" i="8"/>
  <c r="E30" i="8"/>
  <c r="D23" i="8"/>
  <c r="I20" i="8"/>
  <c r="E18" i="8"/>
  <c r="D11" i="8"/>
  <c r="I8" i="8"/>
  <c r="E6" i="8"/>
  <c r="D465" i="8"/>
  <c r="I460" i="8"/>
  <c r="E434" i="8"/>
  <c r="I414" i="8"/>
  <c r="D379" i="8"/>
  <c r="D369" i="8"/>
  <c r="I364" i="8"/>
  <c r="D345" i="8"/>
  <c r="I340" i="8"/>
  <c r="D331" i="8"/>
  <c r="I280" i="8"/>
  <c r="I258" i="8"/>
  <c r="I235" i="8"/>
  <c r="E232" i="8"/>
  <c r="D221" i="8"/>
  <c r="D199" i="8"/>
  <c r="E196" i="8"/>
  <c r="E180" i="8"/>
  <c r="E173" i="8"/>
  <c r="I169" i="8"/>
  <c r="D166" i="8"/>
  <c r="D159" i="8"/>
  <c r="I145" i="8"/>
  <c r="E142" i="8"/>
  <c r="D136" i="8"/>
  <c r="D127" i="8"/>
  <c r="E124" i="8"/>
  <c r="D114" i="8"/>
  <c r="I111" i="8"/>
  <c r="E109" i="8"/>
  <c r="D102" i="8"/>
  <c r="I99" i="8"/>
  <c r="E97" i="8"/>
  <c r="D90" i="8"/>
  <c r="I87" i="8"/>
  <c r="E85" i="8"/>
  <c r="D78" i="8"/>
  <c r="I75" i="8"/>
  <c r="E73" i="8"/>
  <c r="D66" i="8"/>
  <c r="I63" i="8"/>
  <c r="E61" i="8"/>
  <c r="D54" i="8"/>
  <c r="I51" i="8"/>
  <c r="E49" i="8"/>
  <c r="D42" i="8"/>
  <c r="I39" i="8"/>
  <c r="E37" i="8"/>
  <c r="D30" i="8"/>
  <c r="I27" i="8"/>
  <c r="E25" i="8"/>
  <c r="D18" i="8"/>
  <c r="I15" i="8"/>
  <c r="E13" i="8"/>
  <c r="D6" i="8"/>
  <c r="I3" i="8"/>
  <c r="I763" i="8"/>
  <c r="I450" i="8"/>
  <c r="E446" i="8"/>
  <c r="D439" i="8"/>
  <c r="E424" i="8"/>
  <c r="I402" i="8"/>
  <c r="E374" i="8"/>
  <c r="I354" i="8"/>
  <c r="E350" i="8"/>
  <c r="E317" i="8"/>
  <c r="D297" i="8"/>
  <c r="E293" i="8"/>
  <c r="D271" i="8"/>
  <c r="D262" i="8"/>
  <c r="E254" i="8"/>
  <c r="D249" i="8"/>
  <c r="E245" i="8"/>
  <c r="E216" i="8"/>
  <c r="I212" i="8"/>
  <c r="E209" i="8"/>
  <c r="E206" i="8"/>
  <c r="D196" i="8"/>
  <c r="I192" i="8"/>
  <c r="E186" i="8"/>
  <c r="D183" i="8"/>
  <c r="I176" i="8"/>
  <c r="D173" i="8"/>
  <c r="E162" i="8"/>
  <c r="E155" i="8"/>
  <c r="I151" i="8"/>
  <c r="I148" i="8"/>
  <c r="D142" i="8"/>
  <c r="I138" i="8"/>
  <c r="E132" i="8"/>
  <c r="I129" i="8"/>
  <c r="D124" i="8"/>
  <c r="E121" i="8"/>
  <c r="I118" i="8"/>
  <c r="E116" i="8"/>
  <c r="D109" i="8"/>
  <c r="I106" i="8"/>
  <c r="E104" i="8"/>
  <c r="D97" i="8"/>
  <c r="I94" i="8"/>
  <c r="E92" i="8"/>
  <c r="D85" i="8"/>
  <c r="I82" i="8"/>
  <c r="E80" i="8"/>
  <c r="D73" i="8"/>
  <c r="I70" i="8"/>
  <c r="E68" i="8"/>
  <c r="D61" i="8"/>
  <c r="I58" i="8"/>
  <c r="E56" i="8"/>
  <c r="D49" i="8"/>
  <c r="I46" i="8"/>
  <c r="E44" i="8"/>
  <c r="D37" i="8"/>
  <c r="I34" i="8"/>
  <c r="E32" i="8"/>
  <c r="D25" i="8"/>
  <c r="I22" i="8"/>
  <c r="E20" i="8"/>
  <c r="D13" i="8"/>
  <c r="I10" i="8"/>
  <c r="E8" i="8"/>
  <c r="I734" i="8"/>
  <c r="D713" i="8"/>
  <c r="I514" i="8"/>
  <c r="D509" i="8"/>
  <c r="D490" i="8"/>
  <c r="E460" i="8"/>
  <c r="I388" i="8"/>
  <c r="I378" i="8"/>
  <c r="E364" i="8"/>
  <c r="E340" i="8"/>
  <c r="I330" i="8"/>
  <c r="E326" i="8"/>
  <c r="D321" i="8"/>
  <c r="I307" i="8"/>
  <c r="E302" i="8"/>
  <c r="I283" i="8"/>
  <c r="E280" i="8"/>
  <c r="D235" i="8"/>
  <c r="D225" i="8"/>
  <c r="I220" i="8"/>
  <c r="D209" i="8"/>
  <c r="D202" i="8"/>
  <c r="I198" i="8"/>
  <c r="D189" i="8"/>
  <c r="I158" i="8"/>
  <c r="D155" i="8"/>
  <c r="D135" i="8"/>
  <c r="D132" i="8"/>
  <c r="I126" i="8"/>
  <c r="D116" i="8"/>
  <c r="I113" i="8"/>
  <c r="E111" i="8"/>
  <c r="D104" i="8"/>
  <c r="I101" i="8"/>
  <c r="E99" i="8"/>
  <c r="D92" i="8"/>
  <c r="I89" i="8"/>
  <c r="E87" i="8"/>
  <c r="D80" i="8"/>
  <c r="I77" i="8"/>
  <c r="E75" i="8"/>
  <c r="D68" i="8"/>
  <c r="I65" i="8"/>
  <c r="E63" i="8"/>
  <c r="D56" i="8"/>
  <c r="I53" i="8"/>
  <c r="E51" i="8"/>
  <c r="D44" i="8"/>
  <c r="I41" i="8"/>
  <c r="E39" i="8"/>
  <c r="D32" i="8"/>
  <c r="I29" i="8"/>
  <c r="E27" i="8"/>
  <c r="D20" i="8"/>
  <c r="I17" i="8"/>
  <c r="E15" i="8"/>
  <c r="D8" i="8"/>
  <c r="I5" i="8"/>
  <c r="E3" i="8"/>
  <c r="I667" i="8"/>
  <c r="I496" i="8"/>
  <c r="I438" i="8"/>
  <c r="I316" i="8"/>
  <c r="I292" i="8"/>
  <c r="I270" i="8"/>
  <c r="I244" i="8"/>
  <c r="E230" i="8"/>
  <c r="E220" i="8"/>
  <c r="I205" i="8"/>
  <c r="E192" i="8"/>
  <c r="I182" i="8"/>
  <c r="E179" i="8"/>
  <c r="I175" i="8"/>
  <c r="I172" i="8"/>
  <c r="I168" i="8"/>
  <c r="D165" i="8"/>
  <c r="E158" i="8"/>
  <c r="D151" i="8"/>
  <c r="E148" i="8"/>
  <c r="I144" i="8"/>
  <c r="E138" i="8"/>
  <c r="E129" i="8"/>
  <c r="I120" i="8"/>
  <c r="E118" i="8"/>
  <c r="D111" i="8"/>
  <c r="I108" i="8"/>
  <c r="E106" i="8"/>
  <c r="D99" i="8"/>
  <c r="I96" i="8"/>
  <c r="E94" i="8"/>
  <c r="D87" i="8"/>
  <c r="I84" i="8"/>
  <c r="E82" i="8"/>
  <c r="D75" i="8"/>
  <c r="I72" i="8"/>
  <c r="E70" i="8"/>
  <c r="D63" i="8"/>
  <c r="I60" i="8"/>
  <c r="E58" i="8"/>
  <c r="D51" i="8"/>
  <c r="I48" i="8"/>
  <c r="E46" i="8"/>
  <c r="D39" i="8"/>
  <c r="I36" i="8"/>
  <c r="E34" i="8"/>
  <c r="D27" i="8"/>
  <c r="I24" i="8"/>
  <c r="E22" i="8"/>
  <c r="D15" i="8"/>
  <c r="I12" i="8"/>
  <c r="E10" i="8"/>
  <c r="D3" i="8"/>
  <c r="I739" i="8"/>
  <c r="E617" i="8"/>
  <c r="I508" i="8"/>
  <c r="I489" i="8"/>
  <c r="D427" i="8"/>
  <c r="I400" i="8"/>
  <c r="D393" i="8"/>
  <c r="E388" i="8"/>
  <c r="D307" i="8"/>
  <c r="D283" i="8"/>
  <c r="D274" i="8"/>
  <c r="E266" i="8"/>
  <c r="D261" i="8"/>
  <c r="E257" i="8"/>
  <c r="I234" i="8"/>
  <c r="D220" i="8"/>
  <c r="E215" i="8"/>
  <c r="I211" i="8"/>
  <c r="I208" i="8"/>
  <c r="E198" i="8"/>
  <c r="D195" i="8"/>
  <c r="I188" i="8"/>
  <c r="E185" i="8"/>
  <c r="D179" i="8"/>
  <c r="E172" i="8"/>
  <c r="E161" i="8"/>
  <c r="E154" i="8"/>
  <c r="D148" i="8"/>
  <c r="E141" i="8"/>
  <c r="I134" i="8"/>
  <c r="I131" i="8"/>
  <c r="D129" i="8"/>
  <c r="E126" i="8"/>
  <c r="D123" i="8"/>
  <c r="D118" i="8"/>
  <c r="I115" i="8"/>
  <c r="E113" i="8"/>
  <c r="D106" i="8"/>
  <c r="I103" i="8"/>
  <c r="E101" i="8"/>
  <c r="D94" i="8"/>
  <c r="I91" i="8"/>
  <c r="E89" i="8"/>
  <c r="D82" i="8"/>
  <c r="I79" i="8"/>
  <c r="E77" i="8"/>
  <c r="D70" i="8"/>
  <c r="I67" i="8"/>
  <c r="E65" i="8"/>
  <c r="D58" i="8"/>
  <c r="I55" i="8"/>
  <c r="E53" i="8"/>
  <c r="D46" i="8"/>
  <c r="I43" i="8"/>
  <c r="E41" i="8"/>
  <c r="D34" i="8"/>
  <c r="I31" i="8"/>
  <c r="E29" i="8"/>
  <c r="D22" i="8"/>
  <c r="I19" i="8"/>
  <c r="E17" i="8"/>
  <c r="D10" i="8"/>
  <c r="I7" i="8"/>
  <c r="E5" i="8"/>
  <c r="E316" i="8"/>
  <c r="D215" i="8"/>
  <c r="D101" i="8"/>
  <c r="I74" i="8"/>
  <c r="D5" i="8"/>
  <c r="D172" i="8"/>
  <c r="D154" i="8"/>
  <c r="E144" i="8"/>
  <c r="E108" i="8"/>
  <c r="D89" i="8"/>
  <c r="I26" i="8"/>
  <c r="I483" i="8"/>
  <c r="I223" i="8"/>
  <c r="D185" i="8"/>
  <c r="E134" i="8"/>
  <c r="E120" i="8"/>
  <c r="E48" i="8"/>
  <c r="D161" i="8"/>
  <c r="D113" i="8"/>
  <c r="E72" i="8"/>
  <c r="I14" i="8"/>
  <c r="D238" i="8"/>
  <c r="D65" i="8"/>
  <c r="E60" i="8"/>
  <c r="D41" i="8"/>
  <c r="E36" i="8"/>
  <c r="I412" i="8"/>
  <c r="D367" i="8"/>
  <c r="D201" i="8"/>
  <c r="D141" i="8"/>
  <c r="D343" i="8"/>
  <c r="E292" i="8"/>
  <c r="E168" i="8"/>
  <c r="I150" i="8"/>
  <c r="I98" i="8"/>
  <c r="D53" i="8"/>
  <c r="I2" i="8"/>
  <c r="D463" i="8"/>
  <c r="D417" i="8"/>
  <c r="E244" i="8"/>
  <c r="I86" i="8"/>
  <c r="D29" i="8"/>
  <c r="E24" i="8"/>
  <c r="I110" i="8"/>
  <c r="D77" i="8"/>
  <c r="E648" i="8"/>
  <c r="E400" i="8"/>
  <c r="E182" i="8"/>
  <c r="D175" i="8"/>
  <c r="I157" i="8"/>
  <c r="D17" i="8"/>
  <c r="E12" i="8"/>
  <c r="E96" i="8"/>
  <c r="I38" i="8"/>
  <c r="E329" i="8"/>
  <c r="I164" i="8"/>
  <c r="I50" i="8"/>
  <c r="I62" i="8"/>
  <c r="E84" i="8"/>
  <c r="I295" i="8"/>
  <c r="I247" i="8"/>
  <c r="H175" i="8" l="1"/>
  <c r="H77" i="8"/>
  <c r="H141" i="8"/>
  <c r="H41" i="8"/>
  <c r="H161" i="8"/>
  <c r="H154" i="8"/>
  <c r="H172" i="8"/>
  <c r="H101" i="8"/>
  <c r="H82" i="8"/>
  <c r="H106" i="8"/>
  <c r="H118" i="8"/>
  <c r="H148" i="8"/>
  <c r="H220" i="8"/>
  <c r="H393" i="8"/>
  <c r="H51" i="8"/>
  <c r="H75" i="8"/>
  <c r="H151" i="8"/>
  <c r="H165" i="8"/>
  <c r="H20" i="8"/>
  <c r="H68" i="8"/>
  <c r="H80" i="8"/>
  <c r="H132" i="8"/>
  <c r="H135" i="8"/>
  <c r="H155" i="8"/>
  <c r="H225" i="8"/>
  <c r="H713" i="8"/>
  <c r="H49" i="8"/>
  <c r="H73" i="8"/>
  <c r="H85" i="8"/>
  <c r="H142" i="8"/>
  <c r="H173" i="8"/>
  <c r="H297" i="8"/>
  <c r="H439" i="8"/>
  <c r="H54" i="8"/>
  <c r="H78" i="8"/>
  <c r="H90" i="8"/>
  <c r="H127" i="8"/>
  <c r="H136" i="8"/>
  <c r="H159" i="8"/>
  <c r="H166" i="8"/>
  <c r="H221" i="8"/>
  <c r="H71" i="8"/>
  <c r="H83" i="8"/>
  <c r="H107" i="8"/>
  <c r="H119" i="8"/>
  <c r="H139" i="8"/>
  <c r="H149" i="8"/>
  <c r="H177" i="8"/>
  <c r="H226" i="8"/>
  <c r="H403" i="8"/>
  <c r="H557" i="8"/>
  <c r="H76" i="8"/>
  <c r="H112" i="8"/>
  <c r="H143" i="8"/>
  <c r="H146" i="8"/>
  <c r="H441" i="8"/>
  <c r="H474" i="8"/>
  <c r="H81" i="8"/>
  <c r="H105" i="8"/>
  <c r="H153" i="8"/>
  <c r="H163" i="8"/>
  <c r="H167" i="8"/>
  <c r="H506" i="8"/>
  <c r="H50" i="8"/>
  <c r="H74" i="8"/>
  <c r="H98" i="8"/>
  <c r="H405" i="8"/>
  <c r="H475" i="8"/>
  <c r="H19" i="8"/>
  <c r="H67" i="8"/>
  <c r="H79" i="8"/>
  <c r="H137" i="8"/>
  <c r="H171" i="8"/>
  <c r="H319" i="8"/>
  <c r="H391" i="8"/>
  <c r="H468" i="8"/>
  <c r="H48" i="8"/>
  <c r="H72" i="8"/>
  <c r="H84" i="8"/>
  <c r="H108" i="8"/>
  <c r="H120" i="8"/>
  <c r="H134" i="8"/>
  <c r="H147" i="8"/>
  <c r="H223" i="8"/>
  <c r="H304" i="8"/>
  <c r="H400" i="8"/>
  <c r="H412" i="8"/>
  <c r="H436" i="8"/>
  <c r="H505" i="8"/>
  <c r="H158" i="8"/>
  <c r="H170" i="8"/>
  <c r="H218" i="8"/>
  <c r="H230" i="8"/>
  <c r="H242" i="8"/>
  <c r="H302" i="8"/>
  <c r="H374" i="8"/>
  <c r="H398" i="8"/>
  <c r="H493" i="8"/>
  <c r="H502" i="8"/>
  <c r="H706" i="8"/>
  <c r="H144" i="8"/>
  <c r="H156" i="8"/>
  <c r="H168" i="8"/>
  <c r="H216" i="8"/>
  <c r="H228" i="8"/>
  <c r="H240" i="8"/>
  <c r="H276" i="8"/>
  <c r="H300" i="8"/>
  <c r="H384" i="8"/>
  <c r="H396" i="8"/>
  <c r="H408" i="8"/>
  <c r="H444" i="8"/>
  <c r="H478" i="8"/>
  <c r="H305" i="8"/>
  <c r="H329" i="8"/>
  <c r="H401" i="8"/>
  <c r="H437" i="8"/>
  <c r="H469" i="8"/>
  <c r="H494" i="8"/>
  <c r="H701" i="8"/>
  <c r="H394" i="8"/>
  <c r="H406" i="8"/>
  <c r="H442" i="8"/>
  <c r="H466" i="8"/>
  <c r="H694" i="8"/>
  <c r="H730" i="8"/>
  <c r="H219" i="8"/>
  <c r="H231" i="8"/>
  <c r="H303" i="8"/>
  <c r="H399" i="8"/>
  <c r="H488" i="8"/>
  <c r="H140" i="8"/>
  <c r="H152" i="8"/>
  <c r="H164" i="8"/>
  <c r="H176" i="8"/>
  <c r="H224" i="8"/>
  <c r="H392" i="8"/>
  <c r="H404" i="8"/>
  <c r="H440" i="8"/>
  <c r="H476" i="8"/>
  <c r="H504" i="8"/>
  <c r="H517" i="8"/>
  <c r="H605" i="8"/>
  <c r="H610" i="8"/>
  <c r="H133" i="8"/>
  <c r="H145" i="8"/>
  <c r="H157" i="8"/>
  <c r="H169" i="8"/>
  <c r="H217" i="8"/>
  <c r="H229" i="8"/>
  <c r="H241" i="8"/>
  <c r="H301" i="8"/>
  <c r="H397" i="8"/>
  <c r="H470" i="8"/>
  <c r="H473" i="8"/>
  <c r="H538" i="8"/>
  <c r="H689" i="8"/>
  <c r="H725" i="8"/>
  <c r="H126" i="8"/>
  <c r="H138" i="8"/>
  <c r="H150" i="8"/>
  <c r="H162" i="8"/>
  <c r="H174" i="8"/>
  <c r="H222" i="8"/>
  <c r="H306" i="8"/>
  <c r="H402" i="8"/>
  <c r="H438" i="8"/>
  <c r="H467" i="8"/>
  <c r="H682" i="8"/>
  <c r="H718" i="8"/>
  <c r="H227" i="8"/>
  <c r="H239" i="8"/>
  <c r="H299" i="8"/>
  <c r="H395" i="8"/>
  <c r="H407" i="8"/>
  <c r="H443" i="8"/>
  <c r="H471" i="8"/>
  <c r="H495" i="8"/>
  <c r="H555" i="8"/>
  <c r="H603" i="8"/>
  <c r="H639" i="8"/>
  <c r="H687" i="8"/>
  <c r="H699" i="8"/>
  <c r="H711" i="8"/>
  <c r="H723" i="8"/>
  <c r="H735" i="8"/>
  <c r="H536" i="8"/>
  <c r="H620" i="8"/>
  <c r="H668" i="8"/>
  <c r="H692" i="8"/>
  <c r="H704" i="8"/>
  <c r="H716" i="8"/>
  <c r="H728" i="8"/>
  <c r="H553" i="8"/>
  <c r="H601" i="8"/>
  <c r="H649" i="8"/>
  <c r="H685" i="8"/>
  <c r="H697" i="8"/>
  <c r="H709" i="8"/>
  <c r="H721" i="8"/>
  <c r="H733" i="8"/>
  <c r="H558" i="8"/>
  <c r="H618" i="8"/>
  <c r="H690" i="8"/>
  <c r="H702" i="8"/>
  <c r="H714" i="8"/>
  <c r="H726" i="8"/>
  <c r="H479" i="8"/>
  <c r="H503" i="8"/>
  <c r="H539" i="8"/>
  <c r="H551" i="8"/>
  <c r="H683" i="8"/>
  <c r="H695" i="8"/>
  <c r="H707" i="8"/>
  <c r="H719" i="8"/>
  <c r="H731" i="8"/>
  <c r="H472" i="8"/>
  <c r="H496" i="8"/>
  <c r="H532" i="8"/>
  <c r="H556" i="8"/>
  <c r="H568" i="8"/>
  <c r="H628" i="8"/>
  <c r="H640" i="8"/>
  <c r="H688" i="8"/>
  <c r="H700" i="8"/>
  <c r="H712" i="8"/>
  <c r="H724" i="8"/>
  <c r="H477" i="8"/>
  <c r="H501" i="8"/>
  <c r="H537" i="8"/>
  <c r="H669" i="8"/>
  <c r="H681" i="8"/>
  <c r="H693" i="8"/>
  <c r="H705" i="8"/>
  <c r="H717" i="8"/>
  <c r="H729" i="8"/>
  <c r="H554" i="8"/>
  <c r="H686" i="8"/>
  <c r="H698" i="8"/>
  <c r="H710" i="8"/>
  <c r="H722" i="8"/>
  <c r="H734" i="8"/>
  <c r="H535" i="8"/>
  <c r="H631" i="8"/>
  <c r="H655" i="8"/>
  <c r="H667" i="8"/>
  <c r="H691" i="8"/>
  <c r="H703" i="8"/>
  <c r="H715" i="8"/>
  <c r="H727" i="8"/>
  <c r="H552" i="8"/>
  <c r="H648" i="8"/>
  <c r="H684" i="8"/>
  <c r="H696" i="8"/>
  <c r="H708" i="8"/>
  <c r="H720" i="8"/>
  <c r="H732" i="8"/>
</calcChain>
</file>

<file path=xl/sharedStrings.xml><?xml version="1.0" encoding="utf-8"?>
<sst xmlns="http://schemas.openxmlformats.org/spreadsheetml/2006/main" count="19781" uniqueCount="4026">
  <si>
    <t>📋  생산부 재고 매칭 작업 안내</t>
  </si>
  <si>
    <t>▶ 이 파일의 목적</t>
  </si>
  <si>
    <t xml:space="preserve">  ① 생산부 품목과 창고 품목을 1:1로 매칭</t>
  </si>
  <si>
    <t xml:space="preserve">  ② 각 품목에 ERP 코드 부여 (모델기호 + 공정타입)</t>
  </si>
  <si>
    <t xml:space="preserve">  ③ 매칭/코드 결과를 통합 마스터 데이터로 정리</t>
  </si>
  <si>
    <t>━━━━━━━━━━━━━━━━━━━━━━━━━━━━━━━━━━━━━━━━━━━━━━━━━━━━━━━━━━━━━━━━</t>
  </si>
  <si>
    <t>【작업 1】  창고 품명 매칭  (E열)</t>
  </si>
  <si>
    <t>▶ 작업 시트</t>
  </si>
  <si>
    <t xml:space="preserve">  ① 튜브파트_재고현황   ② 고압진공_재고현황   ③ 조립자재_재고현황</t>
  </si>
  <si>
    <t>▶ 작업 방법</t>
  </si>
  <si>
    <t xml:space="preserve">  STEP 1.  「생산부_재고_매칭작업.xlsx」을 왼쪽 화면에 띄움</t>
  </si>
  <si>
    <t xml:space="preserve">  STEP 2.  「창고_재고.xlsx」를 오른쪽 화면에 띄움</t>
  </si>
  <si>
    <t xml:space="preserve">  STEP 3.  생산부 시트의 한 행씩 품목 확인 → 창고 파일에서 같은 품목 찾기</t>
  </si>
  <si>
    <t xml:space="preserve">  STEP 4.  창고 파일의 「품목」 셀을 복사 (Ctrl+C)</t>
  </si>
  <si>
    <t xml:space="preserve">  STEP 5.  생산부 시트의 같은 행 E열(주황색 칸)에 붙여넣기 (Ctrl+V)</t>
  </si>
  <si>
    <t xml:space="preserve">  STEP 6.  「창고_재고현황」 시트에서 매칭된 창고 품목이 자동으로 노란색 표시 ✅</t>
  </si>
  <si>
    <t>▶ 주의사항</t>
  </si>
  <si>
    <t xml:space="preserve">  ❗ 창고 품명을 정확히 그대로 복사해야 자동 매칭 표시됩니다</t>
  </si>
  <si>
    <t xml:space="preserve">  ❗ 매칭되는 창고 품목이 없으면 빈칸으로 두세요</t>
  </si>
  <si>
    <t xml:space="preserve">  ❗ 한 생산부 품목이 여러 창고 품목과 연결되어도 대표 1개만 붙여넣기</t>
  </si>
  <si>
    <t>【작업 2】  ERP 코드 검수 / 수정  (F~O열)</t>
  </si>
  <si>
    <t>⚠ 사전에 작업자가 1차로 입력해 둔 상태입니다.</t>
  </si>
  <si>
    <t xml:space="preserve">   담당자분이 직접 확인하고 잘못된 부분이 있으면 수정해 주세요.</t>
  </si>
  <si>
    <t>▶ 입력 방법</t>
  </si>
  <si>
    <t xml:space="preserve">  ① F열(원자재) / G열(반제품) / H열(완제품) 중 해당하는 칸에 「O」 입력</t>
  </si>
  <si>
    <t xml:space="preserve">     → I열에 자동으로 공정코드 생성 (예: AR, AF, PR 등)</t>
  </si>
  <si>
    <t xml:space="preserve">  ② J~N열(모델 3/4/6/7/8) 중 해당 모델 칸에 「O」 입력</t>
  </si>
  <si>
    <t xml:space="preserve">     → P열에 ERP 코드 자동 생성 (예: 3-AR, 346-AF 등)</t>
  </si>
  <si>
    <t xml:space="preserve">  ③ O열(?) — 신제품이라 모델기호 미정인 경우 「O」</t>
  </si>
  <si>
    <t>▶ 코드 규칙 (참고)</t>
  </si>
  <si>
    <t xml:space="preserve">  공정타입:  R = 원자재  /  A = 반제품 (Ass'y)  /  F = 완제품</t>
  </si>
  <si>
    <t xml:space="preserve">  부서기호:  T(튜브)  H(고압)  V(진공)  N(튜닝)  A(조립)  P(출하)</t>
  </si>
  <si>
    <t xml:space="preserve">  모델기호:  3=DX3000  4=ADX4000W  6=ADX6000FB  7=COCOON  8=SOLO  ?=신제품</t>
  </si>
  <si>
    <t xml:space="preserve">  최종 ERP 코드 형식:  {모델기호}-{공정코드}    예) 346-AF, 3-PA, 7-TF</t>
  </si>
  <si>
    <t>▶ 부서 변경 시</t>
  </si>
  <si>
    <t xml:space="preserve">  A열의 부서를 바꾸면 (예: 조립 → 출하) 코드 첫 글자가 자동 변경됩니다 (A→P)</t>
  </si>
  <si>
    <t xml:space="preserve">  배경 색상도 부서별로 자동 변경됩니다</t>
  </si>
  <si>
    <t>【확인】  작업 진행 상황 보기</t>
  </si>
  <si>
    <t>▶ 「창고_재고현황」 시트</t>
  </si>
  <si>
    <t xml:space="preserve">  매칭된 창고 품목 = 노란색 / 매칭 안 된 창고 품목 = 흰색</t>
  </si>
  <si>
    <t xml:space="preserve">  G열에 생산부 명칭이 자동 표시됨 (어떤 생산부 품목과 매칭됐는지 확인용)</t>
  </si>
  <si>
    <t>▶ 「매칭결과_통합」 시트</t>
  </si>
  <si>
    <t xml:space="preserve">  매칭된 품목들이 자동으로 모임 (창고 순서대로)</t>
  </si>
  <si>
    <t xml:space="preserve">  좌측: 생산부 정보 / 중앙: 창고 정보 / 우측 K~M열: 표준화 명칭 직접 입력</t>
  </si>
  <si>
    <t xml:space="preserve">  P열: 자동 생성된 ERP 코드</t>
  </si>
  <si>
    <t>▶ 저장</t>
  </si>
  <si>
    <t xml:space="preserve">  작업 완료 후 Ctrl+S 로 저장</t>
  </si>
  <si>
    <t xml:space="preserve">  두 파일 (생산부_재고_매칭작업.xlsx + 창고_재고.xlsx) 같은 폴더에 보관</t>
  </si>
  <si>
    <t>부서</t>
  </si>
  <si>
    <t>분류</t>
  </si>
  <si>
    <t>모델</t>
  </si>
  <si>
    <t>품목</t>
  </si>
  <si>
    <t>▼ 창고 품명 (창고파일에서 복사→붙여넣기)</t>
  </si>
  <si>
    <t>원자재</t>
  </si>
  <si>
    <t>반제품</t>
  </si>
  <si>
    <t>완제품</t>
  </si>
  <si>
    <t>코드</t>
  </si>
  <si>
    <t>3
(DX3000)</t>
  </si>
  <si>
    <t>4
(ADX4000W)</t>
  </si>
  <si>
    <t>6
(ADX6000FB)</t>
  </si>
  <si>
    <t>7
(COCOON)</t>
  </si>
  <si>
    <t>8
(SOLO)</t>
  </si>
  <si>
    <t>?
(신제품)</t>
  </si>
  <si>
    <t>ERP 코드
{모델}-{공정}</t>
  </si>
  <si>
    <t>바로가기
(마스터로)</t>
  </si>
  <si>
    <t>마스터행</t>
  </si>
  <si>
    <t>마스터시트</t>
  </si>
  <si>
    <t>튜브</t>
  </si>
  <si>
    <t>공용</t>
  </si>
  <si>
    <t>전극(70kV)</t>
  </si>
  <si>
    <t>전극(70kV) (순철 도금)
[DXDR-070]</t>
  </si>
  <si>
    <t>O</t>
  </si>
  <si>
    <t>마스터_품목</t>
  </si>
  <si>
    <t>텅스텐 필라멘트</t>
  </si>
  <si>
    <t>텅스텐 필라멘트
[DXDR-070]</t>
  </si>
  <si>
    <t>게터</t>
  </si>
  <si>
    <t>게터
[DXDR-070,DXDR-100]</t>
  </si>
  <si>
    <t>전극(100kV)</t>
  </si>
  <si>
    <t>전극(100kV) (순철 도금)
[DXDR-100]</t>
  </si>
  <si>
    <t>DXDR-70</t>
  </si>
  <si>
    <t>애노드 (70kV)</t>
  </si>
  <si>
    <t>에노드
[DXDR-070]</t>
  </si>
  <si>
    <t>포커서 (70kV)</t>
  </si>
  <si>
    <t>포커서
[DXDR-070]</t>
  </si>
  <si>
    <t>세라믹 바디 (70kV)</t>
  </si>
  <si>
    <t>세라믹 바디
[DXDR-070]</t>
  </si>
  <si>
    <t>세라믹 스템 (70kV)</t>
  </si>
  <si>
    <t>세라믹 스템
[DXDR-070]</t>
  </si>
  <si>
    <t>필러 (70kV)</t>
  </si>
  <si>
    <t>필러
[DXDR-070]</t>
  </si>
  <si>
    <t>전극 필러 (70kV)</t>
  </si>
  <si>
    <t>전극 필러
[DXDR-070]</t>
  </si>
  <si>
    <t>DXDR-100</t>
  </si>
  <si>
    <t>애노드 (100kV)</t>
  </si>
  <si>
    <t>에노드
[DXDR-100]</t>
  </si>
  <si>
    <t>에노드 링</t>
  </si>
  <si>
    <t>에노드 링
[DXDR-100]</t>
  </si>
  <si>
    <t>포커서 (100kV)</t>
  </si>
  <si>
    <t>포커서
[DXDR-100]</t>
  </si>
  <si>
    <t>세라믹 바디 (100kV)</t>
  </si>
  <si>
    <t>세라믹 바디
[DXDR-100]</t>
  </si>
  <si>
    <t>세라믹 슬리브</t>
  </si>
  <si>
    <t>세라믹 슬리브
[DXDR-100]</t>
  </si>
  <si>
    <t>필러 (100kV)</t>
  </si>
  <si>
    <t>필러
[DXDR-100]</t>
  </si>
  <si>
    <t>전극 필러 (100kV)</t>
  </si>
  <si>
    <t>전극 필러
[DXDR-100]</t>
  </si>
  <si>
    <t>완제품 튜브</t>
  </si>
  <si>
    <t>DXDR-70 튜브</t>
  </si>
  <si>
    <t>DXDR-100 튜브</t>
  </si>
  <si>
    <t>고압</t>
  </si>
  <si>
    <t>DX3000,  ADX4000W</t>
  </si>
  <si>
    <t>캐논튜브 [ D-081B ] _ 60KV</t>
  </si>
  <si>
    <t>TUBE (60KV D-081B)
[DX3000, ADX4000W]</t>
  </si>
  <si>
    <t>COCOON, 
SOLO</t>
  </si>
  <si>
    <t>캐논튜브 [ D-041 ] _ 70KV</t>
  </si>
  <si>
    <t>TUBE (70KV D-041)
[COCOON]</t>
  </si>
  <si>
    <t>ADX6000</t>
  </si>
  <si>
    <t>캐논튜브 [ D-0813 ] _ 80KV</t>
  </si>
  <si>
    <t>TUBE (80KV D-0813)
[ADX6000]</t>
  </si>
  <si>
    <t>DX3000,  ADX4000W,  ADX6000, 
SOLO</t>
  </si>
  <si>
    <t>세라믹튜브 [DXDR-070] _ 70KV</t>
  </si>
  <si>
    <t>TUBE (70KV DXDR-070)
[SOLO]</t>
  </si>
  <si>
    <t>세라믹튜브 [DXDR-100] _ 100KV</t>
  </si>
  <si>
    <t>TUBE (100Kv DXDR-100)
[100kV]</t>
  </si>
  <si>
    <t>CEI튜브 [OX-70] _ 90KV</t>
  </si>
  <si>
    <t>TUBE (90kV OX / 70-1.0)
[ADX6000]</t>
  </si>
  <si>
    <t>부품</t>
  </si>
  <si>
    <t>고압다이오드 2CL77 [20KV, 5mA]</t>
  </si>
  <si>
    <t>고압 다이오드 (2CL77 (20KV, 5mA))
[DX3000, ADX4000W]</t>
  </si>
  <si>
    <t>DX3000,  ADX4000W,  COCOON</t>
  </si>
  <si>
    <t>네온램프(NEON-5T)</t>
  </si>
  <si>
    <t>네온램프 (NEON-5T.5*13 red)
[DX3000, ADX4000W COCOON]</t>
  </si>
  <si>
    <t>DX3000,  ADX4000W,  ADX6000</t>
  </si>
  <si>
    <t>RK92-11XD307J (시멘트 저항)</t>
  </si>
  <si>
    <t>1.7W,10kV 시멘트저항 짧은 것 (RK92-11XD 307J (1.7W,10kV,±5%,300ppm,Flat))
[DX3000, ADX4000W]</t>
  </si>
  <si>
    <t>고압용 (30㏀)</t>
  </si>
  <si>
    <t>30㏀ 고압용 저항 (30㏀±1％, DIP-1/4W)
[DX3000, ADX4000W ADX6000]</t>
  </si>
  <si>
    <t>고압용 (15㏀±1％, DIP) - 1/4W</t>
  </si>
  <si>
    <t>15㏀ 고압용 저항 (15㏀±1％, DIP-1/4W)
[DX3000, ADX4000W]</t>
  </si>
  <si>
    <t>고압용 (500Ω±1％, DIP) - 1/4W</t>
  </si>
  <si>
    <t>500Ω 고압용 저항 (500Ω±1％, DIP-1/4W)
[ADX6000]</t>
  </si>
  <si>
    <t>고압용(세라믹103)</t>
  </si>
  <si>
    <t>103Z 고압용 세라믹 콘덴서 (50V F103Z)
[DX3000, ADX4000W ADX6000]</t>
  </si>
  <si>
    <t>DHR4E4C102K2FB 큰 콘덴서</t>
  </si>
  <si>
    <t>세라믹 큰 콘덴서 (DHR4E4C102K2FB)
[DX3000, ADX4000W]</t>
  </si>
  <si>
    <t>3216 B 100nF</t>
  </si>
  <si>
    <t>100nF 칩세라믹 콘덴서 (3216B 100nF)
[DX3000, ADX4000W ADX6000]</t>
  </si>
  <si>
    <t>DX3000,  ADX4000W,  ADX6000,  COCOON</t>
  </si>
  <si>
    <t>DL1500(다이오드)</t>
  </si>
  <si>
    <t>고압 다이오드 (DL1500)
[DX3000, ADX4000W ADX6000]</t>
  </si>
  <si>
    <t>HPC-2C 47k/Surge</t>
  </si>
  <si>
    <t>47k Surge 저항 (HPC-2C 47k/Surge)
[DX3000, ADX4000W ADX6000]</t>
  </si>
  <si>
    <t>COCOON</t>
  </si>
  <si>
    <t>RK92-18XD 307J 시멘트저항 긴 것</t>
  </si>
  <si>
    <t>2.7W,15kV 시멘트저항 긴 것 (RK92-18XD 307J (2.7W,15kV,±5%,300ppm,Flat))
[COCOON]</t>
  </si>
  <si>
    <t>ADX6000, 
COCOON</t>
  </si>
  <si>
    <t>680pF  DHR4E4C681K2BB 무라타 작은 콘덴서</t>
  </si>
  <si>
    <t>세라믹 작은 콘덴서 Murata (680pF DHR4E4C681K2BB)
[COCOON, ADX6000]</t>
  </si>
  <si>
    <t>LNTK103FW 온도센서</t>
  </si>
  <si>
    <t>온도센서 (LNTK103FW)
[COCOON]</t>
  </si>
  <si>
    <t>15k/Surge</t>
  </si>
  <si>
    <t>DD1800 (신규 다이오드)</t>
  </si>
  <si>
    <t>고압 다이오드 (DD1800)
[COCOON]</t>
  </si>
  <si>
    <t>진공</t>
  </si>
  <si>
    <t>2T 알루미늄 필터</t>
  </si>
  <si>
    <t>알루미늄 필터 (2T * Φ24)
[ADX6000]</t>
  </si>
  <si>
    <t>1.2T 알루미늄 필터</t>
  </si>
  <si>
    <t>알루미늄 필터 (1.2T * Φ24)
[COCOON]</t>
  </si>
  <si>
    <t>0.8T 알루미늄 필터</t>
  </si>
  <si>
    <t>알루미늄 필터 (0.8T * Φ24)
[DX3000, ADX4000W ADX6000]</t>
  </si>
  <si>
    <t>오링 (2*18)</t>
  </si>
  <si>
    <t>방사구 오링 (2*18)
[공용]</t>
  </si>
  <si>
    <t>히터
트랜스</t>
  </si>
  <si>
    <t>TIW (외경)0.7mm(내경)0.5 5000m(히터트랜스용 선)</t>
  </si>
  <si>
    <t>TIW 권선 (히터트랜스용 선) ((외경)0.7mm (내경)0.5mm, 4000m)
[DX3000, ADX4000W ADX6000]</t>
  </si>
  <si>
    <t>40KVDC 22AWG  (히터트랜스용 붉은 고압선)</t>
  </si>
  <si>
    <t>히터트랜스용 고압선(적색) (40KVDC 22AWG)
[DX3000, ADX4000W ADX6000]</t>
  </si>
  <si>
    <t>센더스트 코어 CS234060</t>
  </si>
  <si>
    <t>센더스트 코어 (CS234060)
[ADX6000]</t>
  </si>
  <si>
    <t>T 코어 (히터트랜스용)</t>
  </si>
  <si>
    <t>T 코어 (히터트랜스용) (T31 X 8 X 19E)
[DX3000, ADX4000W ADX6000]</t>
  </si>
  <si>
    <t>SOLO</t>
  </si>
  <si>
    <t>T 코어 (히터트랜스용) (TR22-14-6.5)
[SOLO]</t>
  </si>
  <si>
    <t>히터트랜스포머 24턴</t>
  </si>
  <si>
    <t>히터트랜스포머 20턴 작업完</t>
  </si>
  <si>
    <t>히터트랜스포머 20턴</t>
  </si>
  <si>
    <t>센더스트 코어 작업完</t>
  </si>
  <si>
    <t>트랜스포머</t>
  </si>
  <si>
    <t>트랜스포머 (60kV)
[DX3000, ADX4000W]</t>
  </si>
  <si>
    <t>트랜스포머 (70kV)
[COCOON]</t>
  </si>
  <si>
    <t>트랜스포머 (800턴) (80kV)
[ADX6000]</t>
  </si>
  <si>
    <t>BD</t>
  </si>
  <si>
    <t>튜브 고정 보드 에노드 (나사)</t>
  </si>
  <si>
    <t>튜브 고정 보드 에노드 (나사)
[DX3000, ADX4000W]</t>
  </si>
  <si>
    <t>DX3000</t>
  </si>
  <si>
    <t>튜브 고정 보드 케소드 (필라멘트)</t>
  </si>
  <si>
    <t>튜브 고정 보드 케소드 (필라멘트)
[DX3000]</t>
  </si>
  <si>
    <t>ADX4000W</t>
  </si>
  <si>
    <t>튜브 고정 보드 케소드 (필라멘트)
[ADX4000W]</t>
  </si>
  <si>
    <t>에노드 튜브 고정 보드(나사)</t>
  </si>
  <si>
    <t>튜브 고정 보드 에노드 (나사)
[COCOON]</t>
  </si>
  <si>
    <t>ADX6000 고압 베어보드</t>
  </si>
  <si>
    <t>고압베어 B/D (구형)
[ADX6000]</t>
  </si>
  <si>
    <t>ADX6000 신형 고압 베어보드</t>
  </si>
  <si>
    <t>고압베어 B/D (신형)
[ADX6000]</t>
  </si>
  <si>
    <t>고압베어 B/D (Ver. 2.5)</t>
  </si>
  <si>
    <t>고압베어 B/D
[DX3000, ADX4000W]</t>
  </si>
  <si>
    <t>고압베어B/D (신형) (Ver. 1.0.1)</t>
  </si>
  <si>
    <t>고압베어 B/D - TFT (70kV, 3mA)
[DX3000]</t>
  </si>
  <si>
    <t>고압베어B/D</t>
  </si>
  <si>
    <t>고압베어 B/D (구형)
[COCOON]</t>
  </si>
  <si>
    <t>고압베어B/D (4개 1세트)</t>
  </si>
  <si>
    <t>고압베어 B/D
[SOLO]</t>
  </si>
  <si>
    <t>고압베어B/D (신형) (Ver. 2.12)</t>
  </si>
  <si>
    <t>고압베어 B/D (신형)
[COCOON]</t>
  </si>
  <si>
    <t>튜브 고정 지지대 (Ver 2.12에 사용)</t>
  </si>
  <si>
    <t>DX3000V</t>
  </si>
  <si>
    <t>고압베어B/D (D-0813) (Ver 1.0.0)</t>
  </si>
  <si>
    <t>튜브 고정 보드 에노드 (나사)
[ADX6000]</t>
  </si>
  <si>
    <t>튜브 고정 보드 케소드 (필라멘트)
[ADX6000]</t>
  </si>
  <si>
    <t>7핀 BD [190*88*1.6T*2L]</t>
  </si>
  <si>
    <t>7핀 B/D
[DX3000, ADX4000W]</t>
  </si>
  <si>
    <t>8핀 BD</t>
  </si>
  <si>
    <t>8핀 B/D (구형 8핀 보드)
[ADX6000]</t>
  </si>
  <si>
    <t>10핀 BD</t>
  </si>
  <si>
    <t>10핀 B/D
[ADX6000]</t>
  </si>
  <si>
    <t>9핀 BD</t>
  </si>
  <si>
    <t>9핀 B/D - TFT
[DX3000]</t>
  </si>
  <si>
    <t>9핀 B/D
[SOLO]</t>
  </si>
  <si>
    <t>D3CT (TFT용)</t>
  </si>
  <si>
    <t>CTR B/D (TFT용) (V3.1.1)
[DX3000]</t>
  </si>
  <si>
    <t>DC3D (유럽용)</t>
  </si>
  <si>
    <t>CTR B/D (유럽용)
[DX3000]</t>
  </si>
  <si>
    <t>D3CL (미국용)</t>
  </si>
  <si>
    <t>CTR B/D (미국용)
[DX3000]</t>
  </si>
  <si>
    <t>A4CB</t>
  </si>
  <si>
    <t>FET BD</t>
  </si>
  <si>
    <t>CSCB</t>
  </si>
  <si>
    <t>D3CV</t>
  </si>
  <si>
    <t>튜닝</t>
  </si>
  <si>
    <t>A6CB</t>
  </si>
  <si>
    <t>COCB</t>
  </si>
  <si>
    <t>CTR B/D
[COCOON]</t>
  </si>
  <si>
    <t>튜브
A,SSY</t>
  </si>
  <si>
    <t>캐논튜브 60KV 하우징 [D-081B]</t>
  </si>
  <si>
    <t>세라믹튜브 70KV 하우징 [DXDR-070]</t>
  </si>
  <si>
    <t>캐논튜브 70KV 하우징 [D-041]</t>
  </si>
  <si>
    <t>캐논튜브 80KV 하우징 [D-0813]</t>
  </si>
  <si>
    <t>세라믹튜브 100KV 하우징 [DXDR-100]</t>
  </si>
  <si>
    <t>CEI튜브 90KV 하우징 [OX-70]</t>
  </si>
  <si>
    <t>고압보드
A,SSY</t>
  </si>
  <si>
    <t>고압보드SMT 完 (Ver. 2.5)</t>
  </si>
  <si>
    <t>고압보드SMT 完 (신형) (Ver. 1.0.1)</t>
  </si>
  <si>
    <t>고압보드SMT 完</t>
  </si>
  <si>
    <t>고압보드SMT 完 (신형)</t>
  </si>
  <si>
    <t>고압보드SMT 完 [Ver 2.12 신형]</t>
  </si>
  <si>
    <t>고압보드 SMT (DXDR-070)</t>
  </si>
  <si>
    <t>고압보드 SMT (D-041)</t>
  </si>
  <si>
    <t>고압보드 SMT 完 (D-0813) (Ver 1.0.0)</t>
  </si>
  <si>
    <t>신주 및 
베크라이트</t>
  </si>
  <si>
    <t>베이클라이트 하우징 파이프</t>
  </si>
  <si>
    <t>튜브 하우징 파이프 (베이클라이트)
[DX3000, ADX4000W ADX6000]</t>
  </si>
  <si>
    <t>COCOON,
SOLO</t>
  </si>
  <si>
    <t>70KV 튜브 하우징용 파이프</t>
  </si>
  <si>
    <t>튜브 하우징 파이프 (HDPE)
[COCOON]</t>
  </si>
  <si>
    <t>DXDR-070 하우징용 파이프</t>
  </si>
  <si>
    <t>세라믹 튜브 하우징 파이프 (HDPE)
[SOLO]</t>
  </si>
  <si>
    <t>D-041 하우징용 파이프</t>
  </si>
  <si>
    <t>튜브 하우징 파이프 (HDPE)
[SOLO]</t>
  </si>
  <si>
    <t>PE 하우징 파이프</t>
  </si>
  <si>
    <t>신주 
A,ssy</t>
  </si>
  <si>
    <t>베크라이트케이스</t>
  </si>
  <si>
    <t>베이클라이트 케이스 (베이클라이트)
[DX3000, ADX4000W ADX6000]</t>
  </si>
  <si>
    <t>(nc)케이스</t>
  </si>
  <si>
    <t>NC 케이스 (HDPE)
[COCOON]</t>
  </si>
  <si>
    <t>PE케이스거치대</t>
  </si>
  <si>
    <t>PE케이스 거치대 (HDPE)
[COCOON]</t>
  </si>
  <si>
    <t>NC 케이스 (HDPE)
[SOLO]</t>
  </si>
  <si>
    <t>신주케이스 뚜껑</t>
  </si>
  <si>
    <t>신주 케이스 뚜껑 (0.6T)
[SOLO]</t>
  </si>
  <si>
    <t>신주 케이스 뚜껑 (0.6T)
[COCOON]</t>
  </si>
  <si>
    <t>3 PIN (봉 단위)</t>
  </si>
  <si>
    <t>3 PIN 커넥터
[DX3000, ADX4000W]</t>
  </si>
  <si>
    <t>4 PIN (봉 단위)</t>
  </si>
  <si>
    <t>4 PIN 커넥터
[DX3000,ADX4000W COCOON,ADX6000]</t>
  </si>
  <si>
    <t>5 PIN (봉 단위)</t>
  </si>
  <si>
    <t>DX3000,ADX6000</t>
  </si>
  <si>
    <t>신주케이스</t>
  </si>
  <si>
    <t>신주 케이스 (0.6T)
[DX3000]</t>
  </si>
  <si>
    <t>신주 케이스 뚜껑 (0.6T)
[DX3000, ADX4000W ADX6000]</t>
  </si>
  <si>
    <t>신주 케이스 (0.6T)
[ADX4000W]</t>
  </si>
  <si>
    <t>신주 케이스 (0.6T)
[COCOON]</t>
  </si>
  <si>
    <t>신주 케이스 (0.6T + 193 (커팅전))
[ADX6000]</t>
  </si>
  <si>
    <t>신주케이스 (10P)</t>
  </si>
  <si>
    <t>신주 케이스 (0.6T)
[SOLO]</t>
  </si>
  <si>
    <t>방사구</t>
  </si>
  <si>
    <t>방사구
[공용]</t>
  </si>
  <si>
    <t>방사구 (외부탭)</t>
  </si>
  <si>
    <t>방사구 (외경 탭 추가)
[공용]</t>
  </si>
  <si>
    <t>방사구 너트</t>
  </si>
  <si>
    <t>방사구 너트
[공용]</t>
  </si>
  <si>
    <t>신주케이스 작업완료</t>
  </si>
  <si>
    <t>신주케이스(9P) 작업완료</t>
  </si>
  <si>
    <t>신주케이스(10P) 작업완료</t>
  </si>
  <si>
    <t>고압 A,ssy 
진공 이전</t>
  </si>
  <si>
    <t>발생부 고압B/D+튜브 최종 작업完</t>
  </si>
  <si>
    <t>발생부 고압B/D+튜브 최종 작업完 (9P)</t>
  </si>
  <si>
    <t>발생부 고압B/D+튜브 최종 작업完 [D-0813]</t>
  </si>
  <si>
    <t>발생부 고압B/D+튜브 최종 작업完 [DXDR-100]</t>
  </si>
  <si>
    <t>발생부 고압B/D+튜브 최종 작업完 [OX-70]</t>
  </si>
  <si>
    <t>발생부 고압B/D+튜브 최종 작업完 (10핀)[D-0813]</t>
  </si>
  <si>
    <t>발생부 고압B/D+튜브 최종 작업完 [Ver 2.12]</t>
  </si>
  <si>
    <t>발생부 고압B/D+튜브 최종 작업完 [DXDR-070]</t>
  </si>
  <si>
    <t>발생부(진공)</t>
  </si>
  <si>
    <t>발생부(9P)(진공)</t>
  </si>
  <si>
    <t>발생부(10P)(진공)</t>
  </si>
  <si>
    <t>D3GR + D3CD (해외용)</t>
  </si>
  <si>
    <t>D3GR + D3CL (미국용)</t>
  </si>
  <si>
    <t>D3GR + D3CT (TFT용)</t>
  </si>
  <si>
    <t>A4GR + A4CB</t>
  </si>
  <si>
    <t>A6GR (10핀)</t>
  </si>
  <si>
    <t>CSGR + CSCB</t>
  </si>
  <si>
    <t>COGR + FET BD</t>
  </si>
  <si>
    <t>튜닝완료</t>
  </si>
  <si>
    <t>D3GR + D3CD (해외용)
60KV, 2mA</t>
  </si>
  <si>
    <t>D3GR + D3CD + 1.4T (Safari Dental용)
60KV, 2mA</t>
  </si>
  <si>
    <t>D3GR + D3CL (미국용)
65kv, 1.7mA</t>
  </si>
  <si>
    <t>DX3000M</t>
  </si>
  <si>
    <t>D3GR + D3CT (TFT용)
70kv, 3mA</t>
  </si>
  <si>
    <t>A4GR + A4CB
60KV 2mA</t>
  </si>
  <si>
    <t>A4GR + A4CB + 1.4T (Safari Dental용)
60KV 2mA</t>
  </si>
  <si>
    <t>XG + A6CTR
80KV, 5mA</t>
  </si>
  <si>
    <t>ADX6000S</t>
  </si>
  <si>
    <t>A6GR + A6CB
90KV 6mA</t>
  </si>
  <si>
    <t>COGR + COCB + FET BD
70kv, 2mA</t>
  </si>
  <si>
    <t>CSGR + CSCB 
70KV 2mA</t>
  </si>
  <si>
    <t>6000S</t>
  </si>
  <si>
    <t>A6CB(8핀)</t>
  </si>
  <si>
    <t>V1.1.1</t>
  </si>
  <si>
    <t>6000</t>
  </si>
  <si>
    <t>A6CTR(6000 CTR)</t>
  </si>
  <si>
    <t>V1.5</t>
  </si>
  <si>
    <t>COCB(핸들공용 이전)</t>
  </si>
  <si>
    <t>v2.20.5</t>
  </si>
  <si>
    <t>INNER_USB_BD
(6000 커넥터)</t>
  </si>
  <si>
    <t>V2.1</t>
  </si>
  <si>
    <t>CTR_to_GEN BD
(8핀 커넥터)</t>
  </si>
  <si>
    <t>V2.0.0</t>
  </si>
  <si>
    <t>AIM_LIGHT_DRIVER BD
(9핀 커넥터)</t>
  </si>
  <si>
    <t>V1.0.0</t>
  </si>
  <si>
    <t>6000FB</t>
  </si>
  <si>
    <t>CTR_to_GEN BD
(10핀 커넥터)</t>
  </si>
  <si>
    <t>V2.0.1</t>
  </si>
  <si>
    <t>조립</t>
  </si>
  <si>
    <t>판넬</t>
  </si>
  <si>
    <t>2.35" LCD 판넬</t>
  </si>
  <si>
    <t>LCD PANEL (2.35"LCD)
[DX3000]</t>
  </si>
  <si>
    <t>2.4" TFT LCD 판넬</t>
  </si>
  <si>
    <t>TFT LCD PANEL (2.4"LCD - CT1715N241A)
[DX3000, SOLO]</t>
  </si>
  <si>
    <t>사출 및 공용 자재</t>
  </si>
  <si>
    <t>LCD GUIDE</t>
  </si>
  <si>
    <t>LCD GUIDE (ABS 난연 화이트)
[DX3000]</t>
  </si>
  <si>
    <t>NAVI KEY</t>
  </si>
  <si>
    <t>NAVI KEY (ABS 난연 화이트 + 밝은 회색)
[DX3000]</t>
  </si>
  <si>
    <t>POWER LED</t>
  </si>
  <si>
    <t>POWER LED (확산 아크릴)
[DX3000]</t>
  </si>
  <si>
    <t>POWER BUTTON</t>
  </si>
  <si>
    <t>POWER BUTTON (ABS 난연 화이트 + 밝은 회색)
[DX3000]</t>
  </si>
  <si>
    <t>DX3000블랙</t>
  </si>
  <si>
    <t>FRONT COVER (듀얼 슬라이드)</t>
  </si>
  <si>
    <t>FRONT COVER (듀얼 슬라이드) (ABS 난연 블랙)
[DX3000]</t>
  </si>
  <si>
    <t>DX3000 화이트</t>
  </si>
  <si>
    <t>FRONT COVER (듀얼 슬라이드) (ABS 난연 화이트)
[DX3000]</t>
  </si>
  <si>
    <t>DX3000 블랙</t>
  </si>
  <si>
    <t>REAR COVER</t>
  </si>
  <si>
    <t>REAR COVER (ABS 난연 블랙)
[DX3000]</t>
  </si>
  <si>
    <t>REAR COVER (ABS 난연 화이트)
[DX3000]</t>
  </si>
  <si>
    <t>LCD LED</t>
  </si>
  <si>
    <t>LCD LED (확산 아크릴)
[DX3000]</t>
  </si>
  <si>
    <t>EX LED (왼쪽)</t>
  </si>
  <si>
    <t>EX LED (좌) (확산 아크릴)
[DX3000]</t>
  </si>
  <si>
    <t>EX LED (오른쪽)</t>
  </si>
  <si>
    <t>EX LED (우) (확산 아크릴)
[DX3000]</t>
  </si>
  <si>
    <t>EX BUTTON (개당 두개씩)</t>
  </si>
  <si>
    <t>EX BUTTON (ABS 난연 화이트 + 밝은 회색)
[DX3000]</t>
  </si>
  <si>
    <t>HAND STRAP</t>
  </si>
  <si>
    <t>HAND STRAP 손잡이 (인조 가죽)
[DX3000]</t>
  </si>
  <si>
    <t>HAND STRAP_로고없음_사파리,이미지웍스용</t>
  </si>
  <si>
    <t>HAND STRAP 손잡이 (로고 없음) (인조 가죽)
[DX3000]</t>
  </si>
  <si>
    <t>20cm CONE</t>
  </si>
  <si>
    <t>20cm CONE (ABS 난연 화이트)
[DX3000]</t>
  </si>
  <si>
    <t>20cm CONE (ABS 난연 블랙 + 블랙 무광)
[DX3000]</t>
  </si>
  <si>
    <t>15cm CONE</t>
  </si>
  <si>
    <t>15cm CONE (ABS 난연 화이트)
[DX3000]</t>
  </si>
  <si>
    <t>X-CAP (기본)</t>
  </si>
  <si>
    <t>X-CAP (기본) (ABS 화이트 + 진한 회색)
[DX3000]</t>
  </si>
  <si>
    <t>DX3000
ADX4000W</t>
  </si>
  <si>
    <t>X-CAP 체결형 (신형)</t>
  </si>
  <si>
    <t>X-CAP 체결형 (신형) (ABS 난연 화이트 + 진한 회색)
[DX3000]</t>
  </si>
  <si>
    <t>가죽손잡이 고리1_ [AL(Cr도금), SUS Φ2.0]</t>
  </si>
  <si>
    <t>고리 1 (니켈 도금)
[DX3000, ADX4000W]</t>
  </si>
  <si>
    <t>가죽손잡이 고리2_ [AL(Cr도금), SUS Φ2.0 ]</t>
  </si>
  <si>
    <t>고리 2 (니켈 도금)
[DX3000]</t>
  </si>
  <si>
    <t>LCD 윈도우</t>
  </si>
  <si>
    <t>LCD WINDOW (투명 아크릴)
[DX3000]</t>
  </si>
  <si>
    <t>DX3000 
회색</t>
  </si>
  <si>
    <t>배터리커버</t>
  </si>
  <si>
    <t>BATTERY COVER (ABS 난연 화이트 + 진한 회색)
[DX3000]</t>
  </si>
  <si>
    <t>DX3000
 블랙</t>
  </si>
  <si>
    <t>BATTERY COVER (ABS 난연 블랙 + 블랙)
[DX3000]</t>
  </si>
  <si>
    <t>데코가이드</t>
  </si>
  <si>
    <t>DECO GUIDE (ABS 난연 화이트 + 진한 회색)
[DX3000]</t>
  </si>
  <si>
    <t>알루미늄 필터 [0.8T * Φ63]</t>
  </si>
  <si>
    <t>알루미늄 필터 (0.8T * Φ63)
[DX3000]</t>
  </si>
  <si>
    <t>하네스</t>
  </si>
  <si>
    <t>CJ4003 JACK  (관전류 짹 + 2핀케이블) - 하네스8</t>
  </si>
  <si>
    <t>하네스 8번 (CJ4003 잭 (관전류 짹 + 2핀케이블))
[DX3000]</t>
  </si>
  <si>
    <t>FFC 20핀 - 하네스1</t>
  </si>
  <si>
    <t>하네스 1번 (FFC 20핀)
[DX3000]</t>
  </si>
  <si>
    <t>EXP KEY 4핀 케이블 - 하네스5 (개당 2개씩)</t>
  </si>
  <si>
    <t>하네스 5번 (EXP KEY 4핀 케이블)
[DX3000]</t>
  </si>
  <si>
    <t>EX BD (듀얼) - 왼쪽</t>
  </si>
  <si>
    <t>EX B/D (듀얼) (좌)
[DX3000]</t>
  </si>
  <si>
    <t>EX BD (듀얼) - 오른쪽</t>
  </si>
  <si>
    <t>EX B/D (듀얼) (우)
[DX3000]</t>
  </si>
  <si>
    <t>EX BD (원버턴) - 사파리</t>
  </si>
  <si>
    <t>EX B/D 사파리 (원버턴)
[DX3000]</t>
  </si>
  <si>
    <t>LCD BD</t>
  </si>
  <si>
    <t>LCD B/D (듀얼 슬라이드)
[DX3000]</t>
  </si>
  <si>
    <t>LCD BD  (사파리) -원버턴타입</t>
  </si>
  <si>
    <t>LCD B/D (사파리) -원버턴타입
[DX3000]</t>
  </si>
  <si>
    <t>TFT LCD BD</t>
  </si>
  <si>
    <t>TFT LCD B/D (듀얼 슬라이드) (V3.0.1)
[DX3000]</t>
  </si>
  <si>
    <t>LED DRIVE BD V3.0.1 (TFT CTR BD용)</t>
  </si>
  <si>
    <t>AIM LED 쪽 보드 (V3.0.1)
[DX3000]</t>
  </si>
  <si>
    <t>ASS'Y</t>
  </si>
  <si>
    <t>데코가이드 ASS'Y (손잡이 포함)</t>
  </si>
  <si>
    <t>LCD BD ASS'Y</t>
  </si>
  <si>
    <t>LCD BD ASS'Y  _사파리_원버턴 타입</t>
  </si>
  <si>
    <t>LCD BD ASS'Y  _TFT</t>
  </si>
  <si>
    <t>DX3000 
화이트</t>
  </si>
  <si>
    <t>기본 사출 ASS'Y</t>
  </si>
  <si>
    <t>DX3000 
블랙</t>
  </si>
  <si>
    <t>DX3000
화이트</t>
  </si>
  <si>
    <t>사출 ASS'Y _ 태국용</t>
  </si>
  <si>
    <t>기본 사출 ASS'Y _ 이미지웍스</t>
  </si>
  <si>
    <t>기본 사출 ASS'Y _ 미국용_동물용</t>
  </si>
  <si>
    <t>15cm 사출 ASS'Y - 일본용</t>
  </si>
  <si>
    <t>20cm 사출 ASS'Y - 기본</t>
  </si>
  <si>
    <t>20cm 사출 ASS'Y - 맥스레이</t>
  </si>
  <si>
    <t>20cm 사출 ASS'Y 원버튼 _ 사파리용</t>
  </si>
  <si>
    <t>컬리메이터 적용</t>
  </si>
  <si>
    <t>DX3000
블랙 무광</t>
  </si>
  <si>
    <t>메디컬용 콘 가이드</t>
  </si>
  <si>
    <t>메디컬용 컬리메타 (ABS 난연 블랙)
[DX3000]</t>
  </si>
  <si>
    <t>메디컬용 FRONT</t>
  </si>
  <si>
    <t>메디컬용 컬리메타 CAP (ABS 난연 블랙 + 블랙 무광)
[DX3000]</t>
  </si>
  <si>
    <t>아크릴 투명 십자 Panel (66 x 66 mm)</t>
  </si>
  <si>
    <t>메디컬용 십자아크릴 (66*66)
[DX3000]</t>
  </si>
  <si>
    <t>아크릴 은경 40∮</t>
  </si>
  <si>
    <t>아크릴 은경 (아크릴 40파이)
[DX3000, ADX6000,SOLO]</t>
  </si>
  <si>
    <t>에이밍 알루미늄 플레이트</t>
  </si>
  <si>
    <t>LED PCB 방열 가이드 (흑색 다이캐스팅)
[DX3000, ADX6000,SOLO]</t>
  </si>
  <si>
    <t>에이밍 LED BD</t>
  </si>
  <si>
    <t>에이밍 LED 보드 (LED PCB)
[DX3000, ADX6000,SOLO]</t>
  </si>
  <si>
    <t>에이밍 원형 LED GUIDE</t>
  </si>
  <si>
    <t>에이밍 바디 뭉치 (ø33*19.3)
[DX3000, ADX6000,SOLO]</t>
  </si>
  <si>
    <t>메디컬용 FRONT ASS'Y</t>
  </si>
  <si>
    <t>에이밍라이트 플레이트 ASS'Y</t>
  </si>
  <si>
    <t>메디컬용 사출 ASS'Y</t>
  </si>
  <si>
    <t>사출 및 자재</t>
  </si>
  <si>
    <t>LCD TOP COVER</t>
  </si>
  <si>
    <t>LCD TOP (ABS 난연 화이트)
[ADX4000W]</t>
  </si>
  <si>
    <t>LCD BOTTOM COVER</t>
  </si>
  <si>
    <t>LCD BOTTOM (ABS 난연 화이트)
[ADX4000W]</t>
  </si>
  <si>
    <t>TOP BODY</t>
  </si>
  <si>
    <t>TOP (ABS 난연 화이트)
[ADX4000W]</t>
  </si>
  <si>
    <t>BOTTOM BODY</t>
  </si>
  <si>
    <t>BOTTOM (ABS 난연 화이트)
[ADX4000W]</t>
  </si>
  <si>
    <t>POWER BUTTON (ABS 난연 화이트 + 밝은 회색)
[ADX4000W]</t>
  </si>
  <si>
    <t>POWER LED GUIDE</t>
  </si>
  <si>
    <t>POWER LED GUIDE (확산 아크릴)
[ADX4000W]</t>
  </si>
  <si>
    <t>NAVI BUTTON (가운데)</t>
  </si>
  <si>
    <t>NAVI BUTTON (가운데) (ABS 난연 화이트 + 밝은 회색)
[ADX4000W]</t>
  </si>
  <si>
    <t>NAVI KEY (방향)</t>
  </si>
  <si>
    <t>NAVI KEY (방향) (ABS 난연 화이트 + 밝은 회색)
[ADX4000W]</t>
  </si>
  <si>
    <t>EXPOSE BUTTON</t>
  </si>
  <si>
    <t>EXPOSE BUTTON (ABS 난연 화이트 + 밝은 회색)
[ADX4000W]</t>
  </si>
  <si>
    <t>EX LED GUIDE</t>
  </si>
  <si>
    <t>EX LED GUIDE (확산 아크릴)
[ADX4000W]</t>
  </si>
  <si>
    <t>HAND GUIDE</t>
  </si>
  <si>
    <t>HAND GUIDE (ABS 난연 화이트)
[ADX4000W]</t>
  </si>
  <si>
    <t>LCD GUIDE (ABS 난연 화이트)
[ADX4000W]</t>
  </si>
  <si>
    <t>HINGE GUIDE</t>
  </si>
  <si>
    <t>HINGE GUIDE (ABS 난연 화이트)
[ADX4000W]</t>
  </si>
  <si>
    <t>데코 가이드</t>
  </si>
  <si>
    <t>GUIDE (ABS 난연 화이트 + 진한 회색)
[ADX4000W]</t>
  </si>
  <si>
    <t>FRONT CONE 일체형</t>
  </si>
  <si>
    <t>FRONT CONE 일체형 (ABS 난연 화이트 + 진한 회색)
[ADX4000W]</t>
  </si>
  <si>
    <t>FRONT CONE 체결형</t>
  </si>
  <si>
    <t>FRONT CONE 체결형 (ABS 난연 화이트 + 진한 회색)
[ADX4000W]</t>
  </si>
  <si>
    <t>20cm CONE (ABS 난연 화이트 + 진한 회색)
[ADX4000W]</t>
  </si>
  <si>
    <t>15cm CONE (ABS 난연 화이트 + 진한 회색)
[ADX4000W]</t>
  </si>
  <si>
    <t>BATTERY COVER</t>
  </si>
  <si>
    <t>BATTERY COVER (ABS 난연 화이트 + 진한 회색)
[ADX4000W]</t>
  </si>
  <si>
    <t>USB COVER</t>
  </si>
  <si>
    <t>USB COVER (ABS 난연 화이트 + 진한 회색)
[ADX4000W]</t>
  </si>
  <si>
    <t>HAND STRAP [AL(Cr도금), SUS Φ2.0]-손잡이(터치펜)</t>
  </si>
  <si>
    <t>HAND STRAP -손잡이(터치펜) (인조 가죽, AL(Cr도금), SUS Φ2.0)
[ADX4000W]</t>
  </si>
  <si>
    <t>NAVI KEY(방향) _ 사파리용</t>
  </si>
  <si>
    <t>NAVI KEY 사파리 (방향) (ABS 난연 반투명)
[ADX4000W]</t>
  </si>
  <si>
    <t>5" LCD 판넬 (SHARF)</t>
  </si>
  <si>
    <t>5" LCD (LQ050W1LA0A)
[ADX4000W]</t>
  </si>
  <si>
    <t>ADX4000W
ADX6000</t>
  </si>
  <si>
    <t>4.8" LCD 판넬 (SAMSUNG)</t>
  </si>
  <si>
    <t>4.8" LCD (LMS480J-C01(LTS480WS-C01))
[ADX4000W]</t>
  </si>
  <si>
    <t>16GB USB 메모리</t>
  </si>
  <si>
    <t>USB 메모리 (16GB)
[ADX4000W]</t>
  </si>
  <si>
    <t>TP-LINK (WAN1000M)-동글</t>
  </si>
  <si>
    <t>TP-LINK (WAN1000M)-동글
[ADX4000W]</t>
  </si>
  <si>
    <t>ip TIME 무선 랜카드 [N100UM]</t>
  </si>
  <si>
    <t>ip TIME 무선 랜카드 [N100UM]
[ADX4000W]</t>
  </si>
  <si>
    <t>히팅 싱크 구형 (일본 사용)</t>
  </si>
  <si>
    <t>히팅 싱크 구형 (일본 사용)
[ADX4000W]</t>
  </si>
  <si>
    <t>방열 팬 구형 (일본 사용) [1204KL-01W-B10 5V 0.1A]</t>
  </si>
  <si>
    <t>방열 팬 구형 (일본 사용) (1204KL-01W-B10 5V 0.1A)
[ADX4000W]</t>
  </si>
  <si>
    <t>히팅 패드</t>
  </si>
  <si>
    <t>히팅 패드
[ADX4000W]</t>
  </si>
  <si>
    <t>히팅 싱크 신형</t>
  </si>
  <si>
    <t>히팅 싱크 신형
[ADX4000W]</t>
  </si>
  <si>
    <t>방열 팬 신형 [HBD0401005SEM 5V 0.15A]</t>
  </si>
  <si>
    <t>방열 팬 신형 (HBD0401005SEM 5V 0.15A)
[ADX4000W]</t>
  </si>
  <si>
    <t>ELECOM WIFI (10DR) [WDC-150SU2M]</t>
  </si>
  <si>
    <t>ELECOM WIFI (10DR) (WDC-150SU2M)
[ADX4000W]</t>
  </si>
  <si>
    <t>BUFFALO WIFI [WLI-UC-GNM2]</t>
  </si>
  <si>
    <t>보드</t>
  </si>
  <si>
    <t>NAVI BD _ 사파리용</t>
  </si>
  <si>
    <t>NAVI BD 사파리
[ADX4000W]</t>
  </si>
  <si>
    <t>4.8" LCD  BD</t>
  </si>
  <si>
    <t>4.8" LCD BD
[ADX4000W]</t>
  </si>
  <si>
    <t>POWER BD</t>
  </si>
  <si>
    <t>POWER BD
[ADX4000W]</t>
  </si>
  <si>
    <t>NAVI BD</t>
  </si>
  <si>
    <t>NAVI BD
[ADX4000W]</t>
  </si>
  <si>
    <t>EX B/D</t>
  </si>
  <si>
    <t>EX B/D
[ADX4000W]</t>
  </si>
  <si>
    <t>Carrier BD _ KONTRON</t>
  </si>
  <si>
    <t>Carrier BD (구형 KONTRON)
[ADX4000W]</t>
  </si>
  <si>
    <t>Module BD _ KONTRON</t>
  </si>
  <si>
    <t>Module BD (구형 KONTRON)
[ADX4000W]</t>
  </si>
  <si>
    <t>Carrier BD _ DFI</t>
  </si>
  <si>
    <t>Carrier BD (신형 DFI)
[ADX4000W]</t>
  </si>
  <si>
    <t>Module BD _ DFI</t>
  </si>
  <si>
    <t>Module BD (신형 DFI)
[ADX4000W]</t>
  </si>
  <si>
    <t>USB 메모리 BD _ KONTRON</t>
  </si>
  <si>
    <t>USB 메모리 BD (구형 KONTRON)
[ADX4000W]</t>
  </si>
  <si>
    <t>USB 메모리 BD _ DFI</t>
  </si>
  <si>
    <t>USB 메모리 BD (신형 DFI)
[ADX4000W]</t>
  </si>
  <si>
    <t>큰 페라이트 CAT-1730-0730</t>
  </si>
  <si>
    <t>큰 페라이트 (ZCAT-1730-0730)
[ADX4000W]</t>
  </si>
  <si>
    <t>작은 페라이트 ZCAT-1325-0530</t>
  </si>
  <si>
    <t>작은 페라이트 (ZCAT-1325-0530)
[ADX4000W]</t>
  </si>
  <si>
    <t>LCD Wire (LVDS) -30핀</t>
  </si>
  <si>
    <t>LCD Wire (LVDS) (30핀)
[ADX4000W]</t>
  </si>
  <si>
    <t>전원 및 EXP Wire  -8핀</t>
  </si>
  <si>
    <t>전원 및 EXP Wire (8핀)
[ADX4000W]</t>
  </si>
  <si>
    <t>NAVIGATION KEY -6핀</t>
  </si>
  <si>
    <t>NAVIGATION KEY (6핀)
[ADX4000W]</t>
  </si>
  <si>
    <t>리모콘 및 관전류 -4핀</t>
  </si>
  <si>
    <t>리모콘 및 관전류 (4핀)
[ADX4000W]</t>
  </si>
  <si>
    <t>RS422 통신 및 PC 전원 on/off  -7핀</t>
  </si>
  <si>
    <t>RS422 통신 및 PC 전원 on/off (7핀)
[ADX4000W]</t>
  </si>
  <si>
    <t>Embedded PC 전원 -2핀 (케리어+CTR B/D 연결)</t>
  </si>
  <si>
    <t>Embedded PC 전원 (2핀) (케리어+CTR B/D 연결)
[ADX4000W]</t>
  </si>
  <si>
    <t>ADX4000W
COCOON
ADX6000 공용</t>
  </si>
  <si>
    <t>12505HS-02+SORDER 200mm 스피커 2핀 
(하네스 4-1번)</t>
  </si>
  <si>
    <t>스피커 2핀 (12505HS-02+SORDER 200mm)
[ADX4000W, ADX6000]</t>
  </si>
  <si>
    <t>ADX4000W, ADX6000 16핀 FFC Cable (사파리 공용)</t>
  </si>
  <si>
    <t>USB Wire -4핀 하네스</t>
  </si>
  <si>
    <t>USB Wire (4핀)
[ADX4000W]</t>
  </si>
  <si>
    <t>사출
ASS'Y</t>
  </si>
  <si>
    <t>TOP BODY 사출 ASS'Y</t>
  </si>
  <si>
    <t>BOTTOM BODY 사출 ASS'Y</t>
  </si>
  <si>
    <t>기본 CONE ASS'Y</t>
  </si>
  <si>
    <t>15cm CONE ASS'Y</t>
  </si>
  <si>
    <t>20cm CONE ASS'Y</t>
  </si>
  <si>
    <t>모듈 ASS'Y</t>
  </si>
  <si>
    <t>4.8" LCD  BD  ASS'Y</t>
  </si>
  <si>
    <t>KONTRON_B/D ASS′Y
 (carrier B/D+Module B/D+방열팬+USB B/D)</t>
  </si>
  <si>
    <t>DFI_B/D ASS′Y
 (carrier B/D+Module B/D+방열팬+USB B/D)</t>
  </si>
  <si>
    <t>ADX6000 공용</t>
  </si>
  <si>
    <t>컬리메이터 TOP 사출</t>
  </si>
  <si>
    <t>컬리메이터 TOP 사출 (ABS 난연 화이트 + 스프레이)
[ADX6000]</t>
  </si>
  <si>
    <t>컬리메이터 Bottom 사출</t>
  </si>
  <si>
    <t>컬리메이터 BOTTOM 사출 (ABS 난연 화이트 + 스프레이)
[ADX6000]</t>
  </si>
  <si>
    <t>컬리메이터 콘 가이드</t>
  </si>
  <si>
    <t>일체형 컬리메이터 (ABS 난연 블랙)
[ADX6000]</t>
  </si>
  <si>
    <t>컬리메이터 내부하우징 사출</t>
  </si>
  <si>
    <t>컬리메이터 내부하우징 사출 (ABS 난연 화이트 + 스프레이)
[ADX6000]</t>
  </si>
  <si>
    <t>컬리메이터 내부브릿지 사출</t>
  </si>
  <si>
    <t>컬리메이터 내부브릿지 사출 (ABS 난연 화이트 + 스프레이)
[ADX6000]</t>
  </si>
  <si>
    <t>컬리메이터 Mirror 거치대 사출</t>
  </si>
  <si>
    <t>컬리메이터 MIRROR 거치대 사출 (ABS 난연 화이트 + 스프레이 블랙)
[ADX6000]</t>
  </si>
  <si>
    <t>아크릴 은경</t>
  </si>
  <si>
    <t>아크릴 은경 (아크릴 + 불량42)
[ADX6000]</t>
  </si>
  <si>
    <t>컬리메이터 LED 알루미늄 가이드</t>
  </si>
  <si>
    <t>컬리메이터 LED 알루미늄 가이드 (AL 가공 + 흑색 아노다이징)
[ADX6000]</t>
  </si>
  <si>
    <t>컬리메이터 FRONT 사출</t>
  </si>
  <si>
    <t>컬리메이터 FRONT 사출 (ABS 난연 화이트 + 스프레이)
[ADX6000]</t>
  </si>
  <si>
    <t>Base Block</t>
  </si>
  <si>
    <t>Base Block (AL 가공 + 흑색 아노다이징)
[ADX6000]</t>
  </si>
  <si>
    <t>Top Block</t>
  </si>
  <si>
    <t>Top Block (AL 가공 + 흑색 아노다이징)
[ADX6000]</t>
  </si>
  <si>
    <t>ADX6000 BOTTOM BLOCK</t>
  </si>
  <si>
    <t>Bottom Block (AL 가공 + 흑색 아노다이징)
[ADX6000]</t>
  </si>
  <si>
    <t>Skin Guard Frame</t>
  </si>
  <si>
    <t>아크릴 투명 십자 panel (70 x70 mm)</t>
  </si>
  <si>
    <t>아크릴 투명 십자 panel (아크릴 + 실크 인쇄)
[ADX6000]</t>
  </si>
  <si>
    <t>LCD Cover 사출 (white)</t>
  </si>
  <si>
    <t>LCD Cover 사출 (ABS 난연 화이트+ 색바랜 노란색 398)
[ADX6000]</t>
  </si>
  <si>
    <t>LCD Inner Cover 사출</t>
  </si>
  <si>
    <t>LCD Inner Cover 사출 (ABS 난연 화이트 + 스프레이)
[ADX6000]</t>
  </si>
  <si>
    <t>LCD 힌지 사출 커버 TOP</t>
  </si>
  <si>
    <t>LCD 힌지 사출 커버 TOP (ABS 난연 화이트 + 스프레이)
[ADX6000]</t>
  </si>
  <si>
    <t>LCD 힌지 사출 커버 BOTTOM</t>
  </si>
  <si>
    <t>LCD 힌지 사출 커버 BOTTOM (ABS 난연 화이트 + 스프레이)
[ADX6000]</t>
  </si>
  <si>
    <t>LCD HINGE</t>
  </si>
  <si>
    <t>LCD HINGE (가공)
[ADX6000]</t>
  </si>
  <si>
    <t>LCD 힌지 가죽 커버</t>
  </si>
  <si>
    <t>LCD 힌지 가죽 커버 (인조 가죽)
[ADX6000]</t>
  </si>
  <si>
    <t>ADX6000FB
ADX6000s</t>
  </si>
  <si>
    <t>LCD 아크릴 가이드</t>
  </si>
  <si>
    <t>LCD 아크릴 가이드 (투명 아크릴)
[ADX6000]</t>
  </si>
  <si>
    <t>LCD 배젤 스티커</t>
  </si>
  <si>
    <t>LCD 배젤 스티커
[ADX6000S]</t>
  </si>
  <si>
    <t>LCD 배젤 스티커 - 중앙 필름 제거</t>
  </si>
  <si>
    <t>BODY LEFT 사출</t>
  </si>
  <si>
    <t>BODY LEFT 사출 (ABS 난연 화이트 + 스프레이)
[ADX6000]</t>
  </si>
  <si>
    <t>BODY LEFT 사출 배터리 커버</t>
  </si>
  <si>
    <t>BODY LEFT 사출 배터리 커버 (ABS 난연 화이트 + 스프레이)
[ADX6000]</t>
  </si>
  <si>
    <t>Black Deco Guide</t>
  </si>
  <si>
    <t>Black Deco Guide (스모그 투명 아크릴)
[ADX6000]</t>
  </si>
  <si>
    <t>Power Button 사출</t>
  </si>
  <si>
    <t>Power Button 사출 (스모그 투명 아크릴)
[ADX6000]</t>
  </si>
  <si>
    <t>ADX6000
ADX6000U</t>
  </si>
  <si>
    <t>Micro USB 사출 가이드</t>
  </si>
  <si>
    <t>Micro USB 사출 가이드 (ABS 난연 화이트 + 스프레이)
[ADX6000]</t>
  </si>
  <si>
    <t>Main PC 거치대 사출</t>
  </si>
  <si>
    <t>Main PC 거치대 사출 (ABS 난연 화이트)
[ADX6000]</t>
  </si>
  <si>
    <t>손잡이 핀</t>
  </si>
  <si>
    <t>손잡이 핀 (가공)
[ADX6000]</t>
  </si>
  <si>
    <t>Front Port Sticker (전면 포트 스티커)</t>
  </si>
  <si>
    <t>Front Port Sticker
[ADX6000]</t>
  </si>
  <si>
    <t>ETC FRONT BD  (리모콘 포트 수정 신형 얇은것)</t>
  </si>
  <si>
    <t>ETC FRONT BD (리모콘 포트 수정 신형 얇은 것)
[ADX6000S]</t>
  </si>
  <si>
    <t>리모콘 포트 가이드</t>
  </si>
  <si>
    <t>리모콘 포트 가이드 (ABS 난연 화이트)
[ADX6000]</t>
  </si>
  <si>
    <t>Front Port Sticker 
(리모콘 포트 수정 신형)</t>
  </si>
  <si>
    <t>Front Port Sticker (리모콘 포트 수정 신형)
[ADX6000S]</t>
  </si>
  <si>
    <t>Front Port Sticker 
(USB 포트 제거형)</t>
  </si>
  <si>
    <t>Front Port Sticker (USB 포트 제거형)
[ADX6000S]</t>
  </si>
  <si>
    <t>BODY RIGHT 사출</t>
  </si>
  <si>
    <t>BODY RIGHT 사출 (ABS 난연 화이트 + 스프레이)
[ADX6000]</t>
  </si>
  <si>
    <t>HANDLE RIGHT 사출</t>
  </si>
  <si>
    <t>HANDLE RIGHT 사출 (ABS 난연 화이트 + 스프레이)
[ADX6000]</t>
  </si>
  <si>
    <t>LCD 사출 나사 커버</t>
  </si>
  <si>
    <t>LCD 사출 나사 커버 (ABS 난연 화이트 + 스프레이)
[ADX6000]</t>
  </si>
  <si>
    <t>HANDLE LEFT 사출</t>
  </si>
  <si>
    <t>HANDLE LEFT 사출 (ABS 난연 화이트 + 스프레이)
[ADX6000]</t>
  </si>
  <si>
    <t>EX Button 사출</t>
  </si>
  <si>
    <t>EX Button 사출 (스모그 투명 아크릴)
[ADX6000]</t>
  </si>
  <si>
    <t>크래들 TOP 사출</t>
  </si>
  <si>
    <t>CRADLE TOP 사출 (ABS 난연 화이트 + 스프레이)
[ADX6000]</t>
  </si>
  <si>
    <t>크래들 BOTTOM 사출</t>
  </si>
  <si>
    <t>CRADLE BOTTOM 사출 (ABS 난연 화이트 + 스프레이 블랙)
[ADX6000]</t>
  </si>
  <si>
    <t>크래들 LED Guide 사출</t>
  </si>
  <si>
    <t>CRADLE LED Guide 사출 (ABS 난연 화이트 + 스프레이)
[ADX6000]</t>
  </si>
  <si>
    <t>페라이트 코어 [ZCAT 1518-0730]</t>
  </si>
  <si>
    <t>중간 페라이트 코어 (ZCAT 1518-0730)
[ADX6000]</t>
  </si>
  <si>
    <t>알루미늄 브라켓 6 hole</t>
  </si>
  <si>
    <t>알루미늄 브라켓 6 hole (AL 가공 + 백색 아노다이징)
[ADX6000]</t>
  </si>
  <si>
    <t>가죽 손잡이 탈착배터리용 터치펜 O</t>
  </si>
  <si>
    <t>가죽 손잡이 (탈착배터리 터치펜 O) (인조 가죽)
[ADX6000]</t>
  </si>
  <si>
    <t>ADX6000FB</t>
  </si>
  <si>
    <t>가죽 손잡이 탈착배터리용 터치펜 X</t>
  </si>
  <si>
    <t>가죽 손잡이 (탈착배터리 터치펜 X) (인조 가죽)
[ADX6000]</t>
  </si>
  <si>
    <t>4.3" LCD 판넬 (IEC-266 &amp; IEC-1000 공용)</t>
  </si>
  <si>
    <t>4.3" LCD (신형) (IEC-1000)
[ADX6000S]</t>
  </si>
  <si>
    <t>4.3" Module (IEC-266 구형)</t>
  </si>
  <si>
    <t>4.3" Module (IEC266lite-43, OS 영문)
[ADX6000S]</t>
  </si>
  <si>
    <t>4.3" Module (IEC-1000 신형)</t>
  </si>
  <si>
    <t>4.3" Module (신형) (IEC-1000)
[ADX6000S]</t>
  </si>
  <si>
    <t>LCD B/D</t>
  </si>
  <si>
    <t>LCD B/D
[ADX6000S]</t>
  </si>
  <si>
    <t>LCD B/D
[ADX6000]</t>
  </si>
  <si>
    <t>ETC CARRIER BD (IEC-1000)</t>
  </si>
  <si>
    <t>ETC CARRIER BD (IEC-1000)
[ADX6000S]</t>
  </si>
  <si>
    <t>ETC CARRIER BD (IEC-266)</t>
  </si>
  <si>
    <t>ETC CARRIER BD
[ADX6000S]</t>
  </si>
  <si>
    <t>ETC CARRIER MINI BD</t>
  </si>
  <si>
    <t>ETC CARRIER MINI BD
[ADX6000S]</t>
  </si>
  <si>
    <t>Carrier B/D (구형 KONTRON)</t>
  </si>
  <si>
    <t>Carrier B/D (구형 KONTRON)
[ADX6000]</t>
  </si>
  <si>
    <t>Carrier B/D (신형 DFI)</t>
  </si>
  <si>
    <t>Carrier B/D (신형 DFI)
[ADX6000]</t>
  </si>
  <si>
    <t>Power Switch B/D</t>
  </si>
  <si>
    <t>Power Switch B/D
[ADX6000]</t>
  </si>
  <si>
    <t>FRONT CONNECTOR B/D (ADX6000용)</t>
  </si>
  <si>
    <t>Front Micro B/D (ADX6000용)</t>
  </si>
  <si>
    <t>Front Micro B/D
[ADX6000]</t>
  </si>
  <si>
    <t>Battery Bridge B/D</t>
  </si>
  <si>
    <t>Battery Bridge B/D
[ADX6000]</t>
  </si>
  <si>
    <t>Battery Connect B/D</t>
  </si>
  <si>
    <t>Battery Connect B/D
[ADX6000]</t>
  </si>
  <si>
    <t>관전류 B/D</t>
  </si>
  <si>
    <t>관전류 B/D
[ADX6000]</t>
  </si>
  <si>
    <t>EX B/D
[ADX6000]</t>
  </si>
  <si>
    <t>Cradle B/D</t>
  </si>
  <si>
    <t>Cradle B/D
[ADX6000]</t>
  </si>
  <si>
    <t>컬리메이터 LED B/D (신형 LED 밝기 수정한 것)</t>
  </si>
  <si>
    <t>컬리메이터 LED B/D (신형 LED, 밝기 수정)
[ADX6000]</t>
  </si>
  <si>
    <t>CTR, CURRENT, FRONT, PC BD연결 _ 하네스 1번
 [ 12505HS-06, 12505HS-04, 12505HS-03, 12505HS-02 (250mm, 140mm, 200mm) ]</t>
  </si>
  <si>
    <t>하네스 1번 (12505HS-06, 12505HS-04, 12505HS-03, 12505HS-02 CTR, CURRENT, FRONT, PC BD연결 / 180mm, 140mm, 200mm)
[ADX6000S]</t>
  </si>
  <si>
    <t>CTR, CURRENT, FRONT, PC BD연결 _ 하네스 1-1번
 [ 12505HS-06, 12505HS-04, 12505HS-03, 5264-02  (250mm, 140mm, 300mm) ]</t>
  </si>
  <si>
    <t>PC, FRONT BD 연결 _  하네스 2번
[ 12505HS-04, USB-105 (70mm) ]</t>
  </si>
  <si>
    <t>하네스 2번 (12505HS-04, USB-105 PC, FRONT BD 연결 / 70mm)
[ADX6000S]</t>
  </si>
  <si>
    <t>Power&amp;Exp Connector Wire Harness 12pin [170mm,70mm] (하네스 3번)</t>
  </si>
  <si>
    <t>하네스 3번 (Power&amp;Exp Connector 12핀 / 160mm, 70mm)
[ADX6000]</t>
  </si>
  <si>
    <t>컬리메이터 LED Wire Harness 2pin [300mm] (하네스 5번)</t>
  </si>
  <si>
    <t>하네스 5번 (컬리메이터 LED 2핀 / 300mm)
[ADX6000]</t>
  </si>
  <si>
    <t>PC 전원 케이블 [ SMH250-02 (130mm) ] _ 하네스 6번</t>
  </si>
  <si>
    <t>하네스 6번 (SMH250-02 PC 전원 케이블 / 130mm)
[ADX6000S]</t>
  </si>
  <si>
    <t>DF19G-20S-1C(0.5) (2EA) (160mm) (ADX6000s용)
LVDS 케이블 (하네스 7번)</t>
  </si>
  <si>
    <t>하네스 7번 (DF19G-20S-1C(0.5) (2EA) LVDS 케이블 / 160mm 힌지 작업시 발주)
[ADX6000S]</t>
  </si>
  <si>
    <t>Carrier Mini BD 케이블 _ 하네스 9번  
 [ 12505HS-03 (100mm) ]</t>
  </si>
  <si>
    <t>하네스 9번 (12505HS-03 Carrier Mini BD 케이블 / 100mm)
[ADX6000S]</t>
  </si>
  <si>
    <t>Carrier Mini BD 케이블 _ 하네스 9-1번  
 [ 12505HS-03 (100mm) ]</t>
  </si>
  <si>
    <t>하네스 9-1번 (12505HS-03 Carrier Mini BD 케이블 / 100mm (한쪽만 커넥터))
[ADX6000S]</t>
  </si>
  <si>
    <t>PC, CTR BD 연결 _ 하네스 10번 
[ CHW0640-03, 1205HS-03 (130mm) ]</t>
  </si>
  <si>
    <t>하네스 10번 (CHW0640-03, 1205HS-03 PC, CTR BD 연결 / 130mm)
[ADX6000S]</t>
  </si>
  <si>
    <t>Battery BD 02 Wire Harness [4pin,2pin,Dual] [90mm,80mm] 탈착, 외부 BAT BD 연결 (하네스 11번)</t>
  </si>
  <si>
    <t>하네스 11번 (Battery BD 02 [4핀,2핀,Dual] 탈착, 외부 BAT BD 연결 / 90mm, 80mm)
[ADX6000]</t>
  </si>
  <si>
    <t>Battery BD 02 Wire Harness [12505HS-06]
[80mm] 탈착 BAT BD 연결 (하네스 11-1번)</t>
  </si>
  <si>
    <t>Battery BD 01 Wire Harness (2핀) (80mm)
[ADX6000]</t>
  </si>
  <si>
    <t>40pin FFC Cable (50mm) _ 하네스 14번</t>
  </si>
  <si>
    <t>하네스 14번 (FFC Cable 40핀 / 50mm - 사용안함)
[ADX6000S]</t>
  </si>
  <si>
    <t>Battery BD 01 Wire Harness 2pin [80mm]</t>
  </si>
  <si>
    <t>PC Connector Wire Harness 7pin 
[100mm,140mm,200mm]</t>
  </si>
  <si>
    <t>PC Connector Wire Harness (7핀) (100mm, 140mm, 200mm)
[ADX6000]</t>
  </si>
  <si>
    <t>RS422 통신 Wire Harness 6pin [120mm]</t>
  </si>
  <si>
    <t>RS422 통신 Wire Harness (6핀) (120mm)
[ADX6000]</t>
  </si>
  <si>
    <t>USB Connector Wire Harness 4pin [100mm]</t>
  </si>
  <si>
    <t>USB Connector Wire Harness (4핀) (100mm)
[ADX6000]</t>
  </si>
  <si>
    <t>Front USB Wire Harness 4pin [80mm]</t>
  </si>
  <si>
    <t>Front USB Wire Harness (4핀) (80mm)
[ADX6000]</t>
  </si>
  <si>
    <t>콘 납 부착 ASS'Y</t>
  </si>
  <si>
    <t>콘 컬리메이터 ASS'Y</t>
  </si>
  <si>
    <t>콘 컬리메이터 ASS'Y + BOTTOM Base block</t>
  </si>
  <si>
    <t>컬리메이터 ASS'Y</t>
  </si>
  <si>
    <t>컬리메이터 ASS'Y + BOTTOM Base block (더 밝게 수정)</t>
  </si>
  <si>
    <t>컬리메이터 ASS'Y + BOTTOM Base block</t>
  </si>
  <si>
    <t>컬리메이터 ASS'Y + TOP, BOTTOM Base block</t>
  </si>
  <si>
    <t>[CR-ADX] 크래들 ASS'Y</t>
  </si>
  <si>
    <t>LCD ASS'Y</t>
  </si>
  <si>
    <t>탈착형 BODY LEFT ASS'Y</t>
  </si>
  <si>
    <t>외부형 BODY LEFT ASS'Y</t>
  </si>
  <si>
    <t>Main PC ASS'Y (IEC-266 구형)</t>
  </si>
  <si>
    <t>Main PC ASS'Y (IEC-1000 신형)</t>
  </si>
  <si>
    <t>BODY RIGHT ASS'Y</t>
  </si>
  <si>
    <t>ADX6000FB BODY RIGHT ASS'Y</t>
  </si>
  <si>
    <t>출하</t>
  </si>
  <si>
    <t>스탠드</t>
  </si>
  <si>
    <t>국내용 스탠드 브라켓 1. BLOCK</t>
  </si>
  <si>
    <t>국내용 스탠드 브라켓 1. BLOCK
[ADX6000]</t>
  </si>
  <si>
    <t>국내용 스탠드 브라켓 2. ARM</t>
  </si>
  <si>
    <t>국내용 스탠드 브라켓 2. ARM
[ADX6000]</t>
  </si>
  <si>
    <t>국내용 스탠드 브라켓 3. TILT BODY</t>
  </si>
  <si>
    <t>국내용 스탠드 브라켓 3. TILT BODY
[ADX6000]</t>
  </si>
  <si>
    <t>국내용 스탠드 브라켓 4. BASE</t>
  </si>
  <si>
    <t>국내용 스탠드 브라켓 4. BASE
[ADX6000]</t>
  </si>
  <si>
    <t>국내용 스탠드 브라켓 5. SHAFT</t>
  </si>
  <si>
    <t>국내용 스탠드 브라켓 5. SHAFT
[ADX6000]</t>
  </si>
  <si>
    <t>국내용 스탠드 브라켓 6. PUSH PLATE</t>
  </si>
  <si>
    <t>국내용 스탠드 브라켓 6. PUSH PLATE
[ADX6000]</t>
  </si>
  <si>
    <t>국내용 스탠드 브라켓 7. EASY LOCK PLATE</t>
  </si>
  <si>
    <t>국내용 스탠드 브라켓 7. EASY LOCK PLATE
[ADX6000]</t>
  </si>
  <si>
    <t>국내용 스탠드 브라켓 8. MOUNT</t>
  </si>
  <si>
    <t>국내용 스탠드 브라켓 8. MOUNT
[ADX6000]</t>
  </si>
  <si>
    <t>국내용 스탠드 브라켓 9. 조임 손잡이</t>
  </si>
  <si>
    <t>국내용 스탠드 브라켓 9. 조임 손잡이
[ADX6000]</t>
  </si>
  <si>
    <t>스탠드 브라켓 조인트 셋트 (브라켓 1~9)</t>
  </si>
  <si>
    <t>AllMyT Stand Base</t>
  </si>
  <si>
    <t>AlmyT STAND BODY SET
[공용]</t>
  </si>
  <si>
    <t>AllMyT Stand Arm 및 Accessory</t>
  </si>
  <si>
    <t>AlmyT STAND ACC SET
[공용]</t>
  </si>
  <si>
    <t>체스트 &amp; 베드 STAND</t>
  </si>
  <si>
    <t>체스트 &amp; 베드 스탠드
[공용]</t>
  </si>
  <si>
    <t>체스트 &amp; 베드 JOINT ARM</t>
  </si>
  <si>
    <t>체스트 &amp; 베드 조인트 암
[공용]</t>
  </si>
  <si>
    <t>체스트 &amp; 베드 ARM PIPE</t>
  </si>
  <si>
    <t>체스트 &amp; 베드 암 파이프
[공용]</t>
  </si>
  <si>
    <t>체스트 &amp; 베드 FIX BLOCK A, B</t>
  </si>
  <si>
    <t>체스트 &amp; 베드 픽스 블럭 A, B (육각 렌치 3, 5)
[공용]</t>
  </si>
  <si>
    <t>체스트 &amp; 베드 스탠드 박스 내장재 상, 하판 [230 * 130 * 30T]</t>
  </si>
  <si>
    <t>체스트 &amp; 베드 스탠드 박스 내장재 상, 하판 (230 * 130 * 30T)
[공용]</t>
  </si>
  <si>
    <t>체스트 &amp; 베드 스탠드 박스 내장재 좌, 우판 [130 * 980 * 30T]</t>
  </si>
  <si>
    <t>체스트 &amp; 베드 스탠드 박스 내장재 좌, 우판 (130 * 980 * 30T)
[공용]</t>
  </si>
  <si>
    <t>체스트 &amp; 베드 스탠드 박스 내장재 전, 후판 [230 * 920 * 30T]</t>
  </si>
  <si>
    <t>체스트 &amp; 베드 스탠드 박스 내장재 전, 후판 (230 * 920 * 30T)
[공용]</t>
  </si>
  <si>
    <t>체스트 &amp; 베드 스탠드 박스 [1000 * 300 * 160]</t>
  </si>
  <si>
    <t>체스트 &amp; 베드 스탠드 박스 (1000 * 300 * 150)
[공용]</t>
  </si>
  <si>
    <t>접이식 정형외과용 스탠드 세트</t>
  </si>
  <si>
    <t>접이식 스탠드 SET (정형외과용)
[공용]</t>
  </si>
  <si>
    <t>홀드</t>
  </si>
  <si>
    <t>스탠드 홀드 (메탈)</t>
  </si>
  <si>
    <t>스탠드홀드
[DX3000]</t>
  </si>
  <si>
    <t>스탠드홀드 (은색)
[ADX4000W]</t>
  </si>
  <si>
    <t>스탠드 홀드 브라켓 (흰색)</t>
  </si>
  <si>
    <t>스탠드홀드(신형) (흰색)
[ADX4000W]</t>
  </si>
  <si>
    <t>OLED PANEL</t>
  </si>
  <si>
    <t>OLED PANEL (UG-5664ASWEF01)
[COCOON]</t>
  </si>
  <si>
    <t>OLED GUIDE 사출</t>
  </si>
  <si>
    <t>OLED GUIDE (ABS 난연 화이트)
[COCOON]</t>
  </si>
  <si>
    <t>사출</t>
  </si>
  <si>
    <t>COCOON 
메탈 실버 유광</t>
  </si>
  <si>
    <t>TOP BODY 사출</t>
  </si>
  <si>
    <t>TOP BODY (메탈 실버 유광)
[COCOON]</t>
  </si>
  <si>
    <t>TOP BODY 사출 (cocoon로고 없음)</t>
  </si>
  <si>
    <t>COCOON
블랙 유광</t>
  </si>
  <si>
    <t>BOTTOM BODY 사출</t>
  </si>
  <si>
    <t>BOTTOM BODY (블랙 유광)
[COCOON]</t>
  </si>
  <si>
    <t>POWER BUTTON 사출</t>
  </si>
  <si>
    <t>POWER BUTTON (메탈 실버 유광)
[COCOON]</t>
  </si>
  <si>
    <t>BUTTON INDICATOR</t>
  </si>
  <si>
    <t>BUTTON INDICATOR (ABS 난연 화이트)
[COCOON]</t>
  </si>
  <si>
    <t>TOUCH DUMMY</t>
  </si>
  <si>
    <t>TOUCH DUMMY (확산 아크릴)
[COCOON]</t>
  </si>
  <si>
    <t>D링 고리</t>
  </si>
  <si>
    <t>고리 (니켈 도금 D링)
[COCOON]</t>
  </si>
  <si>
    <t>COCOON 
메탈 실버</t>
  </si>
  <si>
    <t>LOCK KNOB</t>
  </si>
  <si>
    <t>LOCK KNOB (메탈 실버 유광)
[COCOON]</t>
  </si>
  <si>
    <t>LOCK INNER</t>
  </si>
  <si>
    <t>LOCK INNER (메탈 실버)
[COCOON]</t>
  </si>
  <si>
    <t>손잡이</t>
  </si>
  <si>
    <t>HAND BODY 사출</t>
  </si>
  <si>
    <t>HAND BODY (메탈 실버 유광)
[COCOON]</t>
  </si>
  <si>
    <t>HAND TOP COVER 사출</t>
  </si>
  <si>
    <t>HAND TOP COVER (메탈 실버)
[COCOON]</t>
  </si>
  <si>
    <t>SHOT BUTTON 사출</t>
  </si>
  <si>
    <t>SHOT BUTTON (ABS 난연 화이트 + 오렌지 유광)
[COCOON]</t>
  </si>
  <si>
    <t>SHOT PCB GUIDE 사출</t>
  </si>
  <si>
    <t>SHOT PCB GUIDE (ABS 난연 화이트)
[COCOON]</t>
  </si>
  <si>
    <t>COCOON
레드 유광</t>
  </si>
  <si>
    <t>SLIDE SWITCH 사출</t>
  </si>
  <si>
    <t>SLIDE SWITCH (ABS 난연 화이트 + 레드 유광)
[COCOON]</t>
  </si>
  <si>
    <t>SLIDE CAP</t>
  </si>
  <si>
    <t>SLIDE CAP (ABS 난연 화이트 + 레드 유광)
[COCOON]</t>
  </si>
  <si>
    <t>COCOON 
 블랙 유광</t>
  </si>
  <si>
    <t>BAT BOTTOM</t>
  </si>
  <si>
    <t>BAT BOTTOM (블랙 유광)
[COCOON]</t>
  </si>
  <si>
    <t>EXP BUTTON 스프링</t>
  </si>
  <si>
    <t>EXP BUTTON 스프링 (스프링)
[COCOON]</t>
  </si>
  <si>
    <t>BAT BOTTOM RUBBER</t>
  </si>
  <si>
    <t>BAT BOTTOM RUBBER (RUBBER)
[COCOON]</t>
  </si>
  <si>
    <t>내부 배터리 [PF605060HP]</t>
  </si>
  <si>
    <t>내부 배터리 (PF605060HP)
[COCOON]</t>
  </si>
  <si>
    <t>크래들</t>
  </si>
  <si>
    <t>COCOON
 블랙 유광</t>
  </si>
  <si>
    <t>CRADLE BODY 사출</t>
  </si>
  <si>
    <t>CRADLE BODY BUTTON X (ABS 난연 블랙 + 블랙 유광)
[COCOON]</t>
  </si>
  <si>
    <t>CRADLE BOTTOM 사출</t>
  </si>
  <si>
    <t>CRADLE BOTTOM (블랙 유광)
[COCOON]</t>
  </si>
  <si>
    <t>CRADLE FRAME</t>
  </si>
  <si>
    <t>CRADLE FRAME (도금용 사출 + 크롬 도금)
[COCOON]</t>
  </si>
  <si>
    <t>신주 핀</t>
  </si>
  <si>
    <t>CRADLE 신주 핀 (신주 가공 + 니켈 도금)
[COCOON]</t>
  </si>
  <si>
    <t>크래들 충전단자 스프링</t>
  </si>
  <si>
    <t>CRADLE 충전단자 스프링 (스프링)
[COCOON]</t>
  </si>
  <si>
    <t>CRADLE FOOT RUBBER</t>
  </si>
  <si>
    <t>CRADLE FOOT RUBBER (RUBBER)
[COCOON]</t>
  </si>
  <si>
    <t>케어스트림</t>
  </si>
  <si>
    <t>COCOON 
화이트 케어스트림</t>
  </si>
  <si>
    <t>TOP BODY 사출 (케어스트림)</t>
  </si>
  <si>
    <t>COCOON
화이트 케어스트림</t>
  </si>
  <si>
    <t>CRADLE FRAME 실리콘 커버</t>
  </si>
  <si>
    <t>GER GUIDE</t>
  </si>
  <si>
    <t>GER GUIDE (ABS 난연 화이트)
[COCOON]</t>
  </si>
  <si>
    <t>COCOON 
블랙 유광</t>
  </si>
  <si>
    <t>FRONT_S (18cm)</t>
  </si>
  <si>
    <t>FRONT_S (18cm) (블랙 유광)
[COCOON]</t>
  </si>
  <si>
    <t>CONE GUIDE_S (18cm)</t>
  </si>
  <si>
    <t>CONE GUIDE_S (18cm) (ABS 난연 화이트)
[COCOON]</t>
  </si>
  <si>
    <t>CONE GUIDE_L (20cm)</t>
  </si>
  <si>
    <t>CONE GUIDE_L (20cm) (ABS 난연 화이트)
[COCOON]</t>
  </si>
  <si>
    <t>FRONT_L (20cm)</t>
  </si>
  <si>
    <t>FRONT_L (20cm) (ABS 난연 블랙 + 블랙 유광)
[COCOON]</t>
  </si>
  <si>
    <t>FRONT_CAP</t>
  </si>
  <si>
    <t>FRONT_CAP (블랙 유광)
[COCOON]</t>
  </si>
  <si>
    <t>WINDOW</t>
  </si>
  <si>
    <t>WINDOW (투명 아크릴 + 실크 인쇄 로고O)
[COCOON]</t>
  </si>
  <si>
    <t>WINDOW (cocoon로고 없음)</t>
  </si>
  <si>
    <t>WINDOW (투명 아크릴 + 실크 인쇄 로고X)
[COCOON]</t>
  </si>
  <si>
    <t>자석 (네오디움 마그넷)</t>
  </si>
  <si>
    <t>자석 (네오디움 마그넷)
[COCOON]</t>
  </si>
  <si>
    <t>알루미늄 필터 [ 0.5T * Φ63 ]</t>
  </si>
  <si>
    <t>알루미늄 필터 (0.5T * Φ63 코쿤 기본)
[COCOON]</t>
  </si>
  <si>
    <t>CTR BD 외부단자 2핀 (TX30(FEMALE)+YH396-02100mm 
(하네스 1번)</t>
  </si>
  <si>
    <t>하네스 1번 (TX30(FEMALE)+YH396-02 100mm CTR BD 외부단자 2핀)
[COCOON]</t>
  </si>
  <si>
    <t>TX30(MALE)+DC022(2.5) 80mm 전원 외부단자 2핀 
(하네스 2번)</t>
  </si>
  <si>
    <t>하네스 2번 (TX30(MALE)+DC022(2.5) 80mm 전원 외부단자 2핀)
[COCOON]</t>
  </si>
  <si>
    <t>30핀 FFC CABLE 
(하네스 3번)</t>
  </si>
  <si>
    <t>하네스 3번 (FFC CABLE 1mm*30P*200*B CTR BD*OP BD (다른방향))
[COCOON]</t>
  </si>
  <si>
    <t>12505HS-02+SORDER 50mm 스피커 2핀 
(하네스 4번)</t>
  </si>
  <si>
    <t>하네스 4번 (12505HS-02+SORDER 50mm - OP BD 2.20 전용 스피커 2핀)
[COCOON]</t>
  </si>
  <si>
    <t>BATTERY BRIDGE BD 4핀 (YH396-04*2EA 150mm
 (하네스 5번)</t>
  </si>
  <si>
    <t>하네스 5번 (YH396-04*2EA 150mm BATTERY BRIDGE BD 4핀)
[COCOON]</t>
  </si>
  <si>
    <t>12505HS-05 125mm POWER SWITCH BD 5핀
 (하네스 7번)</t>
  </si>
  <si>
    <t>하네스 7번 (12505HS-05 125mm POWER SWITCH BD 5핀)
[COCOON]</t>
  </si>
  <si>
    <t>YH396-02+SORDER 80mm CRADLE 신주 연결 2핀 
(하네스 11번)</t>
  </si>
  <si>
    <t>하네스 11번 (YH396-02+SORDER 80mm CRADLE 신주 연결 2핀)
[COCOON]</t>
  </si>
  <si>
    <t>POWER SWITCH BD</t>
  </si>
  <si>
    <t>POWER SWITCH BD
[COCOON]</t>
  </si>
  <si>
    <t>CONNECTOR BD (신주 2핀)</t>
  </si>
  <si>
    <t>HANDLE CONNECTOR BD 신형 (신주 2핀)
[COCOON]</t>
  </si>
  <si>
    <t>BATTERY BRIDGE BD</t>
  </si>
  <si>
    <t>BATTERY BRIDGE BD
[COCOON]</t>
  </si>
  <si>
    <t>CRADLE BD</t>
  </si>
  <si>
    <t>CRADLE BD
[COCOON]</t>
  </si>
  <si>
    <t>TOUCH BD (Atmega128)_FFC케이블 케넥트 수정 (신형)</t>
  </si>
  <si>
    <t>OP BD (Atmega128)_FFC케이블 케넥트 수정 (신형)</t>
  </si>
  <si>
    <t>OP BD+TOUCH BD_ Ass'y
  (Atmega128)_FFC케이블 케넥트 수정 (신형)</t>
  </si>
  <si>
    <t>TOP BODY ASS'Y</t>
  </si>
  <si>
    <t>TOP BODY ASS'Y (cocoon 로고 없는것)</t>
  </si>
  <si>
    <t xml:space="preserve">  </t>
  </si>
  <si>
    <t>BOTTOM BODY ASS'Y</t>
  </si>
  <si>
    <t>에이밍 TOP BODY ASS'Y</t>
  </si>
  <si>
    <t>HANDLE ASS'Y</t>
  </si>
  <si>
    <t>HANDLE ASS'Y
(리모콘 적용 + BAT BOTTOM + 배터리 없는것)</t>
  </si>
  <si>
    <t>CRADLE ASS'Y</t>
  </si>
  <si>
    <t>에이밍</t>
  </si>
  <si>
    <t>코쿤 에이밍 십자 아크릴 (사각 모양)</t>
  </si>
  <si>
    <t>에이밍 십자 아크릴 (사각 모양) (투명 아크릴 + 인쇄)
[COCOON]</t>
  </si>
  <si>
    <t>원형 십자 아크릴 1 (테두리 두껍게 있는 것) 2.0T - 영국용</t>
  </si>
  <si>
    <t>에이밍 원형 십자 아크릴 (테두리 O) 2.0T (투명 아크릴 + 인쇄 2T - 영국용)
[COCOON]</t>
  </si>
  <si>
    <t>원형 십자 아크릴 1 (테두리 얇게 있는 것) 2.0T</t>
  </si>
  <si>
    <t>에이밍 원형 십자 아크릴 (테두리 O) 2.0T (투명 아크릴 + 인쇄 2T - 얇은 테두리)
[COCOON]</t>
  </si>
  <si>
    <t>원형 십자 아크릴 2 (테두리 없는 것) 2.0T - 사파리용</t>
  </si>
  <si>
    <t>에이밍 원형 십자 아크릴 (테두리 X) 2.0T (투명 아크릴 + 인쇄 2T -사파리용)
[COCOON]</t>
  </si>
  <si>
    <t>사각 앞사출</t>
  </si>
  <si>
    <t>에이밍 앞 사출 (블랙 유광)
[COCOON]</t>
  </si>
  <si>
    <t>에이밍 라이트 은경</t>
  </si>
  <si>
    <t>에이밍 아크릴 은경 (아크릴)
[COCOON]</t>
  </si>
  <si>
    <t>COCOON
블랙</t>
  </si>
  <si>
    <t>LED BODY A (블랙_원형)</t>
  </si>
  <si>
    <t>에이밍 LED BODY 신형 A
[COCOON]</t>
  </si>
  <si>
    <t>LED BODY B (블랙_사각형)</t>
  </si>
  <si>
    <t>에이밍 LED BODY 신형 B
[COCOON]</t>
  </si>
  <si>
    <t>에이밍 은경 + LED BD ASS'Y</t>
  </si>
  <si>
    <t>에이밍 젠더 (가공품)</t>
  </si>
  <si>
    <t>에이밍 방사구 젠더
[COCOON]</t>
  </si>
  <si>
    <t>POWER SWITCH BD (에이밍용 V3.0.0)</t>
  </si>
  <si>
    <t>POWER SWITCH BD (Ver 3.0.0)
[COCOON]</t>
  </si>
  <si>
    <t>CTR+Power BD 2핀 (코쿤 에이밍라이트용 하네스 1번 ) YHM025-02R 210mm</t>
  </si>
  <si>
    <t>에이밍 하네스 1번 (YHM025-02R 210mm, CTR + POWER BD 2핀)
[COCOON]</t>
  </si>
  <si>
    <t>LED BD 2핀 (코쿤 에이밍라이트용 하네스 2번)  YHM025-02R 180mm</t>
  </si>
  <si>
    <t>에이밍 하네스 2번 (YHM025-02R 180mm, LED BD 2핀, 19+83(사출결합))
[COCOON]</t>
  </si>
  <si>
    <t>락커스위치 2핀 ( YHM025-02R 100mm - Black 하네스 3번)</t>
  </si>
  <si>
    <t>COCOON 18cm Cone Ass'y (검정 부직포)</t>
  </si>
  <si>
    <t>COCOON 20cm Cone Ass'y (검정 부직포)</t>
  </si>
  <si>
    <t>COCOON
White</t>
  </si>
  <si>
    <t>락커스위치 2핀 ( YHM025-02R 100mm - White 하네스 3번)</t>
  </si>
  <si>
    <t>COCOON
블랙 무광</t>
  </si>
  <si>
    <t>BAT BOTTOM (ABS 난연 블랙 + 블랙 무광)
[COCOON]</t>
  </si>
  <si>
    <t>FRONT_L</t>
  </si>
  <si>
    <t>FRONT_L (20cm) (ABS 난연 블랙 + 블랙 무광)
[COCOON]</t>
  </si>
  <si>
    <t>FRONT_CAP (ABS 난연 블랙 + 블랙 무광)
[COCOON]</t>
  </si>
  <si>
    <t>에이밍 앞 사출 (블랙 무광)
[COCOON]</t>
  </si>
  <si>
    <t>사각 앞사출 ASS'Y (앞사출+십자아크릴+납)</t>
  </si>
  <si>
    <t>화이트 사출 아세이</t>
  </si>
  <si>
    <t>COCOON 
화이트 유광</t>
  </si>
  <si>
    <t>TOP BODY ASS'Y (에이밍)</t>
  </si>
  <si>
    <t>COCOON 
블랙 무광</t>
  </si>
  <si>
    <t>CRADLE ASS'Y (프레임 X)</t>
  </si>
  <si>
    <t>배터리</t>
  </si>
  <si>
    <t>배터리 [PF435060HP]_DX3000,ADX4000W공용</t>
  </si>
  <si>
    <t>기본 배터리 (PF435060HP)
[DX3000, ADX4000W]</t>
  </si>
  <si>
    <t>배터리_ 21.0V (5셀)</t>
  </si>
  <si>
    <t>기본 배터리 (LIP1902A 18.5V 5S 50C 2100mAh)
[ADX6000]</t>
  </si>
  <si>
    <t>소형 외부배터리 [PF435060HP]</t>
  </si>
  <si>
    <t>소형 외부배터리 (PF435060HP)
[DX3000]</t>
  </si>
  <si>
    <t>충전기</t>
  </si>
  <si>
    <t>2구 충전기 [JBL910A1602K00]-220V</t>
  </si>
  <si>
    <t>2구 충전기 (BPL910S16N01, 220V)
[공용]</t>
  </si>
  <si>
    <t>3구 충전기 [미국,호주 공용]</t>
  </si>
  <si>
    <t>3구 충전기 (BPL910S16F01, (미국, 호주 공용))
[공용]</t>
  </si>
  <si>
    <t>20V 2A 충전기</t>
  </si>
  <si>
    <t>20.7V 1.7A 충전기 (5S 어댑터)
[ADX6000]</t>
  </si>
  <si>
    <t>AC코드</t>
  </si>
  <si>
    <t>2구 AC코드 _ C 타입 [ 220V ]</t>
  </si>
  <si>
    <t>2구 AC코드 C타입 (220V)
[공용]</t>
  </si>
  <si>
    <t>2구 AC코드 _ A 타입 [ 110V ]-일본향</t>
  </si>
  <si>
    <t>2구 AC코드 A타입 (일본용, 110V)
[공용]</t>
  </si>
  <si>
    <t>3구 접지 AC 코드_ B 타입 [ 미국용 ]</t>
  </si>
  <si>
    <t>3구 접지 AC코드 B타입 (미국용)
[공용]</t>
  </si>
  <si>
    <t>3구 접지 AC 코드_ I 타입 [ 호주,중국 공용 ]</t>
  </si>
  <si>
    <t>3구 접지 AC코드 I타입 (호주, 중국 공용)
[공용]</t>
  </si>
  <si>
    <t>3구 접지 AC 코드_ G 타입 [ 영국용 ]</t>
  </si>
  <si>
    <t>3구 접지 AC코드 G타입 (영국용)
[공용]</t>
  </si>
  <si>
    <t>3구 접지 AC 코드_ F 타입 [ 220V 유럽용 ]</t>
  </si>
  <si>
    <t>3구 접지 AC 코드 (유럽용, 220V)
[공용]</t>
  </si>
  <si>
    <t>3구 접지 AC코드 _ A 타입 [ 110V ]</t>
  </si>
  <si>
    <t>3구 접지 AC 코드 A타입 (일본용, 110V)
[공용]</t>
  </si>
  <si>
    <t>거치대</t>
  </si>
  <si>
    <t>DX3000
ADX4000W
공용</t>
  </si>
  <si>
    <t>거치대 [ D-910 ]</t>
  </si>
  <si>
    <t>거치대 (D-910)
[DX3000, ADX4000W]</t>
  </si>
  <si>
    <t>연 아크릴</t>
  </si>
  <si>
    <t>연아크릴 [65∮] - 8T</t>
  </si>
  <si>
    <t>연아크릴 쉴드 8T (153 * ∮65 * 8T)
[공용] (선일쉴드텍)</t>
  </si>
  <si>
    <t>연아크릴 [60∮] - 12T</t>
  </si>
  <si>
    <t>연아크릴 쉴드 12T (153 * ∮60 * 12T)
[공용] (선일쉴드텍)</t>
  </si>
  <si>
    <t>연아크릴 [65∮] - 12T</t>
  </si>
  <si>
    <t>연아크릴 쉴드 12T (153 * ∮65 * 12T)
[공용] (중국)</t>
  </si>
  <si>
    <t>연아크릴 [65∮] - 12T (선일 쉴드텍 - 일본만 사용)</t>
  </si>
  <si>
    <t>연아크릴 쉴드 12T (153 * ∮65 * 12T)
[공용] (선일쉴드텍)</t>
  </si>
  <si>
    <t>연아크릴 [65∮] - 12T (8T 대용)</t>
  </si>
  <si>
    <t>ADX6000_연아크릴 [직사각형 215*195mm] - 8T
_하단 가공된 것</t>
  </si>
  <si>
    <t>사각 연아크릴 쉴드 (직사각형, 215 * 199mm 8T)
[ADX6000] (선일쉴드텍)</t>
  </si>
  <si>
    <t>ADX6000_연아크릴 [직사각형 215*195mm] - 8T</t>
  </si>
  <si>
    <t>실리콘</t>
  </si>
  <si>
    <t>실드 오링[60∮] _ AN-036</t>
  </si>
  <si>
    <t>쉴드 오링 (AN-036, 60∮)
[공용]</t>
  </si>
  <si>
    <t>실드 오링[60∮] _ AN-2.5     에이밍 사용</t>
  </si>
  <si>
    <t>DX3000용 연아크릴 실리콘 오링 3030</t>
  </si>
  <si>
    <t>연아크릴 실리콘 오링
[DX3000]</t>
  </si>
  <si>
    <t>ADX4000용 연아크릴 실리콘 오링 4040</t>
  </si>
  <si>
    <t>연아크릴 실리콘 오링
[ADX4000W]</t>
  </si>
  <si>
    <t>ADX6000_연아크릴 실리콘 오링</t>
  </si>
  <si>
    <t>연아크릴 실리콘 오링
[ADX6000]</t>
  </si>
  <si>
    <t>SCREW CAP</t>
  </si>
  <si>
    <t>SCREW CAP (RUBBER)
[공용]</t>
  </si>
  <si>
    <t>FOOT RUBBER</t>
  </si>
  <si>
    <t>실리콘 켑</t>
  </si>
  <si>
    <t>실리콘 캡 (LSR 투명 실리콘)
[DX3000]</t>
  </si>
  <si>
    <t>네임 플레이트</t>
  </si>
  <si>
    <t>DX3000 NAME PLATE</t>
  </si>
  <si>
    <t>NAME PLATE
[DX3000]</t>
  </si>
  <si>
    <t>iRay D3 NAME PLATE</t>
  </si>
  <si>
    <t>IRay D3 NAME PLATE
[DX3000]</t>
  </si>
  <si>
    <t>우루과이 네임 플레이트</t>
  </si>
  <si>
    <t>우루과이 NAME PLATE
[DX3000]</t>
  </si>
  <si>
    <t>ADX4000 NAME PLATE</t>
  </si>
  <si>
    <t>NAME PLATE
[ADX4000W]</t>
  </si>
  <si>
    <t>포장 자재</t>
  </si>
  <si>
    <t>알루미늄 필터 [1.5T * Φ63] (일본 동물용)</t>
  </si>
  <si>
    <t>알루미늄 필터 (1.5T * Φ63 일본 동물용)
[DX3000]</t>
  </si>
  <si>
    <t>OS라이센서 라벨</t>
  </si>
  <si>
    <t>OS라이센서 라벨 (Windows Embedded Standard 7 "E")
[ADX4000W]</t>
  </si>
  <si>
    <t>터치 팬</t>
  </si>
  <si>
    <t>DX3000
COCOON</t>
  </si>
  <si>
    <t>넥스트랩(포켓)</t>
  </si>
  <si>
    <t>넥스트 랩 (포켓)
[공용]</t>
  </si>
  <si>
    <t>실리카겔 [부직포 20g]</t>
  </si>
  <si>
    <t>가방끈(일본에 적용)</t>
  </si>
  <si>
    <t>가방끈 (일본용)
[DX3000]</t>
  </si>
  <si>
    <t>제품 스트랩 (호주에 적용)</t>
  </si>
  <si>
    <t>제품 어깨끈 (구형)
[DX3000]</t>
  </si>
  <si>
    <t>USB2.0 CABLE [PMM369-0200]-3M</t>
  </si>
  <si>
    <t>USB 2.0 CABLE (U-30136, 3m)
[ADX4000W]</t>
  </si>
  <si>
    <t>변환 젠더 _ 외부배터리 충전용(공용)</t>
  </si>
  <si>
    <t>외부배터리 충전용 잭
[공용]</t>
  </si>
  <si>
    <t>REMOTE CONTROL [RW20]- 3M</t>
  </si>
  <si>
    <t>REMOTE CONTROL (RW20, 3m + 샘플 1EA)
[공용]</t>
  </si>
  <si>
    <t>ADX6000 name plate</t>
  </si>
  <si>
    <t>ADX6000 NAME PLATE
[ADX6000]</t>
  </si>
  <si>
    <t>IRay A6 name plate</t>
  </si>
  <si>
    <t>IRay A6 NAME PLATE
[ADX6000]</t>
  </si>
  <si>
    <t>사각 줄자 (White)</t>
  </si>
  <si>
    <t>사각 줄자 가이드</t>
  </si>
  <si>
    <t>사각 줄자 가이드
[ADX6000S]</t>
  </si>
  <si>
    <t>PC Link Cable</t>
  </si>
  <si>
    <t>PC Link Cable
[ADX6000]</t>
  </si>
  <si>
    <t>스킨가드(밸크로)</t>
  </si>
  <si>
    <t>전자 각도기</t>
  </si>
  <si>
    <t>전자 각도기
[ADX6000S]</t>
  </si>
  <si>
    <t>각도기 거치대</t>
  </si>
  <si>
    <t>각도기 거치대
[ADX6000]</t>
  </si>
  <si>
    <t>각도기 내부 철판</t>
  </si>
  <si>
    <t>각도기 내부 철판
[ADX6000]</t>
  </si>
  <si>
    <t>박스</t>
  </si>
  <si>
    <t>i cam 구강 카메라 박스</t>
  </si>
  <si>
    <t>Rex 구강 카메라 박스
[공용]</t>
  </si>
  <si>
    <t>REX2 센서박스</t>
  </si>
  <si>
    <t>Rex2 센서 박스
[공용]</t>
  </si>
  <si>
    <t>센서</t>
  </si>
  <si>
    <t>i cam 구강 카메라</t>
  </si>
  <si>
    <t>구강 카메라
[공용]</t>
  </si>
  <si>
    <t>330N DRTECH 센서</t>
  </si>
  <si>
    <t>330N DRTECH 센서
[공용]</t>
  </si>
  <si>
    <t>Rex2 Elite [XVS2530] Size 1.5</t>
  </si>
  <si>
    <t>Rex2 Elite [iRay] Size 2.0</t>
  </si>
  <si>
    <t>HDI 2000 [Rex2 Premium/1.5]</t>
  </si>
  <si>
    <t>HDI 2000 [Rex2 Premium/1.5]
[공용]</t>
  </si>
  <si>
    <t>HDI 2000 [Rex2 Premium/2.0]</t>
  </si>
  <si>
    <t>HDI 2000 [Rex2 Premium/2.0]
[공용]</t>
  </si>
  <si>
    <t>HDI-S [Rex2 Premium/1.0]</t>
  </si>
  <si>
    <t>HDI-S [Rex2 Premium/1.0]
[공용]</t>
  </si>
  <si>
    <t>HDI-S [Rex2 Premium/1.5]</t>
  </si>
  <si>
    <t>HDI-S [Rex2 Premium/1.5]
[공용]</t>
  </si>
  <si>
    <t>HDI-S [Rex2 Premium/2.0]</t>
  </si>
  <si>
    <t>HDI-S [Rex2 Premium/2.0]
[공용]</t>
  </si>
  <si>
    <t>CMOS 센서-EV71JU215A-C-00B1(#1)</t>
  </si>
  <si>
    <t>CMOS 센서 (#1) (EV71JU215A-C-00B1)
[공용]</t>
  </si>
  <si>
    <t>CMOS 센서-EV71JU213A-C-00B1(#2)</t>
  </si>
  <si>
    <t>CMOS 센서 (#2) (EV71JU213A-C-00B1)
[공용]</t>
  </si>
  <si>
    <t>PIXXGEN_ PIXX1717W (Size 17"x17")</t>
  </si>
  <si>
    <t>CareRay_ CareView1800Cwe (Size 17"x17")</t>
  </si>
  <si>
    <t>가방</t>
  </si>
  <si>
    <t>DX3000 ADX4000W</t>
  </si>
  <si>
    <t>DX3000, ADX4000W 가방 [로고 O]</t>
  </si>
  <si>
    <t>DX3000, ADX4000W 가방 [로고 X]</t>
  </si>
  <si>
    <t>COCOON ADX6000</t>
  </si>
  <si>
    <t>COCOON, ADX6000FB 가방 [로고 O]</t>
  </si>
  <si>
    <t>COCOON, ADX6000FB 가방 [로고 X]</t>
  </si>
  <si>
    <t>COCOON 케어스트림</t>
  </si>
  <si>
    <t>COCOON 가방 [케어스트림 로고]</t>
  </si>
  <si>
    <t>디텍터 가방</t>
  </si>
  <si>
    <t>내부 폼</t>
  </si>
  <si>
    <t>DX3000 _ [15cm cone용] 내부 FOAM (상판 ,하판,계란판)</t>
  </si>
  <si>
    <t>가방 내부 폼 (15cm cone)
[DX3000]</t>
  </si>
  <si>
    <t>DX3000 _ [20cm cone용] 내부 FOAM (상판 ,하판,계란판)</t>
  </si>
  <si>
    <t>가방 내부 폼 (20cm cone용, 20 * 80)
[DX3000]</t>
  </si>
  <si>
    <t>ADX4000W _ [15cm cone용] 내부 FOAM (상판 ,하판,계란판)</t>
  </si>
  <si>
    <t>가방 내부 폼 (15cm cone)
[ADX4000W]</t>
  </si>
  <si>
    <t>ADX4000W _ [20cm cone용] 내부 FOAM (상판 ,하판,계란판)</t>
  </si>
  <si>
    <t>가방 내부 폼 (20cm cone용, 40 * 60)
[ADX4000W]</t>
  </si>
  <si>
    <t>가방 내부 폼 상판 (18cm)</t>
  </si>
  <si>
    <t>가방 내부 폼 상판 (18cm)
[COCOON]</t>
  </si>
  <si>
    <t>가방 내부 폼 하판 (18cm)</t>
  </si>
  <si>
    <t>가방 내부 폼 하판 (18cm)
[COCOON]</t>
  </si>
  <si>
    <t>가방 내부 폼 상판 (20cm)</t>
  </si>
  <si>
    <t>가방 내부 폼 상판 (20cm)
[COCOON]</t>
  </si>
  <si>
    <t>가방 내부 폼 하판 (20cm)</t>
  </si>
  <si>
    <t>가방 내부 폼 하판 (20cm)
[COCOON]</t>
  </si>
  <si>
    <t>가방 내부 폼 상판 (신형)</t>
  </si>
  <si>
    <t>가방 내부 폼 상판 (신형)
[ADX6000FB]</t>
  </si>
  <si>
    <t>가방 내부 폼 중간판 (신형)</t>
  </si>
  <si>
    <t>가방 내부 폼 중간판 (신형)
[ADX6000FB]</t>
  </si>
  <si>
    <t>가방 내부 폼 하판 (신형)</t>
  </si>
  <si>
    <t>가방 내부 폼 하판 (신형)
[ADX6000FB]</t>
  </si>
  <si>
    <t>SOLO _ [18cm cone용] 내부 FOAM (상판, 하판)
Forensic용 손잡이 분리형</t>
  </si>
  <si>
    <t>SOLO _ 제품 박스 Forensic용 [530*300*190]</t>
  </si>
  <si>
    <t>SOLO _ 카톤 박스 Forensic용 [550*400*330]</t>
  </si>
  <si>
    <t>SOLO _ [20cm cone용] 내부 FOAM (상판, 하판)
손잡이 체결형</t>
  </si>
  <si>
    <t>내부폼 (가교 PAD) SET
[SOLO]</t>
  </si>
  <si>
    <t>SOLO _ 제품 박스 [420*400*180]</t>
  </si>
  <si>
    <t>제품박스(I/N BOX) (KLB.K.KLB (B) 410 * 390 *180)
[SOLO]</t>
  </si>
  <si>
    <t>SOLO _ 카톤 박스 [440*390*420]</t>
  </si>
  <si>
    <t>카톤박스(C/T BOX) (KLB.4K (BA/W) 430 * 380 * 420)
[SOLO]</t>
  </si>
  <si>
    <t>제품 박스</t>
  </si>
  <si>
    <t>DX3000,ADX4000W _ 제품 박스 [450*240*360] 공용</t>
  </si>
  <si>
    <t>영문 박스 (450 * 240 * 360)
[DX3000, ADX4000W]</t>
  </si>
  <si>
    <t>COCOON _ 제품 박스 [450*240*490]</t>
  </si>
  <si>
    <t>영문 박스 (450 * 240 * 490)
[COCOON]</t>
  </si>
  <si>
    <t>ADX6000s _ 제품 박스 [450*240*490]</t>
  </si>
  <si>
    <t>제품 박스
[ADX6000S]</t>
  </si>
  <si>
    <t>DX3000,ADX4000W _ 카톤 박스 [490*460*370]</t>
  </si>
  <si>
    <t>카톤 박스 (495 * 472 * 380)
[DX3000, ADX4000W]</t>
  </si>
  <si>
    <t>COCOON _ 카톤 박스 [500*460*520]</t>
  </si>
  <si>
    <t>카톤 박스 (500 * 460 * 520)
[COCOON]</t>
  </si>
  <si>
    <t>ADX6000s _ 카톤 박스 [500*460*520]</t>
  </si>
  <si>
    <t>카톤 박스
[ADX6000S]</t>
  </si>
  <si>
    <t>저가 제품 박스(小)</t>
  </si>
  <si>
    <t>저가 제품 박스 (小)
[공용]</t>
  </si>
  <si>
    <t>에어셀</t>
  </si>
  <si>
    <t>저가 박스 에어셀_Main (JD010411-01)</t>
  </si>
  <si>
    <t>저가 박스 에어셀 Main (JD010411-01)
[공용]</t>
  </si>
  <si>
    <t>저가 박스 에어셀_ACC (JD010412-01)</t>
  </si>
  <si>
    <t>DX3000 에어셀_TOP (JD010211-02)</t>
  </si>
  <si>
    <t>DX3000 에어셀_BOTTOM (JD010212-02)</t>
  </si>
  <si>
    <t>COCOON 에어셀_TOP (JD010311-01)</t>
  </si>
  <si>
    <t>COCOON 에어셀_BOTTOM (JD010312-01)</t>
  </si>
  <si>
    <t>DX3000M 저가형 에어셀</t>
  </si>
  <si>
    <t>사출_ 샌딩</t>
  </si>
  <si>
    <t>Top_body _ 블랙 샌딩</t>
  </si>
  <si>
    <t>TOP Body (ABS 블랙 샌딩)
[SOLO]</t>
  </si>
  <si>
    <t>Bottom Body _ 블랙 샌딩</t>
  </si>
  <si>
    <t>Bottom Body (ABS 블랙 샌딩)
[SOLO]</t>
  </si>
  <si>
    <t>Hand_Body _ 블랙 샌딩</t>
  </si>
  <si>
    <t>Hand_Body (ABS 블랙 샌딩)
[SOLO]</t>
  </si>
  <si>
    <t>Bat_Bottom _ 블랙 샌딩</t>
  </si>
  <si>
    <t>Bat_Bottom (ABS 블랙 샌딩)
[SOLO]</t>
  </si>
  <si>
    <t>Bat_Bottom_Cover _ 블랙 샌딩</t>
  </si>
  <si>
    <t>Bat_Bottom_Cover (ABS 블랙 샌딩)
[SOLO]</t>
  </si>
  <si>
    <t>Power Button _ 블랙 샌딩</t>
  </si>
  <si>
    <t>Power Button (ABS 블랙 샌딩)
[SOLO]</t>
  </si>
  <si>
    <t>Lock Knob _ 블랙 샌딩</t>
  </si>
  <si>
    <t>Lock Knob (ABS 블랙 샌딩)
[SOLO]</t>
  </si>
  <si>
    <t>사출_ 도색</t>
  </si>
  <si>
    <t>Front_CAP _ 메탈릭 다크 그레이 도색</t>
  </si>
  <si>
    <t>Front_CAP (ABS 메탈릭 다크그레이)
[SOLO]</t>
  </si>
  <si>
    <t>연장 Cone  _ 메탈릭 다크 그레이 도색</t>
  </si>
  <si>
    <t>연장 Cone (ABS 메탈릭 다크그레이)
[SOLO]</t>
  </si>
  <si>
    <t>Main_Cone _ 메탈릭 다크 그레이 도색</t>
  </si>
  <si>
    <t>Main_Cone (ABS 메탈릭 다크그레이)
[SOLO]</t>
  </si>
  <si>
    <t>45cm_Cone _ 메탈릭 다크 그레이 도색</t>
  </si>
  <si>
    <t>Short_Button _ 메탈릭 다크 그레이 도색</t>
  </si>
  <si>
    <t>Shot_Button (ABS 메탈릭 다크그레이)
[SOLO]</t>
  </si>
  <si>
    <t>Slide Switch _ SKY BLUE 무광 도색</t>
  </si>
  <si>
    <t>Slide Switch (ABS 블루(PANTTON 660C) 무광)
[SOLO]</t>
  </si>
  <si>
    <t>Slide Switch Cap _ 레드무광 도색</t>
  </si>
  <si>
    <t>Slide Switch Cap (ABS 레드 무광)
[SOLO]</t>
  </si>
  <si>
    <t>Lock Inner _ 블랙</t>
  </si>
  <si>
    <t>Lock Inner (ABS 블랙)
[SOLO]</t>
  </si>
  <si>
    <t>Hand_Topr Cover_ 블랙</t>
  </si>
  <si>
    <t>Hand Top Cover (ABS 블랙)
[SOLO]</t>
  </si>
  <si>
    <t>Short PCB Guider _ 블랙</t>
  </si>
  <si>
    <t>Shot_PCB_Guide
[SOLO]</t>
  </si>
  <si>
    <t>발생부 Guide _ 블랙</t>
  </si>
  <si>
    <t>발생부_Guide (ABS 블랙)
[SOLO]</t>
  </si>
  <si>
    <t>LCD 가이드 _ 블랙</t>
  </si>
  <si>
    <t>LCD GUIDE (ABS 블랙)
[SOLO]</t>
  </si>
  <si>
    <t>SOLO-
확산 아크릴</t>
  </si>
  <si>
    <t>Aiming_Light _LED 확산 아크릴</t>
  </si>
  <si>
    <t>Aiming_Light_LED_아크릴 (확산 아크릴/ 화이트)
[SOLO]</t>
  </si>
  <si>
    <t>BAT_LED 확산 아크릴</t>
  </si>
  <si>
    <t>BAT_LED_확산_아크릴 (확산 아크릴/ 화이트)
[SOLO]</t>
  </si>
  <si>
    <t>LCD_LED 확산 아크릴</t>
  </si>
  <si>
    <t>LCD_LED_확산_아크릴 (확산 아크릴/ 화이트)
[SOLO]</t>
  </si>
  <si>
    <t>LCD_창 (PC / 투명 )</t>
  </si>
  <si>
    <t>LCD_Window (PC / 투명 + (구형 26))
[SOLO]</t>
  </si>
  <si>
    <t>광센서_유색_창 (PC/스모그/퍼플)</t>
  </si>
  <si>
    <t>광센서_유색_창 (PC/스모그/퍼플)
[SOLO]</t>
  </si>
  <si>
    <t>알루미늄</t>
  </si>
  <si>
    <t>마운트 ( 알루미늄_1/4 PT 탭 x 12mm)</t>
  </si>
  <si>
    <t>마운트 (삼각대 고정홀)
[SOLO]</t>
  </si>
  <si>
    <t>경첩</t>
  </si>
  <si>
    <t>Bat_경첩 ( 2Ø, 26.2mm )</t>
  </si>
  <si>
    <t>Bat_Rubber (실리콘/ 양면테잎 적용)</t>
  </si>
  <si>
    <t>BAT BOTTOM RUBBER (RUBBER (1T, 마운트 홀))
[SOLO]</t>
  </si>
  <si>
    <t>가스켓</t>
  </si>
  <si>
    <t>LCD 터치 가스켓 ( 8x8x7mm)</t>
  </si>
  <si>
    <t>LCD 터치가스켓 (8X8X7)
[SOLO]</t>
  </si>
  <si>
    <t>황동</t>
  </si>
  <si>
    <t>배터리_단자대</t>
  </si>
  <si>
    <t>은경</t>
  </si>
  <si>
    <t>LED PCB 방열 가이드 _ 블랙</t>
  </si>
  <si>
    <t>에이밍  BODY뭉치 _ 블랙</t>
  </si>
  <si>
    <t>PCB BD</t>
  </si>
  <si>
    <t>에이밍 라이트 PCB 보드</t>
  </si>
  <si>
    <t>POWER_BD</t>
  </si>
  <si>
    <t>POWER_BD
[SOLO]</t>
  </si>
  <si>
    <t>OP_BD</t>
  </si>
  <si>
    <t>OP_BD
[SOLO]</t>
  </si>
  <si>
    <t>CTR _BD</t>
  </si>
  <si>
    <t>CTR _BD
[SOLO]</t>
  </si>
  <si>
    <t>MAIN_BD</t>
  </si>
  <si>
    <t>MAIN_BD
[SOLO]</t>
  </si>
  <si>
    <t>리모콘_BD</t>
  </si>
  <si>
    <t>리모콘_BD
[SOLO]</t>
  </si>
  <si>
    <t>EXP_BD</t>
  </si>
  <si>
    <t>EXP_BD
[SOLO]</t>
  </si>
  <si>
    <t>BATCON_BD</t>
  </si>
  <si>
    <t>BATCON_BD
[SOLO]</t>
  </si>
  <si>
    <t>Harness-01 - COCOON과 공용
( BATCON BD+EXP BD 연결 _16AWG 실리콘 / 150mm)</t>
  </si>
  <si>
    <t>SOLO 하네스 2번 (12505HS-03 Battery-Handle bridge 3핀)
[SOLO]</t>
  </si>
  <si>
    <t>Harness-02 
( BATCON BD + EXP BD 연결 _26AWG / 190mm )</t>
  </si>
  <si>
    <t>SOLO 하네스 4번 (BATCON+EXP _ 190mm(Red1EA, White 2EA)-3핀)
[SOLO]</t>
  </si>
  <si>
    <t>Harness-03 
( OP BD+POWER BD 연결_26AWG / 125mm(6번 제외) )</t>
  </si>
  <si>
    <t>SOLO 하네스 1번 (12505HS-12 (PowerBD - OP 12핀))
[SOLO]</t>
  </si>
  <si>
    <t>Harness-04 
( OP BD + CTR BD 연결 _0.5mm FFC / 100mm )</t>
  </si>
  <si>
    <t>SOLO 하네스 3번 (0.5 * 40 * 100 * B (FFC 40핀))
[SOLO]</t>
  </si>
  <si>
    <t>Harness-05 
( Main PCB + 리모콘 BD 연결 3핀 )</t>
  </si>
  <si>
    <t>SOLO ASS'Y</t>
  </si>
  <si>
    <t>SOLO _ TOP BODY ASS'Y</t>
  </si>
  <si>
    <t>SOLO _  BOTTOM BODY ASS'Y</t>
  </si>
  <si>
    <t>SOLO _  OP BD  Ass'y</t>
  </si>
  <si>
    <t>SOLO _  HANDLE ASS'Y</t>
  </si>
  <si>
    <t>SOLO _ 18cm Cone Ass'y</t>
  </si>
  <si>
    <t>SOLO _ 20cm Cone Ass'y</t>
  </si>
  <si>
    <t>SOLO _  에이밍 라이트 ASS'Y</t>
  </si>
  <si>
    <t>ADX6000 BAT CONNECT BD (Ver 4.0)</t>
  </si>
  <si>
    <t>COCOON TOP BODY (W)</t>
  </si>
  <si>
    <t>COCOON CRADLE BODY (W)</t>
  </si>
  <si>
    <t>COCOON CRADLE BOTTOM (W)</t>
  </si>
  <si>
    <t>5" LCD TOP COVER</t>
  </si>
  <si>
    <t>5" LCD BOTTOM COVER</t>
  </si>
  <si>
    <t>5" LCD BD</t>
  </si>
  <si>
    <t>5" LCD 판넬</t>
  </si>
  <si>
    <t>5" LCD BD ASS'Y</t>
  </si>
  <si>
    <t>ADX6000 DFI_BD ASS'Y</t>
  </si>
  <si>
    <t>Podiatry Stand Pole</t>
  </si>
  <si>
    <t>Podiatry Stand Arm</t>
  </si>
  <si>
    <t>Podiatry Stand 브라켓</t>
  </si>
  <si>
    <t>AllMyT For DX3000 ASS'Y</t>
  </si>
  <si>
    <t>AllMyT For ADX6000 ASS'Y</t>
  </si>
  <si>
    <t>Chest &amp; Bed For ADX6000 ASS'Y</t>
  </si>
  <si>
    <t>Podiatry For ADX6000 ASS'Y</t>
  </si>
  <si>
    <t>완제품 본체</t>
  </si>
  <si>
    <t>60kV 2mA / 10cm 기본 (Black)</t>
  </si>
  <si>
    <t>60kV 2mA (White)</t>
  </si>
  <si>
    <t>60kV 2mA / 15cm (일본) (White 양손잡이)</t>
  </si>
  <si>
    <t>60kV 2mA / 15cm (일본 동물용) (White 양손잡이)</t>
  </si>
  <si>
    <t>60kV 2mA / 20cm 기본 (White)</t>
  </si>
  <si>
    <t>60kV 2mA / 10cm (인도 네시아) (White 양손잡이)</t>
  </si>
  <si>
    <t>60kV 2mA / 10cm (이미지 웍스) (Black 양손잡이)</t>
  </si>
  <si>
    <t>60kV 2mA / 10cm (우루과이 &amp; 푸에르토 리코) (Black)</t>
  </si>
  <si>
    <t>60kV 2mA / 20cm (우루과이 용) (Black)</t>
  </si>
  <si>
    <t>60kV 2mA / 20cm (사파리 덴탈 용) (White)</t>
  </si>
  <si>
    <t>65kV 1.7mA / 20cm 기본 (지사 용) (White 양손잡이)</t>
  </si>
  <si>
    <t>65kV 1.7mA / 20cm (MaxRay) (White 양손잡이)</t>
  </si>
  <si>
    <t>65kV 1.7mA (Black 양손잡이)</t>
  </si>
  <si>
    <t>65kV 1.7mA / 10cm _USA(medicatech 동물용) (White,Black 양손잡이)</t>
  </si>
  <si>
    <t>65kV 1.7mA / 10cm _CBI용 (동물용) (Black 양손잡이)</t>
  </si>
  <si>
    <t>70KV 3mA TFT용 / 원형_컬리메이터 적용 _ 메디컬 용 (Black)</t>
  </si>
  <si>
    <t>70KV 3mA TFT용 / 사각_컬리메이터 적용 _ 메디컬 용 (Black)</t>
  </si>
  <si>
    <t>60KV 2mA TFT용 / 컬리메이터 적용 _ 동물 용 (Black)</t>
  </si>
  <si>
    <t>60KV 2mA TFT용 / 10cm 기본 (White)</t>
  </si>
  <si>
    <t>60kV 2mA / 기본 (White)</t>
  </si>
  <si>
    <t>60kV 2mA / 15cm (white)</t>
  </si>
  <si>
    <t>60kV 2mA / 20cm (white)</t>
  </si>
  <si>
    <t>60kV 2mA / 20cm (사파리 덴탈용) (white)</t>
  </si>
  <si>
    <t>ADX6000 / 탈착용[80kv,5mA] (white)</t>
  </si>
  <si>
    <t>ADX6000S / 탈착용[80kv,5mA] (white)</t>
  </si>
  <si>
    <t>ADX6000FB / 탈착용[80kv,5mA] (white)</t>
  </si>
  <si>
    <t>DX-7017 / 18cm 기본 덴탈 용 (gray)</t>
  </si>
  <si>
    <t>DX-7017 / 20cm 기본 덴탈 용 (gray)</t>
  </si>
  <si>
    <t>DX-7020 / 18cm 기본 덴탈 용 (덱스코윈 로고) (gray)</t>
  </si>
  <si>
    <t>DX-7020 / 18cm Aming Light 트리거 식 _ 덴탈 용 (gray)</t>
  </si>
  <si>
    <t>DX-7020 / 18cm Aming Light 트리거 식 _ 덴탈 (댄티맥스) (gray)</t>
  </si>
  <si>
    <t>DX-7020 / 18cm Aming Light 트리거 식 _ 동물 용 (CBi 용) (gray)</t>
  </si>
  <si>
    <t>DX-7020 / 18cm Aming Light 스위치식 _동뭉 용 (미국지사) (gray)</t>
  </si>
  <si>
    <t>DX-7020 / 20cm 기본 덴탈 용 (덱스코윈 로고) (gray)</t>
  </si>
  <si>
    <t>DX-7020 / 20cm 기본 덴탈 용_ 페루 (스페인어 음성 적용) (gray)</t>
  </si>
  <si>
    <t>DX-7020 / 20cm 기본 덴탈 _사파리 덴탈 (케나다용 덴티맥스) (gray)</t>
  </si>
  <si>
    <t>DX-7020 / 20cm Aming Light 스위치식_덴탈용 (사파리덴탈 용) (white)</t>
  </si>
  <si>
    <t>DX-7020 / 20cm Aming Light 트리거 식 _ 동물 용 (gray)</t>
  </si>
  <si>
    <t>DX-7020 / 20cm Aming Light 트리거 식 _ 덴탈 용 (영국용) (gray)</t>
  </si>
  <si>
    <t>DX-7020 / 18cm Aming Light 트리거 식 _ Carestream</t>
  </si>
  <si>
    <t>DX-7020s / 18cm 덴탈_Aming Light_트리거식 (Black)</t>
  </si>
  <si>
    <t>DX-7020s / 20cm 덴탈_Aming Light_트리거식 (Black)</t>
  </si>
  <si>
    <t>ADX4000W 60KV 2mA / 15cm White [일본] (5" 적용)</t>
  </si>
  <si>
    <t>SOLO 70KV, 2mA / 20cm Black [iM3 / 트리거 에이밍 적용]</t>
  </si>
  <si>
    <t>▼ 생산부 품명 (매칭)</t>
  </si>
  <si>
    <t>공급처</t>
  </si>
  <si>
    <t>창고</t>
  </si>
  <si>
    <t>BOARD</t>
  </si>
  <si>
    <t>한샘디지텍</t>
  </si>
  <si>
    <t>해진정밀</t>
  </si>
  <si>
    <t>PCB</t>
  </si>
  <si>
    <t>4.8" LCD BD</t>
  </si>
  <si>
    <t>HLP</t>
  </si>
  <si>
    <t>비씨엠테크</t>
  </si>
  <si>
    <t>한컴MDS</t>
  </si>
  <si>
    <t>KONTRON</t>
  </si>
  <si>
    <t>PANEL</t>
  </si>
  <si>
    <t>홍콩</t>
  </si>
  <si>
    <t>CABLE</t>
  </si>
  <si>
    <t>X-ray Tube</t>
  </si>
  <si>
    <t>DX3000, ADX4000W</t>
  </si>
  <si>
    <t>신광포토레이</t>
  </si>
  <si>
    <t>RS422 통신 및 PC 전원 on/off -7핀</t>
  </si>
  <si>
    <t>전원 및 EXP Wire -8핀</t>
  </si>
  <si>
    <t>베이클라이트</t>
  </si>
  <si>
    <t>DX3000, ADX4000W ADX6000</t>
  </si>
  <si>
    <t>용봉화학</t>
  </si>
  <si>
    <t>ABS 난연</t>
  </si>
  <si>
    <t>천우</t>
  </si>
  <si>
    <t>램프</t>
  </si>
  <si>
    <t>DX3000, ADX4000W COCOON</t>
  </si>
  <si>
    <t>다이오드</t>
  </si>
  <si>
    <t>비지티</t>
  </si>
  <si>
    <t>저항</t>
  </si>
  <si>
    <t>세라믹</t>
  </si>
  <si>
    <t>비지티, HLP</t>
  </si>
  <si>
    <t>트랜스</t>
  </si>
  <si>
    <t>미래메디칼</t>
  </si>
  <si>
    <t>CORE</t>
  </si>
  <si>
    <t>대영파츠넷</t>
  </si>
  <si>
    <t>승리케이블</t>
  </si>
  <si>
    <t>40KVDC 22AWG (히터트랜스용 붉은 고압선)</t>
  </si>
  <si>
    <t>AL</t>
  </si>
  <si>
    <t>다우정밀</t>
  </si>
  <si>
    <t>쿨링팬</t>
  </si>
  <si>
    <t>직구</t>
  </si>
  <si>
    <t>써멀패드</t>
  </si>
  <si>
    <t>페라이트</t>
  </si>
  <si>
    <t>동글</t>
  </si>
  <si>
    <t>일본 지사</t>
  </si>
  <si>
    <t>USB</t>
  </si>
  <si>
    <t>광전레이저</t>
  </si>
  <si>
    <t>오링</t>
  </si>
  <si>
    <t>DX3000,ADX4000W COCOON,ADX6000</t>
  </si>
  <si>
    <t>인조가죽</t>
  </si>
  <si>
    <t>굿모닝코리아유통</t>
  </si>
  <si>
    <t>ADX4000W, ADX6000</t>
  </si>
  <si>
    <t>12505HS-02+SORDER 200mm 스피커 2핀 (하네스 4-1번)</t>
  </si>
  <si>
    <t>LCD BD (사파리) -원버턴타입</t>
  </si>
  <si>
    <t>유그린</t>
  </si>
  <si>
    <t>PU FOAM</t>
  </si>
  <si>
    <t>DX3000, SOLO</t>
  </si>
  <si>
    <t>클리어디스플레이</t>
  </si>
  <si>
    <t>CJ4003 JACK (관전류 짹 + 2핀케이블) - 하네스8</t>
  </si>
  <si>
    <t>AL 스티커</t>
  </si>
  <si>
    <t>에덴상공사</t>
  </si>
  <si>
    <t>제품 거치대</t>
  </si>
  <si>
    <t>제이케이시스템</t>
  </si>
  <si>
    <t>라벨</t>
  </si>
  <si>
    <t>전극</t>
  </si>
  <si>
    <t>DXDR-070</t>
  </si>
  <si>
    <t>금오몰드</t>
  </si>
  <si>
    <t>아크릴</t>
  </si>
  <si>
    <t>STEEL</t>
  </si>
  <si>
    <t>필라멘트</t>
  </si>
  <si>
    <t>DXDR-070,DXDR-100</t>
  </si>
  <si>
    <t>코바</t>
  </si>
  <si>
    <t>필러</t>
  </si>
  <si>
    <t>텅스텐 필라멘트
[DXDR-100]</t>
  </si>
  <si>
    <t>CEI</t>
  </si>
  <si>
    <t>100kV</t>
  </si>
  <si>
    <t>HDPE</t>
  </si>
  <si>
    <t>COCOON, ADX6000</t>
  </si>
  <si>
    <t>680pF DHR4E4C681K2BB 무라타 작은 콘덴서</t>
  </si>
  <si>
    <t>세라믹 작은 콘덴서 Vishay (HVCC203Y6P681MCAX)
[COCOON, ADX6000]</t>
  </si>
  <si>
    <t>DCT,HLP</t>
  </si>
  <si>
    <t>도일코리아</t>
  </si>
  <si>
    <t>히터트랜스용 고압선(흰색) (DSI HV CABLE 2178)
[SOLO]</t>
  </si>
  <si>
    <t>BGT</t>
  </si>
  <si>
    <t>디지아이</t>
  </si>
  <si>
    <t>OLED B/D (듀얼)
[DX3000]</t>
  </si>
  <si>
    <t>RELAY 쪽 보드
[DX3000]</t>
  </si>
  <si>
    <t>하네스 4번 (후면 전원 Wire - DC 잭)
[DX3000]</t>
  </si>
  <si>
    <t>하네스 7번 (마그네틱보드 연결 4핀)
[DX3000]</t>
  </si>
  <si>
    <t>LCD GUIDE (사파리)
[DX3000]</t>
  </si>
  <si>
    <t>FRONT COVER (듀얼 슬라이드) (ABS 난연 블랙 (홀작업 완료))
[DX3000]</t>
  </si>
  <si>
    <t>X-CAP 체결형 (구형, 일본용) (ABS 난연 화이트 + 진한 회색)
[DX3000]</t>
  </si>
  <si>
    <t>X-CAP 체결형 스프레이 X (구형, 일본용) (ABS 난연 화이트)
[DX3000]</t>
  </si>
  <si>
    <t>CONE 젠더 (ABS 난연 블랙 + 블랙 무광)
[DX3000]</t>
  </si>
  <si>
    <t>FET B/D (+ 56 (교체전))
[COCOON]</t>
  </si>
  <si>
    <t>OP &amp; TOUCH BD
[COCOON]</t>
  </si>
  <si>
    <t>CTR BD 외부단자 2핀 (TX30(FEMALE)+YH396-02100mm (하네스 1번)</t>
  </si>
  <si>
    <t>TX30(MALE)+DC022(2.5) 80mm 전원 외부단자 2핀 (하네스 2번)</t>
  </si>
  <si>
    <t>30핀 FFC CABLE (하네스 3번)</t>
  </si>
  <si>
    <t>12505HS-02+SORDER 50mm 스피커 2핀 (하네스 4번)</t>
  </si>
  <si>
    <t>BATTERY BRIDGE BD 4핀 (YH396-04*2EA 150mm (하네스 5번)</t>
  </si>
  <si>
    <t>12505HS-05 125mm POWER SWITCH BD 5핀 (하네스 7번)</t>
  </si>
  <si>
    <t>YH396-02+SORDER 80mm CRADLE 신주 연결 2핀 (하네스 11번)</t>
  </si>
  <si>
    <t>LED BD 2핀 (코쿤 에이밍라이트용 하네스 2번) YHM025-02R 180mm</t>
  </si>
  <si>
    <t>도금용 ABS</t>
  </si>
  <si>
    <t>DX3000, ADX6000,SOLO</t>
  </si>
  <si>
    <t>오비스코리아</t>
  </si>
  <si>
    <t>명동아크릴</t>
  </si>
  <si>
    <t>㈜쿠가</t>
  </si>
  <si>
    <t>우민테크</t>
  </si>
  <si>
    <t>RUBBER</t>
  </si>
  <si>
    <t>남경화학</t>
  </si>
  <si>
    <t>신주</t>
  </si>
  <si>
    <t>스프링</t>
  </si>
  <si>
    <t>금호스프링</t>
  </si>
  <si>
    <t>자석</t>
  </si>
  <si>
    <t>일성마그네트</t>
  </si>
  <si>
    <t>FRONT_S (18cm) (ABS 난연 블랙 + 블랙 무광)
[COCOON]</t>
  </si>
  <si>
    <t>Harness-03 ( OP BD+POWER BD 연결_26AWG / 125mm(6번 제외) )</t>
  </si>
  <si>
    <t>Harness-01 - COCOON과 공용 ( BATCON BD+EXP BD 연결 _16AWG 실리콘 / 150mm)</t>
  </si>
  <si>
    <t>Harness-04 ( OP BD + CTR BD 연결 _0.5mm FFC / 100mm )</t>
  </si>
  <si>
    <t>Harness-02 ( BATCON BD + EXP BD 연결 _26AWG / 190mm )</t>
  </si>
  <si>
    <t>Button Indicator (ABS 블랙)
[SOLO]</t>
  </si>
  <si>
    <t>월드씨앤피</t>
  </si>
  <si>
    <t>연장 Cone _ 메탈릭 다크 그레이 도색</t>
  </si>
  <si>
    <t>GUIDE 스프레이 X (ABS 난연 화이트)
[ADX4000W]</t>
  </si>
  <si>
    <t>POWER BUTTON 스프레이 X (ABS 난연 화이트)
[ADX4000W]</t>
  </si>
  <si>
    <t>EXPOSE BUTTON 스프레이 X (ABS 난연 화이트)
[ADX4000W]</t>
  </si>
  <si>
    <t>NAVI BUTTON 스프레이 X (가운데) (ABS 난연 화이트)
[ADX4000W]</t>
  </si>
  <si>
    <t>NAVI KEY 스프레이 X (방향) (ABS 난연 화이트)
[ADX4000W]</t>
  </si>
  <si>
    <t>클립</t>
  </si>
  <si>
    <t>Q 클립
[ADX4000W]</t>
  </si>
  <si>
    <t>L 클립
[ADX4000W]</t>
  </si>
  <si>
    <t>HAND STRAP -손잡이(터치펜)(유럽용) (인조 가죽, AL(Cr도금), SUS Φ2.0)
[ADX4000W]</t>
  </si>
  <si>
    <t>CTR, CURRENT, FRONT, PC BD연결 _ 하네스 1번 [ 12505HS-06, 12505HS-04, 12505HS-03, 12505HS-02 (250mm, 140mm, 200mm) ]</t>
  </si>
  <si>
    <t>PC, FRONT BD 연결 _ 하네스 2번 [ 12505HS-04, USB-105 (70mm) ]</t>
  </si>
  <si>
    <t>DF19G-20S-1C(0.5) (2EA) (160mm) (ADX6000s용) LVDS 케이블 (하네스 7번)</t>
  </si>
  <si>
    <t>Carrier Mini BD 케이블 _ 하네스 9-1번 [ 12505HS-03 (100mm) ]</t>
  </si>
  <si>
    <t>PC, CTR BD 연결 _ 하네스 10번 [ CHW0640-03, 1205HS-03 (130mm) ]</t>
  </si>
  <si>
    <t>에이치앤에스</t>
  </si>
  <si>
    <t>MODULE</t>
  </si>
  <si>
    <t>아크릴최가</t>
  </si>
  <si>
    <t>디엔케이시스템</t>
  </si>
  <si>
    <t>Bottom Blcok</t>
  </si>
  <si>
    <t>비앤테크</t>
  </si>
  <si>
    <t>CRADLE FOOT RUBBER (RUBBER)
[ADX6000]</t>
  </si>
  <si>
    <t>SUS</t>
  </si>
  <si>
    <t>스티커</t>
  </si>
  <si>
    <t>그라피아스크린</t>
  </si>
  <si>
    <t>CORD</t>
  </si>
  <si>
    <t>브리지파워</t>
  </si>
  <si>
    <t>ADAPTER</t>
  </si>
  <si>
    <t>Front Port Sticker (리모콘 포트 수정 신형)</t>
  </si>
  <si>
    <t>내부 배터리 (PF435060HP)
[DX3000]</t>
  </si>
  <si>
    <t>충전 변환 젠더</t>
  </si>
  <si>
    <t>배터리 충전기</t>
  </si>
  <si>
    <t>외부 배터리 (PF605060HP)
[COCOON]</t>
  </si>
  <si>
    <t>외부 배터리 (LIP1902A_5035127SH25)
[ADX6000]</t>
  </si>
  <si>
    <t>25.2V 1.7A 충전기 (6S 어댑터 (중국용))
[ADX6000]</t>
  </si>
  <si>
    <t>15V 1.0A 충전기 (220V)
[공용]</t>
  </si>
  <si>
    <t>15V 1.0A 충전기 (110V)
[공용]</t>
  </si>
  <si>
    <t>외부 배터리 와이어 케이블
[공용]</t>
  </si>
  <si>
    <t>USB 2.0 CABLE (PMM369-0200, 2m)
[ADX4000W]</t>
  </si>
  <si>
    <t>강원전자</t>
  </si>
  <si>
    <t>USB 2.0 CABLE (PMM369-0100, 1m)
[ADX4000W]</t>
  </si>
  <si>
    <t>외부 배터리 쪽 보드 (EX BATTERY BD)
[공용]</t>
  </si>
  <si>
    <t>가방+내부 FOAM(계란판)
[DX3000]</t>
  </si>
  <si>
    <t>가방(로고 없는것)+내부 FOAM(계란판)
[DX3000]</t>
  </si>
  <si>
    <t>가방+내부FOAM(계란판)_공용
[COCOON]</t>
  </si>
  <si>
    <t>가방(로고 없는것)+내부 FOAM(계란판)
[COCOON]</t>
  </si>
  <si>
    <t>가방+내부FOAM(계란판)_공용
[ADX6000]</t>
  </si>
  <si>
    <t>가방 (뱅가드)
[ADX6000]</t>
  </si>
  <si>
    <t>수프림</t>
  </si>
  <si>
    <t>FDXD-810 센서 가방 (뱅가드)
[ADX6000]</t>
  </si>
  <si>
    <t>계란판
[DX3000, ADX4000W]</t>
  </si>
  <si>
    <t>계란판
[COCOON, ADX6000]</t>
  </si>
  <si>
    <t>가방 내부 폼 상판 (18cm) [COCOON]</t>
  </si>
  <si>
    <t>가방 내부 폼 하판 (18cm) [COCOON]</t>
  </si>
  <si>
    <t>가방 내부 폼 상판 (20cm) [COCOON]</t>
  </si>
  <si>
    <t>가방 내부 폼 하판 (20cm) [COCOON]</t>
  </si>
  <si>
    <t>가방 내부 폼 상판 (신형) [ADX6000FB]</t>
  </si>
  <si>
    <t>가방 내부 폼 중간판 (신형) [ADX6000FB]</t>
  </si>
  <si>
    <t>가방 내부 폼 하판 (신형) [ADX6000FB]</t>
  </si>
  <si>
    <t>가방 내장재 (47 * 36.5 * 2.5T)
[ADX6000]</t>
  </si>
  <si>
    <t>가방 내장재 (47 * 36.5 * 5.5T)
[ADX6000]</t>
  </si>
  <si>
    <t>가방 내장재 (47 * 36.5 * 7.5T)
[ADX6000]</t>
  </si>
  <si>
    <t>센서 내장재 상단 (45 * 55.5 * 2T, 접착 O)
[공용]</t>
  </si>
  <si>
    <t>BOX</t>
  </si>
  <si>
    <t>대성칼라</t>
  </si>
  <si>
    <t>센서 내장재 중간 (45 * 55.5 * 2T, 접착 X)
[공용]</t>
  </si>
  <si>
    <t>센서 내장재 하단 (45 * 55.5 * 8T)
[공용]</t>
  </si>
  <si>
    <t>PE FOAM</t>
  </si>
  <si>
    <t>에이팩산업</t>
  </si>
  <si>
    <t>제이디자인</t>
  </si>
  <si>
    <t>지성수출포장</t>
  </si>
  <si>
    <t>카톤 박스
[ADX6000]</t>
  </si>
  <si>
    <t>무지 박스 1개 (450 * 260 * 510(H)mm)
[공용]</t>
  </si>
  <si>
    <t>박스바다</t>
  </si>
  <si>
    <t>무지 박스 2개 (475 * 295 * 220(H)mm)
[공용]</t>
  </si>
  <si>
    <t>무지 박스 4개 (475 * 295 * 430(H)mm)
[공용]</t>
  </si>
  <si>
    <t>무지 박스 6개 (700 * 300 * 430(H)mm)
[공용]</t>
  </si>
  <si>
    <t>ADX6000 센서 무지 박스
[공용]</t>
  </si>
  <si>
    <t>인디스에어</t>
  </si>
  <si>
    <t>넥스트랩</t>
  </si>
  <si>
    <t>피엔에스</t>
  </si>
  <si>
    <t>스티로폼</t>
  </si>
  <si>
    <t>제품박스 상, 하 스티로폼 (60.5 * 27.5 * 3T)
[ADX6000]</t>
  </si>
  <si>
    <t>제품박스 좁은 스티로폼 (42.5 * 27.5 * 3T)
[ADX6000]</t>
  </si>
  <si>
    <t>숄더스트랩</t>
  </si>
  <si>
    <t>제품박스 넒은 스티로폼 (42.5 * 55 * 3.5T)
[ADX6000]</t>
  </si>
  <si>
    <t>DR Tech 센서 상, 하 스티로폼 (45.5 * 42 * 3T)
[공용]</t>
  </si>
  <si>
    <t>내부폼</t>
  </si>
  <si>
    <t>SOLO _ [20cm cone용] 내부 FOAM (상판, 하판) 손잡이 체결형</t>
  </si>
  <si>
    <t>연아크릴</t>
  </si>
  <si>
    <t>선일쉴드텍</t>
  </si>
  <si>
    <t>중국</t>
  </si>
  <si>
    <t>넥스트 랩 (포켓 구형)
[공용]</t>
  </si>
  <si>
    <t>씨티무역</t>
  </si>
  <si>
    <t>넥스트 랩 (포켓 X)
[공용]</t>
  </si>
  <si>
    <t>스트랩</t>
  </si>
  <si>
    <t>DX3000 핸드 스트랩
[DX3000]</t>
  </si>
  <si>
    <t>연아크릴 쉴드 8T (153 * ∮65 * 8T)
[공용] (중국)</t>
  </si>
  <si>
    <t>연아크릴 쉴드 12T (153 * ∮60 * 12T)
[공용] (중국)</t>
  </si>
  <si>
    <t>ADX6000_연아크릴 [직사각형 215*195mm] - 8T _하단 가공된 것</t>
  </si>
  <si>
    <t>사각 연아크릴 쉴드 (직사각형, 215 * 199mm 8T)
[ADX6000] (중국)</t>
  </si>
  <si>
    <t>사각 연아크릴 쉴드 (정사각형, 215 * 205mm)
[ADX6000]</t>
  </si>
  <si>
    <t>IRay A6S NAME PLATE
[ADX6000]</t>
  </si>
  <si>
    <t>DEXCOWIN NAME PLATE (FDXD-810 디텍터용)
[ADX6000]</t>
  </si>
  <si>
    <t>DEXCOWIN NAME PLATE (뱅가드 가방용)
[ADX6000]</t>
  </si>
  <si>
    <t>에폭시 스티커</t>
  </si>
  <si>
    <t>손잡이 에폭시 스티커
[ADX6000S]</t>
  </si>
  <si>
    <t>거광에폭시</t>
  </si>
  <si>
    <t>패드</t>
  </si>
  <si>
    <t>패드
[공용]</t>
  </si>
  <si>
    <t>가온패드</t>
  </si>
  <si>
    <t>카메라</t>
  </si>
  <si>
    <t>센서 케이스</t>
  </si>
  <si>
    <t>330N 센서 케이스
[공용]</t>
  </si>
  <si>
    <t>17*17 DRTECH 센서
[공용]</t>
  </si>
  <si>
    <t>디알텍</t>
  </si>
  <si>
    <t>810 DRTECH 센서
[공용]</t>
  </si>
  <si>
    <t>HDI 1000 [Rex2 Classic/1.5]
[공용]</t>
  </si>
  <si>
    <t>레이언스</t>
  </si>
  <si>
    <t>E2V</t>
  </si>
  <si>
    <t>배터리 거치대용 신주핀
[DX3000, ADX4000W]</t>
  </si>
  <si>
    <t>브라켓</t>
  </si>
  <si>
    <t>스탠드 브라켓 족의학용
[공용]</t>
  </si>
  <si>
    <t>AL 거치대</t>
  </si>
  <si>
    <t>각도기 홀더
[ADX6000]</t>
  </si>
  <si>
    <t>에이스힌지텍</t>
  </si>
  <si>
    <t>로움텍</t>
  </si>
  <si>
    <t>유선리모콘</t>
  </si>
  <si>
    <t>FOOT SWITCH
[공용]</t>
  </si>
  <si>
    <t>스위치</t>
  </si>
  <si>
    <t>리드스위치
[공용]</t>
  </si>
  <si>
    <t>가연테크</t>
  </si>
  <si>
    <t>Battery Pack (사급자재)
[DX3000]</t>
  </si>
  <si>
    <t>Battery Case (사급자재)
[DX3000]</t>
  </si>
  <si>
    <t>배터리 내부 단자 (사급자재)
[공용]</t>
  </si>
  <si>
    <t>고압베어 B/D (구형 고압보드)
[ADX6000]</t>
  </si>
  <si>
    <t>고압 다이오드 (SPF01-15)
[SOLO]</t>
  </si>
  <si>
    <t>고압용 칩 세라믹 콘덴서 (2220J6K00222KXT)
[SOLO]</t>
  </si>
  <si>
    <t>내부 케이스 (HDPE)
[SOLO]</t>
  </si>
  <si>
    <t>고압 격벽 (HDPE)
[SOLO]</t>
  </si>
  <si>
    <t>에이밍 필터 (0.5T * Φ40 에이밍 은경 추가 필터)
[SOLO]</t>
  </si>
  <si>
    <t>CTR B/D (ST용)
[COCOON]</t>
  </si>
  <si>
    <t>OLED PANEL
[DX3000]</t>
  </si>
  <si>
    <t>OLED GUIDE (ABS 난연 블랙)
[DX3000]</t>
  </si>
  <si>
    <t>뉴퓨처</t>
  </si>
  <si>
    <t>FFC 10핀
[DX3000]</t>
  </si>
  <si>
    <t>하네스 3-1번 (FFC CABLE 1mm*30P*200*A CTR BD*OP BD FFC CABLE (같은 방향) (구형, 신형))
[COCOON]</t>
  </si>
  <si>
    <t>하네스 12번 (FLAT 30P 2.0mm, L=205mm, 1:1 CTR BD * OP BD 연결 30핀)
[COCOON]</t>
  </si>
  <si>
    <t>하네스 7-1번 (12505HS-05 70mm OP BD+TOUCH BD 5핀)
[COCOON]</t>
  </si>
  <si>
    <t>ETC FRONT BD
[ADX6000S]</t>
  </si>
  <si>
    <t>ETC FRONT BD (리모콘 포트 수정 신형)
[ADX6000S]</t>
  </si>
  <si>
    <t>ETC EX BATTERY BD
[ADX6000]</t>
  </si>
  <si>
    <t>ETC RESIST BD
[ADX6000]</t>
  </si>
  <si>
    <t>ETC CAP BANK BD
[ADX6000]</t>
  </si>
  <si>
    <t>DRTech FDXD-810, FLAATZ-N330 CTR Battery B/D (구형)
[ADX6000]</t>
  </si>
  <si>
    <t>DRTech FDXD-810, FLAATZ-N330 CTR Battery B/D (신형)
[ADX6000]</t>
  </si>
  <si>
    <t>FFC (16핀) (82mm)
[ADX6000]</t>
  </si>
  <si>
    <t>FFC 16pin [82mm] (ADX6000용)</t>
  </si>
  <si>
    <t>하네스 8번 (YH396-04V - 2EA CAP BANK 케이블 / 120mm)
[ADX6000]</t>
  </si>
  <si>
    <t>Carrier Mini BD 케이블 _ 하네스 9번 [ 12505HS-03 (100mm) ]</t>
  </si>
  <si>
    <t>하네스 12번 (YH396-04V - 1EA 외부단자 케이블 / 200mm)
[ADX6000]</t>
  </si>
  <si>
    <t>하네스 13번 (DC Connector Cable 외부배터리 케이블 / 360mm)
[ADX6000]</t>
  </si>
  <si>
    <t>PC Connector Wire Harness 7pin [100mm,140mm,200mm]</t>
  </si>
  <si>
    <t>컬리메이터 REAR 사출 (ABS 난연 화이트 + 스프레이)
[ADX6000]</t>
  </si>
  <si>
    <t>AL + STEEL</t>
  </si>
  <si>
    <t>스킨가드 FRAME (AL 가공 + 흑색 아노다이징)
[ADX6000]</t>
  </si>
  <si>
    <t>스킨가드 BODY (벨크로, AL 가공)
[ADX6000]</t>
  </si>
  <si>
    <t>스킨가드 구형
[ADX6000]</t>
  </si>
  <si>
    <t>알루미늄 브라켓 4 hole (AL 가공 + 백색 아노다이징)
[ADX6000]</t>
  </si>
  <si>
    <t>외부전원 연결 DC잭 고무링 (RUBBER)
[ADX6000]</t>
  </si>
  <si>
    <t>외부전원 연결 DC잭 너트
[ADX6000]</t>
  </si>
  <si>
    <t>Front Port Sticker
[ADX6000S]</t>
  </si>
  <si>
    <t>Front Port Sticker (USB 포트 제거형)</t>
  </si>
  <si>
    <t>가죽 손잡이 (외부배터리) (인조 가죽)
[ADX6000]</t>
  </si>
  <si>
    <t>BODY LEFT 사출(외부배터리 사출커팅) (ABS 난연 화이트 + 스프레이 AS용)
[ADX6000]</t>
  </si>
  <si>
    <t>BODY RIGHT 사출(외부배터리용) (ABS 난연 화이트 + 스프레이 AS용)
[ADX6000]</t>
  </si>
  <si>
    <t>재공품</t>
  </si>
  <si>
    <t>RIGHT Ass'y
[ADX6000S]</t>
  </si>
  <si>
    <t>덱스코윈</t>
  </si>
  <si>
    <t>컬리메이터 내부하우징 사출 + 납
[ADX6000S]</t>
  </si>
  <si>
    <t>가방 포장 완료</t>
  </si>
  <si>
    <t>DX3000_60kV, 2mA_러시아_IP Tsizina S. A_가방 포장 완료</t>
  </si>
  <si>
    <t>DX3000_65kV, 1.7mA_USA_Dexcowin Global_가방 포장 완료</t>
  </si>
  <si>
    <t>DX3000_65kV, 1.7mA_USA_Vector_가방 포장 완료</t>
  </si>
  <si>
    <t>DX3000M_60kV, 2mA_스페인_RadioMedica_가방 포장 완료</t>
  </si>
  <si>
    <t>DX3000M_70kV, 3mA_멕시코_Imagen Medica Politecnica_가방 포장 완료</t>
  </si>
  <si>
    <t>DX3000M_70kV, 3mA_스페인_RadioMedica_가방 포장 완료</t>
  </si>
  <si>
    <t>DX3000M_70kV, 3mA_이집트_Technoray_가방 포장 완료</t>
  </si>
  <si>
    <t>박스 포장 완료</t>
  </si>
  <si>
    <t>DX3000_60kV, 2mA_러시아_IP Tsizina S. A</t>
  </si>
  <si>
    <t>DX3000_65kV, 1.7mA_USA_Dexcowin Global</t>
  </si>
  <si>
    <t>DX3000_65kV, 1.7mA_USA_Vector</t>
  </si>
  <si>
    <t>DX3000M_60kV, 2mA_스페인_RadioMedica</t>
  </si>
  <si>
    <t>DX3000M_70kV, 3mA_멕시코_Imagen Medica Politecnica</t>
  </si>
  <si>
    <t>DX3000M_70kV, 3mA_스페인_RadioMedica</t>
  </si>
  <si>
    <t>DX3000M_70kV, 3mA_이집트_Technoray</t>
  </si>
  <si>
    <t>ADX4000W_60kV, 2mA_러시아_IP Tsizina S. A_가방 포장 완료</t>
  </si>
  <si>
    <t>ADX4000W_60kV, 2mA_스위스_Croc La Vie_가방 포장 완료</t>
  </si>
  <si>
    <t>ADX4000W_60kV, 2mA_일본_Dexcowin Japan_가방 포장 완료</t>
  </si>
  <si>
    <t>ADX4000W_60kV, 2mA_러시아_IP Tsizina S. A</t>
  </si>
  <si>
    <t>ADX4000W_60kV, 2mA_스위스_Croc La Vie</t>
  </si>
  <si>
    <t>ADX4000W_60kV, 2mA_일본_Dexcowin Japan</t>
  </si>
  <si>
    <t>ADX6000FB_70~90kV, 1~6mA_인도_Analyticals Medical Technologies Pvt Ltd_가방 포장 완료</t>
  </si>
  <si>
    <t>ADX6000FB_80kV, 5mA_카자흐스탄_Medivide_가방 포장 완료</t>
  </si>
  <si>
    <t>ADX6000FB_90kV, 6mA_그리스_Dormed Hellas_가방 포장 완료</t>
  </si>
  <si>
    <t>ADX6000FB_90kV, 6mA_인도_Analyticals Medical Technologies Pvt Ltd_가방 포장 완료</t>
  </si>
  <si>
    <t>ADX6000FB_90kV, 6mA_카자흐스탄_Medivide_가방 포장 완료</t>
  </si>
  <si>
    <t>ADX6000FB_90kV, 6mA / 80kV, 5mA 셋팅_그리스_Dormed Hellas_가방 포장 완료</t>
  </si>
  <si>
    <t>ADX6000s</t>
  </si>
  <si>
    <t>ADX6000s_80kV, 5mA_USA_Dexcowin Global_가방 포장 완료</t>
  </si>
  <si>
    <t>ADX6000FB_70~90kV, 1~6mA_인도_Analyticals Medical Technologies Pvt Ltd</t>
  </si>
  <si>
    <t>ADX6000FB_80kV, 5mA_카자흐스탄_Medivide</t>
  </si>
  <si>
    <t>ADX6000FB_90kV, 6mA_그리스_Dormed Hellas</t>
  </si>
  <si>
    <t>ADX6000FB_90kV, 6mA_인도_Analyticals Medical Technologies Pvt Ltd</t>
  </si>
  <si>
    <t>ADX6000FB_90kV, 6mA_카자흐스탄_Medivide</t>
  </si>
  <si>
    <t>ADX6000FB_90kV, 6mA / 80kV, 5mA 셋팅_그리스_Dormed Hellas</t>
  </si>
  <si>
    <t>ADX6000s_80kV, 5mA_USA_Dexcowin Global</t>
  </si>
  <si>
    <t>DX-7017</t>
  </si>
  <si>
    <t>DX-7017_70kV, 1.7mA_USA_Dexcowin Global_가방 포장 완료</t>
  </si>
  <si>
    <t>DX-7017_70kV, 1.7mA_USA_Vector_가방 포장 완료</t>
  </si>
  <si>
    <t>DX-7020</t>
  </si>
  <si>
    <t>DX-7020_70kV, 2mA_USA_Dentimax_가방 포장 완료</t>
  </si>
  <si>
    <t>DX-7020_70kV, 2mA_USA_Dexcowin Global_가방 포장 완료</t>
  </si>
  <si>
    <t>DX-7020_70kV, 2mA_USA_Vector_가방 포장 완료</t>
  </si>
  <si>
    <t>DX-7017_70kV, 1.7mA_USA_Dexcowin Global</t>
  </si>
  <si>
    <t>DX-7017_70kV, 1.7mA_USA_Vector</t>
  </si>
  <si>
    <t>DX-7020_70kV, 2mA_USA_Dentimax</t>
  </si>
  <si>
    <t>DX-7020_70kV, 2mA_USA_Dexcowin Global</t>
  </si>
  <si>
    <t>DX-7020_70kV, 2mA_USA_Vector</t>
  </si>
  <si>
    <t>DX-7020s</t>
  </si>
  <si>
    <t>DX-7020s_70kV, 2mA_USA_Dexcowin Global_가방 포장 완료</t>
  </si>
  <si>
    <t>DX-7020s_70kV, 2mA_프랑스_TROPHY_가방 포장 완료</t>
  </si>
  <si>
    <t>DX-7020s_70kV, 2mA_호주_iM3_가방 포장 완료</t>
  </si>
  <si>
    <t>DX-7020s_70kV, 2mA_USA_Dexcowin Global</t>
  </si>
  <si>
    <t>DX-7020s_70kV, 2mA_프랑스_TROPHY</t>
  </si>
  <si>
    <t>DX-7020s_70kV, 2mA_호주_iM3</t>
  </si>
  <si>
    <t>그룹</t>
  </si>
  <si>
    <t>구분</t>
  </si>
  <si>
    <t>공정코드</t>
  </si>
  <si>
    <t>생산부 품명</t>
  </si>
  <si>
    <t>창고 품명</t>
  </si>
  <si>
    <t>매칭상태</t>
  </si>
  <si>
    <t>ERP 코드</t>
  </si>
  <si>
    <t>제안 품명</t>
  </si>
  <si>
    <t>🔒 확정 품명</t>
  </si>
  <si>
    <t>바로가기</t>
  </si>
  <si>
    <t>원본시트</t>
  </si>
  <si>
    <t>원본행</t>
  </si>
  <si>
    <t>MES 코드</t>
  </si>
  <si>
    <t>전극(70kV) (순철 도금) [DXDR-070]</t>
  </si>
  <si>
    <t>튜브파트_재고현황</t>
  </si>
  <si>
    <t>7-TR-0001</t>
  </si>
  <si>
    <t>텅스텐 필라멘트 [DXDR-070]</t>
  </si>
  <si>
    <t>7-TR-0002</t>
  </si>
  <si>
    <t>게터 [DXDR-070,DXDR-100]</t>
  </si>
  <si>
    <t>7-TR-0003</t>
  </si>
  <si>
    <t>전극(100kV) (순철 도금) [DXDR-100]</t>
  </si>
  <si>
    <t>7-TR-0004</t>
  </si>
  <si>
    <t>에노드 [DXDR-070]</t>
  </si>
  <si>
    <t>7-TR-0005</t>
  </si>
  <si>
    <t>포커서 [DXDR-070]</t>
  </si>
  <si>
    <t>7-TR-0006</t>
  </si>
  <si>
    <t>세라믹 바디 [DXDR-070]</t>
  </si>
  <si>
    <t>7-TR-0007</t>
  </si>
  <si>
    <t>세라믹 스템 [DXDR-070]</t>
  </si>
  <si>
    <t>7-TR-0008</t>
  </si>
  <si>
    <t>필러 [DXDR-070]</t>
  </si>
  <si>
    <t>7-TR-0009</t>
  </si>
  <si>
    <t>전극 필러 [DXDR-070]</t>
  </si>
  <si>
    <t>7-TR-0010</t>
  </si>
  <si>
    <t>에노드 [DXDR-100]</t>
  </si>
  <si>
    <t>9-TR-0011</t>
  </si>
  <si>
    <t>에노드 링 [DXDR-100]</t>
  </si>
  <si>
    <t>9-TR-0012</t>
  </si>
  <si>
    <t>포커서 [DXDR-100]</t>
  </si>
  <si>
    <t>9-TR-0013</t>
  </si>
  <si>
    <t>세라믹 바디 [DXDR-100]</t>
  </si>
  <si>
    <t>9-TR-0014</t>
  </si>
  <si>
    <t>세라믹 슬리브 [DXDR-100]</t>
  </si>
  <si>
    <t>9-TR-0015</t>
  </si>
  <si>
    <t>필러 [DXDR-100]</t>
  </si>
  <si>
    <t>9-TR-0016</t>
  </si>
  <si>
    <t>전극 필러 [DXDR-100]</t>
  </si>
  <si>
    <t>9-TR-0017</t>
  </si>
  <si>
    <t>7-TF-0001</t>
  </si>
  <si>
    <t>9-TF-0002</t>
  </si>
  <si>
    <t>TUBE (60KV D-081B) [DX3000, ADX4000W]</t>
  </si>
  <si>
    <t>고압진공_재고현황</t>
  </si>
  <si>
    <t>34-HR-0001</t>
  </si>
  <si>
    <t>COCOON, SOLO</t>
  </si>
  <si>
    <t>TUBE (70KV D-041) [COCOON]</t>
  </si>
  <si>
    <t>78-HR-0002</t>
  </si>
  <si>
    <t>TUBE (80KV D-0813) [ADX6000]</t>
  </si>
  <si>
    <t>6-HR-0003</t>
  </si>
  <si>
    <t>DX3000, ADX4000W, ADX6000, SOLO</t>
  </si>
  <si>
    <t>TUBE (70KV DXDR-070) [SOLO]</t>
  </si>
  <si>
    <t>3468-HR-0004</t>
  </si>
  <si>
    <t>TUBE (100Kv DXDR-100) [100kV]</t>
  </si>
  <si>
    <t>6-HR-0005</t>
  </si>
  <si>
    <t>TUBE (90kV OX / 70-1.0) [ADX6000]</t>
  </si>
  <si>
    <t>6-HR-0006</t>
  </si>
  <si>
    <t>고압 다이오드 (2CL77 (20KV, 5mA)) [DX3000, ADX4000W]</t>
  </si>
  <si>
    <t>34-HR-0007</t>
  </si>
  <si>
    <t>DX3000, ADX4000W, COCOON</t>
  </si>
  <si>
    <t>네온램프 (NEON-5T.5*13 red) [DX3000, ADX4000W COCOON]</t>
  </si>
  <si>
    <t>347-HR-0008</t>
  </si>
  <si>
    <t>DX3000, ADX4000W, ADX6000</t>
  </si>
  <si>
    <t>1.7W,10kV 시멘트저항 짧은 것 (RK92-11XD 307J (1.7W,10kV,±5%,300ppm,Flat)) [DX3000, ADX4000W]</t>
  </si>
  <si>
    <t>346-HR-0009</t>
  </si>
  <si>
    <t>30㏀ 고압용 저항 (30㏀±1％, DIP-1/4W) [DX3000, ADX4000W ADX6000]</t>
  </si>
  <si>
    <t>34-HR-0010</t>
  </si>
  <si>
    <t>15㏀ 고압용 저항 (15㏀±1％, DIP-1/4W) [DX3000, ADX4000W]</t>
  </si>
  <si>
    <t>346-HR-0011</t>
  </si>
  <si>
    <t>500Ω 고압용 저항 (500Ω±1％, DIP-1/4W) [ADX6000]</t>
  </si>
  <si>
    <t>6-HR-0012</t>
  </si>
  <si>
    <t>103Z 고압용 세라믹 콘덴서 (50V F103Z) [DX3000, ADX4000W ADX6000]</t>
  </si>
  <si>
    <t>346-HR-0013</t>
  </si>
  <si>
    <t>세라믹 큰 콘덴서 (DHR4E4C102K2FB) [DX3000, ADX4000W]</t>
  </si>
  <si>
    <t>34-HR-0014</t>
  </si>
  <si>
    <t>100nF 칩세라믹 콘덴서 (3216B 100nF) [DX3000, ADX4000W ADX6000]</t>
  </si>
  <si>
    <t>346-HR-0015</t>
  </si>
  <si>
    <t>DX3000, ADX4000W, ADX6000, COCOON</t>
  </si>
  <si>
    <t>고압 다이오드 (DL1500) [DX3000, ADX4000W ADX6000]</t>
  </si>
  <si>
    <t>346-HR-0016</t>
  </si>
  <si>
    <t>47k Surge 저항 (HPC-2C 47k/Surge) [DX3000, ADX4000W ADX6000]</t>
  </si>
  <si>
    <t>3467-HR-0017</t>
  </si>
  <si>
    <t>2.7W,15kV 시멘트저항 긴 것 (RK92-18XD 307J (2.7W,15kV,±5%,300ppm,Flat)) [COCOON]</t>
  </si>
  <si>
    <t>7-HR-0018</t>
  </si>
  <si>
    <t>ADX6000, COCOON</t>
  </si>
  <si>
    <t>세라믹 작은 콘덴서 Murata (680pF DHR4E4C681K2BB) [COCOON, ADX6000]</t>
  </si>
  <si>
    <t>67-HR-0019</t>
  </si>
  <si>
    <t>온도센서 (LNTK103FW) [COCOON]</t>
  </si>
  <si>
    <t>7-HR-0020</t>
  </si>
  <si>
    <t>6-HR-0021</t>
  </si>
  <si>
    <t>고압 다이오드 (DD1800) [COCOON]</t>
  </si>
  <si>
    <t>7-HR-0022</t>
  </si>
  <si>
    <t>히터 트랜스</t>
  </si>
  <si>
    <t>TIW 권선 (히터트랜스용 선) ((외경)0.7mm (내경)0.5mm, 4000m) [DX3000, ADX4000W ADX6000]</t>
  </si>
  <si>
    <t>346-HR-0023</t>
  </si>
  <si>
    <t>히터트랜스용 고압선(적색) (40KVDC 22AWG) [DX3000, ADX4000W ADX6000]</t>
  </si>
  <si>
    <t>346-HR-0024</t>
  </si>
  <si>
    <t>센더스트 코어 (CS234060) [ADX6000]</t>
  </si>
  <si>
    <t>6-HR-0025</t>
  </si>
  <si>
    <t>T 코어 (히터트랜스용) (T31 X 8 X 19E) [DX3000, ADX4000W ADX6000]</t>
  </si>
  <si>
    <t>T 코어 (히터트랜스용) [DX3000, ADX4000W]</t>
  </si>
  <si>
    <t>34-HR-0026</t>
  </si>
  <si>
    <t>T 코어 (히터트랜스용) (TR22-14-6.5) [SOLO]</t>
  </si>
  <si>
    <t>T 코어 (히터트랜스용) [SOLO]</t>
  </si>
  <si>
    <t>8-HR-0027</t>
  </si>
  <si>
    <t>히터트랜스포머 24턴 [DX3000, ADX4000W]</t>
  </si>
  <si>
    <t>34-HA-0001</t>
  </si>
  <si>
    <t>히터트랜스포머 20턴 작업完 [ADX6000]</t>
  </si>
  <si>
    <t>6-HA-0002</t>
  </si>
  <si>
    <t>히터트랜스포머 20턴 [SOLO]</t>
  </si>
  <si>
    <t>8-HA-0003</t>
  </si>
  <si>
    <t>센더스트 코어 작업完 [ADX6000]</t>
  </si>
  <si>
    <t>6-HA-0004</t>
  </si>
  <si>
    <t>트랜스포머 (60kV) [DX3000, ADX4000W]</t>
  </si>
  <si>
    <t>트랜스포머 [DX3000, ADX4000W]</t>
  </si>
  <si>
    <t>34-HR-0028</t>
  </si>
  <si>
    <t>트랜스포머 (70kV) [COCOON]</t>
  </si>
  <si>
    <t>트랜스포머 [COCOON]</t>
  </si>
  <si>
    <t>7-HR-0029</t>
  </si>
  <si>
    <t>트랜스포머 [SOLO]</t>
  </si>
  <si>
    <t>8-HR-0030</t>
  </si>
  <si>
    <t>트랜스포머 (800턴) (80kV) [ADX6000]</t>
  </si>
  <si>
    <t>트랜스포머 [ADX6000]</t>
  </si>
  <si>
    <t>6-HR-0031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</si>
  <si>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</si>
  <si>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</si>
  <si>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</si>
  <si>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</si>
  <si>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</si>
  <si>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</si>
  <si>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튜브 고정 보드 에노드 (나사) [COCOON]</t>
  </si>
  <si>
    <t>에노드 튜브 고정 보드(나사) [COCOON]</t>
  </si>
  <si>
    <t>7-HR-0035</t>
  </si>
  <si>
    <t>고압베어 B/D (구형) [ADX6000]</t>
  </si>
  <si>
    <t>6-HR-0036</t>
  </si>
  <si>
    <t>고압베어 B/D (신형) [ADX6000]</t>
  </si>
  <si>
    <t>6-HR-0037</t>
  </si>
  <si>
    <t>고압베어 B/D [DX3000, ADX4000W]</t>
  </si>
  <si>
    <t>고압베어 B/D (Ver. 2.5) [DX3000, ADX4000W]</t>
  </si>
  <si>
    <t>34-HR-0038</t>
  </si>
  <si>
    <t>고압베어 B/D - TFT (70kV, 3mA) [DX3000]</t>
  </si>
  <si>
    <t>고압베어B/D (신형) (Ver. 1.0.1) [DX3000]</t>
  </si>
  <si>
    <t>3-HR-0039</t>
  </si>
  <si>
    <t>고압베어 B/D (구형) [COCOON]</t>
  </si>
  <si>
    <t>고압베어B/D [COCOON]</t>
  </si>
  <si>
    <t>7-HR-0040</t>
  </si>
  <si>
    <t>고압베어 B/D [SOLO]</t>
  </si>
  <si>
    <t>고압베어B/D (4개 1세트) [SOLO]</t>
  </si>
  <si>
    <t>8-HR-0041</t>
  </si>
  <si>
    <t>고압베어 B/D (신형) [COCOON]</t>
  </si>
  <si>
    <t>고압베어B/D (신형) (Ver. 2.12) [SOLO]</t>
  </si>
  <si>
    <t>7-HR-0042</t>
  </si>
  <si>
    <t>튜브 고정 지지대 (Ver 2.12에 사용) [COCOON]</t>
  </si>
  <si>
    <t>7-HR-0043</t>
  </si>
  <si>
    <t>고압베어B/D (D-0813) (Ver 1.0.0) [DX3000V]</t>
  </si>
  <si>
    <t>3-HR-0044</t>
  </si>
  <si>
    <t>튜브 고정 보드 에노드 (나사) [ADX6000]</t>
  </si>
  <si>
    <t>6-HR-0045</t>
  </si>
  <si>
    <t>튜브 고정 보드 케소드 (필라멘트) [ADX6000]</t>
  </si>
  <si>
    <t>6-HR-0046</t>
  </si>
  <si>
    <t>튜브 A,SSY</t>
  </si>
  <si>
    <t>캐논튜브 60KV 하우징 [D-081B] [DX3000, ADX4000W]</t>
  </si>
  <si>
    <t>34-HA-0005</t>
  </si>
  <si>
    <t>세라믹튜브 70KV 하우징 [DXDR-070] [DX3000, ADX4000W, ADX6000, SOLO]</t>
  </si>
  <si>
    <t>3468-HA-0006</t>
  </si>
  <si>
    <t>캐논튜브 70KV 하우징 [D-041] [COCOON, SOLO]</t>
  </si>
  <si>
    <t>78-HA-0007</t>
  </si>
  <si>
    <t>캐논튜브 80KV 하우징 [D-0813] [ADX6000]</t>
  </si>
  <si>
    <t>6-HA-0008</t>
  </si>
  <si>
    <t>세라믹튜브 100KV 하우징 [DXDR-100] [ADX6000]</t>
  </si>
  <si>
    <t>6-HA-0009</t>
  </si>
  <si>
    <t>CEI튜브 90KV 하우징 [OX-70] [ADX6000]</t>
  </si>
  <si>
    <t>6-HA-0010</t>
  </si>
  <si>
    <t>고압보드 A,SSY</t>
  </si>
  <si>
    <t>고압보드SMT 完 (Ver. 2.5) [DX3000, ADX4000W]</t>
  </si>
  <si>
    <t>34-HA-0011</t>
  </si>
  <si>
    <t>고압보드SMT 完 (신형) (Ver. 1.0.1) [DX3000]</t>
  </si>
  <si>
    <t>3-HA-0012</t>
  </si>
  <si>
    <t>고압보드SMT 完 [ADX6000]</t>
  </si>
  <si>
    <t>6-HA-0013</t>
  </si>
  <si>
    <t>고압보드SMT 完 (신형) [ADX6000]</t>
  </si>
  <si>
    <t>6-HA-0014</t>
  </si>
  <si>
    <t>고압보드SMT 完 [COCOON]</t>
  </si>
  <si>
    <t>7-HA-0015</t>
  </si>
  <si>
    <t>고압보드SMT 完 [Ver 2.12 신형] [COCOON]</t>
  </si>
  <si>
    <t>7-HA-0016</t>
  </si>
  <si>
    <t>고압보드 SMT (DXDR-070) [SOLO]</t>
  </si>
  <si>
    <t>8-HA-0017</t>
  </si>
  <si>
    <t>고압보드 SMT (D-041) [SOLO]</t>
  </si>
  <si>
    <t>8-HA-0018</t>
  </si>
  <si>
    <t>고압보드 SMT 完 (D-0813) (Ver 1.0.0) [DX3000V]</t>
  </si>
  <si>
    <t>3-HA-0019</t>
  </si>
  <si>
    <t>신주 및 베크라이트</t>
  </si>
  <si>
    <t>튜브 하우징 파이프 (베이클라이트) [DX3000, ADX4000W ADX6000]</t>
  </si>
  <si>
    <t>베이클라이트 하우징 파이프 [DX3000, ADX4000W, ADX6000]</t>
  </si>
  <si>
    <t>346-HR-0047</t>
  </si>
  <si>
    <t>튜브 하우징 파이프 (HDPE) [COCOON]</t>
  </si>
  <si>
    <t>70KV 튜브 하우징용 파이프 [COCOON, SOLO]</t>
  </si>
  <si>
    <t>78-HR-0048</t>
  </si>
  <si>
    <t>세라믹 튜브 하우징 파이프 (HDPE) [SOLO]</t>
  </si>
  <si>
    <t>DXDR-070 하우징용 파이프 [SOLO]</t>
  </si>
  <si>
    <t>8-HR-0049</t>
  </si>
  <si>
    <t>튜브 하우징 파이프 (HDPE) [SOLO]</t>
  </si>
  <si>
    <t>D-041 하우징용 파이프 [SOLO]</t>
  </si>
  <si>
    <t>8-HR-0050</t>
  </si>
  <si>
    <t>PE 하우징 파이프 [ADX6000]</t>
  </si>
  <si>
    <t>6-HR-0051</t>
  </si>
  <si>
    <t>알루미늄 필터 (2T * Φ24) [ADX6000]</t>
  </si>
  <si>
    <t>알루미늄 필터 (2T * Φ24)</t>
  </si>
  <si>
    <t>69-VR-0001</t>
  </si>
  <si>
    <t>알루미늄 필터 (1.2T * Φ24) [COCOON]</t>
  </si>
  <si>
    <t>알루미늄 필터 (1.2T * Φ24)</t>
  </si>
  <si>
    <t>37-VR-0002</t>
  </si>
  <si>
    <t>알루미늄 필터 (0.8T * Φ24) [DX3000, ADX4000W ADX6000]</t>
  </si>
  <si>
    <t>알루미늄 필터 (0.8T * Φ24)</t>
  </si>
  <si>
    <t>3478-VR-0003</t>
  </si>
  <si>
    <t>방사구 오링 (2*18) [공용]</t>
  </si>
  <si>
    <t>방사구 오링 (2*18)</t>
  </si>
  <si>
    <t>346789-VR-0004</t>
  </si>
  <si>
    <t>7핀 B/D [DX3000, ADX4000W]</t>
  </si>
  <si>
    <t>34-VR-0005</t>
  </si>
  <si>
    <t>8핀 B/D (구형 8핀 보드) [ADX6000]</t>
  </si>
  <si>
    <t>6-VR-0006</t>
  </si>
  <si>
    <t>10핀 B/D [ADX6000]</t>
  </si>
  <si>
    <t>6-VR-0007</t>
  </si>
  <si>
    <t>8핀 BD [COCOON]</t>
  </si>
  <si>
    <t>7-VR-0008</t>
  </si>
  <si>
    <t>9핀 B/D - TFT [DX3000]</t>
  </si>
  <si>
    <t>9핀 B/D [DX3000M]</t>
  </si>
  <si>
    <t>3-VR-0009</t>
  </si>
  <si>
    <t>9핀 B/D [SOLO]</t>
  </si>
  <si>
    <t>8-VR-0010</t>
  </si>
  <si>
    <t>10핀 BD [DX3000V]</t>
  </si>
  <si>
    <t>3-VR-0011</t>
  </si>
  <si>
    <t>CTR B/D (TFT용) (V3.1.1) [DX3000]</t>
  </si>
  <si>
    <t>CTR B/D [DX3000M]</t>
  </si>
  <si>
    <t>3-VR-0012</t>
  </si>
  <si>
    <t>CTR B/D (유럽용) [DX3000]</t>
  </si>
  <si>
    <t>3-VR-0013</t>
  </si>
  <si>
    <t>CTR B/D (미국용) [DX3000]</t>
  </si>
  <si>
    <t>3-VR-0014</t>
  </si>
  <si>
    <t>CTR B/D [DX4000]</t>
  </si>
  <si>
    <t>4-VR-0015</t>
  </si>
  <si>
    <t>FET BD [COCOON]</t>
  </si>
  <si>
    <t>7-VR-0016</t>
  </si>
  <si>
    <t>CTR B/D [SOLO]</t>
  </si>
  <si>
    <t>8-VR-0017</t>
  </si>
  <si>
    <t>CTR B/D [DX3000V]</t>
  </si>
  <si>
    <t>3-VR-0018</t>
  </si>
  <si>
    <t>신주 A,ssy</t>
  </si>
  <si>
    <t>베이클라이트 케이스 (베이클라이트) [DX3000, ADX4000W ADX6000]</t>
  </si>
  <si>
    <t>베이클라이트 케이스</t>
  </si>
  <si>
    <t>34-VR-0019</t>
  </si>
  <si>
    <t>NC 케이스 (HDPE) [COCOON]</t>
  </si>
  <si>
    <t>NC 케이스 [COCOON]</t>
  </si>
  <si>
    <t>7-VR-0020</t>
  </si>
  <si>
    <t>PE케이스 거치대 (HDPE) [COCOON]</t>
  </si>
  <si>
    <t>PE케이스 거치대 [COCOON]</t>
  </si>
  <si>
    <t>7-VR-0021</t>
  </si>
  <si>
    <t>NC 케이스 [ADX6000]</t>
  </si>
  <si>
    <t>36-VR-0022</t>
  </si>
  <si>
    <t>NC 케이스 (HDPE) [SOLO]</t>
  </si>
  <si>
    <t>NC 케이스 [SOLO]</t>
  </si>
  <si>
    <t>8-VR-0023</t>
  </si>
  <si>
    <t>신주 케이스 뚜껑 (0.6T) [SOLO]</t>
  </si>
  <si>
    <t>신주 케이스 뚜껑 [SOLO]</t>
  </si>
  <si>
    <t>8-VR-0024</t>
  </si>
  <si>
    <t>신주 케이스 뚜껑 (0.6T) [COCOON]</t>
  </si>
  <si>
    <t>신주 케이스 뚜껑 [COCOON]</t>
  </si>
  <si>
    <t>7-VR-0025</t>
  </si>
  <si>
    <t>3 PIN 커넥터 [DX3000, ADX4000W]</t>
  </si>
  <si>
    <t>34-VR-0026</t>
  </si>
  <si>
    <t>4 PIN 커넥터 [DX3000,ADX4000W COCOON,ADX6000]</t>
  </si>
  <si>
    <t>4 PIN 커넥터 [DX3000, ADX4000W, COCOON, ADX6000]</t>
  </si>
  <si>
    <t>347-VR-0027</t>
  </si>
  <si>
    <t>4 PIN 커넥터 [SOLO]</t>
  </si>
  <si>
    <t>389-VR-0028</t>
  </si>
  <si>
    <t>5 PIN 커넥터 [DX3000, SOLO]</t>
  </si>
  <si>
    <t>389-VR-0029</t>
  </si>
  <si>
    <t>5 PIN 커넥터 [ADX6000]</t>
  </si>
  <si>
    <t>6-VR-0030</t>
  </si>
  <si>
    <t>신주 케이스 (0.6T) [DX3000]</t>
  </si>
  <si>
    <t>신주 케이스 [DX3000]</t>
  </si>
  <si>
    <t>3-VR-0031</t>
  </si>
  <si>
    <t>신주 케이스 뚜껑 (0.6T) [DX3000, ADX4000W ADX6000]</t>
  </si>
  <si>
    <t>신주 케이스 뚜껑 [DX3000, ADX4000W, ADX6000]</t>
  </si>
  <si>
    <t>346-VR-0032</t>
  </si>
  <si>
    <t>신주 케이스 (0.6T) [ADX4000W]</t>
  </si>
  <si>
    <t>신주 케이스 [ADX4000]</t>
  </si>
  <si>
    <t>4-VR-0033</t>
  </si>
  <si>
    <t>신주 케이스 (0.6T) [COCOON]</t>
  </si>
  <si>
    <t>신주 케이스 [COCOON]</t>
  </si>
  <si>
    <t>7-VR-0034</t>
  </si>
  <si>
    <t>신주 케이스 (0.6T + 193 (커팅전)) [ADX6000]</t>
  </si>
  <si>
    <t>신주 케이스 [ADX6000]</t>
  </si>
  <si>
    <t>6-VR-0035</t>
  </si>
  <si>
    <t>신주케이스 (10P) [ADX6000]</t>
  </si>
  <si>
    <t>6-VR-0036</t>
  </si>
  <si>
    <t>신주케이스 [DX3000V]</t>
  </si>
  <si>
    <t>3-VR-0037</t>
  </si>
  <si>
    <t>신주 케이스 (0.6T) [SOLO]</t>
  </si>
  <si>
    <t>신주 케이스 [SOLO]</t>
  </si>
  <si>
    <t>8-VR-0038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</si>
  <si>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</si>
  <si>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</si>
  <si>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</si>
  <si>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</si>
  <si>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</si>
  <si>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</si>
  <si>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신주 케이스 작업완료 [DX3000]</t>
  </si>
  <si>
    <t>3-VA-0001</t>
  </si>
  <si>
    <t>신주 케이스 작업완료 [DX3000M]</t>
  </si>
  <si>
    <t>3-VA-0002</t>
  </si>
  <si>
    <t>신주 케이스 작업완료 [ADX4000W]</t>
  </si>
  <si>
    <t>4-VA-0003</t>
  </si>
  <si>
    <t>신주 케이스 작업완료 [ADX6000]</t>
  </si>
  <si>
    <t>6-VA-0004</t>
  </si>
  <si>
    <t>신주 케이스 (10P) 작업완료 [ADX6000]</t>
  </si>
  <si>
    <t>6-VA-0005</t>
  </si>
  <si>
    <t>신주 케이스 작업완료 [COCOON]</t>
  </si>
  <si>
    <t>7-VA-0006</t>
  </si>
  <si>
    <t>신주 케이스 작업완료 [DX3000V]</t>
  </si>
  <si>
    <t>3-VA-0007</t>
  </si>
  <si>
    <t>신주 케이스 작업완료 [SOLO]</t>
  </si>
  <si>
    <t>8-VA-0008</t>
  </si>
  <si>
    <t>고압 A,ssy 진공 이전</t>
  </si>
  <si>
    <t>발생부 고압B/D+튜브 최종 작업完 [DX3000]</t>
  </si>
  <si>
    <t>3-HF-0001</t>
  </si>
  <si>
    <t>발생부 고압B/D+튜브 최종 작업完  [DX3000M]</t>
  </si>
  <si>
    <t>3-HF-0002</t>
  </si>
  <si>
    <t>발생부 고압B/D+튜브 최종 작업完 [ADX4000W]</t>
  </si>
  <si>
    <t>4-HF-0003</t>
  </si>
  <si>
    <t>발생부 고압B/D+튜브 최종 작업完 [D-0813] [ADX6000]</t>
  </si>
  <si>
    <t>6-HF-0004</t>
  </si>
  <si>
    <t>발생부 고압B/D+튜브 최종 작업完 [DXDR-100] [ADX6000]</t>
  </si>
  <si>
    <t>6-HF-0005</t>
  </si>
  <si>
    <t>발생부 고압B/D+튜브 최종 작업完 [OX-70] [ADX6000]</t>
  </si>
  <si>
    <t>6-HF-0006</t>
  </si>
  <si>
    <t>발생부 고압B/D+튜브 최종 작업完 [COCOON]</t>
  </si>
  <si>
    <t>7-HF-0007</t>
  </si>
  <si>
    <t>발생부 고압B/D+튜브 최종 작업完 (10핀) [D-0813] [ADX6000]</t>
  </si>
  <si>
    <t>6-HF-0008</t>
  </si>
  <si>
    <t>발생부 고압B/D+튜브 최종 작업完 [Ver 2.12] [COCOON]</t>
  </si>
  <si>
    <t>7-VA-0009</t>
  </si>
  <si>
    <t>발생부 고압B/D+튜브 최종 작업完 (10핀) [D-0813] [DX3000V]</t>
  </si>
  <si>
    <t>3-VA-0010</t>
  </si>
  <si>
    <t>발생부 고압B/D+튜브 최종 작업完 [CBT]</t>
  </si>
  <si>
    <t>8-VA-0011</t>
  </si>
  <si>
    <t>발생부 (진공) [DX3000]</t>
  </si>
  <si>
    <t>3-VA-0012</t>
  </si>
  <si>
    <t>발생부 (진공) [DX3000M]</t>
  </si>
  <si>
    <t>3-VA-0013</t>
  </si>
  <si>
    <t>발생부 (진공) [ADX4000]</t>
  </si>
  <si>
    <t>4-VA-0014</t>
  </si>
  <si>
    <t>발생부 (진공) [ADX6000]</t>
  </si>
  <si>
    <t>6-VA-0015</t>
  </si>
  <si>
    <t>발생부 (10P) (진공) [ADX6000]</t>
  </si>
  <si>
    <t>6-VA-0016</t>
  </si>
  <si>
    <t>발생부 (진공) [COCOON]</t>
  </si>
  <si>
    <t>7-VA-0017</t>
  </si>
  <si>
    <t>발생부 (진공) [SOLO]</t>
  </si>
  <si>
    <t>8-VA-0018</t>
  </si>
  <si>
    <t>발생부 (진공) [DX3000V]</t>
  </si>
  <si>
    <t>3-VA-0019</t>
  </si>
  <si>
    <t>6-NR-0001</t>
  </si>
  <si>
    <t>CTR B/D [COCOON]</t>
  </si>
  <si>
    <t>7-NR-0002</t>
  </si>
  <si>
    <t>3-VF-0001</t>
  </si>
  <si>
    <t>3-VF-0002</t>
  </si>
  <si>
    <t>3-VF-0003</t>
  </si>
  <si>
    <t>4-VF-0004</t>
  </si>
  <si>
    <t>6-VF-0005</t>
  </si>
  <si>
    <t>8-VF-0006</t>
  </si>
  <si>
    <t>7-VF-0007</t>
  </si>
  <si>
    <t>D3GR + D3CD (해외용) 60KV, 2mA</t>
  </si>
  <si>
    <t>3-NF-0001</t>
  </si>
  <si>
    <t>D3GR + D3CD + 1.4T (Safari Dental용) 60KV, 2mA</t>
  </si>
  <si>
    <t>3-NF-0002</t>
  </si>
  <si>
    <t>D3GR + D3CL (미국용) 65kv, 1.7mA</t>
  </si>
  <si>
    <t>3-NF-0003</t>
  </si>
  <si>
    <t>D3GR + D3CT (TFT용) 70kv, 3mA</t>
  </si>
  <si>
    <t>3-NF-0004</t>
  </si>
  <si>
    <t>A4GR + A4CB 60KV 2mA</t>
  </si>
  <si>
    <t>4-NF-0005</t>
  </si>
  <si>
    <t>A4GR + A4CB + 1.4T (Safari Dental용) 60KV 2mA</t>
  </si>
  <si>
    <t>4-NF-0006</t>
  </si>
  <si>
    <t>XG + A6CTR 80KV, 5mA</t>
  </si>
  <si>
    <t>6-NF-0007</t>
  </si>
  <si>
    <t>A6GR + A6CB 90KV 6mA</t>
  </si>
  <si>
    <t>6-NF-0008</t>
  </si>
  <si>
    <t>COGR + COCB + FET BD 70kv, 2mA</t>
  </si>
  <si>
    <t>7-NF-0009</t>
  </si>
  <si>
    <t>CSGR + CSCB 70KV 2mA</t>
  </si>
  <si>
    <t>8-NF-0010</t>
  </si>
  <si>
    <t>LCD PANEL (2.35"LCD) [DX3000]</t>
  </si>
  <si>
    <t>DX3000 2.35" LCD 판넬</t>
  </si>
  <si>
    <t>조립자재_재고현황</t>
  </si>
  <si>
    <t>3-AR-0001</t>
  </si>
  <si>
    <t>TFT LCD PANEL (2.4"LCD - CT1715N241A) [DX3000, SOLO]</t>
  </si>
  <si>
    <t>DX3000, SOLO 2.4" TFT LCD 판넬</t>
  </si>
  <si>
    <t>38-AR-0002</t>
  </si>
  <si>
    <t>LCD GUIDE (ABS 난연 화이트) [DX3000]</t>
  </si>
  <si>
    <t>DX3000 LCD GUIDE</t>
  </si>
  <si>
    <t>3-AR-0003</t>
  </si>
  <si>
    <t>NAVI KEY (ABS 난연 화이트 + 밝은 회색) [DX3000]</t>
  </si>
  <si>
    <t>DX3000 NAVI KEY</t>
  </si>
  <si>
    <t>3-AR-0004</t>
  </si>
  <si>
    <t>POWER LED (확산 아크릴) [DX3000]</t>
  </si>
  <si>
    <t>DX3000 POWER LED</t>
  </si>
  <si>
    <t>3-AR-0005</t>
  </si>
  <si>
    <t>POWER BUTTON (ABS 난연 화이트 + 밝은 회색) [DX3000]</t>
  </si>
  <si>
    <t>DX3000 POWER BUTTON</t>
  </si>
  <si>
    <t>3-AR-0006</t>
  </si>
  <si>
    <t>FRONT COVER (듀얼 슬라이드) (ABS 난연 블랙) [DX3000]</t>
  </si>
  <si>
    <t>DX3000 FRONT COVER (B)</t>
  </si>
  <si>
    <t>3-AR-0007</t>
  </si>
  <si>
    <t>FRONT COVER (듀얼 슬라이드) (ABS 난연 화이트) [DX3000]</t>
  </si>
  <si>
    <t>DX3000 FRONT COVER (W)</t>
  </si>
  <si>
    <t>3-AR-0008</t>
  </si>
  <si>
    <t>REAR COVER (ABS 난연 블랙) [DX3000]</t>
  </si>
  <si>
    <t>DX3000 REAR COVER (B)</t>
  </si>
  <si>
    <t>3-AR-0009</t>
  </si>
  <si>
    <t>REAR COVER (ABS 난연 화이트) [DX3000]</t>
  </si>
  <si>
    <t>DX3000 REAR COVER (W)</t>
  </si>
  <si>
    <t>3-AR-0010</t>
  </si>
  <si>
    <t>LCD LED (확산 아크릴) [DX3000]</t>
  </si>
  <si>
    <t>DX3000 LCD LED</t>
  </si>
  <si>
    <t>3-AR-0011</t>
  </si>
  <si>
    <t>EX LED (좌) (확산 아크릴) [DX3000]</t>
  </si>
  <si>
    <t>DX3000 EX LED (L)</t>
  </si>
  <si>
    <t>3-AR-0012</t>
  </si>
  <si>
    <t>EX LED (우) (확산 아크릴) [DX3000]</t>
  </si>
  <si>
    <t>DX3000 EX LED (R)</t>
  </si>
  <si>
    <t>3-AR-0013</t>
  </si>
  <si>
    <t>EX BUTTON (ABS 난연 화이트 + 밝은 회색) [DX3000]</t>
  </si>
  <si>
    <t>DX3000 EX BUTTON (개당 두개씩)</t>
  </si>
  <si>
    <t>3-AR-0014</t>
  </si>
  <si>
    <t>HAND STRAP 손잡이 (인조 가죽) [DX3000]</t>
  </si>
  <si>
    <t>DX3000 HAND STRAP</t>
  </si>
  <si>
    <t>3-AR-0015</t>
  </si>
  <si>
    <t>HAND STRAP 손잡이 (로고 없음) (인조 가죽) [DX3000]</t>
  </si>
  <si>
    <t>DX3000 HAND STRAP [로고 X]-사파리,이미지웍스용</t>
  </si>
  <si>
    <t>3-AR-0016</t>
  </si>
  <si>
    <t>20cm CONE (ABS 난연 화이트) [DX3000]</t>
  </si>
  <si>
    <t>DX3000 20cm CONE (W)</t>
  </si>
  <si>
    <t>3-AR-0017</t>
  </si>
  <si>
    <t>20cm CONE (ABS 난연 블랙 + 블랙 무광) [DX3000]</t>
  </si>
  <si>
    <t>DX3000 20cm CONE (B)</t>
  </si>
  <si>
    <t>3-AR-0018</t>
  </si>
  <si>
    <t>15cm CONE (ABS 난연 화이트) [DX3000]</t>
  </si>
  <si>
    <t>DX3000 15cm CONE (W)</t>
  </si>
  <si>
    <t>3-AR-0019</t>
  </si>
  <si>
    <t>X-CAP (기본) (ABS 화이트 + 진한 회색) [DX3000]</t>
  </si>
  <si>
    <t>DX3000 X-CAP (기본)</t>
  </si>
  <si>
    <t>3-AR-0020</t>
  </si>
  <si>
    <t>X-CAP 체결형 (신형) (ABS 난연 화이트 + 진한 회색) [DX3000]</t>
  </si>
  <si>
    <t>DX3000, ADX4000W X-CAP 체결형 (신형)</t>
  </si>
  <si>
    <t>34-AR-0021</t>
  </si>
  <si>
    <t>고리 1 (니켈 도금) [DX3000, ADX4000W]</t>
  </si>
  <si>
    <t>DX3000,ADX4000W 가죽손잡이 고리1_ [AL(Cr도금), SUS Φ2.0]</t>
  </si>
  <si>
    <t>34-AR-0022</t>
  </si>
  <si>
    <t>고리 2 (니켈 도금) [DX3000]</t>
  </si>
  <si>
    <t>DX3000 가죽손잡이 고리2_ [AL(Cr도금), SUS Φ2.0 ]</t>
  </si>
  <si>
    <t>3-AR-0023</t>
  </si>
  <si>
    <t>LCD WINDOW (투명 아크릴) [DX3000]</t>
  </si>
  <si>
    <t>DX3000 LCD 윈도우</t>
  </si>
  <si>
    <t>3-AR-0024</t>
  </si>
  <si>
    <t>DX3000 회색</t>
  </si>
  <si>
    <t>BATTERY COVER (ABS 난연 화이트 + 진한 회색) [DX3000]</t>
  </si>
  <si>
    <t>DX3000 배터리커버 (G)</t>
  </si>
  <si>
    <t>3-AR-0025</t>
  </si>
  <si>
    <t>BATTERY COVER (ABS 난연 블랙 + 블랙) [DX3000]</t>
  </si>
  <si>
    <t>DX3000 배터리커버 (B)</t>
  </si>
  <si>
    <t>3-AR-0026</t>
  </si>
  <si>
    <t>DECO GUIDE (ABS 난연 화이트 + 진한 회색) [DX3000]</t>
  </si>
  <si>
    <t>DX3000 데코가이드</t>
  </si>
  <si>
    <t>3-AR-0027</t>
  </si>
  <si>
    <t>알루미늄 필터 (0.8T * Φ63) [DX3000]</t>
  </si>
  <si>
    <t>DX3000, ADX4000W 알루미늄 필터 [63ɸ 0.8T]</t>
  </si>
  <si>
    <t>34-AR-0028</t>
  </si>
  <si>
    <t>하네스 8번 (CJ4003 잭 (관전류 짹 + 2핀케이블)) [DX3000]</t>
  </si>
  <si>
    <t>DX3000 CJ4003 JACK (관전류 짹 + 2핀케이블) - 하네스8</t>
  </si>
  <si>
    <t>3-AR-0029</t>
  </si>
  <si>
    <t>하네스 1번 (FFC 20핀) [DX3000]</t>
  </si>
  <si>
    <t>DX3000 FFC 20핀 - 하네스1</t>
  </si>
  <si>
    <t>3-AR-0030</t>
  </si>
  <si>
    <t>하네스 5번 (EXP KEY 4핀 케이블) [DX3000]</t>
  </si>
  <si>
    <t>DX3000 EXP KEY 4핀 케이블 - 하네스5 (개당 2개씩)</t>
  </si>
  <si>
    <t>3-AR-0031</t>
  </si>
  <si>
    <t>EX B/D (듀얼) (좌) [DX3000]</t>
  </si>
  <si>
    <t>DX3000 EX BD (듀얼) - 왼쪽</t>
  </si>
  <si>
    <t>3-AR-0032</t>
  </si>
  <si>
    <t>EX B/D (듀얼) (우) [DX3000]</t>
  </si>
  <si>
    <t>DX3000 EX BD (듀얼) - 오른쪽</t>
  </si>
  <si>
    <t>3-AR-0033</t>
  </si>
  <si>
    <t>EX B/D 사파리 (원버턴) [DX3000]</t>
  </si>
  <si>
    <t>DX3000 EX BD (원버턴) - 사파리</t>
  </si>
  <si>
    <t>3-AR-0034</t>
  </si>
  <si>
    <t>LCD B/D (듀얼 슬라이드) [DX3000]</t>
  </si>
  <si>
    <t>DX3000 LCD BD</t>
  </si>
  <si>
    <t>3-AR-0035</t>
  </si>
  <si>
    <t>LCD B/D (사파리) -원버턴타입 [DX3000]</t>
  </si>
  <si>
    <t>DX3000 LCD BD (사파리) -원버턴타입</t>
  </si>
  <si>
    <t>3-AR-0036</t>
  </si>
  <si>
    <t>TFT LCD B/D (듀얼 슬라이드) (V3.0.1) [DX3000]</t>
  </si>
  <si>
    <t>DX3000 TFT LCD BD</t>
  </si>
  <si>
    <t>3-AR-0037</t>
  </si>
  <si>
    <t>AIM LED 쪽 보드 (V3.0.1) [DX3000]</t>
  </si>
  <si>
    <t>DX3000 LED DRIVE BD V3.0.1 (TFT CTR BD용)</t>
  </si>
  <si>
    <t>3-AR-0038</t>
  </si>
  <si>
    <t>DX3000 데코가이드 ASS'Y (손잡이 포함)</t>
  </si>
  <si>
    <t>3-AA-0001</t>
  </si>
  <si>
    <t>DX3000 LCD BD ASS'Y</t>
  </si>
  <si>
    <t>3-AA-0002</t>
  </si>
  <si>
    <t>LCD BD ASS'Y _사파리_원버턴 타입</t>
  </si>
  <si>
    <t>DX3000 LCD BD ASS'Y _사파리_원버턴 타입</t>
  </si>
  <si>
    <t>3-AA-0003</t>
  </si>
  <si>
    <t>LCD BD ASS'Y _TFT</t>
  </si>
  <si>
    <t>DX3000 LCD BD ASS'Y _TFT</t>
  </si>
  <si>
    <t>3-AA-0004</t>
  </si>
  <si>
    <t>DX3000 10cm 한손 W 사출 ASS'Y - 기본</t>
  </si>
  <si>
    <t>3-AA-0005</t>
  </si>
  <si>
    <t>DX3000 10cm 한손 B 사출 ASS'Y - 기본</t>
  </si>
  <si>
    <t>3-AA-0006</t>
  </si>
  <si>
    <t>DX3000 10cm 한손 W 사출 ASS'Y - 태국용</t>
  </si>
  <si>
    <t>3-AA-0007</t>
  </si>
  <si>
    <t>DX3000 10cm 양손 B 사출 ASS'Y - CBI (이미지웍스-손잡이 로고 X))</t>
  </si>
  <si>
    <t>3-AA-0008</t>
  </si>
  <si>
    <t>DX3000 10cm 양손  W 사출 ASS'Y - 미국 동물용</t>
  </si>
  <si>
    <t>3-AA-0009</t>
  </si>
  <si>
    <t>DX3000 15cm 양손 W 사출 ASS'Y - 일본용</t>
  </si>
  <si>
    <t>3-AA-0010</t>
  </si>
  <si>
    <t>DX3000 20cm 한손 W 사출 ASS'Y - 기본</t>
  </si>
  <si>
    <t>3-AA-0011</t>
  </si>
  <si>
    <t>DX3000 20cm 한손 B 사출 ASS'Y - 기본</t>
  </si>
  <si>
    <t>3-AA-0012</t>
  </si>
  <si>
    <t>DX3000 20cm  양손  W 사출 ASS'Y - 맥스레이</t>
  </si>
  <si>
    <t>3-AA-0013</t>
  </si>
  <si>
    <t>DX3000 20cm 양손 B 사출 ASS'Y - 맥스레이</t>
  </si>
  <si>
    <t>3-AA-0014</t>
  </si>
  <si>
    <t>DX3000 20cm 한손 W 사출 ASS'Y - 원버튼 사파리용</t>
  </si>
  <si>
    <t>3-AA-0015</t>
  </si>
  <si>
    <t>DX3000 10cm 한손 W 사출 ASS'Y - 태국 (X-CAP 분리형)</t>
  </si>
  <si>
    <t>3-AA-0016</t>
  </si>
  <si>
    <t>DX3000 블랙 무광</t>
  </si>
  <si>
    <t>메디컬용 컬리메타 (ABS 난연 블랙) [DX3000]</t>
  </si>
  <si>
    <t>DX3000 메디컬용 콘 가이드</t>
  </si>
  <si>
    <t>3-AR-0039</t>
  </si>
  <si>
    <t>메디컬용 컬리메타 CAP (ABS 난연 블랙 + 블랙 무광) [DX3000]</t>
  </si>
  <si>
    <t>DX3000 메디컬용 FRONT</t>
  </si>
  <si>
    <t>3-AR-0040</t>
  </si>
  <si>
    <t>메디컬용 십자아크릴 (66*66) [DX3000]</t>
  </si>
  <si>
    <t>DX3000 아크릴 투명 십자 Panel (66 x 66 mm)</t>
  </si>
  <si>
    <t>3-AR-0041</t>
  </si>
  <si>
    <t>아크릴 은경 (아크릴 40파이) [DX3000, ADX6000,SOLO]</t>
  </si>
  <si>
    <t>DX3000, SOLO 아크릴 은경 [40ɸ]</t>
  </si>
  <si>
    <t>368-AR-0042</t>
  </si>
  <si>
    <t>LED PCB 방열 가이드 (흑색 다이캐스팅) [DX3000, ADX6000,SOLO]</t>
  </si>
  <si>
    <t>DX3000 에이밍 알루미늄 플레이트</t>
  </si>
  <si>
    <t>368-AR-0043</t>
  </si>
  <si>
    <t>에이밍 LED 보드 (LED PCB) [DX3000, ADX6000,SOLO]</t>
  </si>
  <si>
    <t>DX3000 에이밍 LED BD</t>
  </si>
  <si>
    <t>368-AR-0044</t>
  </si>
  <si>
    <t>에이밍 바디 뭉치 (ø33*19.3) [DX3000, ADX6000,SOLO]</t>
  </si>
  <si>
    <t>DX3000 에이밍 원형 LED GUIDE</t>
  </si>
  <si>
    <t>368-AR-0045</t>
  </si>
  <si>
    <t>DX3000 메디컬용 FRONT ASS'Y</t>
  </si>
  <si>
    <t>3-AA-0017</t>
  </si>
  <si>
    <t>DX3000 에이밍라이트 플레이트 ASS'Y</t>
  </si>
  <si>
    <t>3-AA-0018</t>
  </si>
  <si>
    <t>DX3000 사각 컬리메이터 FRONT (B)</t>
  </si>
  <si>
    <t>3-AA-0019</t>
  </si>
  <si>
    <t>DX3000 메디컬용 사출 ASS'Y</t>
  </si>
  <si>
    <t>3-AA-0020</t>
  </si>
  <si>
    <t>LCD TOP (ABS 난연 화이트) [ADX4000W]</t>
  </si>
  <si>
    <t>ADX4000W 4.8' LCD TOP COVER</t>
  </si>
  <si>
    <t>4-AR-0046</t>
  </si>
  <si>
    <t>LCD BOTTOM (ABS 난연 화이트) [ADX4000W]</t>
  </si>
  <si>
    <t>ADX4000W 4.8" LCD BOTTOM COVER</t>
  </si>
  <si>
    <t>4-AR-0047</t>
  </si>
  <si>
    <t>TOP (ABS 난연 화이트) [ADX4000W]</t>
  </si>
  <si>
    <t>ADX4000W TOP BODY</t>
  </si>
  <si>
    <t>4-AR-0048</t>
  </si>
  <si>
    <t>BOTTOM (ABS 난연 화이트) [ADX4000W]</t>
  </si>
  <si>
    <t>ADX4000W BOTTOM BODY</t>
  </si>
  <si>
    <t>4-AR-0049</t>
  </si>
  <si>
    <t>POWER BUTTON (ABS 난연 화이트 + 밝은 회색) [ADX4000W]</t>
  </si>
  <si>
    <t>ADX4000W POWER BUTTON</t>
  </si>
  <si>
    <t>4-AR-0050</t>
  </si>
  <si>
    <t>POWER LED GUIDE (확산 아크릴) [ADX4000W]</t>
  </si>
  <si>
    <t>ADX4000W POWER LED GUIDE</t>
  </si>
  <si>
    <t>4-AR-0051</t>
  </si>
  <si>
    <t>NAVI BUTTON (가운데) (ABS 난연 화이트 + 밝은 회색) [ADX4000W]</t>
  </si>
  <si>
    <t>ADX4000W NAVI BUTTON (가운데)</t>
  </si>
  <si>
    <t>4-AR-0052</t>
  </si>
  <si>
    <t>NAVI KEY (방향) (ABS 난연 화이트 + 밝은 회색) [ADX4000W]</t>
  </si>
  <si>
    <t>ADX4000W NAVI KEY (방향)</t>
  </si>
  <si>
    <t>4-AR-0053</t>
  </si>
  <si>
    <t>EXPOSE BUTTON (ABS 난연 화이트 + 밝은 회색) [ADX4000W]</t>
  </si>
  <si>
    <t>ADX4000W EXPOSE BUTTON</t>
  </si>
  <si>
    <t>4-AR-0054</t>
  </si>
  <si>
    <t>EX LED GUIDE (확산 아크릴) [ADX4000W]</t>
  </si>
  <si>
    <t>ADX4000W EX LED GUIDE</t>
  </si>
  <si>
    <t>4-AR-0055</t>
  </si>
  <si>
    <t>HAND GUIDE (ABS 난연 화이트) [ADX4000W]</t>
  </si>
  <si>
    <t>ADX4000W HAND GUIDE</t>
  </si>
  <si>
    <t>4-AR-0056</t>
  </si>
  <si>
    <t>LCD GUIDE (ABS 난연 화이트) [ADX4000W]</t>
  </si>
  <si>
    <t>ADX4000W LCD GUIDE</t>
  </si>
  <si>
    <t>4-AR-0057</t>
  </si>
  <si>
    <t>HINGE GUIDE (ABS 난연 화이트) [ADX4000W]</t>
  </si>
  <si>
    <t>ADX4000W HINGE GUIDE</t>
  </si>
  <si>
    <t>4-AR-0058</t>
  </si>
  <si>
    <t>GUIDE (ABS 난연 화이트 + 진한 회색) [ADX4000W]</t>
  </si>
  <si>
    <t>ADX4000W 데코 가이드</t>
  </si>
  <si>
    <t>4-AR-0059</t>
  </si>
  <si>
    <t>FRONT CONE 일체형 (ABS 난연 화이트 + 진한 회색) [ADX4000W]</t>
  </si>
  <si>
    <t>ADX4000W FRONT CONE 일체형</t>
  </si>
  <si>
    <t>4-AR-0060</t>
  </si>
  <si>
    <t>FRONT CONE 체결형 (ABS 난연 화이트 + 진한 회색) [ADX4000W]</t>
  </si>
  <si>
    <t>ADX4000W FRONT CONE 체결형</t>
  </si>
  <si>
    <t>4-AR-0061</t>
  </si>
  <si>
    <t>20cm CONE (ABS 난연 화이트 + 진한 회색) [ADX4000W]</t>
  </si>
  <si>
    <t>ADX4000W 20cm CONE</t>
  </si>
  <si>
    <t>4-AR-0062</t>
  </si>
  <si>
    <t>15cm CONE (ABS 난연 화이트 + 진한 회색) [ADX4000W]</t>
  </si>
  <si>
    <t>ADX4000W 15cm CONE</t>
  </si>
  <si>
    <t>4-AR-0063</t>
  </si>
  <si>
    <t>BATTERY COVER (ABS 난연 화이트 + 진한 회색) [ADX4000W]</t>
  </si>
  <si>
    <t>ADX4000W BATTERY COVER</t>
  </si>
  <si>
    <t>4-AR-0064</t>
  </si>
  <si>
    <t>USB COVER (ABS 난연 화이트 + 진한 회색) [ADX4000W]</t>
  </si>
  <si>
    <t>ADX4000W USB COVER</t>
  </si>
  <si>
    <t>4-AR-0065</t>
  </si>
  <si>
    <t>HAND STRAP -손잡이(터치펜) (인조 가죽, AL(Cr도금), SUS Φ2.0) [ADX4000W]</t>
  </si>
  <si>
    <t>ADX4000W HAND STRAP [AL(Cr도금), SUS Φ2.0]-손잡이(터치펜)</t>
  </si>
  <si>
    <t>4-AR-0066</t>
  </si>
  <si>
    <t>NAVI KEY 사파리 (방향) (ABS 난연 반투명) [ADX4000W]</t>
  </si>
  <si>
    <t>ADX4000W NAVI KEY(방향) _ 사파리용</t>
  </si>
  <si>
    <t>4-AR-0067</t>
  </si>
  <si>
    <t>5" LCD (LQ050W1LA0A) [ADX4000W]</t>
  </si>
  <si>
    <t>ADX4000W 5" LCD 판넬 (SHARF)</t>
  </si>
  <si>
    <t>4-AR-0068</t>
  </si>
  <si>
    <t>ADX4000W ADX6000</t>
  </si>
  <si>
    <t>4.8" LCD (LMS480J-C01(LTS480WS-C01)) [ADX4000W]</t>
  </si>
  <si>
    <t>ADX4000W 4.8" LCD 판넬 (SAMSUNG)</t>
  </si>
  <si>
    <t>46-AR-0069</t>
  </si>
  <si>
    <t>USB 메모리 (16GB) [ADX4000W]</t>
  </si>
  <si>
    <t>ADX4000W 16GB USB 메모리</t>
  </si>
  <si>
    <t>46-AR-0070</t>
  </si>
  <si>
    <t>TP-LINK (WAN1000M)-동글 [ADX4000W]</t>
  </si>
  <si>
    <t>ADX4000W TP-LINK (WAN1000M)-동글</t>
  </si>
  <si>
    <t>46-AR-0071</t>
  </si>
  <si>
    <t>ip TIME 무선 랜카드 [N100UM] [ADX4000W]</t>
  </si>
  <si>
    <t>ADX4000W ip TIME 무선 랜카드 [N100UM]</t>
  </si>
  <si>
    <t>46-AR-0072</t>
  </si>
  <si>
    <t>히팅 싱크 구형 (일본 사용) [ADX4000W]</t>
  </si>
  <si>
    <t>ADX4000W 히팅 싱크 구형 (일본 사용)</t>
  </si>
  <si>
    <t>46-AR-0073</t>
  </si>
  <si>
    <t>방열 팬 구형 (일본 사용) (1204KL-01W-B10 5V 0.1A) [ADX4000W]</t>
  </si>
  <si>
    <t>ADX4000W 방열 팬 구형 (일본 사용) [1204KL-01W-B10 5V 0.1A]</t>
  </si>
  <si>
    <t>46-AR-0074</t>
  </si>
  <si>
    <t>히팅 패드 [ADX4000W]</t>
  </si>
  <si>
    <t>ADX4000W 히팅 패드</t>
  </si>
  <si>
    <t>46-AR-0075</t>
  </si>
  <si>
    <t>히팅 싱크 신형 [ADX4000W]</t>
  </si>
  <si>
    <t>ADX4000W 히팅 싱크 신형</t>
  </si>
  <si>
    <t>46-AR-0076</t>
  </si>
  <si>
    <t>방열 팬 신형 (HBD0401005SEM 5V 0.15A) [ADX4000W]</t>
  </si>
  <si>
    <t>ADX4000W 방열 팬 신형 [HBD0401005SEM 5V 0.15A]</t>
  </si>
  <si>
    <t>46-AR-0077</t>
  </si>
  <si>
    <t>ELECOM WIFI (10DR) (WDC-150SU2M) [ADX4000W]</t>
  </si>
  <si>
    <t>ADX4000W ELECOM WIFI 동글 (10DR) [WDC-150SU2M]</t>
  </si>
  <si>
    <t>46-AR-0078</t>
  </si>
  <si>
    <t>ADX4000W BUFFALO WIFI 동글 [WLI-UC-GNM2]</t>
  </si>
  <si>
    <t>46-AR-0079</t>
  </si>
  <si>
    <t>NAVI BD 사파리 [ADX4000W]</t>
  </si>
  <si>
    <t>ADX4000W NAVI BD _ 사파리용</t>
  </si>
  <si>
    <t>4-AR-0080</t>
  </si>
  <si>
    <t>4.8" LCD BD [ADX4000W]</t>
  </si>
  <si>
    <t>ADX4000W 4.8" LCD BD</t>
  </si>
  <si>
    <t>4-AR-0081</t>
  </si>
  <si>
    <t>POWER BD [ADX4000W]</t>
  </si>
  <si>
    <t>ADX4000W POWER BD</t>
  </si>
  <si>
    <t>4-AR-0082</t>
  </si>
  <si>
    <t>NAVI BD [ADX4000W]</t>
  </si>
  <si>
    <t>ADX4000W NAVI BD</t>
  </si>
  <si>
    <t>4-AR-0083</t>
  </si>
  <si>
    <t>EX B/D [ADX4000W]</t>
  </si>
  <si>
    <t>ADX4000W EX B/D</t>
  </si>
  <si>
    <t>4-AR-0084</t>
  </si>
  <si>
    <t>Carrier BD (구형 KONTRON) [ADX4000W]</t>
  </si>
  <si>
    <t>ADX4000W Carrier BD [KONTRON]</t>
  </si>
  <si>
    <t>4-AR-0085</t>
  </si>
  <si>
    <t>Module BD (구형 KONTRON) [ADX4000W]</t>
  </si>
  <si>
    <t>ADX4000W Module BD [KONTRON]</t>
  </si>
  <si>
    <t>46-AR-0086</t>
  </si>
  <si>
    <t>Carrier BD (신형 DFI) [ADX4000W]</t>
  </si>
  <si>
    <t>ADX4000W Carrier BD [DFI]</t>
  </si>
  <si>
    <t>4-AR-0087</t>
  </si>
  <si>
    <t>Module BD (신형 DFI) [ADX4000W]</t>
  </si>
  <si>
    <t>ADX4000W Module BD [DFI]</t>
  </si>
  <si>
    <t>46-AR-0088</t>
  </si>
  <si>
    <t>USB 메모리 BD (구형 KONTRON) [ADX4000W]</t>
  </si>
  <si>
    <t>ADX4000W USB 메모리 BD [KONTRON]</t>
  </si>
  <si>
    <t>4-AR-0089</t>
  </si>
  <si>
    <t>USB 메모리 BD (신형 DFI) [ADX4000W]</t>
  </si>
  <si>
    <t>ADX4000W USB 메모리 BD [DFI]</t>
  </si>
  <si>
    <t>4-AR-0090</t>
  </si>
  <si>
    <t>큰 페라이트 (ZCAT-1730-0730) [ADX4000W]</t>
  </si>
  <si>
    <t>ADX4000W 큰 페라이트 CAT-1730-0730</t>
  </si>
  <si>
    <t>4-AR-0091</t>
  </si>
  <si>
    <t>작은 페라이트 (ZCAT-1325-0530) [ADX4000W]</t>
  </si>
  <si>
    <t>ADX4000W 작은 페라이트 ZCAT-1325-0530</t>
  </si>
  <si>
    <t>46-AR-0092</t>
  </si>
  <si>
    <t>LCD Wire (LVDS) (30핀) [ADX4000W]</t>
  </si>
  <si>
    <t>ADX4000W LVDS Cable -30핀</t>
  </si>
  <si>
    <t>46-AR-0093</t>
  </si>
  <si>
    <t>전원 및 EXP Wire (8핀) [ADX4000W]</t>
  </si>
  <si>
    <t>ADX4000W 전원 및 EXP Wire -8핀</t>
  </si>
  <si>
    <t>4-AR-0094</t>
  </si>
  <si>
    <t>NAVIGATION KEY (6핀) [ADX4000W]</t>
  </si>
  <si>
    <t>ADX4000W NAVIGATION KEY -6핀</t>
  </si>
  <si>
    <t>4-AR-0095</t>
  </si>
  <si>
    <t>리모콘 및 관전류 (4핀) [ADX4000W]</t>
  </si>
  <si>
    <t>ADX4000W 리모콘 및 관전류 -4핀</t>
  </si>
  <si>
    <t>4-AR-0096</t>
  </si>
  <si>
    <t>RS422 통신 및 PC 전원 on/off (7핀) [ADX4000W]</t>
  </si>
  <si>
    <t>ADX4000W RS422 통신 및 PC 전원 on/off -7핀</t>
  </si>
  <si>
    <t>4-AR-0097</t>
  </si>
  <si>
    <t>Embedded PC 전원 (2핀) (케리어+CTR B/D 연결) [ADX4000W]</t>
  </si>
  <si>
    <t>ADX4000W Embedded PC 전원 -2핀 (케리어+CTR B/D 연결)</t>
  </si>
  <si>
    <t>4-AR-0098</t>
  </si>
  <si>
    <t>ADX4000W COCOON ADX6000 공용</t>
  </si>
  <si>
    <t>스피커 2핀 (12505HS-02+SORDER 200mm) [ADX4000W, ADX6000]</t>
  </si>
  <si>
    <t>ADX4000W, ADX6000 스피커 2핀 (12505HS-02+SORDER) 200mm [하네스 4-1번]</t>
  </si>
  <si>
    <t>46-AR-0099</t>
  </si>
  <si>
    <t>사파리용 NAVI FFC [UL2896-0.5mm*16P*80mm*C]</t>
  </si>
  <si>
    <t>46-AR-0100</t>
  </si>
  <si>
    <t>USB Wire (4핀) [ADX4000W]</t>
  </si>
  <si>
    <t>ADX4000W USB Wire -4핀</t>
  </si>
  <si>
    <t>4-AR-0101</t>
  </si>
  <si>
    <t>사출 ASS'Y</t>
  </si>
  <si>
    <t>ADX4000W TOP BODY 사출 ASS'Y</t>
  </si>
  <si>
    <t>4-AA-0021</t>
  </si>
  <si>
    <t>ADX4000W BOTTOM BODY 사출 ASS'Y</t>
  </si>
  <si>
    <t>4-AA-0022</t>
  </si>
  <si>
    <t>ADX4000W 기본 CONE ASS'Y</t>
  </si>
  <si>
    <t>4-AA-0023</t>
  </si>
  <si>
    <t>ADX4000W 15cm CONE ASS'Y</t>
  </si>
  <si>
    <t>4-AA-0024</t>
  </si>
  <si>
    <t>ADX4000W 20cm CONE ASS'Y</t>
  </si>
  <si>
    <t>4-AA-0025</t>
  </si>
  <si>
    <t>4.8" LCD BD ASS'Y</t>
  </si>
  <si>
    <t>ADX4000W 4.8" LCD BD ASS'Y</t>
  </si>
  <si>
    <t>4-AA-0026</t>
  </si>
  <si>
    <t>KONTRON_B/D ASS′Y (carrier B/D+Module B/D+방열팬+USB B/D)</t>
  </si>
  <si>
    <t>ADX4000W KONTRON_BD ASS′Y</t>
  </si>
  <si>
    <t>4-AA-0027</t>
  </si>
  <si>
    <t>DFI_B/D ASS′Y (carrier B/D+Module B/D+방열팬+USB B/D)</t>
  </si>
  <si>
    <t>ADX4000W DFI_BD ASS′Y</t>
  </si>
  <si>
    <t>4-AA-0028</t>
  </si>
  <si>
    <t>컬리메이터 TOP 사출 (ABS 난연 화이트 + 스프레이) [ADX6000]</t>
  </si>
  <si>
    <t>ADX6000 컬리메이터 TOP 사출</t>
  </si>
  <si>
    <t>6-AR-0102</t>
  </si>
  <si>
    <t>컬리메이터 BOTTOM 사출 (ABS 난연 화이트 + 스프레이) [ADX6000]</t>
  </si>
  <si>
    <t>ADX6000 컬리메이터 Bottom 사출</t>
  </si>
  <si>
    <t>6-AR-0103</t>
  </si>
  <si>
    <t>일체형 컬리메이터 (ABS 난연 블랙) [ADX6000]</t>
  </si>
  <si>
    <t>ADX6000 컬리메이터 콘 가이드</t>
  </si>
  <si>
    <t>6-AR-0104</t>
  </si>
  <si>
    <t>컬리메이터 내부하우징 사출 (ABS 난연 화이트 + 스프레이) [ADX6000]</t>
  </si>
  <si>
    <t>ADX6000 컬리메이터 내부하우징 사출</t>
  </si>
  <si>
    <t>6-AR-0105</t>
  </si>
  <si>
    <t>컬리메이터 내부브릿지 사출 (ABS 난연 화이트 + 스프레이) [ADX6000]</t>
  </si>
  <si>
    <t>ADX6000 컬리메이터 내부브릿지 사출</t>
  </si>
  <si>
    <t>6-AR-0106</t>
  </si>
  <si>
    <t>컬리메이터 MIRROR 거치대 사출 (ABS 난연 화이트 + 스프레이 블랙) [ADX6000]</t>
  </si>
  <si>
    <t>ADX6000 컬리메이터 Mirror 거치대 사출</t>
  </si>
  <si>
    <t>6-AR-0107</t>
  </si>
  <si>
    <t>아크릴 은경 (아크릴 + 불량42) [ADX6000]</t>
  </si>
  <si>
    <t>ADX6000 아크릴 은경 [32x32x1.5 mm]</t>
  </si>
  <si>
    <t>6-AR-0108</t>
  </si>
  <si>
    <t>컬리메이터 LED 알루미늄 가이드 (AL 가공 + 흑색 아노다이징) [ADX6000]</t>
  </si>
  <si>
    <t>ADX6000 컬리메이터 LED 알루미늄 가이드</t>
  </si>
  <si>
    <t>6-AR-0109</t>
  </si>
  <si>
    <t>컬리메이터 FRONT 사출 (ABS 난연 화이트 + 스프레이) [ADX6000]</t>
  </si>
  <si>
    <t>ADX6000 컬리메이터 FRONT 사출</t>
  </si>
  <si>
    <t>6-AR-0110</t>
  </si>
  <si>
    <t>Base Block (AL 가공 + 흑색 아노다이징) [ADX6000]</t>
  </si>
  <si>
    <t>ADX6000 Base Block</t>
  </si>
  <si>
    <t>6-AR-0111</t>
  </si>
  <si>
    <t>Top Block (AL 가공 + 흑색 아노다이징) [ADX6000]</t>
  </si>
  <si>
    <t>ADX6000 Top Block</t>
  </si>
  <si>
    <t>6-AR-0112</t>
  </si>
  <si>
    <t>Bottom Block (AL 가공 + 흑색 아노다이징) [ADX6000]</t>
  </si>
  <si>
    <t>6-AR-0113</t>
  </si>
  <si>
    <t>ADX6000 Skin Guard Frame</t>
  </si>
  <si>
    <t>6-AR-0114</t>
  </si>
  <si>
    <t>아크릴 투명 십자 panel (아크릴 + 실크 인쇄) [ADX6000]</t>
  </si>
  <si>
    <t>ADX6000 아크릴 투명 십자 panel (70x70x1.5 mm)</t>
  </si>
  <si>
    <t>6-AR-0115</t>
  </si>
  <si>
    <t>LCD Cover 사출 (ABS 난연 화이트+ 색바랜 노란색 398) [ADX6000]</t>
  </si>
  <si>
    <t>ADX6000 LCD Cover 사출 (white)</t>
  </si>
  <si>
    <t>6-AR-0116</t>
  </si>
  <si>
    <t>LCD Inner Cover 사출 (ABS 난연 화이트 + 스프레이) [ADX6000]</t>
  </si>
  <si>
    <t>ADX6000 LCD Inner Cover 사출</t>
  </si>
  <si>
    <t>6-AR-0117</t>
  </si>
  <si>
    <t>LCD 힌지 사출 커버 TOP (ABS 난연 화이트 + 스프레이) [ADX6000]</t>
  </si>
  <si>
    <t>ADX6000 LCD 힌지 사출 커버 TOP</t>
  </si>
  <si>
    <t>6-AR-0118</t>
  </si>
  <si>
    <t>LCD 힌지 사출 커버 BOTTOM (ABS 난연 화이트 + 스프레이) [ADX6000]</t>
  </si>
  <si>
    <t>ADX6000 LCD 힌지 사출 커버 BOTTOM</t>
  </si>
  <si>
    <t>6-AR-0119</t>
  </si>
  <si>
    <t>LCD HINGE (가공) [ADX6000]</t>
  </si>
  <si>
    <t>ADX6000 LCD HINGE</t>
  </si>
  <si>
    <t>6-AR-0120</t>
  </si>
  <si>
    <t>LCD 힌지 가죽 커버 (인조 가죽) [ADX6000]</t>
  </si>
  <si>
    <t>ADX6000 LCD 힌지 가죽 커버</t>
  </si>
  <si>
    <t>6-AR-0121</t>
  </si>
  <si>
    <t>ADX6000FB ADX6000s</t>
  </si>
  <si>
    <t>LCD 아크릴 가이드 (투명 아크릴) [ADX6000]</t>
  </si>
  <si>
    <t>ADX6000 LCD 아크릴 가이드</t>
  </si>
  <si>
    <t>6-AR-0122</t>
  </si>
  <si>
    <t>LCD 배젤 스티커 [ADX6000S]</t>
  </si>
  <si>
    <t>ADX6000 LCD 배젤 스티커</t>
  </si>
  <si>
    <t>6-AR-0123</t>
  </si>
  <si>
    <t>ADX6000 LCD 배젤 스티커 - 중앙 필름 제거</t>
  </si>
  <si>
    <t>6-AR-0124</t>
  </si>
  <si>
    <t>BODY LEFT 사출 (ABS 난연 화이트 + 스프레이) [ADX6000]</t>
  </si>
  <si>
    <t>ADX6000 BODY LEFT 사출</t>
  </si>
  <si>
    <t>6-AR-0125</t>
  </si>
  <si>
    <t>BODY LEFT 사출 배터리 커버 (ABS 난연 화이트 + 스프레이) [ADX6000]</t>
  </si>
  <si>
    <t>ADX6000 배터리 커버</t>
  </si>
  <si>
    <t>6-AR-0126</t>
  </si>
  <si>
    <t>Black Deco Guide (스모그 투명 아크릴) [ADX6000]</t>
  </si>
  <si>
    <t>ADX6000 Black Deco Guide</t>
  </si>
  <si>
    <t>6-AR-0127</t>
  </si>
  <si>
    <t>Power Button 사출 (스모그 투명 아크릴) [ADX6000]</t>
  </si>
  <si>
    <t>ADX6000 Power Button 사출</t>
  </si>
  <si>
    <t>6-AR-0128</t>
  </si>
  <si>
    <t>ADX6000 ADX6000U</t>
  </si>
  <si>
    <t>Micro USB 사출 가이드 (ABS 난연 화이트 + 스프레이) [ADX6000]</t>
  </si>
  <si>
    <t>ADX6000 Micro USB 사출 가이드</t>
  </si>
  <si>
    <t>6-AR-0129</t>
  </si>
  <si>
    <t>Main PC 거치대 사출 (ABS 난연 화이트) [ADX6000]</t>
  </si>
  <si>
    <t>ADX6000 Main PC 거치대 사출</t>
  </si>
  <si>
    <t>6-AR-0130</t>
  </si>
  <si>
    <t>손잡이 핀 (가공) [ADX6000]</t>
  </si>
  <si>
    <t>ADX6000 손잡이 핀</t>
  </si>
  <si>
    <t>6-AR-0131</t>
  </si>
  <si>
    <t>Front Port Sticker [ADX6000]</t>
  </si>
  <si>
    <t>ADX6000 Front Port Sticker (전면 포트 스티커)</t>
  </si>
  <si>
    <t>6-AR-0132</t>
  </si>
  <si>
    <t>ETC FRONT BD (리모콘 포트 수정 신형 얇은것)</t>
  </si>
  <si>
    <t>ADX6000FB ETC FRONT BD (리모콘 포트 수정 신형 얇은것)</t>
  </si>
  <si>
    <t>6-AR-0133</t>
  </si>
  <si>
    <t>리모콘 포트 가이드 (ABS 난연 화이트) [ADX6000]</t>
  </si>
  <si>
    <t>ADX6000FB 리모콘 포트 가이드</t>
  </si>
  <si>
    <t>6-AR-0134</t>
  </si>
  <si>
    <t>Front Port Sticker (리모콘 포트 수정 신형) [ADX6000S]</t>
  </si>
  <si>
    <t>ADX6000FB Front Port Sticker (리모콘 포트 수정 신형)</t>
  </si>
  <si>
    <t>6-AR-0135</t>
  </si>
  <si>
    <t>Front Port Sticker (USB 포트 제거형) [ADX6000S]</t>
  </si>
  <si>
    <t>ADX6000FB Front Port Sticker (USB 포트 제거형)</t>
  </si>
  <si>
    <t>6-AR-0136</t>
  </si>
  <si>
    <t>BODY RIGHT 사출 (ABS 난연 화이트 + 스프레이) [ADX6000]</t>
  </si>
  <si>
    <t>ADX6000 BODY RIGHT 사출</t>
  </si>
  <si>
    <t>6-AR-0137</t>
  </si>
  <si>
    <t>HANDLE RIGHT 사출 (ABS 난연 화이트 + 스프레이) [ADX6000]</t>
  </si>
  <si>
    <t>ADX6000 HANDLE RIGHT 사출</t>
  </si>
  <si>
    <t>6-AR-0138</t>
  </si>
  <si>
    <t>LCD 사출 나사 커버 (ABS 난연 화이트 + 스프레이) [ADX6000]</t>
  </si>
  <si>
    <t>ADX6000 LCD 사출 나사 커버</t>
  </si>
  <si>
    <t>6-AR-0139</t>
  </si>
  <si>
    <t>HANDLE LEFT 사출 (ABS 난연 화이트 + 스프레이) [ADX6000]</t>
  </si>
  <si>
    <t>ADX6000 HANDLE LEFT 사출</t>
  </si>
  <si>
    <t>6-AR-0140</t>
  </si>
  <si>
    <t>EX Button 사출 (스모그 투명 아크릴) [ADX6000]</t>
  </si>
  <si>
    <t>ADX6000 EX Button 사출</t>
  </si>
  <si>
    <t>6-AR-0141</t>
  </si>
  <si>
    <t>CRADLE TOP 사출 (ABS 난연 화이트 + 스프레이) [ADX6000]</t>
  </si>
  <si>
    <t>ADX6000 크래들 TOP 사출</t>
  </si>
  <si>
    <t>6-AR-0142</t>
  </si>
  <si>
    <t>CRADLE BOTTOM 사출 (ABS 난연 화이트 + 스프레이 블랙) [ADX6000]</t>
  </si>
  <si>
    <t>ADX6000 크래들 BOTTOM 사출</t>
  </si>
  <si>
    <t>6-AR-0143</t>
  </si>
  <si>
    <t>CRADLE LED Guide 사출 (ABS 난연 화이트 + 스프레이) [ADX6000]</t>
  </si>
  <si>
    <t>ADX6000 크래들 LED Guide 사출</t>
  </si>
  <si>
    <t>6-AR-0144</t>
  </si>
  <si>
    <t>중간 페라이트 코어 (ZCAT 1518-0730) [ADX6000]</t>
  </si>
  <si>
    <t>ADX6000 페라이트 코어 ZCAT 1518-0730</t>
  </si>
  <si>
    <t>6-AR-0145</t>
  </si>
  <si>
    <t>알루미늄 브라켓 6 hole (AL 가공 + 백색 아노다이징) [ADX6000]</t>
  </si>
  <si>
    <t>ADX6000 알루미늄 브라켓 6 hole</t>
  </si>
  <si>
    <t>6-AR-0146</t>
  </si>
  <si>
    <t>가죽 손잡이 (탈착배터리 터치펜 O) (인조 가죽) [ADX6000]</t>
  </si>
  <si>
    <t>ADX6000 가죽 손잡이 탈착배터리용 터치펜 O</t>
  </si>
  <si>
    <t>6-AR-0147</t>
  </si>
  <si>
    <t>가죽 손잡이 (탈착배터리 터치펜 X) (인조 가죽) [ADX6000]</t>
  </si>
  <si>
    <t>ADX6000FB 가죽 손잡이 탈착배터리용 터치펜 X</t>
  </si>
  <si>
    <t>6-AR-0148</t>
  </si>
  <si>
    <t>4.3" LCD (신형) (IEC-1000) [ADX6000S]</t>
  </si>
  <si>
    <t>ADX6000FB 4.3" LCD 판넬 (IEC-266 &amp; IEC-1000 공용)</t>
  </si>
  <si>
    <t>6-AR-0149</t>
  </si>
  <si>
    <t>4.3" Module (IEC266lite-43, OS 영문) [ADX6000S]</t>
  </si>
  <si>
    <t>ADX6000FB 4.3" Module (IEC-266 구형)</t>
  </si>
  <si>
    <t>6-AR-0150</t>
  </si>
  <si>
    <t>4.3" Module (신형) (IEC-1000) [ADX6000S]</t>
  </si>
  <si>
    <t>ADX6000FB 4.3" Module (IEC-1000 신형)</t>
  </si>
  <si>
    <t>6-AR-0151</t>
  </si>
  <si>
    <t>LCD B/D [ADX6000S]</t>
  </si>
  <si>
    <t>ADX6000FB LCD BD</t>
  </si>
  <si>
    <t>6-AR-0152</t>
  </si>
  <si>
    <t>LCD B/D [ADX6000]</t>
  </si>
  <si>
    <t>ADX6000 LCD BD</t>
  </si>
  <si>
    <t>6-AR-0153</t>
  </si>
  <si>
    <t>ETC CARRIER BD (IEC-1000) [ADX6000S]</t>
  </si>
  <si>
    <t>ADX6000FB ETC CARRIER BD (IEC-1000)</t>
  </si>
  <si>
    <t>6-AR-0154</t>
  </si>
  <si>
    <t>ETC CARRIER BD [ADX6000S]</t>
  </si>
  <si>
    <t>ADX6000FB ETC CARRIER BD (IEC-266)</t>
  </si>
  <si>
    <t>6-AR-0155</t>
  </si>
  <si>
    <t>ETC CARRIER MINI BD [ADX6000S]</t>
  </si>
  <si>
    <t>ADX6000FB ETC CARRIER MINI BD</t>
  </si>
  <si>
    <t>6-AR-0156</t>
  </si>
  <si>
    <t>Carrier B/D (구형 KONTRON) [ADX6000]</t>
  </si>
  <si>
    <t>ADX6000 Carrier BD [KONTRON]</t>
  </si>
  <si>
    <t>6-AR-0157</t>
  </si>
  <si>
    <t>Carrier B/D (신형 DFI) [ADX6000]</t>
  </si>
  <si>
    <t>ADX6000 Carrier BD [신형 DFI]</t>
  </si>
  <si>
    <t>6-AR-0158</t>
  </si>
  <si>
    <t>Power Switch B/D [ADX6000]</t>
  </si>
  <si>
    <t>ADX6000 Power Switch B/D</t>
  </si>
  <si>
    <t>6-AR-0159</t>
  </si>
  <si>
    <t>ADX6000 FRONT CONNECTOR BD</t>
  </si>
  <si>
    <t>6-AR-0160</t>
  </si>
  <si>
    <t>Front Micro B/D [ADX6000]</t>
  </si>
  <si>
    <t>ADX6000 Front Micro BD</t>
  </si>
  <si>
    <t>6-AR-0161</t>
  </si>
  <si>
    <t>Battery Bridge B/D [ADX6000]</t>
  </si>
  <si>
    <t>ADX6000 Battery Bridge BD</t>
  </si>
  <si>
    <t>6-AR-0162</t>
  </si>
  <si>
    <t>Battery Connect B/D [ADX6000]</t>
  </si>
  <si>
    <t>ADX6000 Battery Connect BD</t>
  </si>
  <si>
    <t>6-AR-0163</t>
  </si>
  <si>
    <t>관전류 B/D [ADX6000]</t>
  </si>
  <si>
    <t>ADX6000 관전류 BD</t>
  </si>
  <si>
    <t>6-AR-0164</t>
  </si>
  <si>
    <t>EX B/D [ADX6000]</t>
  </si>
  <si>
    <t>ADX6000 EX BD</t>
  </si>
  <si>
    <t>6-AR-0165</t>
  </si>
  <si>
    <t>Cradle B/D [ADX6000]</t>
  </si>
  <si>
    <t>ADX6000 Cradle BD</t>
  </si>
  <si>
    <t>6-AR-0166</t>
  </si>
  <si>
    <t>컬리메이터 LED B/D (신형 LED, 밝기 수정) [ADX6000]</t>
  </si>
  <si>
    <t>ADX6000 컬리메이터 LED BD (LED 작고 밝은 것 적용)</t>
  </si>
  <si>
    <t>6-AR-0167</t>
  </si>
  <si>
    <t>하네스 1번 (12505HS-06, 12505HS-04, 12505HS-03, 12505HS-02 CTR, CURRENT, FRONT, PC BD연결 / 180mm, 140mm, 200mm) [ADX6000S]</t>
  </si>
  <si>
    <t>ADX6000FB CTR, CURRENT, FRONT, PC BD연결 (12505HS-06, 12505HS-04, 12505HS-03, 12505HS-02) 250mm, 140mm, 200mm [하네스 1번]</t>
  </si>
  <si>
    <t>6-AR-0168</t>
  </si>
  <si>
    <t>CTR, CURRENT, FRONT, PC BD연결 _ 하네스 1-1번 [ 12505HS-06, 12505HS-04, 12505HS-03, 5264-02 (250mm, 140mm, 300mm) ]</t>
  </si>
  <si>
    <t>ADX6000FB CTR, CURRENT, FRONT, PC BD연결 (12505HS-06, 12505HS-04, 12505HS-03, 5264-02) 250mm, 140mm, 300mm [하네스 1-1번]</t>
  </si>
  <si>
    <t>6-AR-0169</t>
  </si>
  <si>
    <t>하네스 2번 (12505HS-04, USB-105 PC, FRONT BD 연결 / 70mm) [ADX6000S]</t>
  </si>
  <si>
    <t>ADX6000FB PC, FRONT BD 연결 (12505HS-04, USB-105) 70mm [하네스 2번]</t>
  </si>
  <si>
    <t>6-AR-0170</t>
  </si>
  <si>
    <t>하네스 3번 (Power&amp;Exp Connector 12핀 / 160mm, 70mm) [ADX6000]</t>
  </si>
  <si>
    <t>ADX6000 Power&amp;Exp Connector Wire Harness 12핀 170mm, 70mm [하네스 3번]</t>
  </si>
  <si>
    <t>6-AR-0171</t>
  </si>
  <si>
    <t>하네스 5번 (컬리메이터 LED 2핀 / 300mm) [ADX6000]</t>
  </si>
  <si>
    <t>ADX6000 컬리메이터 LED Wire Harness 2핀 300mm [하네스 5번]</t>
  </si>
  <si>
    <t>6-AR-0172</t>
  </si>
  <si>
    <t>하네스 6번 (SMH250-02 PC 전원 케이블 / 130mm) [ADX6000S]</t>
  </si>
  <si>
    <t>ADX6000FB PC 전원 케이블 (SMH250-02) 130mm [하네스 6번]</t>
  </si>
  <si>
    <t>6-AR-0173</t>
  </si>
  <si>
    <t>하네스 7번 (DF19G-20S-1C(0.5) (2EA) LVDS 케이블 / 160mm 힌지 작업시 발주) [ADX6000S]</t>
  </si>
  <si>
    <t>ADX6000FB LVDS 케이블 20핀 (DF19G-20S-1C(0.5) (2EA)) 160mm [하네스 7번]</t>
  </si>
  <si>
    <t>6-AR-0174</t>
  </si>
  <si>
    <t>Carrier Mini BD 케이블 _ 하네스 9번  [ 12505HS-03 (100mm) ]</t>
  </si>
  <si>
    <t>하네스 9번 (12505HS-03 Carrier Mini BD 케이블 / 100mm) [ADX6000S]</t>
  </si>
  <si>
    <t>ADX6000FB Carrier Mini BD 케이블 3핀 (12505HS-03) 100mm [하네스 9번]</t>
  </si>
  <si>
    <t>6-AR-0175</t>
  </si>
  <si>
    <t>Carrier Mini BD 케이블 _ 하네스 9-1번  [ 12505HS-03 (100mm) ]</t>
  </si>
  <si>
    <t>하네스 9-1번 (12505HS-03 Carrier Mini BD 케이블 / 100mm (한쪽만 커넥터)) [ADX6000S]</t>
  </si>
  <si>
    <t>ADX6000FB Carrier Mini BD 케이블 3핀 (한쪽만 커넥터) (12505HS-03) 100mm [하네스 9-1번]</t>
  </si>
  <si>
    <t>6-AR-0176</t>
  </si>
  <si>
    <t>하네스 10번 (CHW0640-03, 1205HS-03 PC, CTR BD 연결 / 130mm) [ADX6000S]</t>
  </si>
  <si>
    <t>ADX6000FB PC, CTR BD 연결 3핀 (CHW0640-03, 1205HS-03) 130mm [하네스 10번]</t>
  </si>
  <si>
    <t>6-AR-0177</t>
  </si>
  <si>
    <t>하네스 11번 (Battery BD 02 [4핀,2핀,Dual] 탈착, 외부 BAT BD 연결 / 90mm, 80mm) [ADX6000]</t>
  </si>
  <si>
    <t>ADX6000 Battery BD 02 Wire Harness [4pin,2pin,Dual] 90mm,80mm 탈착, 외부 BAT BD 연결 (하네스 11번)</t>
  </si>
  <si>
    <t>6-AR-0178</t>
  </si>
  <si>
    <t>Battery BD 02 Wire Harness [12505HS-06] [80mm] 탈착 BAT BD 연결 (하네스 11-1번)</t>
  </si>
  <si>
    <t>ADX6000 탈착 BAT BD (Ver 4.0) 연결 6핀 (12505HS-06) 80mm [하네스 11-1번]</t>
  </si>
  <si>
    <t>6-AR-0179</t>
  </si>
  <si>
    <t>하네스 14번 (FFC Cable 40핀 / 50mm - 사용안함) [ADX6000S]</t>
  </si>
  <si>
    <t>ADX6000FB 40핀 FFC Cable 50mm [하네스 14번]</t>
  </si>
  <si>
    <t>6-AR-0180</t>
  </si>
  <si>
    <t>Battery BD 01 Wire Harness (2핀) (80mm) [ADX6000]</t>
  </si>
  <si>
    <t>ADX6000 Battery BD 01 Wire Harness 2핀 80mm</t>
  </si>
  <si>
    <t>6-AR-0181</t>
  </si>
  <si>
    <t>PC Connector Wire Harness (7핀) (100mm, 140mm, 200mm) [ADX6000]</t>
  </si>
  <si>
    <t>ADX6000 PC Connector Wire Harness 7핀 100mm,140mm,200mm</t>
  </si>
  <si>
    <t>6-AR-0182</t>
  </si>
  <si>
    <t>RS422 통신 Wire Harness (6핀) (120mm) [ADX6000]</t>
  </si>
  <si>
    <t>ADX6000 RS422 통신 Wire Harness 6핀 120mm</t>
  </si>
  <si>
    <t>6-AR-0183</t>
  </si>
  <si>
    <t>USB Connector Wire Harness (4핀) (100mm) [ADX6000]</t>
  </si>
  <si>
    <t>ADX6000 USB Connector Wire Harness 4핀 100mm</t>
  </si>
  <si>
    <t>6-AR-0184</t>
  </si>
  <si>
    <t>Front USB Wire Harness (4핀) (80mm) [ADX6000]</t>
  </si>
  <si>
    <t>ADX6000 Front USB Wire Harness 4핀 80mm</t>
  </si>
  <si>
    <t>6-AR-0186</t>
  </si>
  <si>
    <t>ADX6000 콘 납 부착 ASS'Y</t>
  </si>
  <si>
    <t>6-AA-0029</t>
  </si>
  <si>
    <t>ADX6000 콘 컬리메이터 ASS'Y</t>
  </si>
  <si>
    <t>6-AA-0030</t>
  </si>
  <si>
    <t>ADX6000 콘 컬리메이터 ASS'Y + BOTTOM Base block</t>
  </si>
  <si>
    <t>6-AA-0031</t>
  </si>
  <si>
    <t>ADX6000 컬리메이터 ASS'Y</t>
  </si>
  <si>
    <t>6-AA-0032</t>
  </si>
  <si>
    <t>ADX6000 컬리메이터 ASS'Y + BOTTOM Base block (더 밝게 수정)</t>
  </si>
  <si>
    <t>6-AA-0033</t>
  </si>
  <si>
    <t>ADX6000 컬리메이터 ASS'Y + BOTTOM Base block</t>
  </si>
  <si>
    <t>6-AA-0034</t>
  </si>
  <si>
    <t>ADX6000 컬리메이터 ASS'Y + TOP, BOTTOM Base block</t>
  </si>
  <si>
    <t>6-AA-0035</t>
  </si>
  <si>
    <t>ADX6000 크래들 ASS'Y [CR-ADX]</t>
  </si>
  <si>
    <t>6-AA-0036</t>
  </si>
  <si>
    <t>ADX6000 LCD ASS'Y</t>
  </si>
  <si>
    <t>6-AA-0037</t>
  </si>
  <si>
    <t>ADX6000 탈착형 BODY LEFT ASS'Y</t>
  </si>
  <si>
    <t>6-AA-0038</t>
  </si>
  <si>
    <t>ADX6000 외부형 BODY LEFT ASS'Y</t>
  </si>
  <si>
    <t>6-AA-0039</t>
  </si>
  <si>
    <t>ADX6000FB LCD ASS'Y</t>
  </si>
  <si>
    <t>6-AA-0040</t>
  </si>
  <si>
    <t>ADX6000FB Main PC ASS'Y [IEC-266 구형]</t>
  </si>
  <si>
    <t>6-AA-0041</t>
  </si>
  <si>
    <t>ADX6000FB Main PC ASS'Y [IEC-1000 신형]</t>
  </si>
  <si>
    <t>6-AA-0042</t>
  </si>
  <si>
    <t>ADX6000FB 탈착형 BODY LEFT ASS'Y</t>
  </si>
  <si>
    <t>6-AA-0043</t>
  </si>
  <si>
    <t>ADX6000FB 외부형 BODY LEFT ASS'Y</t>
  </si>
  <si>
    <t>6-AA-0044</t>
  </si>
  <si>
    <t>ADX6000 BODY RIGHT ASS'Y</t>
  </si>
  <si>
    <t>6-AA-0045</t>
  </si>
  <si>
    <t>BODY RIGHT ASS'Y (관전류 B/D 미포함)</t>
  </si>
  <si>
    <t>6-AA-0046</t>
  </si>
  <si>
    <t>OLED PANEL (UG-5664ASWEF01) [COCOON]</t>
  </si>
  <si>
    <t>COCOON 3.1" OLED 판넬 (UG-5664ASWEF01)</t>
  </si>
  <si>
    <t>7-AR-0187</t>
  </si>
  <si>
    <t>OLED GUIDE (ABS 난연 화이트) [COCOON]</t>
  </si>
  <si>
    <t>COCOON OLED GUIDE 사출</t>
  </si>
  <si>
    <t>7-AR-0188</t>
  </si>
  <si>
    <t>COCOON 메탈 실버 유광</t>
  </si>
  <si>
    <t>TOP BODY (메탈 실버 유광) [COCOON]</t>
  </si>
  <si>
    <t>COCOON TOP BODY (S)</t>
  </si>
  <si>
    <t>7-AR-0189</t>
  </si>
  <si>
    <t>COCOON TOP BODY (S) [COCOON 로고 없음]</t>
  </si>
  <si>
    <t>7-AR-0190</t>
  </si>
  <si>
    <t>COCOON 블랙 유광</t>
  </si>
  <si>
    <t>BOTTOM BODY (블랙 유광) [COCOON]</t>
  </si>
  <si>
    <t>COCOON BOTTOM BODY (B 유광)</t>
  </si>
  <si>
    <t>7-AR-0191</t>
  </si>
  <si>
    <t>POWER BUTTON (메탈 실버 유광) [COCOON]</t>
  </si>
  <si>
    <t>COCOON POWER BUTTON (S)</t>
  </si>
  <si>
    <t>7-AR-0192</t>
  </si>
  <si>
    <t>BUTTON INDICATOR (ABS 난연 화이트) [COCOON]</t>
  </si>
  <si>
    <t>COCOON BUTTON INDICATOR</t>
  </si>
  <si>
    <t>7-AR-0193</t>
  </si>
  <si>
    <t>TOUCH DUMMY (확산 아크릴) [COCOON]</t>
  </si>
  <si>
    <t>COCOON TOUCH DUMMY</t>
  </si>
  <si>
    <t>7-AR-0194</t>
  </si>
  <si>
    <t>고리 (니켈 도금 D링) [COCOON]</t>
  </si>
  <si>
    <t>COCOON D링 고리</t>
  </si>
  <si>
    <t>7-AR-0195</t>
  </si>
  <si>
    <t>COCOON 메탈 실버</t>
  </si>
  <si>
    <t>LOCK KNOB (메탈 실버 유광) [COCOON]</t>
  </si>
  <si>
    <t>COCOON LOCK KNOB (S)</t>
  </si>
  <si>
    <t>7-AR-0196</t>
  </si>
  <si>
    <t>LOCK INNER (메탈 실버) [COCOON]</t>
  </si>
  <si>
    <t>COCOON LOCK INNER (S)</t>
  </si>
  <si>
    <t>7-AR-0197</t>
  </si>
  <si>
    <t>HAND BODY (메탈 실버 유광) [COCOON]</t>
  </si>
  <si>
    <t>COCOON HAND BODY (S)</t>
  </si>
  <si>
    <t>7-AR-0198</t>
  </si>
  <si>
    <t>HAND TOP COVER (메탈 실버) [COCOON]</t>
  </si>
  <si>
    <t>COCOON HAND TOP COVER (S)</t>
  </si>
  <si>
    <t>7-AR-0199</t>
  </si>
  <si>
    <t>SHOT BUTTON (ABS 난연 화이트 + 오렌지 유광) [COCOON]</t>
  </si>
  <si>
    <t>COCOON SHOT BUTTON</t>
  </si>
  <si>
    <t>7-AR-0200</t>
  </si>
  <si>
    <t>SHOT PCB GUIDE (ABS 난연 화이트) [COCOON]</t>
  </si>
  <si>
    <t>COCOON SHOT PCB GUIDE</t>
  </si>
  <si>
    <t>7-AR-0201</t>
  </si>
  <si>
    <t>COCOON 레드 유광</t>
  </si>
  <si>
    <t>SLIDE SWITCH (ABS 난연 화이트 + 레드 유광) [COCOON]</t>
  </si>
  <si>
    <t>COCOON SLIDE SWITCH</t>
  </si>
  <si>
    <t>7-AR-0202</t>
  </si>
  <si>
    <t>SLIDE CAP (ABS 난연 화이트 + 레드 유광) [COCOON]</t>
  </si>
  <si>
    <t>COCOON SLIDE CAP</t>
  </si>
  <si>
    <t>7-AR-0203</t>
  </si>
  <si>
    <t>COCOON  블랙 유광</t>
  </si>
  <si>
    <t>BAT BOTTOM (블랙 유광) [COCOON]</t>
  </si>
  <si>
    <t>COCOON BAT BOTTOM (B 유광)</t>
  </si>
  <si>
    <t>7-AR-0204</t>
  </si>
  <si>
    <t>EXP BUTTON 스프링 (스프링) [COCOON]</t>
  </si>
  <si>
    <t>COCOON EXP BUTTON 스프링</t>
  </si>
  <si>
    <t>7-AR-0205</t>
  </si>
  <si>
    <t>BAT BOTTOM RUBBER (RUBBER) [COCOON]</t>
  </si>
  <si>
    <t>COCOON BAT BOTTOM RUBBER</t>
  </si>
  <si>
    <t>7-AR-0206</t>
  </si>
  <si>
    <t>내부 배터리 (PF605060HP) [COCOON]</t>
  </si>
  <si>
    <t>COCOON 내부 배터리 [COCOON-041 (PF605060HP)] (4ICP6/50/61)</t>
  </si>
  <si>
    <t>7-AR-0207</t>
  </si>
  <si>
    <t>CRADLE BODY BUTTON X (ABS 난연 블랙 + 블랙 유광) [COCOON]</t>
  </si>
  <si>
    <t>COCOON CRADLE BODY (B)</t>
  </si>
  <si>
    <t>7-AR-0208</t>
  </si>
  <si>
    <t>CRADLE BOTTOM (블랙 유광) [COCOON]</t>
  </si>
  <si>
    <t>COCOON CRADLE BOTTOM (B)</t>
  </si>
  <si>
    <t>7-AR-0209</t>
  </si>
  <si>
    <t>CRADLE FRAME (도금용 사출 + 크롬 도금) [COCOON]</t>
  </si>
  <si>
    <t>COCOON CRADLE FRAME (S)</t>
  </si>
  <si>
    <t>7-AR-0210</t>
  </si>
  <si>
    <t>CRADLE 신주 핀 (신주 가공 + 니켈 도금) [COCOON]</t>
  </si>
  <si>
    <t>COCOON CRADLE 신주 핀</t>
  </si>
  <si>
    <t>7-AR-0211</t>
  </si>
  <si>
    <t>CRADLE 충전단자 스프링 (스프링) [COCOON]</t>
  </si>
  <si>
    <t>COCOON CRADLE 충전단자 스프링</t>
  </si>
  <si>
    <t>7-AR-0212</t>
  </si>
  <si>
    <t>CRADLE FOOT RUBBER (RUBBER) [COCOON]</t>
  </si>
  <si>
    <t>COCOON CRADLE FOOT RUBBER</t>
  </si>
  <si>
    <t>7-AR-0213</t>
  </si>
  <si>
    <t>COCOON 화이트 케어스트림</t>
  </si>
  <si>
    <t>COCOON TOP BODY (W) [Carestream 로고]</t>
  </si>
  <si>
    <t>7-AR-0214</t>
  </si>
  <si>
    <t>COCOON POWER BUTTON (W)</t>
  </si>
  <si>
    <t>7-AR-0215</t>
  </si>
  <si>
    <t>COCOON BOTTOM BODY (W)</t>
  </si>
  <si>
    <t>7-AR-0216</t>
  </si>
  <si>
    <t>COCOON LOCK KNOB (W)</t>
  </si>
  <si>
    <t>7-AR-0217</t>
  </si>
  <si>
    <t>COCOON LOCK INNER (W)</t>
  </si>
  <si>
    <t>7-AR-0218</t>
  </si>
  <si>
    <t>COCOON HAND BODY (W)</t>
  </si>
  <si>
    <t>7-AR-0219</t>
  </si>
  <si>
    <t>COCOON HAND TOP COVER (W)</t>
  </si>
  <si>
    <t>7-AR-0220</t>
  </si>
  <si>
    <t>COCOON CRADLE FRAME (W)</t>
  </si>
  <si>
    <t>7-AR-0221</t>
  </si>
  <si>
    <t>COCOON CRADLE FRAME 실리콘 커버</t>
  </si>
  <si>
    <t>7-AR-0222</t>
  </si>
  <si>
    <t>GER GUIDE (ABS 난연 화이트) [COCOON]</t>
  </si>
  <si>
    <t>COCOON GER GUIDE</t>
  </si>
  <si>
    <t>7-AR-0223</t>
  </si>
  <si>
    <t>FRONT_S (18cm) (블랙 유광) [COCOON]</t>
  </si>
  <si>
    <t>COCOON 18cm FRONT_S (B 유광)</t>
  </si>
  <si>
    <t>7-AR-0224</t>
  </si>
  <si>
    <t>CONE GUIDE_S (18cm) (ABS 난연 화이트) [COCOON]</t>
  </si>
  <si>
    <t>COCOON 18cm CONE GUIDE_S</t>
  </si>
  <si>
    <t>7-AR-0225</t>
  </si>
  <si>
    <t>CONE GUIDE_L (20cm) (ABS 난연 화이트) [COCOON]</t>
  </si>
  <si>
    <t>COCOON 20cm CONE GUIDE_L</t>
  </si>
  <si>
    <t>7-AR-0226</t>
  </si>
  <si>
    <t>FRONT_L (20cm) (ABS 난연 블랙 + 블랙 유광) [COCOON]</t>
  </si>
  <si>
    <t>COCOON 20cm FRONT_L (B 유광)</t>
  </si>
  <si>
    <t>7-AR-0227</t>
  </si>
  <si>
    <t>FRONT_CAP (블랙 유광) [COCOON]</t>
  </si>
  <si>
    <t>COCOON FRONT CAP (B 유광)</t>
  </si>
  <si>
    <t>7-AR-0228</t>
  </si>
  <si>
    <t>WINDOW (투명 아크릴 + 실크 인쇄 로고O) [COCOON]</t>
  </si>
  <si>
    <t>COCOON WINDOW</t>
  </si>
  <si>
    <t>7-AR-0229</t>
  </si>
  <si>
    <t>WINDOW (투명 아크릴 + 실크 인쇄 로고X) [COCOON]</t>
  </si>
  <si>
    <t>COCOON WINDOW [COCOON 로고 없음]</t>
  </si>
  <si>
    <t>7-AR-0230</t>
  </si>
  <si>
    <t>자석 (네오디움 마그넷) [COCOON]</t>
  </si>
  <si>
    <t>COCOON, ADX6000 자석 (네오디움 마그넷)</t>
  </si>
  <si>
    <t>67-AR-0231</t>
  </si>
  <si>
    <t>알루미늄 필터 (0.5T * Φ63 코쿤 기본) [COCOON]</t>
  </si>
  <si>
    <t>COCOON 알루미늄 필터 [63ɸ 0.5T]</t>
  </si>
  <si>
    <t>37-AR-0232</t>
  </si>
  <si>
    <t>하네스 1번 (TX30(FEMALE)+YH396-02 100mm CTR BD 외부단자 2핀) [COCOON]</t>
  </si>
  <si>
    <t>COCOON CTR BD 외부단자 2핀 (TX30(FEMALE)+YH396-02) 100mm [하네스 1번]</t>
  </si>
  <si>
    <t>7-AR-0233</t>
  </si>
  <si>
    <t>하네스 2번 (TX30(MALE)+DC022(2.5) 80mm 전원 외부단자 2핀) [COCOON]</t>
  </si>
  <si>
    <t>COCOON 전원 외부단자 2핀 (TX30(MALE)+DC022(2.5)) 80mm [하네스 2번]</t>
  </si>
  <si>
    <t>7-AR-0234</t>
  </si>
  <si>
    <t>하네스 3번 (FFC CABLE 1mm*30P*200*B CTR BD*OP BD (다른방향)) [COCOON]</t>
  </si>
  <si>
    <t>COCOON 30핀 FFC CABLE 200mm [하네스 3번]</t>
  </si>
  <si>
    <t>7-AR-0235</t>
  </si>
  <si>
    <t>하네스 4번 (12505HS-02+SORDER 50mm - OP BD 2.20 전용 스피커 2핀) [COCOON]</t>
  </si>
  <si>
    <t>COCOON 스피커 2핀 12505HS-02+SORDER 50mm [하네스 4번]</t>
  </si>
  <si>
    <t>7-AR-0236</t>
  </si>
  <si>
    <t>하네스 5번 (YH396-04*2EA 150mm BATTERY BRIDGE BD 4핀) [COCOON]</t>
  </si>
  <si>
    <t>COCOON BATTERY BRIDGE BD 4핀 (YH396-04*2EA) 150mm [하네스 5번]</t>
  </si>
  <si>
    <t>7-AR-0237</t>
  </si>
  <si>
    <t>하네스 7번 (12505HS-05 125mm POWER SWITCH BD 5핀) [COCOON]</t>
  </si>
  <si>
    <t>COCOON POWER SWITCH BD 5핀 12505HS-05 120mm [하네스 7번]</t>
  </si>
  <si>
    <t>7-AR-0238</t>
  </si>
  <si>
    <t>하네스 11번 (YH396-02+SORDER 80mm CRADLE 신주 연결 2핀) [COCOON]</t>
  </si>
  <si>
    <t>COCOON CRADLE 신주 연결 2핀 YH396-02+SORDER 80mm [하네스 11번]</t>
  </si>
  <si>
    <t>7-AR-0239</t>
  </si>
  <si>
    <t>POWER SWITCH BD [COCOON]</t>
  </si>
  <si>
    <t>COCOON POWER SWITCH BD (Ver 1.0.3)</t>
  </si>
  <si>
    <t>7-AR-0240</t>
  </si>
  <si>
    <t>HANDLE CONNECTOR BD 신형 (신주 2핀) [COCOON]</t>
  </si>
  <si>
    <t>COCOON HANDLE CONNECTOR BD</t>
  </si>
  <si>
    <t>7-AR-0241</t>
  </si>
  <si>
    <t>BATTERY BRIDGE BD [COCOON]</t>
  </si>
  <si>
    <t>COCOON BATTERY BRIDGE BD</t>
  </si>
  <si>
    <t>7-AR-0242</t>
  </si>
  <si>
    <t>CRADLE BD [COCOON]</t>
  </si>
  <si>
    <t>COCOON CRADLE BD</t>
  </si>
  <si>
    <t>7-AR-0243</t>
  </si>
  <si>
    <t>COCOON TOUCH BD (ATmega128) (Ver 2.14.5)</t>
  </si>
  <si>
    <t>7-AR-0244</t>
  </si>
  <si>
    <t>COCOON OP BD (ATmega128) (Ver 2.20.3)</t>
  </si>
  <si>
    <t>7-AR-0245</t>
  </si>
  <si>
    <t>OP BD+TOUCH BD_ Ass'y  (Atmega128)_FFC케이블 케넥트 수정 (신형)</t>
  </si>
  <si>
    <t>COCOON OP BD ASS'Y (ATmega128) (Ver 2.20.3)</t>
  </si>
  <si>
    <t>7-AA-0047</t>
  </si>
  <si>
    <t>COCOON TOP BODY ASS'Y (S)</t>
  </si>
  <si>
    <t>7-AA-0048</t>
  </si>
  <si>
    <t>COCOON TOB BODY ASS'Y (S) [COCOON 로고 없음]</t>
  </si>
  <si>
    <t>7-AA-0049</t>
  </si>
  <si>
    <t>COCOON TOP BODY ASS'Y (W) [Carestream 로고]</t>
  </si>
  <si>
    <t>7-AA-0050</t>
  </si>
  <si>
    <t>COCOON BOTTOM BODY ASS'Y (B 유광)</t>
  </si>
  <si>
    <t>7-AA-0051</t>
  </si>
  <si>
    <t>COCOON BOTTOM BODY ASS'Y (W)</t>
  </si>
  <si>
    <t>7-AA-0052</t>
  </si>
  <si>
    <t>COCOON TOP BODY ASS'Y (S) [스위치 에이밍]</t>
  </si>
  <si>
    <t>7-AA-0053</t>
  </si>
  <si>
    <t>COCOON HANDLE ASS'Y (S)</t>
  </si>
  <si>
    <t>7-AA-0054</t>
  </si>
  <si>
    <t>HANDLE ASS'Y (리모콘 적용 + BAT BOTTOM + 배터리 없는것)</t>
  </si>
  <si>
    <t>COCOON HANDLE ASS'Y (S) [리모콘 포트 적용]</t>
  </si>
  <si>
    <t>7-AA-0055</t>
  </si>
  <si>
    <t>COCOON HANDLE ASS'Y (W)</t>
  </si>
  <si>
    <t>7-AA-0056</t>
  </si>
  <si>
    <t>COCOON CRADLE ASS'Y (B) [D-917 (Silver Frame)]</t>
  </si>
  <si>
    <t>7-AA-0057</t>
  </si>
  <si>
    <t>COCOON CRADLE ASS'Y (B) [D-917 (White Frame)]</t>
  </si>
  <si>
    <t>7-AA-0058</t>
  </si>
  <si>
    <t>에이밍 십자 아크릴 (사각 모양) (투명 아크릴 + 인쇄) [COCOON]</t>
  </si>
  <si>
    <t>COCOON, SOLO 사각 에이밍 아크릴 (55.8ɸ 1.3T)</t>
  </si>
  <si>
    <t>78-AR-0246</t>
  </si>
  <si>
    <t>에이밍 원형 십자 아크릴 (테두리 O) 2.0T (투명 아크릴 + 인쇄 2T - 영국용) [COCOON]</t>
  </si>
  <si>
    <t>COCOON, SOLO 원형 에이밍 아크릴 (63ɸ 2T) [테두리 13ɸ]</t>
  </si>
  <si>
    <t>78-AR-0247</t>
  </si>
  <si>
    <t>에이밍 원형 십자 아크릴 (테두리 O) 2.0T (투명 아크릴 + 인쇄 2T - 얇은 테두리) [COCOON]</t>
  </si>
  <si>
    <t>COCOON, SOLO 원형 에이밍 아크릴 (63ɸ 2T) [테두리 8ɸ]</t>
  </si>
  <si>
    <t>78-AR-0248</t>
  </si>
  <si>
    <t>에이밍 원형 십자 아크릴 (테두리 X) 2.0T (투명 아크릴 + 인쇄 2T -사파리용) [COCOON]</t>
  </si>
  <si>
    <t>COCOON, SOLO 원형 에이밍 아크릴 (63ɸ 2T) [테두리 없음] (사파리용)</t>
  </si>
  <si>
    <t>78-AR-0249</t>
  </si>
  <si>
    <t>에이밍 앞 사출 (블랙 유광) [COCOON]</t>
  </si>
  <si>
    <t>COCOON 에이밍 사각 앞 사출 (B 유광)</t>
  </si>
  <si>
    <t>7-AR-0250</t>
  </si>
  <si>
    <t>에이밍 아크릴 은경 (아크릴) [COCOON]</t>
  </si>
  <si>
    <t>COCOON 에이밍 아크릴 은경 (40ɸ)</t>
  </si>
  <si>
    <t>7-AR-0251</t>
  </si>
  <si>
    <t>COCOON 블랙</t>
  </si>
  <si>
    <t>에이밍 LED BODY 신형 A [COCOON]</t>
  </si>
  <si>
    <t>COCOON 에이밍 LED BODY A (B) [원형]</t>
  </si>
  <si>
    <t>7-AR-0252</t>
  </si>
  <si>
    <t>에이밍 LED BODY 신형 B [COCOON]</t>
  </si>
  <si>
    <t>COCOON 에이밍 LED BODY B (B) [사각형]</t>
  </si>
  <si>
    <t>7-AR-0253</t>
  </si>
  <si>
    <t>COCOON 에이밍 BODY ASS'Y</t>
  </si>
  <si>
    <t>7-AA-0059</t>
  </si>
  <si>
    <t>에이밍 방사구 젠더 [COCOON]</t>
  </si>
  <si>
    <t>COCOON 에이밍 체결 젠더</t>
  </si>
  <si>
    <t>7-AR-0254</t>
  </si>
  <si>
    <t>POWER SWITCH BD (Ver 3.0.0) [COCOON]</t>
  </si>
  <si>
    <t>COCOON POWER SWITCH BD (Ver 3.0.0)</t>
  </si>
  <si>
    <t>7-AR-0255</t>
  </si>
  <si>
    <t>에이밍 하네스 1번 (YHM025-02R 210mm, CTR + POWER BD 2핀) [COCOON]</t>
  </si>
  <si>
    <t>COCOON CTR+Power BD 2핀 (YHM025-02R) 210mm [에이밍하네스 1번]</t>
  </si>
  <si>
    <t>7-AR-0256</t>
  </si>
  <si>
    <t>에이밍 하네스 2번 (YHM025-02R 180mm, LED BD 2핀, 19+83(사출결합)) [COCOON]</t>
  </si>
  <si>
    <t>COCOON LED BD 2핀 (YMH025-02R) 180mm [에이밍하네스 2번]</t>
  </si>
  <si>
    <t>7-AR-0257</t>
  </si>
  <si>
    <t>COCOON 원형 락커스위치 2핀 (B) (YHM025-02R) 100mm [에이밍하네스 3번]</t>
  </si>
  <si>
    <t>7-AR-0258</t>
  </si>
  <si>
    <t>7-AA-0060</t>
  </si>
  <si>
    <t>7-AA-0061</t>
  </si>
  <si>
    <t>COCOON White</t>
  </si>
  <si>
    <t>COCOON 원형 락커스위치 2핀 (W) (YHM025-02R) 100mm [에이밍하네스 3번]</t>
  </si>
  <si>
    <t>7-AR-0259</t>
  </si>
  <si>
    <t>COCOON 블랙 무광</t>
  </si>
  <si>
    <t>BAT BOTTOM (ABS 난연 블랙 + 블랙 무광) [COCOON]</t>
  </si>
  <si>
    <t>COCOON BAT BOTTOM (B 무광)</t>
  </si>
  <si>
    <t>7-AR-0260</t>
  </si>
  <si>
    <t>FRONT_L (20cm) (ABS 난연 블랙 + 블랙 무광) [COCOON]</t>
  </si>
  <si>
    <t>COCOON 20cm FRONT_L (B 무광)</t>
  </si>
  <si>
    <t>7-AR-0261</t>
  </si>
  <si>
    <t>FRONT_CAP (ABS 난연 블랙 + 블랙 무광) [COCOON]</t>
  </si>
  <si>
    <t>COCOON FRONT CAP (B 무광)</t>
  </si>
  <si>
    <t>7-AR-0262</t>
  </si>
  <si>
    <t>에이밍 앞 사출 (블랙 무광) [COCOON]</t>
  </si>
  <si>
    <t>COCOON 에이밍 사각 앞 사출 (B 무광)</t>
  </si>
  <si>
    <t>78-AR-0263</t>
  </si>
  <si>
    <t>COCOON 에이밍 사각 앞 사출 ASS'Y (B 유광)</t>
  </si>
  <si>
    <t>7-AA-0062</t>
  </si>
  <si>
    <t>COCOON, SOLO 에이밍 사각 앞 사출 ASS'Y (B 무광)</t>
  </si>
  <si>
    <t>78-AA-0063</t>
  </si>
  <si>
    <t>COCOON 화이트 유광</t>
  </si>
  <si>
    <t>COCOON TOP BODY ASS'Y (W) [스위치 에이밍]</t>
  </si>
  <si>
    <t>7-AA-0064</t>
  </si>
  <si>
    <t>COCOON BOTTOM BODY ASS'Y (B 무광)</t>
  </si>
  <si>
    <t>7-AA-0065</t>
  </si>
  <si>
    <t>COCOON HANDLE ASS'Y (W) [리모콘 포트 적용]</t>
  </si>
  <si>
    <t>7-AA-0066</t>
  </si>
  <si>
    <t>COCOON CRADLE ASS'Y (W) [D-917]</t>
  </si>
  <si>
    <t>7-AA-0067</t>
  </si>
  <si>
    <t>TOP Body (ABS 블랙 샌딩) [SOLO]</t>
  </si>
  <si>
    <t>SOLO TOP BODY (B 샌딩)</t>
  </si>
  <si>
    <t>8-AR-0264</t>
  </si>
  <si>
    <t>Bottom Body (ABS 블랙 샌딩) [SOLO]</t>
  </si>
  <si>
    <t>SOLO BOTTOM BODY (B 샌딩)</t>
  </si>
  <si>
    <t>8-AR-0265</t>
  </si>
  <si>
    <t>Hand_Body (ABS 블랙 샌딩) [SOLO]</t>
  </si>
  <si>
    <t>SOLO HAND BODY (B 샌딩)</t>
  </si>
  <si>
    <t>8-AR-0266</t>
  </si>
  <si>
    <t>Bat_Bottom (ABS 블랙 샌딩) [SOLO]</t>
  </si>
  <si>
    <t>SOLO BAT BOTTOM (B 샌딩)</t>
  </si>
  <si>
    <t>8-AR-0267</t>
  </si>
  <si>
    <t>Bat_Bottom_Cover (ABS 블랙 샌딩) [SOLO]</t>
  </si>
  <si>
    <t>SOLO BAT BOTTOM COVER (B 샌딩)</t>
  </si>
  <si>
    <t>8-AR-0268</t>
  </si>
  <si>
    <t>Power Button (ABS 블랙 샌딩) [SOLO]</t>
  </si>
  <si>
    <t>SOLO POWER BUTTON (B 샌딩)</t>
  </si>
  <si>
    <t>8-AR-0269</t>
  </si>
  <si>
    <t>Lock Knob (ABS 블랙 샌딩) [SOLO]</t>
  </si>
  <si>
    <t>SOLO LOCK KNOB (B 샌딩)</t>
  </si>
  <si>
    <t>8-AR-0270</t>
  </si>
  <si>
    <t>Front_CAP (ABS 메탈릭 다크그레이) [SOLO]</t>
  </si>
  <si>
    <t>SOLO FRONT CAP (G)</t>
  </si>
  <si>
    <t>8-AR-0271</t>
  </si>
  <si>
    <t>연장 Cone (ABS 메탈릭 다크그레이) [SOLO]</t>
  </si>
  <si>
    <t>SOLO 연장 CONE (G)</t>
  </si>
  <si>
    <t>8-AR-0272</t>
  </si>
  <si>
    <t>Main_Cone (ABS 메탈릭 다크그레이) [SOLO]</t>
  </si>
  <si>
    <t>SOLO MAIN CONE (G)</t>
  </si>
  <si>
    <t>8-AR-0273</t>
  </si>
  <si>
    <t>SOLO 45cm CONE (G)</t>
  </si>
  <si>
    <t>8-AR-0274</t>
  </si>
  <si>
    <t>Shot_Button (ABS 메탈릭 다크그레이) [SOLO]</t>
  </si>
  <si>
    <t>SOLO SHORT BUTTON (G)</t>
  </si>
  <si>
    <t>8-AR-0275</t>
  </si>
  <si>
    <t>Slide Switch (ABS 블루(PANTTON 660C) 무광) [SOLO]</t>
  </si>
  <si>
    <t>SOLO SLIDE SWITCH (SKY BLUE)</t>
  </si>
  <si>
    <t>8-AR-0276</t>
  </si>
  <si>
    <t>Slide Switch Cap (ABS 레드 무광) [SOLO]</t>
  </si>
  <si>
    <t>SOLO SLIDE SWITCH CAP (RED)</t>
  </si>
  <si>
    <t>8-AR-0277</t>
  </si>
  <si>
    <t>Lock Inner (ABS 블랙) [SOLO]</t>
  </si>
  <si>
    <t>SOLO LOCK INNER (B)</t>
  </si>
  <si>
    <t>8-AR-0278</t>
  </si>
  <si>
    <t>Hand Top Cover (ABS 블랙) [SOLO]</t>
  </si>
  <si>
    <t>SOLO HAND TOP COVER (B)</t>
  </si>
  <si>
    <t>8-AR-0279</t>
  </si>
  <si>
    <t>Shot_PCB_Guide [SOLO]</t>
  </si>
  <si>
    <t>SOLO SHORT PCB GUIDE (B)</t>
  </si>
  <si>
    <t>8-AR-0280</t>
  </si>
  <si>
    <t>발생부_Guide (ABS 블랙) [SOLO]</t>
  </si>
  <si>
    <t>SOLO GER GUIDE (B)</t>
  </si>
  <si>
    <t>8-AR-0281</t>
  </si>
  <si>
    <t>LCD GUIDE (ABS 블랙) [SOLO]</t>
  </si>
  <si>
    <t>SOLO LCD GUIDE (B)</t>
  </si>
  <si>
    <t>8-AR-0282</t>
  </si>
  <si>
    <t>SOLO- 확산 아크릴</t>
  </si>
  <si>
    <t>Aiming_Light_LED_아크릴 (확산 아크릴/ 화이트) [SOLO]</t>
  </si>
  <si>
    <t>SOLO AIMING LIGHT LED (확산 아크릴)</t>
  </si>
  <si>
    <t>8-AR-0283</t>
  </si>
  <si>
    <t>BAT_LED_확산_아크릴 (확산 아크릴/ 화이트) [SOLO]</t>
  </si>
  <si>
    <t>SOLO BAT LED (확산 아크릴)</t>
  </si>
  <si>
    <t>8-AR-0284</t>
  </si>
  <si>
    <t>LCD_LED_확산_아크릴 (확산 아크릴/ 화이트) [SOLO]</t>
  </si>
  <si>
    <t>SOLO LCD LED (확산 아크릴)</t>
  </si>
  <si>
    <t>8-AR-0285</t>
  </si>
  <si>
    <t>LCD_Window (PC / 투명 + (구형 26)) [SOLO]</t>
  </si>
  <si>
    <t>SOLO LCD WINDOW</t>
  </si>
  <si>
    <t>8-AR-0286</t>
  </si>
  <si>
    <t>광센서_유색_창 (PC/스모그/퍼플) [SOLO]</t>
  </si>
  <si>
    <t>SOLO 광센서 유색 창</t>
  </si>
  <si>
    <t>8-AR-0287</t>
  </si>
  <si>
    <t>마운트 (삼각대 고정홀) [SOLO]</t>
  </si>
  <si>
    <t>SOLO 마운트 (알루미늄 1/4 PT 탭x12mm)</t>
  </si>
  <si>
    <t>8-AR-0288</t>
  </si>
  <si>
    <t>SOLO BAT 경첩 [2ɸ 26.2mm]</t>
  </si>
  <si>
    <t>8-AR-0289</t>
  </si>
  <si>
    <t>BAT BOTTOM RUBBER (RUBBER (1T, 마운트 홀)) [SOLO]</t>
  </si>
  <si>
    <t>SOLO BAT RUBBER (삼각대 홀 적용)</t>
  </si>
  <si>
    <t>8-AR-0290</t>
  </si>
  <si>
    <t>LCD 터치가스켓 (8X8X7) [SOLO]</t>
  </si>
  <si>
    <t>SOLO LCD 터치 가스켓 (8x8x7 mm)</t>
  </si>
  <si>
    <t>8-AR-0291</t>
  </si>
  <si>
    <t>SOLO BATTERY CN BD 배터리 단자대</t>
  </si>
  <si>
    <t>8-AR-0292</t>
  </si>
  <si>
    <t>SOLO 에이밍 아크릴 은경 [40ɸ]</t>
  </si>
  <si>
    <t>8-AR-0293</t>
  </si>
  <si>
    <t>SOLO PCB 방열 가이드 (B)</t>
  </si>
  <si>
    <t>8-AR-0294</t>
  </si>
  <si>
    <t>에이밍 BODY뭉치 _ 블랙</t>
  </si>
  <si>
    <t>SOLO 에이밍 BODY 뭉치 (B)</t>
  </si>
  <si>
    <t>8-AR-0295</t>
  </si>
  <si>
    <t>SOLO 에이밍 라이트 PCB 보드</t>
  </si>
  <si>
    <t>8-AR-0296</t>
  </si>
  <si>
    <t>POWER_BD [SOLO]</t>
  </si>
  <si>
    <t>SOLO POWER BD (Ver 1.0.0)</t>
  </si>
  <si>
    <t>8-AR-0297</t>
  </si>
  <si>
    <t>OP_BD [SOLO]</t>
  </si>
  <si>
    <t>SOLO OP BD (Ver 1.0.0)</t>
  </si>
  <si>
    <t>8-AR-0298</t>
  </si>
  <si>
    <t>CTR _BD [SOLO]</t>
  </si>
  <si>
    <t>SOLO CTR BD (Ver 1.0.0)</t>
  </si>
  <si>
    <t>8-AR-0299</t>
  </si>
  <si>
    <t>MAIN_BD [SOLO]</t>
  </si>
  <si>
    <t>SOLO MAIN BD (Ver 1.0.0)</t>
  </si>
  <si>
    <t>8-AR-0300</t>
  </si>
  <si>
    <t>리모콘_BD [SOLO]</t>
  </si>
  <si>
    <t>SOLO REMOTE BD (Ver 1.0.0)</t>
  </si>
  <si>
    <t>8-AR-0301</t>
  </si>
  <si>
    <t>EXP_BD [SOLO]</t>
  </si>
  <si>
    <t>SOLO EXP SW BD (Ver 1.0.0)</t>
  </si>
  <si>
    <t>8-AR-0302</t>
  </si>
  <si>
    <t>BATCON_BD [SOLO]</t>
  </si>
  <si>
    <t>SOLO BATTERY CN BD (Ver 1.0.0)</t>
  </si>
  <si>
    <t>8-AR-0303</t>
  </si>
  <si>
    <t>SOLO 하네스 2번 (12505HS-03 Battery-Handle bridge 3핀) [SOLO]</t>
  </si>
  <si>
    <t>SOLO BATCON to EXP 4핀 (YH396-04V) 150mm [하네스 4-2번]</t>
  </si>
  <si>
    <t>8-AR-0304</t>
  </si>
  <si>
    <t>SOLO 하네스 4번 (BATCON+EXP _ 190mm(Red1EA, White 2EA)-3핀) [SOLO]</t>
  </si>
  <si>
    <t>SOLO BATCON to EXP 3핀 (12505HS-03) 190mm [하네스 4-1번]</t>
  </si>
  <si>
    <t>8-AR-0305</t>
  </si>
  <si>
    <t>SOLO 하네스 1번 (12505HS-12 (PowerBD - OP 12핀)) [SOLO]</t>
  </si>
  <si>
    <t>SOLO OP to POWER SWITCH 12핀 (12505HS-12) 100mm [하네스 2번]</t>
  </si>
  <si>
    <t>8-AR-0306</t>
  </si>
  <si>
    <t>SOLO 하네스 3번 (0.5 * 40 * 100 * B (FFC 40핀)) [SOLO]</t>
  </si>
  <si>
    <t>SOLO OP to CTR 40핀 FFC CABLE 100mm [하네스 3번]</t>
  </si>
  <si>
    <t>8-AR-0307</t>
  </si>
  <si>
    <t>Harness-05 ( Main PCB + 리모콘 BD 연결 3핀 )</t>
  </si>
  <si>
    <t>SOLO MAIN to REMOTE 3핀 (12505HS-03) 60mm [하네스 1번]</t>
  </si>
  <si>
    <t>8-AR-0308</t>
  </si>
  <si>
    <t>SOLO TOP BODY ASS'Y</t>
  </si>
  <si>
    <t>8-AA-0068</t>
  </si>
  <si>
    <t>SOLO _ BOTTOM BODY ASS'Y</t>
  </si>
  <si>
    <t>SOLO BOTTOM BODY ASS'Y</t>
  </si>
  <si>
    <t>8-AA-0069</t>
  </si>
  <si>
    <t>SOLO _ OP BD Ass'y</t>
  </si>
  <si>
    <t>SOLO OP BD ASS'Y</t>
  </si>
  <si>
    <t>8-AA-0070</t>
  </si>
  <si>
    <t>SOLO _ HANDLE ASS'Y</t>
  </si>
  <si>
    <t>SOLO HANDLE ASS'Y</t>
  </si>
  <si>
    <t>8-AA-0071</t>
  </si>
  <si>
    <t>SOLO 18cm CONE ASS'Y (검정 부직포)</t>
  </si>
  <si>
    <t>8-AA-0072</t>
  </si>
  <si>
    <t>SOLO 20cm CONE ASS'Y (검정 부직포)</t>
  </si>
  <si>
    <t>8-AA-0073</t>
  </si>
  <si>
    <t>SOLO _ 에이밍 라이트 ASS'Y</t>
  </si>
  <si>
    <t>SOLO 에이밍라이트 ASS'Y</t>
  </si>
  <si>
    <t>8-AA-0074</t>
  </si>
  <si>
    <t>국내용 스탠드 브라켓 1. BLOCK [ADX6000]</t>
  </si>
  <si>
    <t>ADX6000 국내용 스탠드 브라켓 1. BLOCK</t>
  </si>
  <si>
    <t>6-PR-0001</t>
  </si>
  <si>
    <t>국내용 스탠드 브라켓 2. ARM [ADX6000]</t>
  </si>
  <si>
    <t>ADX6000 국내용 스탠드 브라켓 2. ARM</t>
  </si>
  <si>
    <t>6-PR-0002</t>
  </si>
  <si>
    <t>국내용 스탠드 브라켓 3. TILT BODY [ADX6000]</t>
  </si>
  <si>
    <t>ADX6000 국내용 스탠드 브라켓 3. TILT BODY</t>
  </si>
  <si>
    <t>6-PR-0003</t>
  </si>
  <si>
    <t>국내용 스탠드 브라켓 4. BASE [ADX6000]</t>
  </si>
  <si>
    <t>ADX6000 국내용 스탠드 브라켓 4. BASE</t>
  </si>
  <si>
    <t>6-PR-0004</t>
  </si>
  <si>
    <t>국내용 스탠드 브라켓 5. SHAFT [ADX6000]</t>
  </si>
  <si>
    <t>ADX6000 국내용 스탠드 브라켓 5. SHAFT</t>
  </si>
  <si>
    <t>6-PR-0005</t>
  </si>
  <si>
    <t>국내용 스탠드 브라켓 6. PUSH PLATE [ADX6000]</t>
  </si>
  <si>
    <t>ADX6000 국내용 스탠드 브라켓 6. PUSH PLATE</t>
  </si>
  <si>
    <t>6-PR-0006</t>
  </si>
  <si>
    <t>국내용 스탠드 브라켓 7. EASY LOCK PLATE [ADX6000]</t>
  </si>
  <si>
    <t>ADX6000 국내용 스탠드 브라켓 7. EASY LOCK PLATE</t>
  </si>
  <si>
    <t>6-PR-0007</t>
  </si>
  <si>
    <t>국내용 스탠드 브라켓 8. MOUNT [ADX6000]</t>
  </si>
  <si>
    <t>ADX6000 국내용 스탠드 브라켓 8. MOUNT</t>
  </si>
  <si>
    <t>6-PR-0008</t>
  </si>
  <si>
    <t>국내용 스탠드 브라켓 9. 조임 손잡이 [ADX6000]</t>
  </si>
  <si>
    <t>ADX6000 국내용 스탠드 브라켓 9. 조임 손잡이</t>
  </si>
  <si>
    <t>6-PR-0009</t>
  </si>
  <si>
    <t>ADX6000 스탠드 브라켓 조인트 ASS'Y</t>
  </si>
  <si>
    <t>6-PA-0001</t>
  </si>
  <si>
    <t>AlmyT STAND BODY SET [공용]</t>
  </si>
  <si>
    <t>AllMyT Stand Main Body</t>
  </si>
  <si>
    <t>346-PR-0010</t>
  </si>
  <si>
    <t>AlmyT STAND ACC SET [공용]</t>
  </si>
  <si>
    <t>AllMyT Stand Accessory</t>
  </si>
  <si>
    <t>346-PR-0011</t>
  </si>
  <si>
    <t>체스트 &amp; 베드 스탠드 [공용]</t>
  </si>
  <si>
    <t>ADX6000 체스트 &amp; 베드 STAND</t>
  </si>
  <si>
    <t>6-PR-0012</t>
  </si>
  <si>
    <t>체스트 &amp; 베드 조인트 암 [공용]</t>
  </si>
  <si>
    <t>ADX6000 체스트 &amp; 베드 JOINT ARM</t>
  </si>
  <si>
    <t>6-PR-0013</t>
  </si>
  <si>
    <t>체스트 &amp; 베드 암 파이프 [공용]</t>
  </si>
  <si>
    <t>ADX6000 체스트 &amp; 베드 ARM PIPE</t>
  </si>
  <si>
    <t>6-PR-0014</t>
  </si>
  <si>
    <t>체스트 &amp; 베드 픽스 블럭 A, B (육각 렌치 3, 5) [공용]</t>
  </si>
  <si>
    <t>ADX6000 체스트 &amp; 베드 FIX BLOCK A, B</t>
  </si>
  <si>
    <t>6-PR-0015</t>
  </si>
  <si>
    <t>체스트 &amp; 베드 스탠드 박스 내장재 상, 하판 (230 * 130 * 30T) [공용]</t>
  </si>
  <si>
    <t>ADX6000 체스트 &amp; 베드 Stand 박스 내장재 [상, 하판 230x130x30 mm]</t>
  </si>
  <si>
    <t>6-PR-0016</t>
  </si>
  <si>
    <t>체스트 &amp; 베드 스탠드 박스 내장재 좌, 우판 (130 * 980 * 30T) [공용]</t>
  </si>
  <si>
    <t>ADX6000 체스트 &amp; 베드 Stand 박스 내장재 [좌, 우판 130x980x30 mm]</t>
  </si>
  <si>
    <t>6-PR-0017</t>
  </si>
  <si>
    <t>체스트 &amp; 베드 스탠드 박스 내장재 전, 후판 (230 * 920 * 30T) [공용]</t>
  </si>
  <si>
    <t>ADX6000 체스트 &amp; 베드 Stand 박스 내장재 [전, 후판 230x920x30 mm]</t>
  </si>
  <si>
    <t>6-PR-0018</t>
  </si>
  <si>
    <t>체스트 &amp; 베드 스탠드 박스 (1000 * 300 * 150) [공용]</t>
  </si>
  <si>
    <t>ADX6000 체스트 &amp; 베드 Stand ACC 박스 [1000x300x160 mm]</t>
  </si>
  <si>
    <t>6-PR-0019</t>
  </si>
  <si>
    <t>접이식 스탠드 SET (정형외과용) [공용]</t>
  </si>
  <si>
    <t>ADX6000 접이식 정형외과용 스탠드 세트</t>
  </si>
  <si>
    <t>6-PR-0020</t>
  </si>
  <si>
    <t>스탠드홀드 [DX3000]</t>
  </si>
  <si>
    <t>DX3000 스탠드 홀드 (메탈)</t>
  </si>
  <si>
    <t>3-PR-0021</t>
  </si>
  <si>
    <t>스탠드홀드 (은색) [ADX4000W]</t>
  </si>
  <si>
    <t>ADX4000W 스탠드 홀드 (메탈)</t>
  </si>
  <si>
    <t>4-PR-0022</t>
  </si>
  <si>
    <t>스탠드홀드(신형) (흰색) [ADX4000W]</t>
  </si>
  <si>
    <t>ADX4000W 스탠드 홀드 (흰색)</t>
  </si>
  <si>
    <t>4-PR-0023</t>
  </si>
  <si>
    <t>기본 배터리 (PF435060HP) [DX3000, ADX4000W]</t>
  </si>
  <si>
    <t>DX3000, ADX4000W, SOLO 기본 배터리 [PF435060-4S] (4ICP4/50/60)</t>
  </si>
  <si>
    <t>348-PR-0024</t>
  </si>
  <si>
    <t>기본 배터리 (LIP1902A 18.5V 5S 50C 2100mAh) [ADX6000]</t>
  </si>
  <si>
    <t>ADX6000 기본 배터리 [LIP1902A] (5ICP5/35/128)</t>
  </si>
  <si>
    <t>6-PR-0025</t>
  </si>
  <si>
    <t>소형 외부배터리 (PF435060HP) [DX3000]</t>
  </si>
  <si>
    <t>COCOON 외부 배터리 [PF435060]</t>
  </si>
  <si>
    <t>37-PR-0026</t>
  </si>
  <si>
    <t>2구 충전기 (BPL910S16N01, 220V) [공용]</t>
  </si>
  <si>
    <t>2구 16.8V 충전기 [BPL910S16N01]</t>
  </si>
  <si>
    <t>34678-PR-0027</t>
  </si>
  <si>
    <t>3구 충전기 (BPL910S16F01, (미국, 호주 공용)) [공용]</t>
  </si>
  <si>
    <t>3구 16.8V 충전기 [BPL910S16F01]</t>
  </si>
  <si>
    <t>34678-PR-0028</t>
  </si>
  <si>
    <t>20.7V 1.7A 충전기 (5S 어댑터) [ADX6000]</t>
  </si>
  <si>
    <t>3구 21.0V 충전기 [JBL7451212000302FJ]</t>
  </si>
  <si>
    <t>6-PR-0029</t>
  </si>
  <si>
    <t>2구 AC코드 C타입 (220V) [공용]</t>
  </si>
  <si>
    <t>2구 AC코드 C 타입 [220V]</t>
  </si>
  <si>
    <t>34678-PR-0030</t>
  </si>
  <si>
    <t>2구 AC코드 A타입 (일본용, 110V) [공용]</t>
  </si>
  <si>
    <t>2구 AC코드 A 타입 [110V]-일본향</t>
  </si>
  <si>
    <t>34678-PR-0031</t>
  </si>
  <si>
    <t>3구 접지 AC코드 B타입 (미국용) [공용]</t>
  </si>
  <si>
    <t>3구 접지 AC코드 B 타입 [110V]-미국향</t>
  </si>
  <si>
    <t>34678-PR-0032</t>
  </si>
  <si>
    <t>3구 접지 AC코드 I타입 (호주, 중국 공용) [공용]</t>
  </si>
  <si>
    <t>3구 접지 AC코드 I 타입 [110-230V]-호주, 중국향</t>
  </si>
  <si>
    <t>34678-PR-0033</t>
  </si>
  <si>
    <t>3구 접지 AC코드 G타입 (영국용) [공용]</t>
  </si>
  <si>
    <t>3구 접지 AC코드 G 타입 [230V]-영국향</t>
  </si>
  <si>
    <t>34678-PR-0034</t>
  </si>
  <si>
    <t>3구 접지 AC 코드 (유럽용, 220V) [공용]</t>
  </si>
  <si>
    <t>3구 접지 AC코드 F 타입 [220V]</t>
  </si>
  <si>
    <t>34678-PR-0035</t>
  </si>
  <si>
    <t>3구 접지 AC 코드 A타입 (일본용, 110V) [공용]</t>
  </si>
  <si>
    <t>3구 접지 AC코드 A 타입 [110V]</t>
  </si>
  <si>
    <t>34678-PR-0036</t>
  </si>
  <si>
    <t>DX3000 ADX4000W 공용</t>
  </si>
  <si>
    <t>거치대 (D-910) [DX3000, ADX4000W]</t>
  </si>
  <si>
    <t>크래들 [D-910]</t>
  </si>
  <si>
    <t>348-PR-0037</t>
  </si>
  <si>
    <t>연아크릴 쉴드 8T (153 * ∮65 * 8T) [공용] (선일쉴드텍)</t>
  </si>
  <si>
    <t>연아크릴 [65ɸ 8T] (선일쉴드텍)</t>
  </si>
  <si>
    <t>78-PR-0038</t>
  </si>
  <si>
    <t>연아크릴 쉴드 12T (153 * ∮60 * 12T) [공용] (선일쉴드텍)</t>
  </si>
  <si>
    <t>연아크릴 [60ɸ 12T] (선일쉴드텍)</t>
  </si>
  <si>
    <t>34-PR-0039</t>
  </si>
  <si>
    <t>연아크릴 쉴드 12T (153 * ∮65 * 12T) [공용] (중국)</t>
  </si>
  <si>
    <t>연아크릴 [65ɸ 12T] (중국)</t>
  </si>
  <si>
    <t>3478-PR-0040</t>
  </si>
  <si>
    <t>연아크릴 쉴드 12T (153 * ∮65 * 12T) [공용] (선일쉴드텍)</t>
  </si>
  <si>
    <t>연아크릴 [65ɸ 12T] (선일쉴드텍)</t>
  </si>
  <si>
    <t>3478-PR-0041</t>
  </si>
  <si>
    <t>연아크릴 [65ɸ 12T] (8T 대용)</t>
  </si>
  <si>
    <t>78-PR-0042</t>
  </si>
  <si>
    <t>사각 연아크릴 쉴드 (직사각형, 215 * 199mm 8T) [ADX6000] (선일쉴드텍)</t>
  </si>
  <si>
    <t>ADX6000 연아크릴 [215x195x8mm] 하단 가공된 것</t>
  </si>
  <si>
    <t>6-PR-0043</t>
  </si>
  <si>
    <t>ADX6000 연아크릴 [215x195x8mm]</t>
  </si>
  <si>
    <t>6-PR-0044</t>
  </si>
  <si>
    <t>쉴드 오링 (AN-036, 60∮) [공용]</t>
  </si>
  <si>
    <t>실드 오링 [AN-036]</t>
  </si>
  <si>
    <t>3478-PR-0045</t>
  </si>
  <si>
    <t>실드 오링[60∮] _ AN-2.5   에이밍 사용</t>
  </si>
  <si>
    <t>실드 오링 [AN-2.5]</t>
  </si>
  <si>
    <t>78-PR-0046</t>
  </si>
  <si>
    <t>연아크릴 실리콘 오링 [DX3000]</t>
  </si>
  <si>
    <t>DX3000 연아크릴 실리콘 오링 [60ɸ 12T 3030]</t>
  </si>
  <si>
    <t>3-PR-0047</t>
  </si>
  <si>
    <t>연아크릴 실리콘 오링 [ADX4000W]</t>
  </si>
  <si>
    <t>ADX4000W 연아크릴 실리콘 오링 [60ɸ 12T 4040]</t>
  </si>
  <si>
    <t>4-PR-0048</t>
  </si>
  <si>
    <t>연아크릴 실리콘 오링 [ADX6000]</t>
  </si>
  <si>
    <t>ADX6000 연아크릴 실리콘 오링</t>
  </si>
  <si>
    <t>6-PR-0049</t>
  </si>
  <si>
    <t>SCREW CAP (RUBBER) [공용]</t>
  </si>
  <si>
    <t>34-PR-0050</t>
  </si>
  <si>
    <t>34-PR-0051</t>
  </si>
  <si>
    <t>실리콘 캡 (LSR 투명 실리콘) [DX3000]</t>
  </si>
  <si>
    <t>DX3000 실리콘 켑</t>
  </si>
  <si>
    <t>3-PR-0052</t>
  </si>
  <si>
    <t>NAME PLATE [DX3000]</t>
  </si>
  <si>
    <t>DX3000 NAME PLATE [DX3000]</t>
  </si>
  <si>
    <t>3-PR-0053</t>
  </si>
  <si>
    <t>IRay D3 NAME PLATE [DX3000]</t>
  </si>
  <si>
    <t>DX3000 NAME PLATE [iRay D3]</t>
  </si>
  <si>
    <t>3-PR-0054</t>
  </si>
  <si>
    <t>우루과이 NAME PLATE [DX3000]</t>
  </si>
  <si>
    <t>DX3000 NAME PLATE [iRix]</t>
  </si>
  <si>
    <t>3-PR-0055</t>
  </si>
  <si>
    <t>NAME PLATE [ADX4000W]</t>
  </si>
  <si>
    <t>ADX4000 NAME PLATE [DEXCOWIN]</t>
  </si>
  <si>
    <t>4-PR-0056</t>
  </si>
  <si>
    <t>알루미늄 필터 (1.5T * Φ63 일본 동물용) [DX3000]</t>
  </si>
  <si>
    <t>알루미늄 필터 [63ɸ 1.5T] (일본 동물용)</t>
  </si>
  <si>
    <t>3-PR-0057</t>
  </si>
  <si>
    <t>OS라이센서 라벨 (Windows Embedded Standard 7 "E") [ADX4000W]</t>
  </si>
  <si>
    <t>OS라이센스 라벨</t>
  </si>
  <si>
    <t>4-PR-0058</t>
  </si>
  <si>
    <t>터치 펜</t>
  </si>
  <si>
    <t>4-PR-0059</t>
  </si>
  <si>
    <t>DX3000 COCOON</t>
  </si>
  <si>
    <t>넥스트 랩 (포켓) [공용]</t>
  </si>
  <si>
    <t>넥스트랩 [포켓 O]</t>
  </si>
  <si>
    <t>37-PR-0060</t>
  </si>
  <si>
    <t>실리카겔 [20g]</t>
  </si>
  <si>
    <t>34678-PR-0061</t>
  </si>
  <si>
    <t>가방끈 (일본용) [DX3000]</t>
  </si>
  <si>
    <t>가방끈 [일본용]</t>
  </si>
  <si>
    <t>346-PR-0062</t>
  </si>
  <si>
    <t>제품 어깨끈 (구형) [DX3000]</t>
  </si>
  <si>
    <t>DX3000 가죽 홀더 [호주용]</t>
  </si>
  <si>
    <t>3-PR-0063</t>
  </si>
  <si>
    <t>USB 2.0 CABLE (U-30136, 3m) [ADX4000W]</t>
  </si>
  <si>
    <t>USB 2.0 CABLE [3M]</t>
  </si>
  <si>
    <t>4-PR-0064</t>
  </si>
  <si>
    <t>외부배터리 충전용 잭 [공용]</t>
  </si>
  <si>
    <t>양암 변환 젠더 (COCOON 외부배터리 충전용)</t>
  </si>
  <si>
    <t>37-PR-0065</t>
  </si>
  <si>
    <t>REMOTE CONTROL (RW20, 3m + 샘플 1EA) [공용]</t>
  </si>
  <si>
    <t>REMOTE CONTROL [3M]</t>
  </si>
  <si>
    <t>34678-PR-0066</t>
  </si>
  <si>
    <t>ADX6000 NAME PLATE [ADX6000]</t>
  </si>
  <si>
    <t>6-PR-0067</t>
  </si>
  <si>
    <t>IRay A6 NAME PLATE [ADX6000]</t>
  </si>
  <si>
    <t>ADX6000 NAME PLATE [iRay A6]</t>
  </si>
  <si>
    <t>6-PR-0068</t>
  </si>
  <si>
    <t>사각 줄자</t>
  </si>
  <si>
    <t>6-PR-0069</t>
  </si>
  <si>
    <t>사각 줄자 가이드 [ADX6000S]</t>
  </si>
  <si>
    <t>사각 줄자 아크릴 가이드</t>
  </si>
  <si>
    <t>6-PR-0070</t>
  </si>
  <si>
    <t>PC Link Cable [ADX6000]</t>
  </si>
  <si>
    <t>6-PR-0071</t>
  </si>
  <si>
    <t>스킨가드 (밸크로)</t>
  </si>
  <si>
    <t>6-PR-0072</t>
  </si>
  <si>
    <t>전자 각도기 [ADX6000S]</t>
  </si>
  <si>
    <t>6-PR-0073</t>
  </si>
  <si>
    <t>각도기 거치대 [ADX6000]</t>
  </si>
  <si>
    <t>6-PR-0074</t>
  </si>
  <si>
    <t>각도기 내부 철판 [ADX6000]</t>
  </si>
  <si>
    <t>6-PR-0075</t>
  </si>
  <si>
    <t>Rex 구강 카메라 박스 [공용]</t>
  </si>
  <si>
    <t>iCam 구강 카메라 박스</t>
  </si>
  <si>
    <t>34678-PR-0076</t>
  </si>
  <si>
    <t>Rex2 센서 박스 [공용]</t>
  </si>
  <si>
    <t>Rex2 Premium 센서 박스</t>
  </si>
  <si>
    <t>34678-PR-0077</t>
  </si>
  <si>
    <t>구강 카메라 [공용]</t>
  </si>
  <si>
    <t>iCam 구강 카메라</t>
  </si>
  <si>
    <t>34678-PR-0078</t>
  </si>
  <si>
    <t>330N DRTECH 센서 [공용]</t>
  </si>
  <si>
    <t>DRTech [330N/10"x8"]</t>
  </si>
  <si>
    <t>34678-PR-0079</t>
  </si>
  <si>
    <t>34678-PR-0080</t>
  </si>
  <si>
    <t>34678-PR-0081</t>
  </si>
  <si>
    <t>HDI 2000 [Rex2 Premium/1.5] [공용]</t>
  </si>
  <si>
    <t>HDI-2000 [Rex2 Premium/1.5]</t>
  </si>
  <si>
    <t>34678-PR-0082</t>
  </si>
  <si>
    <t>HDI 2000 [Rex2 Premium/2.0] [공용]</t>
  </si>
  <si>
    <t>HDI-2000 [Rex2 Premium/2.0]</t>
  </si>
  <si>
    <t>34678-PR-0083</t>
  </si>
  <si>
    <t>HDI-S [Rex2 Premium/1.0] [공용]</t>
  </si>
  <si>
    <t>34678-PR-0084</t>
  </si>
  <si>
    <t>HDI-S [Rex2 Premium/1.5] [공용]</t>
  </si>
  <si>
    <t>34678-PR-0085</t>
  </si>
  <si>
    <t>HDI-S [Rex2 Premium/2.0] [공용]</t>
  </si>
  <si>
    <t>34678-PR-0086</t>
  </si>
  <si>
    <t>CMOS 센서 (#1) (EV71JU215A-C-00B1) [공용]</t>
  </si>
  <si>
    <t>E2V CMOS [EV71JU215A-C-00B1/1.0]</t>
  </si>
  <si>
    <t>4-PR-0087</t>
  </si>
  <si>
    <t>CMOS 센서 (#2) (EV71JU213A-C-00B1) [공용]</t>
  </si>
  <si>
    <t>E2V CMOS [EV71JU213A-C-00B1/2.0]</t>
  </si>
  <si>
    <t>4-PR-0088</t>
  </si>
  <si>
    <t>PIXXGEN [PIXX1717W/17"x17"]</t>
  </si>
  <si>
    <t>6-PR-0089</t>
  </si>
  <si>
    <t>CareRay [CareView1800Cwe/17"x17"]</t>
  </si>
  <si>
    <t>6-PR-0090</t>
  </si>
  <si>
    <t>34-PR-0091</t>
  </si>
  <si>
    <t>34-PR-0092</t>
  </si>
  <si>
    <t>67-PR-0093</t>
  </si>
  <si>
    <t>67-PR-0094</t>
  </si>
  <si>
    <t>7-PR-0095</t>
  </si>
  <si>
    <t>디텍터 가방 [로고 O]</t>
  </si>
  <si>
    <t>34678-PR-0096</t>
  </si>
  <si>
    <t>가방 내부 폼 (15cm cone) [DX3000]</t>
  </si>
  <si>
    <t>DX3000 15cm 내부폼</t>
  </si>
  <si>
    <t>3-PR-0097</t>
  </si>
  <si>
    <t>가방 내부 폼 (20cm cone용, 20 * 80) [DX3000]</t>
  </si>
  <si>
    <t>DX3000 20cm 내부폼</t>
  </si>
  <si>
    <t>3-PR-0098</t>
  </si>
  <si>
    <t>가방 내부 폼 (15cm cone) [ADX4000W]</t>
  </si>
  <si>
    <t>ADX4000W 15cm 내부폼</t>
  </si>
  <si>
    <t>4-PR-0099</t>
  </si>
  <si>
    <t>가방 내부 폼 (20cm cone용, 40 * 60) [ADX4000W]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</si>
  <si>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</si>
  <si>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</si>
  <si>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</si>
  <si>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</si>
  <si>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</si>
  <si>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</si>
  <si>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</si>
  <si>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</si>
  <si>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</si>
  <si>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</si>
  <si>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</si>
  <si>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</si>
  <si>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</si>
  <si>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</si>
  <si>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</si>
  <si>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</si>
  <si>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SOLO _ [18cm cone용] 내부 FOAM (상판, 하판) Forensic용 손잡이 분리형</t>
  </si>
  <si>
    <t>SOLO 내부폼 [손잡이 분리형]</t>
  </si>
  <si>
    <t>8-PR-0108</t>
  </si>
  <si>
    <t>SOLO 제품 박스 [손잡이 분리형 530x300x190 mm]</t>
  </si>
  <si>
    <t>8-PR-0109</t>
  </si>
  <si>
    <t>SOLO 카톤 박스 [손잡이 분리형 550x400x330 mm]</t>
  </si>
  <si>
    <t>8-PR-0110</t>
  </si>
  <si>
    <t>내부폼 (가교 PAD) SET [SOLO]</t>
  </si>
  <si>
    <t>SOLO 내부폼 [손잡이 체결형]</t>
  </si>
  <si>
    <t>8-PR-0111</t>
  </si>
  <si>
    <t>제품박스(I/N BOX) (KLB.K.KLB (B) 410 * 390 *180) [SOLO]</t>
  </si>
  <si>
    <t>SOLO 제품 박스 [손잡이 체결형 420x400x180 mm]</t>
  </si>
  <si>
    <t>8-PR-0112</t>
  </si>
  <si>
    <t>카톤박스(C/T BOX) (KLB.4K (BA/W) 430 * 380 * 420) [SOLO]</t>
  </si>
  <si>
    <t>SOLO 카톤 박스 [손잡이 체결형 440x390x420 mm]</t>
  </si>
  <si>
    <t>8-PR-0113</t>
  </si>
  <si>
    <t>영문 박스 (450 * 240 * 360) [DX3000, ADX4000W]</t>
  </si>
  <si>
    <t>DX3000, ADX4000W 제품 박스 [450x240x360 mm]</t>
  </si>
  <si>
    <t>34-PR-0114</t>
  </si>
  <si>
    <t>영문 박스 (450 * 240 * 490) [COCOON]</t>
  </si>
  <si>
    <t>COCOON 제품 박스 [450x240x490 mm]</t>
  </si>
  <si>
    <t>7-PR-0115</t>
  </si>
  <si>
    <t>제품 박스 [ADX6000S]</t>
  </si>
  <si>
    <t>ADX6000FB 제품 박스 [450x240x490 mm]</t>
  </si>
  <si>
    <t>6-PR-0116</t>
  </si>
  <si>
    <t>카톤 박스 (495 * 472 * 380) [DX3000, ADX4000W]</t>
  </si>
  <si>
    <t>DX3000, ADX4000W 카톤 박스 [490x460x370 mm]</t>
  </si>
  <si>
    <t>34-PR-0117</t>
  </si>
  <si>
    <t>카톤 박스 (500 * 460 * 520) [COCOON]</t>
  </si>
  <si>
    <t>COCOON 카톤 박스 [500x460x520 mm]</t>
  </si>
  <si>
    <t>7-PR-0118</t>
  </si>
  <si>
    <t>카톤 박스 [ADX6000S]</t>
  </si>
  <si>
    <t>ADX6000FB 카톤 박스 [500x460x520 mm]</t>
  </si>
  <si>
    <t>6-PR-0119</t>
  </si>
  <si>
    <t>저가 제품 박스 (小) [공용]</t>
  </si>
  <si>
    <t>DX3000 저가 박스 [280x220x200 mm]</t>
  </si>
  <si>
    <t>3-PR-0120</t>
  </si>
  <si>
    <t>저가 박스 에어셀 Main (JD010411-01) [공용]</t>
  </si>
  <si>
    <t>DX3000 저가 박스 에어셀 [Main]</t>
  </si>
  <si>
    <t>3-PR-0121</t>
  </si>
  <si>
    <t>DX3000 저가 박스 에어셀 [Accessories]</t>
  </si>
  <si>
    <t>3-PR-0122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</si>
  <si>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</si>
  <si>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</si>
  <si>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</si>
  <si>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</si>
  <si>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</si>
  <si>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</si>
  <si>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</si>
  <si>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</si>
  <si>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DX3000M 저가 박스 에어셀 [Main]</t>
  </si>
  <si>
    <t>3-PR-0127</t>
  </si>
  <si>
    <t>기타</t>
  </si>
  <si>
    <t>ADX6000s CTR BD (Ver 1.1.1) - 8핀용</t>
  </si>
  <si>
    <t>6-NR-0003</t>
  </si>
  <si>
    <t>ADX6000 CTR BD (Ver 1.5)</t>
  </si>
  <si>
    <t>6-NR-0004</t>
  </si>
  <si>
    <t>COCOON CTR BD (Ver 2.20.5)</t>
  </si>
  <si>
    <t>7-NR-0005</t>
  </si>
  <si>
    <t>INNER_USB_BD (6000 커넥터)</t>
  </si>
  <si>
    <t>ADX6000 INNER USB BD (Ver 2.1)</t>
  </si>
  <si>
    <t>6-NR-0006</t>
  </si>
  <si>
    <t>CTR_to_GEN BD (8핀 커넥터)</t>
  </si>
  <si>
    <t>ADX6000s CTR to GEN BD (Ver 2.0.0) - 8핀용</t>
  </si>
  <si>
    <t>6-NR-0007</t>
  </si>
  <si>
    <t>AIM_LIGHT_DRIVER BD (9핀 커넥터)</t>
  </si>
  <si>
    <t>ADX6000s AIM LIGHT DRIVER BD (Ver 1.0.0) - 9핀용</t>
  </si>
  <si>
    <t>6-NR-0008</t>
  </si>
  <si>
    <t>CTR_to_GEN BD (10핀 커넥터)</t>
  </si>
  <si>
    <t>ADX6000FB CTR to GEN BD (Ver 2.0.1) - 10핀용</t>
  </si>
  <si>
    <t>6-NR-0009</t>
  </si>
  <si>
    <t>DX3000 60KV 2mA / 10cm Black [기본]</t>
  </si>
  <si>
    <t>조립완제품_재고현황</t>
  </si>
  <si>
    <t>3-AF-0001</t>
  </si>
  <si>
    <t>DX3000 60KV 2mA / 10cm White [기본]</t>
  </si>
  <si>
    <t>3-AF-0002</t>
  </si>
  <si>
    <t>DX3000 60KV 2mA / 15cm White [일본 덴탈용 / 양쪽 손잡이]</t>
  </si>
  <si>
    <t>3-AF-0003</t>
  </si>
  <si>
    <t>DX3000 60KV 2mA / 15cm White [일본 동물용 / 양쪽 손잡이]</t>
  </si>
  <si>
    <t>3-AF-0004</t>
  </si>
  <si>
    <t>DX3000 60KV 2mA / 20cm White [기본]</t>
  </si>
  <si>
    <t>3-AF-0005</t>
  </si>
  <si>
    <t>DX3000 60KV 2mA / 10cm White [인도네시아 / 양쪽 손잡이]</t>
  </si>
  <si>
    <t>3-AF-0006</t>
  </si>
  <si>
    <t>DX3000 60KV 2mA / 10cm Black [이미지웍스 / 양쪽 손잡이]</t>
  </si>
  <si>
    <t>3-AF-0007</t>
  </si>
  <si>
    <t>DX3000 60KV 2mA / 10cm Black [우루과이 / 기본]</t>
  </si>
  <si>
    <t>3-AF-0008</t>
  </si>
  <si>
    <t>DX3000 60KV 2mA / 20cm Black [우루과이 / 기본]</t>
  </si>
  <si>
    <t>3-AF-0009</t>
  </si>
  <si>
    <t>DX3000 60KV 2mA / 20cm White [사파리 덴탈 / 기본]</t>
  </si>
  <si>
    <t>3-AF-0010</t>
  </si>
  <si>
    <t>DX3000 65KV 1.7mA / 20cm White [지사 / 양쪽손잡이]</t>
  </si>
  <si>
    <t>3-AF-0011</t>
  </si>
  <si>
    <t>DX3000 65KV 1.7mA / 20cm White [Vector / 양쪽손잡이]</t>
  </si>
  <si>
    <t>3-AF-0012</t>
  </si>
  <si>
    <t>DX3000 65KV 1.7mA / 20cm Black [Vector / 양쪽손잡이]</t>
  </si>
  <si>
    <t>3-AF-0013</t>
  </si>
  <si>
    <t>DX3000 65KV 1.7mA / 10cm White [Medicatech 동물용 / 양쪽손잡이]</t>
  </si>
  <si>
    <t>3-AF-0014</t>
  </si>
  <si>
    <t>DX3000 65KV 1.7mA / 10cm Black [CBi 동물용 / 양쪽손잡이]</t>
  </si>
  <si>
    <t>3-AF-0015</t>
  </si>
  <si>
    <t>DX3000M 70KV 3mA / 15cm Black [원형 컬리메이터]</t>
  </si>
  <si>
    <t>3-AF-0016</t>
  </si>
  <si>
    <t>DX3000M 70KV 3mA / 15cm Black [사각 컬리메이터]</t>
  </si>
  <si>
    <t>3-AF-0017</t>
  </si>
  <si>
    <t>DX3000M 60KV 2mA / 15cm Black [원형 컬리메이터]</t>
  </si>
  <si>
    <t>3-AF-0018</t>
  </si>
  <si>
    <t>DX3000 60KV 2mA / 10cm White [TFT / 기본]</t>
  </si>
  <si>
    <t>3-AF-0019</t>
  </si>
  <si>
    <t>ADX4000W 60KV 2mA / 10cm White [기본]</t>
  </si>
  <si>
    <t>4-AF-0020</t>
  </si>
  <si>
    <t>ADX4000W 60KV 2mA / 15cm White [일본]</t>
  </si>
  <si>
    <t>4-AF-0021</t>
  </si>
  <si>
    <t>ADX4000W 60KV 2mA / 20cm White [기본]</t>
  </si>
  <si>
    <t>4-AF-0022</t>
  </si>
  <si>
    <t>ADX4000W 60KV 2mA / 20cm White [사파리 덴탈]</t>
  </si>
  <si>
    <t>4-AF-0023</t>
  </si>
  <si>
    <t>ADX6000 80KV 5mA / White</t>
  </si>
  <si>
    <t>6-AF-0024</t>
  </si>
  <si>
    <t>ADX6000s 80KV 5mA / White [외부 배터리]</t>
  </si>
  <si>
    <t>6-AF-0025</t>
  </si>
  <si>
    <t>ADX6000FB 80KV 5mA / White</t>
  </si>
  <si>
    <t>6-AF-0026</t>
  </si>
  <si>
    <t>COCOON 70KV 1.7mA / 18cm Gray [기본]</t>
  </si>
  <si>
    <t>7-AF-0027</t>
  </si>
  <si>
    <t>COCOON 70KV 1.7mA / 20cm Gray [기본]</t>
  </si>
  <si>
    <t>7-AF-0028</t>
  </si>
  <si>
    <t>COCOON 70KV 2mA / 18cm Gray [기본]</t>
  </si>
  <si>
    <t>7-AF-0029</t>
  </si>
  <si>
    <t>COCOON 70KV 2mA / 18cm Gray [덴탈 / 트리거 에이밍라이트]</t>
  </si>
  <si>
    <t>7-AF-0030</t>
  </si>
  <si>
    <t>COCOON 70KV 2mA / 18cm Gray [Dentimax / 트리거 에이밍라이트]</t>
  </si>
  <si>
    <t>7-AF-0031</t>
  </si>
  <si>
    <t>COCOON 70KV 2mA / 18cm Gray [CBi / 트리거 에이밍라이트]</t>
  </si>
  <si>
    <t>7-AF-0032</t>
  </si>
  <si>
    <t>COCOON 70KV 2mA / 18cm Gray [동물 / 스위치 에이밍라이트]</t>
  </si>
  <si>
    <t>7-AF-0033</t>
  </si>
  <si>
    <t>COCOON 70KV 2mA / 20cm Gray [기본]</t>
  </si>
  <si>
    <t>7-AF-0034</t>
  </si>
  <si>
    <t>COCOON 70KV 2mA / 20cm Gray [페루 / 기본]</t>
  </si>
  <si>
    <t>7-AF-0035</t>
  </si>
  <si>
    <t>COCOON 70KV 2mA / 20cm Gray [Dentimax Canada / 기본]</t>
  </si>
  <si>
    <t>7-AF-0036</t>
  </si>
  <si>
    <t>COCOON 70KV 2mA / 20cm White [사파리 덴탈 / 스위치 에이밍라이트]</t>
  </si>
  <si>
    <t>7-AF-0037</t>
  </si>
  <si>
    <t>COCOON 70KV 2mA / 20cm Gray [동물 / 트리거 에이밍라이트]</t>
  </si>
  <si>
    <t>7-AF-0038</t>
  </si>
  <si>
    <t>COCOON 70KV 2mA / 20cm Gray [덴탈 / 트리거 에이밍라이트]</t>
  </si>
  <si>
    <t>7-AF-0039</t>
  </si>
  <si>
    <t>COCOON 70KV 2mA / 18cm White [Carestream 덴탈 / 트리거 에이밍라이트]</t>
  </si>
  <si>
    <t>7-AF-0040</t>
  </si>
  <si>
    <t>SOLO 70KV, 2mA / 18cm Black [트리거 에이밍라이트]</t>
  </si>
  <si>
    <t>8-AF-0041</t>
  </si>
  <si>
    <t>SOLO 70KV, 2mA / 20cm Black [트리거 에이밍라이트]</t>
  </si>
  <si>
    <t>8-AF-0042</t>
  </si>
  <si>
    <t>창고전용</t>
  </si>
  <si>
    <t>텅스텐 필라멘트 [DXDR-100]</t>
  </si>
  <si>
    <t>창고_재고현황</t>
  </si>
  <si>
    <t>9-TR-0018</t>
  </si>
  <si>
    <t>세라믹 작은 콘덴서 Vishay (HVCC203Y6P681MCAX) [COCOON, ADX6000]</t>
  </si>
  <si>
    <t>67-HR-0052</t>
  </si>
  <si>
    <t>히터트랜스용 고압선(흰색) (DSI HV CABLE 2178) [SOLO]</t>
  </si>
  <si>
    <t>8-HR-0053</t>
  </si>
  <si>
    <t>OLED B/D (듀얼) [DX3000]</t>
  </si>
  <si>
    <t>DX3000 OLED BD (듀얼 슬라이드)</t>
  </si>
  <si>
    <t>3-AR-0309</t>
  </si>
  <si>
    <t>RELAY 쪽 보드 [DX3000]</t>
  </si>
  <si>
    <t>DX3000 RELAY 쪽보드</t>
  </si>
  <si>
    <t>3-AR-0310</t>
  </si>
  <si>
    <t>하네스 4번 (후면 전원 Wire - DC 잭) [DX3000]</t>
  </si>
  <si>
    <t>DX3000 후면전원 DC 잭 2핀 (YH369-02JR) 65mm [하네스 4번]</t>
  </si>
  <si>
    <t>3-AR-0311</t>
  </si>
  <si>
    <t>하네스 7번 (마그네틱보드 연결 4핀) [DX3000]</t>
  </si>
  <si>
    <t>DX3000 마그네틱보드 연결 4핀 (12505HS-04 2EA) 123mm [하네스 7번]</t>
  </si>
  <si>
    <t>3-AR-0312</t>
  </si>
  <si>
    <t>LCD GUIDE (사파리) [DX3000]</t>
  </si>
  <si>
    <t>DX3000 LCD GUIDE (반투명) - 사파리 덴탈용</t>
  </si>
  <si>
    <t>3-AR-0313</t>
  </si>
  <si>
    <t>FRONT COVER (듀얼 슬라이드) (ABS 난연 블랙 (홀작업 완료)) [DX3000]</t>
  </si>
  <si>
    <t>DX3000 FRONT COVER (듀얼 슬라이드 (외부배터리용 홀)) AS용</t>
  </si>
  <si>
    <t>3-AR-0314</t>
  </si>
  <si>
    <t>X-CAP 체결형 (구형, 일본용) (ABS 난연 화이트 + 진한 회색) [DX3000]</t>
  </si>
  <si>
    <t>DX3000 X-CAP 체결형 (구형 폭 좁음) AS용</t>
  </si>
  <si>
    <t>34-AR-0315</t>
  </si>
  <si>
    <t>X-CAP 체결형 스프레이 X (구형, 일본용) (ABS 난연 화이트) [DX3000]</t>
  </si>
  <si>
    <t>DX3000 X-CAP 체결형 (구형 폭 좁음) AS용 - 스프레이 X</t>
  </si>
  <si>
    <t>34-AR-0316</t>
  </si>
  <si>
    <t>CONE 젠더 (ABS 난연 블랙 + 블랙 무광) [DX3000]</t>
  </si>
  <si>
    <t>DX3000M CONE 젠더</t>
  </si>
  <si>
    <t>3-AR-0317</t>
  </si>
  <si>
    <t>FET B/D (+ 56 (교체전)) [COCOON]</t>
  </si>
  <si>
    <t>COCOON FET BD (+56 교체전)</t>
  </si>
  <si>
    <t>7-VR-0042</t>
  </si>
  <si>
    <t>OP &amp; TOUCH BD [COCOON]</t>
  </si>
  <si>
    <t>COCOON OP &amp; TOUCH BD (FFC Cable 방향 변경 전)</t>
  </si>
  <si>
    <t>7-AR-0318</t>
  </si>
  <si>
    <t>FRONT_S (18cm) (ABS 난연 블랙 + 블랙 무광) [COCOON]</t>
  </si>
  <si>
    <t>COCOON 18cm FRONT_S (B 무광)</t>
  </si>
  <si>
    <t>7-AR-0319</t>
  </si>
  <si>
    <t>Button Indicator (ABS 블랙) [SOLO]</t>
  </si>
  <si>
    <t>SOLO BUTTON INDICATOR (B)</t>
  </si>
  <si>
    <t>8-AR-0320</t>
  </si>
  <si>
    <t>GUIDE 스프레이 X (ABS 난연 화이트) [ADX4000W]</t>
  </si>
  <si>
    <t>ADX4000W 데코 가이드 - 스프레이 X</t>
  </si>
  <si>
    <t>4-AR-0321</t>
  </si>
  <si>
    <t>POWER BUTTON 스프레이 X (ABS 난연 화이트) [ADX4000W]</t>
  </si>
  <si>
    <t>ADX4000W POWER BUTTON - 스프레이 X</t>
  </si>
  <si>
    <t>4-AR-0322</t>
  </si>
  <si>
    <t>EXPOSE BUTTON 스프레이 X (ABS 난연 화이트) [ADX4000W]</t>
  </si>
  <si>
    <t>ADX4000W EXPOSE BUTTON - 스프레이 X</t>
  </si>
  <si>
    <t>4-AR-0323</t>
  </si>
  <si>
    <t>NAVI BUTTON 스프레이 X (가운데) (ABS 난연 화이트) [ADX4000W]</t>
  </si>
  <si>
    <t>ADX4000W NAVI BUTTON (가운데) - 스프레이 X</t>
  </si>
  <si>
    <t>4-AR-0324</t>
  </si>
  <si>
    <t>NAVI KEY 스프레이 X (방향) (ABS 난연 화이트) [ADX4000W]</t>
  </si>
  <si>
    <t>ADX4000W NAVI KEY (방향) - 스프레이 X</t>
  </si>
  <si>
    <t>4-AR-0325</t>
  </si>
  <si>
    <t>Q 클립 [ADX4000W]</t>
  </si>
  <si>
    <t>ADX4000 Q클립</t>
  </si>
  <si>
    <t>4-AR-0326</t>
  </si>
  <si>
    <t>L 클립 [ADX4000W]</t>
  </si>
  <si>
    <t>ADX4000W L클립</t>
  </si>
  <si>
    <t>4-AR-0327</t>
  </si>
  <si>
    <t>HAND STRAP -손잡이(터치펜)(유럽용) (인조 가죽, AL(Cr도금), SUS Φ2.0) [ADX4000W]</t>
  </si>
  <si>
    <t>ADX4000W HAND STRAP [AL(Cr도금), SUS Φ2.0]-손잡이(터치펜) (유럽용 알코올 번짐)</t>
  </si>
  <si>
    <t>4-AR-0328</t>
  </si>
  <si>
    <t>CRADLE FOOT RUBBER (RUBBER) [ADX6000]</t>
  </si>
  <si>
    <t>ADX6000 CRADLE FOOT RUBBER</t>
  </si>
  <si>
    <t>6-AR-0329</t>
  </si>
  <si>
    <t>내부 배터리 (PF435060HP) [DX3000]</t>
  </si>
  <si>
    <t>DX3000 내부 배터리 [PF435060]</t>
  </si>
  <si>
    <t>3-PR-0128</t>
  </si>
  <si>
    <t>외부 배터리 (PF605060HP) [COCOON]</t>
  </si>
  <si>
    <t>COCOON 외부 배터리 [PF605060]</t>
  </si>
  <si>
    <t>37-PR-0129</t>
  </si>
  <si>
    <t>외부 배터리 (LIP1902A_5035127SH25) [ADX6000]</t>
  </si>
  <si>
    <t>ADX6000 외부 배터리 [LIP1902A_5035127SH25]</t>
  </si>
  <si>
    <t>6-PR-0130</t>
  </si>
  <si>
    <t>25.2V 1.7A 충전기 (6S 어댑터 (중국용)) [ADX6000]</t>
  </si>
  <si>
    <t>3구 25.2V 1.7A 충전기 [JBL7451251700002FJ]</t>
  </si>
  <si>
    <t>6-PR-0131</t>
  </si>
  <si>
    <t>15V 1.0A 충전기 (220V) [공용]</t>
  </si>
  <si>
    <t>DRTech 15.0V 충전기 (220V)</t>
  </si>
  <si>
    <t>34678-PR-0132</t>
  </si>
  <si>
    <t>15V 1.0A 충전기 (110V) [공용]</t>
  </si>
  <si>
    <t>DRTech 15.0V 충전기 (110V)</t>
  </si>
  <si>
    <t>34678-PR-0133</t>
  </si>
  <si>
    <t>외부 배터리 와이어 케이블 [공용]</t>
  </si>
  <si>
    <t>외부 배터리 와이어 케이블</t>
  </si>
  <si>
    <t>6-PR-0134</t>
  </si>
  <si>
    <t>USB 2.0 CABLE (PMM369-0200, 2m) [ADX4000W]</t>
  </si>
  <si>
    <t>ADX4000W USB 2.0 CABLE (PMM369-0200) 2M</t>
  </si>
  <si>
    <t>4-PR-0135</t>
  </si>
  <si>
    <t>USB 2.0 CABLE (PMM369-0100, 1m) [ADX4000W]</t>
  </si>
  <si>
    <t>ADX4000W USB 2.0 CABLE (PMM369-0100) 1M</t>
  </si>
  <si>
    <t>4-PR-0136</t>
  </si>
  <si>
    <t>외부 배터리 쪽 보드 (EX BATTERY BD) [공용]</t>
  </si>
  <si>
    <t>DX3000 외부배터리용 쪽보드</t>
  </si>
  <si>
    <t>3-AR-0330</t>
  </si>
  <si>
    <t>가방 (뱅가드) [ADX6000]</t>
  </si>
  <si>
    <t>뱅가드 46F [ADX6000]</t>
  </si>
  <si>
    <t>6-PR-0137</t>
  </si>
  <si>
    <t>FDXD-810 센서 가방 (뱅가드) [ADX6000]</t>
  </si>
  <si>
    <t>뱅가드 53F [FDXD-810]</t>
  </si>
  <si>
    <t>34678-PR-0138</t>
  </si>
  <si>
    <t>계란판 [DX3000, ADX4000W]</t>
  </si>
  <si>
    <t>DX3000, ADX4000W 계란판</t>
  </si>
  <si>
    <t>34-PR-0139</t>
  </si>
  <si>
    <t>계란판 [COCOON, ADX6000]</t>
  </si>
  <si>
    <t>COCOON, ADX6000 계란판</t>
  </si>
  <si>
    <t>67-PR-0140</t>
  </si>
  <si>
    <t>센서 내장재 상단 (45 * 55.5 * 2T, 접착 O) [공용]</t>
  </si>
  <si>
    <t>디텍터 내부폼 상판 [45x55.5x2 mm 접착 O] (뱅가드 53F용)</t>
  </si>
  <si>
    <t>34678-PR-0141</t>
  </si>
  <si>
    <t>센서 내장재 중간 (45 * 55.5 * 2T, 접착 X) [공용]</t>
  </si>
  <si>
    <t>디텍터 내부폼 중판 [45x55.5x2 mm 접착 X] (뱅가드 53F용)</t>
  </si>
  <si>
    <t>34678-PR-0142</t>
  </si>
  <si>
    <t>센서 내장재 하단 (45 * 55.5 * 8T) [공용]</t>
  </si>
  <si>
    <t>디텍터 내부폼 하판 [45x55.5x8 mm] (뱅가드 53F용)</t>
  </si>
  <si>
    <t>34678-PR-0143</t>
  </si>
  <si>
    <t>카톤 박스 [ADX6000]</t>
  </si>
  <si>
    <t>ADX6000 제품 박스</t>
  </si>
  <si>
    <t>6-PR-0144</t>
  </si>
  <si>
    <t>무지 박스 1개 (450 * 260 * 510(H)mm) [공용]</t>
  </si>
  <si>
    <t>제품 박스용 무지 박스 [450x260x510 mm] (1개 포장용)</t>
  </si>
  <si>
    <t>3467-PR-0145</t>
  </si>
  <si>
    <t>무지 박스 2개 (475 * 295 * 220(H)mm) [공용]</t>
  </si>
  <si>
    <t>저가 박스용 무지 박스 [475x295x220 mm] (2개 포장용)</t>
  </si>
  <si>
    <t>3-PR-0146</t>
  </si>
  <si>
    <t>무지 박스 4개 (475 * 295 * 430(H)mm) [공용]</t>
  </si>
  <si>
    <t>저가 박스용 무지 박스 [475x295x430 mm] (4개 포장용)</t>
  </si>
  <si>
    <t>3-PR-0147</t>
  </si>
  <si>
    <t>무지 박스 6개 (700 * 300 * 430(H)mm) [공용]</t>
  </si>
  <si>
    <t>저가 박스용 무지 박스 [700x300x430 mm] (6개 포장용)</t>
  </si>
  <si>
    <t>3-PR-0148</t>
  </si>
  <si>
    <t>ADX6000 센서 무지 박스 [공용]</t>
  </si>
  <si>
    <t>뱅가드 46F 포장용 무지 박스</t>
  </si>
  <si>
    <t>34678-PR-0149</t>
  </si>
  <si>
    <t>제품박스 상, 하 스티로폼 (60.5 * 27.5 * 3T) [ADX6000]</t>
  </si>
  <si>
    <t>ADX6000 박스 내장재 [상, 하판 60.5x27.5x30 mm] (뱅가드 46F용)</t>
  </si>
  <si>
    <t>6-PR-0150</t>
  </si>
  <si>
    <t>제품박스 좁은 스티로폼 (42.5 * 27.5 * 3T) [ADX6000]</t>
  </si>
  <si>
    <t>ADX6000 박스 내장재 [좌, 우판 42.5x27.5x30 mm] (뱅가드 46F용)</t>
  </si>
  <si>
    <t>6-PR-0151</t>
  </si>
  <si>
    <t>제품박스 넒은 스티로폼 (42.5 * 55 * 3.5T) [ADX6000]</t>
  </si>
  <si>
    <t>ADX6000 박스 내장재 [전, 후판 42.5x55x35 mm] (뱅가드 46F용)</t>
  </si>
  <si>
    <t>6-PR-0152</t>
  </si>
  <si>
    <t>DR Tech 센서 상, 하 스티로폼 (45.5 * 42 * 3T) [공용]</t>
  </si>
  <si>
    <t>DRTech 센서 박스 내장재 [상, 하판 45.5x42x30 mm] (뱅가드 53F용)</t>
  </si>
  <si>
    <t>34678-PR-0153</t>
  </si>
  <si>
    <t>넥스트 랩 (포켓 구형) [공용]</t>
  </si>
  <si>
    <t>넥스트랩 [포켓 구형]</t>
  </si>
  <si>
    <t>37-PR-0154</t>
  </si>
  <si>
    <t>넥스트 랩 (포켓 X) [공용]</t>
  </si>
  <si>
    <t>넥스트랩 [포켓 X]</t>
  </si>
  <si>
    <t>37-PR-0155</t>
  </si>
  <si>
    <t>DX3000 핸드 스트랩 [DX3000]</t>
  </si>
  <si>
    <t>DX3000 포켓 핸드 스트랩</t>
  </si>
  <si>
    <t>3-AR-0331</t>
  </si>
  <si>
    <t>연아크릴 쉴드 8T (153 * ∮65 * 8T) [공용] (중국)</t>
  </si>
  <si>
    <t>연아크릴 [65ɸ 8T] (중국)</t>
  </si>
  <si>
    <t>78-PR-0156</t>
  </si>
  <si>
    <t>연아크릴 쉴드 12T (153 * ∮60 * 12T) [공용] (중국)</t>
  </si>
  <si>
    <t>연아크릴 [60ɸ 12T] (중국)</t>
  </si>
  <si>
    <t>347-PR-0157</t>
  </si>
  <si>
    <t>사각 연아크릴 쉴드 (직사각형, 215 * 199mm 8T) [ADX6000] (중국)</t>
  </si>
  <si>
    <t>ADX6000 연아크릴 [215x195x8mm] 하단 가공된 것 (중국)</t>
  </si>
  <si>
    <t>6-PR-0158</t>
  </si>
  <si>
    <t>사각 연아크릴 쉴드 (정사각형, 215 * 205mm) [ADX6000]</t>
  </si>
  <si>
    <t>ADX6000 연아크릴 [215x215x8mm] 정사각형-오레곤주용</t>
  </si>
  <si>
    <t>6-PR-0159</t>
  </si>
  <si>
    <t>IRay A6S NAME PLATE [ADX6000]</t>
  </si>
  <si>
    <t>ADX6000s NAME PLATE [iRay A6s]</t>
  </si>
  <si>
    <t>6-PR-0160</t>
  </si>
  <si>
    <t>DEXCOWIN NAME PLATE (FDXD-810 디텍터용) [ADX6000]</t>
  </si>
  <si>
    <t>뱅가드 53F NAME PLATE [DEXCOWIN]</t>
  </si>
  <si>
    <t>34678-PR-0161</t>
  </si>
  <si>
    <t>DEXCOWIN NAME PLATE (뱅가드 가방용) [ADX6000]</t>
  </si>
  <si>
    <t>뱅가드 46F NAME PLATE [DEXCOWIN]</t>
  </si>
  <si>
    <t>6-PR-0162</t>
  </si>
  <si>
    <t>손잡이 에폭시 스티커 [ADX6000S]</t>
  </si>
  <si>
    <t>ADX6000s NAME PLATE [ADX6000s]</t>
  </si>
  <si>
    <t>6-PR-0163</t>
  </si>
  <si>
    <t>패드 [공용]</t>
  </si>
  <si>
    <t>DX3000 패드</t>
  </si>
  <si>
    <t>3-PR-0164</t>
  </si>
  <si>
    <t>330N 센서 케이스 [공용]</t>
  </si>
  <si>
    <t>PLAATZ 330N 센서 케이스</t>
  </si>
  <si>
    <t>34678-PR-0165</t>
  </si>
  <si>
    <t>17*17 DRTECH 센서 [공용]</t>
  </si>
  <si>
    <t>DRTech [FLAATZ 760/17"x17"]</t>
  </si>
  <si>
    <t>34678-PR-0166</t>
  </si>
  <si>
    <t>810 DRTECH 센서 [공용]</t>
  </si>
  <si>
    <t>DRTech [FDXD-810/10"x8"]</t>
  </si>
  <si>
    <t>34678-PR-0167</t>
  </si>
  <si>
    <t>HDI 1000 [Rex2 Classic/1.5] [공용]</t>
  </si>
  <si>
    <t>HDI-1000 [Rex2 Classic/1.5]</t>
  </si>
  <si>
    <t>34678-PR-0168</t>
  </si>
  <si>
    <t>배터리 거치대용 신주핀 [DX3000, ADX4000W]</t>
  </si>
  <si>
    <t>DX3000, ADX4000W, SOLO 배터리 거치대용 신주핀 (D-910)</t>
  </si>
  <si>
    <t>348-PR-0169</t>
  </si>
  <si>
    <t>스탠드 브라켓 족의학용 [공용]</t>
  </si>
  <si>
    <t>스탠드 브라켓 족의학용</t>
  </si>
  <si>
    <t>6-PR-0170</t>
  </si>
  <si>
    <t>각도기 홀더 [ADX6000]</t>
  </si>
  <si>
    <t>ADX6000 각도기 홀더</t>
  </si>
  <si>
    <t>6-PR-0171</t>
  </si>
  <si>
    <t>FOOT SWITCH [공용]</t>
  </si>
  <si>
    <t>FOOT SWITCH</t>
  </si>
  <si>
    <t>3468-PR-0172</t>
  </si>
  <si>
    <t>리드스위치 [공용]</t>
  </si>
  <si>
    <t>리드스위치</t>
  </si>
  <si>
    <t>3468-PR-0173</t>
  </si>
  <si>
    <t>Battery Pack (사급자재) [DX3000]</t>
  </si>
  <si>
    <t>DX3000 기본 Battery Pack (사급자재)</t>
  </si>
  <si>
    <t>348-PR-0174</t>
  </si>
  <si>
    <t>Battery Case (사급자재) [DX3000]</t>
  </si>
  <si>
    <t>DX3000 기본 Battery Case (사급자재)</t>
  </si>
  <si>
    <t>348-PR-0175</t>
  </si>
  <si>
    <t>배터리 내부 단자 (사급자재) [공용]</t>
  </si>
  <si>
    <t>DX3000 기본 배터리 내부 단자대 (사급자재)</t>
  </si>
  <si>
    <t>348-PR-0176</t>
  </si>
  <si>
    <t>고압베어 B/D (구형 고압보드) [ADX6000]</t>
  </si>
  <si>
    <t>ADX6000 고압베어 BD</t>
  </si>
  <si>
    <t>6-HR-0054</t>
  </si>
  <si>
    <t>고압 다이오드 (SPF01-15) [SOLO]</t>
  </si>
  <si>
    <t>SOLO 고압 다이오드 (SPF01-15)</t>
  </si>
  <si>
    <t>8-HR-0055</t>
  </si>
  <si>
    <t>고압용 칩 세라믹 콘덴서 (2220J6K00222KXT) [SOLO]</t>
  </si>
  <si>
    <t>SOLO 고압용 칩 세라믹 콘덴서 (2220J6K00222KXT)</t>
  </si>
  <si>
    <t>8-HR-0056</t>
  </si>
  <si>
    <t>내부 케이스 (HDPE) [SOLO]</t>
  </si>
  <si>
    <t>SOLO 내부 케이스 (HDPE)</t>
  </si>
  <si>
    <t>8-VR-0043</t>
  </si>
  <si>
    <t>고압 격벽 (HDPE) [SOLO]</t>
  </si>
  <si>
    <t>SOLO 고압 격벽 (HDPE)</t>
  </si>
  <si>
    <t>8-VR-0044</t>
  </si>
  <si>
    <t>에이밍 필터 (0.5T * Φ40 에이밍 은경 추가 필터) [SOLO]</t>
  </si>
  <si>
    <t>SOLO 에이밍 은경 필터 [40ɸ 0.5T]</t>
  </si>
  <si>
    <t>8-AR-0332</t>
  </si>
  <si>
    <t>CTR B/D (ST용) [COCOON]</t>
  </si>
  <si>
    <t>COCOON ST CTR BD</t>
  </si>
  <si>
    <t>7-NR-0010</t>
  </si>
  <si>
    <t>OLED PANEL [DX3000]</t>
  </si>
  <si>
    <t>DX3000 2.42" OLED PANEL (UG-2864ASWPG01)</t>
  </si>
  <si>
    <t>3-AR-0333</t>
  </si>
  <si>
    <t>OLED GUIDE (ABS 난연 블랙) [DX3000]</t>
  </si>
  <si>
    <t>DX3000 OLED GUIDE</t>
  </si>
  <si>
    <t>3-AR-0334</t>
  </si>
  <si>
    <t>FFC 10핀 [DX3000]</t>
  </si>
  <si>
    <t>DX3000 EX BD FFC CABLE 10핀</t>
  </si>
  <si>
    <t>3-AR-0335</t>
  </si>
  <si>
    <t>하네스 3-1번 (FFC CABLE 1mm*30P*200*A CTR BD*OP BD FFC CABLE (같은 방향) (구형, 신형)) [COCOON]</t>
  </si>
  <si>
    <t>COCOON FFC CABLE (1mm*30P*A) 200mm [하네스 3-1번] (같은 방향)</t>
  </si>
  <si>
    <t>7-AR-0336</t>
  </si>
  <si>
    <t>하네스 12번 (FLAT 30P 2.0mm, L=205mm, 1:1 CTR BD * OP BD 연결 30핀) [COCOON]</t>
  </si>
  <si>
    <t>COCOON ST CTR to OP 케이블 (FLAT 30P 2.0mm 1:1) 205mm [하네스 12번]</t>
  </si>
  <si>
    <t>7-AR-0337</t>
  </si>
  <si>
    <t>하네스 7-1번 (12505HS-05 70mm OP BD+TOUCH BD 5핀) [COCOON]</t>
  </si>
  <si>
    <t>COCOON ST OP to TOUCH 케이블 (12505HS-05) 70mm [하네스 7-1번]</t>
  </si>
  <si>
    <t>7-AR-0338</t>
  </si>
  <si>
    <t>ETC FRONT BD [ADX6000S]</t>
  </si>
  <si>
    <t>ADX6000FB ETC FRONT BD (리모콘 포트 수정 전)</t>
  </si>
  <si>
    <t>6-AR-0339</t>
  </si>
  <si>
    <t>ETC FRONT BD (리모콘 포트 수정 신형) [ADX6000S]</t>
  </si>
  <si>
    <t>ADX6000FB ETC FRONT BD (리모콘 포트 수정 두꺼운 것)</t>
  </si>
  <si>
    <t>6-AR-0340</t>
  </si>
  <si>
    <t>ETC EX BATTERY BD [ADX6000]</t>
  </si>
  <si>
    <t>ADX6000 ETC EX BATTERY BD</t>
  </si>
  <si>
    <t>6-AR-0341</t>
  </si>
  <si>
    <t>ETC RESIST BD [ADX6000]</t>
  </si>
  <si>
    <t>ADX6000 ETC RESIST BD</t>
  </si>
  <si>
    <t>6-AR-0342</t>
  </si>
  <si>
    <t>ETC CAP BANK BD [ADX6000]</t>
  </si>
  <si>
    <t>ADX6000 ETC CAP BANK BD</t>
  </si>
  <si>
    <t>6-AR-0343</t>
  </si>
  <si>
    <t>DRTech FDXD-810, FLAATZ-N330 CTR Battery B/D (구형) [ADX6000]</t>
  </si>
  <si>
    <t xml:space="preserve">DRTech FDXD-810, FLAATZ-N330 CTR Battery B/D (구형) </t>
  </si>
  <si>
    <t>34678-PR-0177</t>
  </si>
  <si>
    <t>DRTech FDXD-810, FLAATZ-N330 CTR Battery B/D (신형) [ADX6000]</t>
  </si>
  <si>
    <t>DRTech FDXD-810, FLAATZ-N330 CTR Battery B/D (신형)</t>
  </si>
  <si>
    <t>34678-PR-0178</t>
  </si>
  <si>
    <t>하네스 8번 (YH396-04V - 2EA CAP BANK 케이블 / 120mm) [ADX6000]</t>
  </si>
  <si>
    <t>ADX6000FB CAP BANK 케이블 (YH396-04V-2EA) 120mm [하네스 8번]</t>
  </si>
  <si>
    <t>6-AR-0344</t>
  </si>
  <si>
    <t>하네스 12번 (YH396-04V - 1EA 외부단자 케이블 / 200mm) [ADX6000]</t>
  </si>
  <si>
    <t>ADX6000FB 외부단자 케이블 (YH396-04V-1EA) 200mm [하네스 12번]</t>
  </si>
  <si>
    <t>6-AR-0345</t>
  </si>
  <si>
    <t>하네스 13번 (DC Connector Cable 외부배터리 케이블 / 360mm) [ADX6000]</t>
  </si>
  <si>
    <t>ADX6000FB 외부배터리 케이블 (DC Connector Cable) 360mm [하네스 13번]</t>
  </si>
  <si>
    <t>6-AR-0346</t>
  </si>
  <si>
    <t>컬리메이터 REAR 사출 (ABS 난연 화이트 + 스프레이) [ADX6000]</t>
  </si>
  <si>
    <t>ADX6000 컬리메이터 REAR</t>
  </si>
  <si>
    <t>6-AR-0347</t>
  </si>
  <si>
    <t>스킨가드 FRAME (AL 가공 + 흑색 아노다이징) [ADX6000]</t>
  </si>
  <si>
    <t>ADX6000 밸크로 스킨가드 FRAME</t>
  </si>
  <si>
    <t>6-PR-0179</t>
  </si>
  <si>
    <t>스킨가드 BODY (벨크로, AL 가공) [ADX6000]</t>
  </si>
  <si>
    <t>ADX6000 밸크로 스킨가드 BODY</t>
  </si>
  <si>
    <t>6-PR-0180</t>
  </si>
  <si>
    <t>스킨가드 구형 [ADX6000]</t>
  </si>
  <si>
    <t>ADX6000 밸크로 스킨가드 STICK</t>
  </si>
  <si>
    <t>6-PR-0181</t>
  </si>
  <si>
    <t>알루미늄 브라켓 4 hole (AL 가공 + 백색 아노다이징) [ADX6000]</t>
  </si>
  <si>
    <t>ADX6000 알루미늄 브라켓 4 HOLE</t>
  </si>
  <si>
    <t>6-AR-0348</t>
  </si>
  <si>
    <t>외부전원 연결 DC잭 고무링 (RUBBER) [ADX6000]</t>
  </si>
  <si>
    <t>ADX6000 외부단자 연결 DC잭 고무링</t>
  </si>
  <si>
    <t>6-AR-0349</t>
  </si>
  <si>
    <t>외부전원 연결 DC잭 너트 [ADX6000]</t>
  </si>
  <si>
    <t>ADX6000 외부단자 연결 DC잭 너트</t>
  </si>
  <si>
    <t>6-AR-0350</t>
  </si>
  <si>
    <t>Front Port Sticker [ADX6000S]</t>
  </si>
  <si>
    <t>ADX6000FB Front Port Sticker (수정전 리모콘 위치 상단)</t>
  </si>
  <si>
    <t>6-AR-0351</t>
  </si>
  <si>
    <t>가죽 손잡이 (외부배터리) (인조 가죽) [ADX6000]</t>
  </si>
  <si>
    <t>ADX6000 가죽 손잡이 (외부배터리용) AS용</t>
  </si>
  <si>
    <t>6-AR-0352</t>
  </si>
  <si>
    <t>BODY LEFT 사출(외부배터리 사출커팅) (ABS 난연 화이트 + 스프레이 AS용) [ADX6000]</t>
  </si>
  <si>
    <t>ADX6000 BODY LEFT 사출(외부배터리용 단자대 사출커팅) AS용</t>
  </si>
  <si>
    <t>6-AR-0353</t>
  </si>
  <si>
    <t>BODY RIGHT 사출(외부배터리용) (ABS 난연 화이트 + 스프레이 AS용) [ADX6000]</t>
  </si>
  <si>
    <t>ADX6000 BODY RIGHT 사출(외부배터리용) AS용</t>
  </si>
  <si>
    <t>6-AR-0354</t>
  </si>
  <si>
    <t>RIGHT Ass'y [ADX6000S]</t>
  </si>
  <si>
    <t>ADX6000s RIGHT ASS'Y</t>
  </si>
  <si>
    <t>6-AA-0075</t>
  </si>
  <si>
    <t>컬리메이터 내부하우징 사출 + 납 [ADX6000S]</t>
  </si>
  <si>
    <t>ADX6000 컬리메이터 내부하우징 사출 + 납</t>
  </si>
  <si>
    <t>6-AA-0076</t>
  </si>
  <si>
    <t>출하_재고현황</t>
  </si>
  <si>
    <t>3-PA-0002</t>
  </si>
  <si>
    <t>3-PA-0003</t>
  </si>
  <si>
    <t>3-PA-0004</t>
  </si>
  <si>
    <t>3-PA-0005</t>
  </si>
  <si>
    <t>3-PA-0006</t>
  </si>
  <si>
    <t>3-PA-0007</t>
  </si>
  <si>
    <t>3-PA-0008</t>
  </si>
  <si>
    <t>3-PF-0001</t>
  </si>
  <si>
    <t>3-PF-0002</t>
  </si>
  <si>
    <t>3-PF-0003</t>
  </si>
  <si>
    <t>3-PF-0004</t>
  </si>
  <si>
    <t>3-PF-0005</t>
  </si>
  <si>
    <t>3-PF-0006</t>
  </si>
  <si>
    <t>3-PF-0007</t>
  </si>
  <si>
    <t>4-PA-0009</t>
  </si>
  <si>
    <t>4-PA-0010</t>
  </si>
  <si>
    <t>4-PA-0011</t>
  </si>
  <si>
    <t>4-PF-0008</t>
  </si>
  <si>
    <t>4-PF-0009</t>
  </si>
  <si>
    <t>4-PF-0010</t>
  </si>
  <si>
    <t>6-PA-0012</t>
  </si>
  <si>
    <t>6-PA-0013</t>
  </si>
  <si>
    <t>6-PA-0014</t>
  </si>
  <si>
    <t>6-PA-0015</t>
  </si>
  <si>
    <t>6-PA-0016</t>
  </si>
  <si>
    <t>6-PA-0017</t>
  </si>
  <si>
    <t>6-PA-0018</t>
  </si>
  <si>
    <t>6-PF-0011</t>
  </si>
  <si>
    <t>6-PF-0012</t>
  </si>
  <si>
    <t>6-PF-0013</t>
  </si>
  <si>
    <t>6-PF-0014</t>
  </si>
  <si>
    <t>6-PF-0015</t>
  </si>
  <si>
    <t>6-PF-0016</t>
  </si>
  <si>
    <t>6-PF-0017</t>
  </si>
  <si>
    <t>7-PA-0019</t>
  </si>
  <si>
    <t>7-PA-0020</t>
  </si>
  <si>
    <t>7-PA-0021</t>
  </si>
  <si>
    <t>7-PA-0022</t>
  </si>
  <si>
    <t>7-PA-0023</t>
  </si>
  <si>
    <t>7-PF-0018</t>
  </si>
  <si>
    <t>7-PF-0019</t>
  </si>
  <si>
    <t>7-PF-0020</t>
  </si>
  <si>
    <t>7-PF-0021</t>
  </si>
  <si>
    <t>7-PF-0022</t>
  </si>
  <si>
    <t>8-PA-0024</t>
  </si>
  <si>
    <t>8-PA-0025</t>
  </si>
  <si>
    <t>8-PA-0026</t>
  </si>
  <si>
    <t>8-PF-0023</t>
  </si>
  <si>
    <t>8-PF-0024</t>
  </si>
  <si>
    <t>8-PF-0025</t>
  </si>
  <si>
    <t>6-AR-0356</t>
  </si>
  <si>
    <t>7-AR-0357</t>
  </si>
  <si>
    <t>7-AR-0358</t>
  </si>
  <si>
    <t>7-AR-0359</t>
  </si>
  <si>
    <t>4-AR-0360</t>
  </si>
  <si>
    <t>4-AR-0361</t>
  </si>
  <si>
    <t>4-AR-0362</t>
  </si>
  <si>
    <t>4-AR-0363</t>
  </si>
  <si>
    <t>4-AA-0077</t>
  </si>
  <si>
    <t>6-AA-0078</t>
  </si>
  <si>
    <t>4-AF-0043</t>
  </si>
  <si>
    <t>8-AF-0044</t>
  </si>
  <si>
    <t>6-PR-0182</t>
  </si>
  <si>
    <t>6-PR-0183</t>
  </si>
  <si>
    <t>6-PR-0184</t>
  </si>
  <si>
    <t>3-PA-0027</t>
  </si>
  <si>
    <t>6-PA-0028</t>
  </si>
  <si>
    <t>6-PA-0029</t>
  </si>
  <si>
    <t>6-PA-0030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</si>
</sst>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color rgb="FFC55A11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C55A11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6"/>
      <color rgb="FF2F5496"/>
      <name val="맑은 고딕"/>
      <family val="3"/>
      <charset val="129"/>
    </font>
    <font>
      <b/>
      <sz val="12"/>
      <color rgb="FFC55A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2F5496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2F549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BF8F00"/>
      </patternFill>
    </fill>
    <fill>
      <patternFill patternType="solid">
        <fgColor rgb="FFED7D31"/>
      </patternFill>
    </fill>
    <fill>
      <patternFill patternType="solid">
        <fgColor rgb="FF7F7F7F"/>
      </patternFill>
    </fill>
    <fill>
      <patternFill patternType="solid">
        <fgColor rgb="FF8064A2"/>
      </patternFill>
    </fill>
    <fill>
      <patternFill patternType="solid">
        <fgColor rgb="FF2F549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8F8F8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2F5496"/>
      </patternFill>
    </fill>
    <fill>
      <patternFill patternType="solid">
        <fgColor rgb="FF59595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F8F8F8"/>
      </patternFill>
    </fill>
    <fill>
      <patternFill patternType="solid">
        <fgColor rgb="FFE2EFDA"/>
      </patternFill>
    </fill>
    <fill>
      <patternFill patternType="solid">
        <fgColor rgb="FF0563C1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0563C1"/>
      </patternFill>
    </fill>
    <fill>
      <patternFill patternType="solid">
        <fgColor rgb="FFA6A6A6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0"/>
  </cellStyleXfs>
  <cellXfs count="176">
    <xf numFmtId="0" fontId="0" fillId="0" borderId="0" xfId="0" applyBorder="1"/>
    <xf numFmtId="0" fontId="3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0" fontId="10" fillId="19" borderId="5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11" fillId="2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3" fillId="24" borderId="6" xfId="0" applyFont="1" applyFill="1" applyBorder="1" applyAlignment="1">
      <alignment horizontal="center" vertical="center" wrapText="1"/>
    </xf>
    <xf numFmtId="0" fontId="13" fillId="25" borderId="6" xfId="0" applyFont="1" applyFill="1" applyBorder="1" applyAlignment="1">
      <alignment horizontal="center" vertical="center" wrapText="1"/>
    </xf>
    <xf numFmtId="0" fontId="13" fillId="23" borderId="6" xfId="0" applyFont="1" applyFill="1" applyBorder="1" applyAlignment="1">
      <alignment horizontal="center" vertical="center" wrapText="1"/>
    </xf>
    <xf numFmtId="0" fontId="19" fillId="26" borderId="6" xfId="0" applyFont="1" applyFill="1" applyBorder="1" applyAlignment="1">
      <alignment horizontal="center" vertical="center" wrapText="1"/>
    </xf>
    <xf numFmtId="0" fontId="13" fillId="27" borderId="6" xfId="0" applyFont="1" applyFill="1" applyBorder="1" applyAlignment="1">
      <alignment horizontal="center" vertical="center" wrapText="1"/>
    </xf>
    <xf numFmtId="0" fontId="13" fillId="28" borderId="6" xfId="0" applyFont="1" applyFill="1" applyBorder="1" applyAlignment="1">
      <alignment horizontal="center" vertical="center" wrapText="1"/>
    </xf>
    <xf numFmtId="0" fontId="13" fillId="29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20" fillId="30" borderId="7" xfId="0" applyFont="1" applyFill="1" applyBorder="1" applyAlignment="1">
      <alignment horizontal="center" vertical="center" wrapText="1"/>
    </xf>
    <xf numFmtId="0" fontId="20" fillId="32" borderId="7" xfId="0" applyFont="1" applyFill="1" applyBorder="1" applyAlignment="1">
      <alignment horizontal="center" vertical="center" wrapText="1"/>
    </xf>
    <xf numFmtId="0" fontId="20" fillId="34" borderId="7" xfId="0" applyFont="1" applyFill="1" applyBorder="1" applyAlignment="1">
      <alignment horizontal="center" vertical="center" wrapText="1"/>
    </xf>
    <xf numFmtId="0" fontId="20" fillId="31" borderId="7" xfId="0" applyFont="1" applyFill="1" applyBorder="1" applyAlignment="1">
      <alignment horizontal="center" vertical="center" wrapText="1"/>
    </xf>
    <xf numFmtId="0" fontId="22" fillId="35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2" fillId="36" borderId="7" xfId="0" applyFont="1" applyFill="1" applyBorder="1" applyAlignment="1">
      <alignment horizontal="center" vertical="center" wrapText="1"/>
    </xf>
    <xf numFmtId="0" fontId="22" fillId="37" borderId="7" xfId="0" applyFont="1" applyFill="1" applyBorder="1" applyAlignment="1">
      <alignment horizontal="center" vertical="center" wrapText="1"/>
    </xf>
    <xf numFmtId="0" fontId="22" fillId="33" borderId="7" xfId="0" applyFont="1" applyFill="1" applyBorder="1" applyAlignment="1">
      <alignment horizontal="center" vertical="center" wrapText="1"/>
    </xf>
    <xf numFmtId="0" fontId="22" fillId="38" borderId="7" xfId="0" applyFont="1" applyFill="1" applyBorder="1" applyAlignment="1">
      <alignment horizontal="center" vertical="center" wrapText="1"/>
    </xf>
    <xf numFmtId="0" fontId="22" fillId="39" borderId="7" xfId="0" applyFont="1" applyFill="1" applyBorder="1" applyAlignment="1">
      <alignment horizontal="center" vertical="center" wrapText="1"/>
    </xf>
    <xf numFmtId="0" fontId="22" fillId="40" borderId="7" xfId="0" applyFont="1" applyFill="1" applyBorder="1" applyAlignment="1">
      <alignment horizontal="center" vertical="center" wrapText="1"/>
    </xf>
    <xf numFmtId="0" fontId="22" fillId="41" borderId="7" xfId="0" applyFont="1" applyFill="1" applyBorder="1" applyAlignment="1">
      <alignment horizontal="center" vertical="center" wrapText="1"/>
    </xf>
    <xf numFmtId="0" fontId="23" fillId="42" borderId="7" xfId="0" applyFont="1" applyFill="1" applyBorder="1" applyAlignment="1">
      <alignment horizontal="center" vertical="center" wrapText="1"/>
    </xf>
    <xf numFmtId="0" fontId="24" fillId="45" borderId="8" xfId="0" applyFont="1" applyFill="1" applyBorder="1" applyAlignment="1">
      <alignment horizontal="left" vertical="center" wrapText="1"/>
    </xf>
    <xf numFmtId="0" fontId="22" fillId="39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2" xfId="0" applyBorder="1"/>
    <xf numFmtId="0" fontId="14" fillId="45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35" borderId="8" xfId="0" applyFont="1" applyFill="1" applyBorder="1" applyAlignment="1">
      <alignment horizontal="center" vertical="center" wrapText="1"/>
    </xf>
    <xf numFmtId="0" fontId="7" fillId="44" borderId="8" xfId="0" applyFont="1" applyFill="1" applyBorder="1" applyAlignment="1">
      <alignment horizontal="center" vertical="center" wrapText="1"/>
    </xf>
    <xf numFmtId="0" fontId="7" fillId="36" borderId="8" xfId="0" applyFont="1" applyFill="1" applyBorder="1" applyAlignment="1">
      <alignment horizontal="center" vertical="center" wrapText="1"/>
    </xf>
    <xf numFmtId="0" fontId="8" fillId="26" borderId="8" xfId="0" applyFont="1" applyFill="1" applyBorder="1" applyAlignment="1">
      <alignment horizontal="center" vertical="center" wrapText="1"/>
    </xf>
    <xf numFmtId="0" fontId="10" fillId="35" borderId="8" xfId="0" applyFont="1" applyFill="1" applyBorder="1" applyAlignment="1">
      <alignment horizontal="center" vertical="center" wrapText="1"/>
    </xf>
    <xf numFmtId="0" fontId="10" fillId="44" borderId="8" xfId="0" applyFont="1" applyFill="1" applyBorder="1" applyAlignment="1">
      <alignment horizontal="center" vertical="center" wrapText="1"/>
    </xf>
    <xf numFmtId="0" fontId="10" fillId="43" borderId="8" xfId="0" applyFont="1" applyFill="1" applyBorder="1" applyAlignment="1">
      <alignment horizontal="center" vertical="center" wrapText="1"/>
    </xf>
    <xf numFmtId="0" fontId="10" fillId="36" borderId="8" xfId="0" applyFont="1" applyFill="1" applyBorder="1" applyAlignment="1">
      <alignment horizontal="center" vertical="center" wrapText="1"/>
    </xf>
    <xf numFmtId="0" fontId="10" fillId="40" borderId="8" xfId="0" applyFont="1" applyFill="1" applyBorder="1" applyAlignment="1">
      <alignment horizontal="center" vertical="center" wrapText="1"/>
    </xf>
    <xf numFmtId="0" fontId="10" fillId="41" borderId="8" xfId="0" applyFont="1" applyFill="1" applyBorder="1" applyAlignment="1">
      <alignment horizontal="center" vertical="center" wrapText="1"/>
    </xf>
    <xf numFmtId="0" fontId="11" fillId="26" borderId="8" xfId="0" applyFont="1" applyFill="1" applyBorder="1" applyAlignment="1">
      <alignment horizontal="center" vertical="center" wrapText="1"/>
    </xf>
    <xf numFmtId="0" fontId="25" fillId="46" borderId="9" xfId="0" applyFont="1" applyFill="1" applyBorder="1" applyAlignment="1">
      <alignment horizontal="center" vertical="center" wrapText="1"/>
    </xf>
    <xf numFmtId="0" fontId="27" fillId="48" borderId="9" xfId="0" applyFont="1" applyFill="1" applyBorder="1" applyAlignment="1">
      <alignment horizontal="center" vertical="center" wrapText="1"/>
    </xf>
    <xf numFmtId="0" fontId="26" fillId="47" borderId="9" xfId="0" applyFont="1" applyFill="1" applyBorder="1" applyAlignment="1">
      <alignment horizontal="center" vertical="center" wrapText="1"/>
    </xf>
    <xf numFmtId="0" fontId="25" fillId="49" borderId="9" xfId="0" applyFont="1" applyFill="1" applyBorder="1" applyAlignment="1">
      <alignment horizontal="center" vertical="center" wrapText="1"/>
    </xf>
    <xf numFmtId="0" fontId="25" fillId="0" borderId="10" xfId="0" applyFont="1" applyAlignment="1">
      <alignment horizontal="center" vertical="center" wrapText="1"/>
    </xf>
    <xf numFmtId="0" fontId="28" fillId="50" borderId="9" xfId="0" applyFont="1" applyFill="1" applyBorder="1" applyAlignment="1">
      <alignment horizontal="center" vertical="center" wrapText="1"/>
    </xf>
    <xf numFmtId="0" fontId="26" fillId="0" borderId="10" xfId="0" applyFont="1" applyAlignment="1">
      <alignment horizontal="center" vertical="center" wrapText="1"/>
    </xf>
    <xf numFmtId="0" fontId="14" fillId="45" borderId="9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7" fillId="51" borderId="11" xfId="0" applyFont="1" applyFill="1" applyBorder="1" applyAlignment="1">
      <alignment horizontal="center" vertical="center" wrapText="1"/>
    </xf>
    <xf numFmtId="0" fontId="7" fillId="52" borderId="11" xfId="0" applyFont="1" applyFill="1" applyBorder="1" applyAlignment="1">
      <alignment horizontal="center" vertical="center" wrapText="1"/>
    </xf>
    <xf numFmtId="0" fontId="7" fillId="53" borderId="11" xfId="0" applyFont="1" applyFill="1" applyBorder="1" applyAlignment="1">
      <alignment horizontal="center" vertical="center" wrapText="1"/>
    </xf>
    <xf numFmtId="0" fontId="8" fillId="47" borderId="11" xfId="0" applyFont="1" applyFill="1" applyBorder="1" applyAlignment="1">
      <alignment horizontal="center" vertical="center" wrapText="1"/>
    </xf>
    <xf numFmtId="0" fontId="13" fillId="51" borderId="11" xfId="0" applyFont="1" applyFill="1" applyBorder="1" applyAlignment="1">
      <alignment horizontal="center" vertical="center" wrapText="1"/>
    </xf>
    <xf numFmtId="0" fontId="13" fillId="52" borderId="11" xfId="0" applyFont="1" applyFill="1" applyBorder="1" applyAlignment="1">
      <alignment horizontal="center" vertical="center" wrapText="1"/>
    </xf>
    <xf numFmtId="0" fontId="13" fillId="54" borderId="11" xfId="0" applyFont="1" applyFill="1" applyBorder="1" applyAlignment="1">
      <alignment horizontal="center" vertical="center" wrapText="1"/>
    </xf>
    <xf numFmtId="0" fontId="13" fillId="53" borderId="11" xfId="0" applyFont="1" applyFill="1" applyBorder="1" applyAlignment="1">
      <alignment horizontal="center" vertical="center" wrapText="1"/>
    </xf>
    <xf numFmtId="0" fontId="13" fillId="55" borderId="11" xfId="0" applyFont="1" applyFill="1" applyBorder="1" applyAlignment="1">
      <alignment horizontal="center" vertical="center" wrapText="1"/>
    </xf>
    <xf numFmtId="0" fontId="13" fillId="56" borderId="11" xfId="0" applyFont="1" applyFill="1" applyBorder="1" applyAlignment="1">
      <alignment horizontal="center" vertical="center" wrapText="1"/>
    </xf>
    <xf numFmtId="0" fontId="19" fillId="47" borderId="11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/>
    </xf>
    <xf numFmtId="0" fontId="14" fillId="45" borderId="12" xfId="0" applyFont="1" applyFill="1" applyBorder="1" applyAlignment="1">
      <alignment horizontal="left" vertical="center" wrapText="1"/>
    </xf>
    <xf numFmtId="0" fontId="31" fillId="57" borderId="9" xfId="0" applyFont="1" applyFill="1" applyBorder="1" applyAlignment="1">
      <alignment horizontal="center" vertical="center" wrapText="1"/>
    </xf>
    <xf numFmtId="0" fontId="32" fillId="58" borderId="9" xfId="0" applyFont="1" applyFill="1" applyBorder="1" applyAlignment="1">
      <alignment horizontal="center" vertical="center" wrapText="1"/>
    </xf>
    <xf numFmtId="0" fontId="33" fillId="59" borderId="13" xfId="0" applyFont="1" applyFill="1" applyBorder="1" applyAlignment="1">
      <alignment horizontal="center" vertical="center" wrapText="1"/>
    </xf>
    <xf numFmtId="0" fontId="33" fillId="60" borderId="13" xfId="0" applyFont="1" applyFill="1" applyBorder="1" applyAlignment="1">
      <alignment horizontal="center" vertical="center" wrapText="1"/>
    </xf>
    <xf numFmtId="0" fontId="31" fillId="57" borderId="13" xfId="0" applyFont="1" applyFill="1" applyBorder="1" applyAlignment="1">
      <alignment horizontal="center" vertical="center" wrapText="1"/>
    </xf>
    <xf numFmtId="0" fontId="32" fillId="58" borderId="13" xfId="0" applyFont="1" applyFill="1" applyBorder="1" applyAlignment="1">
      <alignment horizontal="center" vertical="center" wrapText="1"/>
    </xf>
    <xf numFmtId="0" fontId="13" fillId="54" borderId="12" xfId="0" applyFont="1" applyFill="1" applyBorder="1" applyAlignment="1">
      <alignment horizontal="center" vertical="center" wrapText="1"/>
    </xf>
    <xf numFmtId="0" fontId="13" fillId="53" borderId="12" xfId="0" applyFont="1" applyFill="1" applyBorder="1" applyAlignment="1">
      <alignment horizontal="center" vertical="center" wrapText="1"/>
    </xf>
    <xf numFmtId="0" fontId="10" fillId="54" borderId="12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31" fillId="57" borderId="0" xfId="0" applyFont="1" applyFill="1" applyBorder="1" applyAlignment="1">
      <alignment horizontal="center" vertical="center" wrapText="1"/>
    </xf>
    <xf numFmtId="0" fontId="32" fillId="58" borderId="0" xfId="0" applyFont="1" applyFill="1" applyBorder="1" applyAlignment="1">
      <alignment horizontal="center" vertical="center" wrapText="1"/>
    </xf>
    <xf numFmtId="0" fontId="10" fillId="56" borderId="11" xfId="0" applyFont="1" applyFill="1" applyBorder="1" applyAlignment="1">
      <alignment horizontal="center" vertical="center" wrapText="1"/>
    </xf>
    <xf numFmtId="0" fontId="10" fillId="54" borderId="11" xfId="0" applyFont="1" applyFill="1" applyBorder="1" applyAlignment="1">
      <alignment horizontal="center" vertical="center" wrapText="1"/>
    </xf>
    <xf numFmtId="0" fontId="10" fillId="53" borderId="11" xfId="0" applyFont="1" applyFill="1" applyBorder="1" applyAlignment="1">
      <alignment horizontal="center" vertical="center" wrapText="1"/>
    </xf>
    <xf numFmtId="0" fontId="10" fillId="55" borderId="11" xfId="0" applyFont="1" applyFill="1" applyBorder="1" applyAlignment="1">
      <alignment horizontal="center" vertical="center" wrapText="1"/>
    </xf>
    <xf numFmtId="0" fontId="10" fillId="51" borderId="11" xfId="0" applyFont="1" applyFill="1" applyBorder="1" applyAlignment="1">
      <alignment horizontal="center" vertical="center" wrapText="1"/>
    </xf>
    <xf numFmtId="0" fontId="10" fillId="52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54" borderId="12" xfId="0" applyFont="1" applyFill="1" applyBorder="1" applyAlignment="1">
      <alignment horizontal="center" vertical="center" wrapText="1"/>
    </xf>
    <xf numFmtId="0" fontId="4" fillId="30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30" borderId="13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4" fillId="59" borderId="13" xfId="0" applyFont="1" applyFill="1" applyBorder="1" applyAlignment="1">
      <alignment horizontal="center" vertical="center" wrapText="1"/>
    </xf>
    <xf numFmtId="0" fontId="4" fillId="60" borderId="13" xfId="0" applyFont="1" applyFill="1" applyBorder="1" applyAlignment="1">
      <alignment horizontal="center" vertical="center" wrapText="1"/>
    </xf>
    <xf numFmtId="0" fontId="0" fillId="0" borderId="10" xfId="0"/>
    <xf numFmtId="0" fontId="1" fillId="57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7" fillId="51" borderId="13" xfId="0" applyFont="1" applyFill="1" applyBorder="1" applyAlignment="1">
      <alignment horizontal="center" vertical="center" wrapText="1"/>
    </xf>
    <xf numFmtId="0" fontId="7" fillId="52" borderId="13" xfId="0" applyFont="1" applyFill="1" applyBorder="1" applyAlignment="1">
      <alignment horizontal="center" vertical="center" wrapText="1"/>
    </xf>
    <xf numFmtId="0" fontId="7" fillId="53" borderId="13" xfId="0" applyFont="1" applyFill="1" applyBorder="1" applyAlignment="1">
      <alignment horizontal="center" vertical="center" wrapText="1"/>
    </xf>
    <xf numFmtId="0" fontId="8" fillId="58" borderId="13" xfId="0" applyFont="1" applyFill="1" applyBorder="1" applyAlignment="1">
      <alignment horizontal="center" vertical="center" wrapText="1"/>
    </xf>
    <xf numFmtId="0" fontId="10" fillId="51" borderId="13" xfId="0" applyFont="1" applyFill="1" applyBorder="1" applyAlignment="1">
      <alignment horizontal="center" vertical="center" wrapText="1"/>
    </xf>
    <xf numFmtId="0" fontId="10" fillId="52" borderId="13" xfId="0" applyFont="1" applyFill="1" applyBorder="1" applyAlignment="1">
      <alignment horizontal="center" vertical="center" wrapText="1"/>
    </xf>
    <xf numFmtId="0" fontId="10" fillId="57" borderId="13" xfId="0" applyFont="1" applyFill="1" applyBorder="1" applyAlignment="1">
      <alignment horizontal="center" vertical="center" wrapText="1"/>
    </xf>
    <xf numFmtId="0" fontId="10" fillId="53" borderId="13" xfId="0" applyFont="1" applyFill="1" applyBorder="1" applyAlignment="1">
      <alignment horizontal="center" vertical="center" wrapText="1"/>
    </xf>
    <xf numFmtId="0" fontId="10" fillId="55" borderId="13" xfId="0" applyFont="1" applyFill="1" applyBorder="1" applyAlignment="1">
      <alignment horizontal="center" vertical="center" wrapText="1"/>
    </xf>
    <xf numFmtId="0" fontId="10" fillId="56" borderId="13" xfId="0" applyFont="1" applyFill="1" applyBorder="1" applyAlignment="1">
      <alignment horizontal="center" vertical="center" wrapText="1"/>
    </xf>
    <xf numFmtId="0" fontId="11" fillId="58" borderId="13" xfId="0" applyFont="1" applyFill="1" applyBorder="1" applyAlignment="1">
      <alignment horizontal="center" vertical="center" wrapText="1"/>
    </xf>
    <xf numFmtId="0" fontId="28" fillId="57" borderId="13" xfId="0" applyFont="1" applyFill="1" applyBorder="1" applyAlignment="1">
      <alignment horizontal="center" vertical="center" wrapText="1"/>
    </xf>
    <xf numFmtId="0" fontId="26" fillId="58" borderId="13" xfId="0" applyFont="1" applyFill="1" applyBorder="1" applyAlignment="1">
      <alignment horizontal="center" vertical="center" wrapText="1"/>
    </xf>
    <xf numFmtId="0" fontId="13" fillId="51" borderId="13" xfId="0" applyFont="1" applyFill="1" applyBorder="1" applyAlignment="1">
      <alignment horizontal="center" vertical="center" wrapText="1"/>
    </xf>
    <xf numFmtId="0" fontId="13" fillId="52" borderId="13" xfId="0" applyFont="1" applyFill="1" applyBorder="1" applyAlignment="1">
      <alignment horizontal="center" vertical="center" wrapText="1"/>
    </xf>
    <xf numFmtId="0" fontId="13" fillId="57" borderId="13" xfId="0" applyFont="1" applyFill="1" applyBorder="1" applyAlignment="1">
      <alignment horizontal="center" vertical="center" wrapText="1"/>
    </xf>
    <xf numFmtId="0" fontId="13" fillId="53" borderId="13" xfId="0" applyFont="1" applyFill="1" applyBorder="1" applyAlignment="1">
      <alignment horizontal="center" vertical="center" wrapText="1"/>
    </xf>
    <xf numFmtId="0" fontId="13" fillId="55" borderId="13" xfId="0" applyFont="1" applyFill="1" applyBorder="1" applyAlignment="1">
      <alignment horizontal="center" vertical="center" wrapText="1"/>
    </xf>
    <xf numFmtId="0" fontId="33" fillId="30" borderId="13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0" fillId="30" borderId="13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0" fillId="14" borderId="13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center" wrapText="1"/>
    </xf>
    <xf numFmtId="0" fontId="19" fillId="58" borderId="13" xfId="0" applyFont="1" applyFill="1" applyBorder="1" applyAlignment="1">
      <alignment horizontal="center" vertical="center" wrapText="1"/>
    </xf>
    <xf numFmtId="0" fontId="13" fillId="56" borderId="13" xfId="0" applyFont="1" applyFill="1" applyBorder="1" applyAlignment="1">
      <alignment horizontal="center" vertical="center" wrapText="1"/>
    </xf>
    <xf numFmtId="0" fontId="22" fillId="51" borderId="13" xfId="0" applyFont="1" applyFill="1" applyBorder="1" applyAlignment="1">
      <alignment horizontal="center" vertical="center" wrapText="1"/>
    </xf>
    <xf numFmtId="0" fontId="27" fillId="52" borderId="13" xfId="0" applyFont="1" applyFill="1" applyBorder="1" applyAlignment="1">
      <alignment horizontal="center" vertical="center" wrapText="1"/>
    </xf>
    <xf numFmtId="0" fontId="24" fillId="45" borderId="13" xfId="0" applyFont="1" applyFill="1" applyBorder="1" applyAlignment="1">
      <alignment horizontal="left" vertical="center" wrapText="1"/>
    </xf>
    <xf numFmtId="0" fontId="32" fillId="0" borderId="10" xfId="0" applyFont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</cellXfs>
  <cellStyles count="1">
    <cellStyle name="표준" xfId="0" builtinId="0"/>
  </cellStyles>
  <dxfs count="31">
    <dxf>
      <font>
        <sz val="10"/>
        <color rgb="FF595959"/>
        <name val="맑은 고딕"/>
      </font>
      <fill>
        <patternFill patternType="solid">
          <fgColor rgb="FFF2F2F2"/>
        </patternFill>
      </fill>
    </dxf>
    <dxf>
      <font>
        <b/>
        <sz val="10"/>
        <color rgb="FF9C0006"/>
        <name val="맑은 고딕"/>
      </font>
      <fill>
        <patternFill patternType="solid">
          <fgColor rgb="FFFFC7CE"/>
        </patternFill>
      </fill>
    </dxf>
    <dxf>
      <font>
        <sz val="10"/>
        <color rgb="FF1F4E78"/>
        <name val="맑은 고딕"/>
      </font>
      <fill>
        <patternFill patternType="solid">
          <fgColor rgb="FFDDEBF7"/>
        </patternFill>
      </fill>
    </dxf>
    <dxf>
      <font>
        <sz val="10"/>
        <color rgb="FF1F4E78"/>
        <name val="맑은 고딕"/>
      </font>
      <fill>
        <patternFill patternType="solid">
          <fgColor rgb="FFDDEBF7"/>
        </patternFill>
      </fill>
    </dxf>
    <dxf>
      <font>
        <b/>
        <sz val="10"/>
        <color rgb="FF006100"/>
        <name val="맑은 고딕"/>
      </font>
      <fill>
        <patternFill patternType="solid">
          <fgColor rgb="FFC6EF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color rgb="FF806000"/>
        <name val="맑은 고딕"/>
      </font>
      <fill>
        <patternFill patternType="solid">
          <fgColor rgb="FFFFF2CC"/>
        </patternFill>
      </fill>
    </dxf>
    <dxf>
      <font>
        <b/>
        <sz val="10"/>
        <color rgb="FF1F4E78"/>
        <name val="맑은 고딕"/>
      </font>
      <fill>
        <patternFill patternType="solid">
          <fgColor rgb="FFDEEBF7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0"/>
        <color rgb="FF806000"/>
        <name val="맑은 고딕"/>
      </font>
      <fill>
        <patternFill patternType="solid">
          <fgColor rgb="FFFFF2CC"/>
        </patternFill>
      </fill>
    </dxf>
    <dxf>
      <font>
        <b/>
        <sz val="10"/>
        <color rgb="FF1F4E78"/>
        <name val="맑은 고딕"/>
      </font>
      <fill>
        <patternFill patternType="solid">
          <fgColor rgb="FFDEEBF7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  <dxf>
      <font>
        <b/>
        <sz val="14"/>
        <color rgb="FFC55A11"/>
        <name val="맑은 고딕"/>
      </font>
      <fill>
        <patternFill patternType="solid">
          <fgColor rgb="FFFCE4D6"/>
        </patternFill>
      </fill>
    </dxf>
    <dxf>
      <font>
        <b/>
        <sz val="14"/>
        <color rgb="FF375623"/>
        <name val="맑은 고딕"/>
      </font>
      <fill>
        <patternFill patternType="solid">
          <fgColor rgb="FFE2EFDA"/>
        </patternFill>
      </fill>
    </dxf>
    <dxf>
      <font>
        <b/>
        <sz val="14"/>
        <color rgb="FF1F4E78"/>
        <name val="맑은 고딕"/>
      </font>
      <fill>
        <patternFill patternType="solid">
          <fgColor rgb="FFDEEBF7"/>
        </patternFill>
      </fill>
    </dxf>
    <dxf>
      <font>
        <b/>
        <sz val="10"/>
        <name val="맑은 고딕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67"/>
  <sheetViews>
    <sheetView showGridLines="0" zoomScaleNormal="100" workbookViewId="0"/>
  </sheetViews>
  <sheetFormatPr defaultRowHeight="16.5" x14ac:dyDescent="0.3"/>
  <cols>
    <col min="1" max="1" width="2" customWidth="1"/>
    <col min="2" max="2" width="95" customWidth="1"/>
    <col min="13" max="13" width="16" hidden="1" customWidth="1"/>
    <col min="14" max="15" width="13" hidden="1" customWidth="1"/>
  </cols>
  <sheetData>
    <row r="3" spans="2:14" ht="27.95" customHeight="1" x14ac:dyDescent="0.3">
      <c r="B3" s="30" t="s">
        <v>0</v>
      </c>
    </row>
    <row r="5" spans="2:14" ht="21.95" customHeight="1" x14ac:dyDescent="0.3">
      <c r="B5" s="31" t="s">
        <v>1</v>
      </c>
    </row>
    <row r="6" spans="2:14" ht="18" customHeight="1" x14ac:dyDescent="0.3">
      <c r="B6" s="32" t="s">
        <v>2</v>
      </c>
      <c r="N6">
        <v>6</v>
      </c>
    </row>
    <row r="7" spans="2:14" ht="18" customHeight="1" x14ac:dyDescent="0.3">
      <c r="B7" s="32" t="s">
        <v>3</v>
      </c>
    </row>
    <row r="8" spans="2:14" ht="18" customHeight="1" x14ac:dyDescent="0.3">
      <c r="B8" s="32" t="s">
        <v>4</v>
      </c>
    </row>
    <row r="10" spans="2:14" ht="18" customHeight="1" x14ac:dyDescent="0.3">
      <c r="B10" s="32" t="s">
        <v>5</v>
      </c>
    </row>
    <row r="11" spans="2:14" ht="24" customHeight="1" x14ac:dyDescent="0.3">
      <c r="B11" s="31" t="s">
        <v>6</v>
      </c>
    </row>
    <row r="12" spans="2:14" ht="8.1" customHeight="1" x14ac:dyDescent="0.3">
      <c r="B12" s="32" t="s">
        <v>5</v>
      </c>
    </row>
    <row r="13" spans="2:14" ht="20.100000000000001" customHeight="1" x14ac:dyDescent="0.3">
      <c r="B13" s="33" t="s">
        <v>7</v>
      </c>
    </row>
    <row r="14" spans="2:14" ht="18" customHeight="1" x14ac:dyDescent="0.3">
      <c r="B14" s="32" t="s">
        <v>8</v>
      </c>
    </row>
    <row r="16" spans="2:14" ht="20.100000000000001" customHeight="1" x14ac:dyDescent="0.3">
      <c r="B16" s="33" t="s">
        <v>9</v>
      </c>
    </row>
    <row r="17" spans="2:2" ht="18" customHeight="1" x14ac:dyDescent="0.3">
      <c r="B17" s="32" t="s">
        <v>10</v>
      </c>
    </row>
    <row r="18" spans="2:2" ht="18" customHeight="1" x14ac:dyDescent="0.3">
      <c r="B18" s="32" t="s">
        <v>11</v>
      </c>
    </row>
    <row r="19" spans="2:2" ht="18" customHeight="1" x14ac:dyDescent="0.3">
      <c r="B19" s="32" t="s">
        <v>12</v>
      </c>
    </row>
    <row r="20" spans="2:2" ht="18" customHeight="1" x14ac:dyDescent="0.3">
      <c r="B20" s="32" t="s">
        <v>13</v>
      </c>
    </row>
    <row r="21" spans="2:2" ht="18" customHeight="1" x14ac:dyDescent="0.3">
      <c r="B21" s="32" t="s">
        <v>14</v>
      </c>
    </row>
    <row r="22" spans="2:2" ht="18" customHeight="1" x14ac:dyDescent="0.3">
      <c r="B22" s="32" t="s">
        <v>15</v>
      </c>
    </row>
    <row r="24" spans="2:2" ht="20.100000000000001" customHeight="1" x14ac:dyDescent="0.3">
      <c r="B24" s="33" t="s">
        <v>16</v>
      </c>
    </row>
    <row r="25" spans="2:2" ht="18" customHeight="1" x14ac:dyDescent="0.3">
      <c r="B25" s="34" t="s">
        <v>17</v>
      </c>
    </row>
    <row r="26" spans="2:2" ht="18" customHeight="1" x14ac:dyDescent="0.3">
      <c r="B26" s="34" t="s">
        <v>18</v>
      </c>
    </row>
    <row r="27" spans="2:2" ht="18" customHeight="1" x14ac:dyDescent="0.3">
      <c r="B27" s="34" t="s">
        <v>19</v>
      </c>
    </row>
    <row r="29" spans="2:2" ht="8.1" customHeight="1" x14ac:dyDescent="0.3">
      <c r="B29" s="32" t="s">
        <v>5</v>
      </c>
    </row>
    <row r="30" spans="2:2" ht="24" customHeight="1" x14ac:dyDescent="0.3">
      <c r="B30" s="31" t="s">
        <v>20</v>
      </c>
    </row>
    <row r="31" spans="2:2" ht="8.1" customHeight="1" x14ac:dyDescent="0.3">
      <c r="B31" s="32" t="s">
        <v>5</v>
      </c>
    </row>
    <row r="32" spans="2:2" ht="20.100000000000001" customHeight="1" x14ac:dyDescent="0.3">
      <c r="B32" s="34" t="s">
        <v>21</v>
      </c>
    </row>
    <row r="33" spans="2:2" ht="20.100000000000001" customHeight="1" x14ac:dyDescent="0.3">
      <c r="B33" s="34" t="s">
        <v>22</v>
      </c>
    </row>
    <row r="35" spans="2:2" ht="20.100000000000001" customHeight="1" x14ac:dyDescent="0.3">
      <c r="B35" s="33" t="s">
        <v>23</v>
      </c>
    </row>
    <row r="36" spans="2:2" ht="18" customHeight="1" x14ac:dyDescent="0.3">
      <c r="B36" s="32" t="s">
        <v>24</v>
      </c>
    </row>
    <row r="37" spans="2:2" ht="18" customHeight="1" x14ac:dyDescent="0.3">
      <c r="B37" s="32" t="s">
        <v>25</v>
      </c>
    </row>
    <row r="38" spans="2:2" ht="18" customHeight="1" x14ac:dyDescent="0.3">
      <c r="B38" s="32" t="s">
        <v>26</v>
      </c>
    </row>
    <row r="39" spans="2:2" ht="18" customHeight="1" x14ac:dyDescent="0.3">
      <c r="B39" s="32" t="s">
        <v>27</v>
      </c>
    </row>
    <row r="40" spans="2:2" ht="18" customHeight="1" x14ac:dyDescent="0.3">
      <c r="B40" s="32" t="s">
        <v>28</v>
      </c>
    </row>
    <row r="42" spans="2:2" ht="20.100000000000001" customHeight="1" x14ac:dyDescent="0.3">
      <c r="B42" s="33" t="s">
        <v>29</v>
      </c>
    </row>
    <row r="43" spans="2:2" ht="18" customHeight="1" x14ac:dyDescent="0.3">
      <c r="B43" s="32" t="s">
        <v>30</v>
      </c>
    </row>
    <row r="44" spans="2:2" ht="18" customHeight="1" x14ac:dyDescent="0.3">
      <c r="B44" s="32" t="s">
        <v>31</v>
      </c>
    </row>
    <row r="45" spans="2:2" ht="18" customHeight="1" x14ac:dyDescent="0.3">
      <c r="B45" s="32" t="s">
        <v>32</v>
      </c>
    </row>
    <row r="46" spans="2:2" ht="20.100000000000001" customHeight="1" x14ac:dyDescent="0.3">
      <c r="B46" s="35" t="s">
        <v>33</v>
      </c>
    </row>
    <row r="48" spans="2:2" ht="20.100000000000001" customHeight="1" x14ac:dyDescent="0.3">
      <c r="B48" s="33" t="s">
        <v>34</v>
      </c>
    </row>
    <row r="49" spans="2:2" ht="18" customHeight="1" x14ac:dyDescent="0.3">
      <c r="B49" s="32" t="s">
        <v>35</v>
      </c>
    </row>
    <row r="50" spans="2:2" ht="18" customHeight="1" x14ac:dyDescent="0.3">
      <c r="B50" s="32" t="s">
        <v>36</v>
      </c>
    </row>
    <row r="52" spans="2:2" ht="8.1" customHeight="1" x14ac:dyDescent="0.3">
      <c r="B52" s="32" t="s">
        <v>5</v>
      </c>
    </row>
    <row r="53" spans="2:2" ht="24" customHeight="1" x14ac:dyDescent="0.3">
      <c r="B53" s="31" t="s">
        <v>37</v>
      </c>
    </row>
    <row r="54" spans="2:2" ht="8.1" customHeight="1" x14ac:dyDescent="0.3">
      <c r="B54" s="32" t="s">
        <v>5</v>
      </c>
    </row>
    <row r="55" spans="2:2" ht="20.100000000000001" customHeight="1" x14ac:dyDescent="0.3">
      <c r="B55" s="33" t="s">
        <v>38</v>
      </c>
    </row>
    <row r="56" spans="2:2" ht="18" customHeight="1" x14ac:dyDescent="0.3">
      <c r="B56" s="32" t="s">
        <v>39</v>
      </c>
    </row>
    <row r="57" spans="2:2" ht="18" customHeight="1" x14ac:dyDescent="0.3">
      <c r="B57" s="32" t="s">
        <v>40</v>
      </c>
    </row>
    <row r="59" spans="2:2" ht="20.100000000000001" customHeight="1" x14ac:dyDescent="0.3">
      <c r="B59" s="33" t="s">
        <v>41</v>
      </c>
    </row>
    <row r="60" spans="2:2" ht="18" customHeight="1" x14ac:dyDescent="0.3">
      <c r="B60" s="32" t="s">
        <v>42</v>
      </c>
    </row>
    <row r="61" spans="2:2" ht="18" customHeight="1" x14ac:dyDescent="0.3">
      <c r="B61" s="32" t="s">
        <v>43</v>
      </c>
    </row>
    <row r="62" spans="2:2" ht="18" customHeight="1" x14ac:dyDescent="0.3">
      <c r="B62" s="32" t="s">
        <v>44</v>
      </c>
    </row>
    <row r="64" spans="2:2" ht="8.1" customHeight="1" x14ac:dyDescent="0.3">
      <c r="B64" s="32" t="s">
        <v>5</v>
      </c>
    </row>
    <row r="65" spans="2:2" ht="20.100000000000001" customHeight="1" x14ac:dyDescent="0.3">
      <c r="B65" s="33" t="s">
        <v>45</v>
      </c>
    </row>
    <row r="66" spans="2:2" ht="18" customHeight="1" x14ac:dyDescent="0.3">
      <c r="B66" s="32" t="s">
        <v>46</v>
      </c>
    </row>
    <row r="67" spans="2:2" ht="18" customHeight="1" x14ac:dyDescent="0.3">
      <c r="B67" s="34" t="s">
        <v>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zoomScale="70" zoomScaleNormal="70" workbookViewId="0">
      <pane ySplit="1" topLeftCell="A2" activePane="bottomLeft" state="frozen"/>
      <selection pane="bottomLeft" activeCell="D3" sqref="D3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28" t="s">
        <v>67</v>
      </c>
      <c r="B2" s="28" t="s">
        <v>68</v>
      </c>
      <c r="C2" s="23"/>
      <c r="D2" s="23" t="s">
        <v>69</v>
      </c>
      <c r="E2" s="23" t="s">
        <v>70</v>
      </c>
      <c r="F2" s="24" t="s">
        <v>71</v>
      </c>
      <c r="G2" s="25"/>
      <c r="H2" s="26"/>
      <c r="I2" s="27" t="str">
        <f>IFERROR(IF(OR($F2="O",$G2="O",$H2="O"),CHOOSE(MATCH($A2,{"튜브","고압","진공","튜닝","조립","출하"},0),"T","H","V","N","A","P")&amp;IF($F2="O","R",IF($G2="O","A",IF($H2="O","F",""))),""),"")</f>
        <v>TR</v>
      </c>
      <c r="J2" s="15"/>
      <c r="K2" s="16"/>
      <c r="L2" s="17"/>
      <c r="M2" s="18" t="s">
        <v>71</v>
      </c>
      <c r="N2" s="19"/>
      <c r="O2" s="20"/>
      <c r="P2" s="21" t="str">
        <f t="shared" ref="P2:P20" si="0">IF($I2="","",IF($J2="O","3","")&amp;IF($K2="O","4","")&amp;IF($L2="O","6","")&amp;IF($M2="O","7","")&amp;IF($N2="O","8","")&amp;IF($O2="O","?","")&amp;IF(OR($J2="O",$K2="O",$L2="O",$M2="O",$N2="O",$O2="O"),"-","")&amp;$I2)</f>
        <v>7-TR</v>
      </c>
      <c r="Q2" s="108" t="str">
        <f>HYPERLINK("#'마스터_품목'!A2","→ 마스터 R2")</f>
        <v>→ 마스터 R2</v>
      </c>
      <c r="R2" s="109">
        <v>2</v>
      </c>
      <c r="S2" s="109" t="s">
        <v>72</v>
      </c>
    </row>
    <row r="3" spans="1:19" ht="48" customHeight="1" x14ac:dyDescent="0.3">
      <c r="A3" s="28" t="s">
        <v>67</v>
      </c>
      <c r="B3" s="28" t="s">
        <v>68</v>
      </c>
      <c r="C3" s="23"/>
      <c r="D3" s="23" t="s">
        <v>73</v>
      </c>
      <c r="E3" s="23" t="s">
        <v>74</v>
      </c>
      <c r="F3" s="24" t="s">
        <v>71</v>
      </c>
      <c r="G3" s="25"/>
      <c r="H3" s="26"/>
      <c r="I3" s="27" t="str">
        <f>IFERROR(IF(OR($F3="O",$G3="O",$H3="O"),CHOOSE(MATCH($A3,{"튜브","고압","진공","튜닝","조립","출하"},0),"T","H","V","N","A","P")&amp;IF($F3="O","R",IF($G3="O","A",IF($H3="O","F",""))),""),"")</f>
        <v>TR</v>
      </c>
      <c r="J3" s="15"/>
      <c r="K3" s="16"/>
      <c r="L3" s="17"/>
      <c r="M3" s="18" t="s">
        <v>71</v>
      </c>
      <c r="N3" s="19"/>
      <c r="O3" s="20"/>
      <c r="P3" s="21" t="str">
        <f t="shared" si="0"/>
        <v>7-TR</v>
      </c>
      <c r="Q3" s="108" t="str">
        <f>HYPERLINK("#'마스터_품목'!A3","→ 마스터 R3")</f>
        <v>→ 마스터 R3</v>
      </c>
      <c r="R3" s="109">
        <v>3</v>
      </c>
      <c r="S3" s="109" t="s">
        <v>72</v>
      </c>
    </row>
    <row r="4" spans="1:19" ht="48" customHeight="1" x14ac:dyDescent="0.3">
      <c r="A4" s="28" t="s">
        <v>67</v>
      </c>
      <c r="B4" s="28" t="s">
        <v>68</v>
      </c>
      <c r="C4" s="23"/>
      <c r="D4" s="23" t="s">
        <v>75</v>
      </c>
      <c r="E4" s="23" t="s">
        <v>76</v>
      </c>
      <c r="F4" s="24" t="s">
        <v>71</v>
      </c>
      <c r="G4" s="25"/>
      <c r="H4" s="26"/>
      <c r="I4" s="27" t="str">
        <f>IFERROR(IF(OR($F4="O",$G4="O",$H4="O"),CHOOSE(MATCH($A4,{"튜브","고압","진공","튜닝","조립","출하"},0),"T","H","V","N","A","P")&amp;IF($F4="O","R",IF($G4="O","A",IF($H4="O","F",""))),""),"")</f>
        <v>TR</v>
      </c>
      <c r="J4" s="15"/>
      <c r="K4" s="16"/>
      <c r="L4" s="17"/>
      <c r="M4" s="18" t="s">
        <v>71</v>
      </c>
      <c r="N4" s="19"/>
      <c r="O4" s="20"/>
      <c r="P4" s="21" t="str">
        <f t="shared" si="0"/>
        <v>7-TR</v>
      </c>
      <c r="Q4" s="108" t="str">
        <f>HYPERLINK("#'마스터_품목'!A4","→ 마스터 R4")</f>
        <v>→ 마스터 R4</v>
      </c>
      <c r="R4" s="109">
        <v>4</v>
      </c>
      <c r="S4" s="109" t="s">
        <v>72</v>
      </c>
    </row>
    <row r="5" spans="1:19" ht="48" customHeight="1" x14ac:dyDescent="0.3">
      <c r="A5" s="28" t="s">
        <v>67</v>
      </c>
      <c r="B5" s="28" t="s">
        <v>68</v>
      </c>
      <c r="C5" s="23"/>
      <c r="D5" s="23" t="s">
        <v>77</v>
      </c>
      <c r="E5" s="23" t="s">
        <v>78</v>
      </c>
      <c r="F5" s="24" t="s">
        <v>71</v>
      </c>
      <c r="G5" s="25"/>
      <c r="H5" s="26"/>
      <c r="I5" s="27" t="str">
        <f>IFERROR(IF(OR($F5="O",$G5="O",$H5="O"),CHOOSE(MATCH($A5,{"튜브","고압","진공","튜닝","조립","출하"},0),"T","H","V","N","A","P")&amp;IF($F5="O","R",IF($G5="O","A",IF($H5="O","F",""))),""),"")</f>
        <v>TR</v>
      </c>
      <c r="J5" s="15"/>
      <c r="K5" s="16"/>
      <c r="L5" s="17"/>
      <c r="M5" s="18" t="s">
        <v>71</v>
      </c>
      <c r="N5" s="19"/>
      <c r="O5" s="20"/>
      <c r="P5" s="21" t="str">
        <f t="shared" si="0"/>
        <v>7-TR</v>
      </c>
      <c r="Q5" s="108" t="str">
        <f>HYPERLINK("#'마스터_품목'!A5","→ 마스터 R5")</f>
        <v>→ 마스터 R5</v>
      </c>
      <c r="R5" s="109">
        <v>5</v>
      </c>
      <c r="S5" s="109" t="s">
        <v>72</v>
      </c>
    </row>
    <row r="6" spans="1:19" ht="48" customHeight="1" x14ac:dyDescent="0.3">
      <c r="A6" s="28" t="s">
        <v>67</v>
      </c>
      <c r="B6" s="28" t="s">
        <v>79</v>
      </c>
      <c r="C6" s="23"/>
      <c r="D6" s="23" t="s">
        <v>80</v>
      </c>
      <c r="E6" s="23" t="s">
        <v>81</v>
      </c>
      <c r="F6" s="24" t="s">
        <v>71</v>
      </c>
      <c r="G6" s="25"/>
      <c r="H6" s="26"/>
      <c r="I6" s="27" t="str">
        <f>IFERROR(IF(OR($F6="O",$G6="O",$H6="O"),CHOOSE(MATCH($A6,{"튜브","고압","진공","튜닝","조립","출하"},0),"T","H","V","N","A","P")&amp;IF($F6="O","R",IF($G6="O","A",IF($H6="O","F",""))),""),"")</f>
        <v>TR</v>
      </c>
      <c r="J6" s="15"/>
      <c r="K6" s="16"/>
      <c r="L6" s="17"/>
      <c r="M6" s="18" t="s">
        <v>71</v>
      </c>
      <c r="N6" s="19"/>
      <c r="O6" s="20"/>
      <c r="P6" s="21" t="str">
        <f t="shared" si="0"/>
        <v>7-TR</v>
      </c>
      <c r="Q6" s="108" t="str">
        <f>HYPERLINK("#'마스터_품목'!A6","→ 마스터 R6")</f>
        <v>→ 마스터 R6</v>
      </c>
      <c r="R6" s="109">
        <v>6</v>
      </c>
      <c r="S6" s="109" t="s">
        <v>72</v>
      </c>
    </row>
    <row r="7" spans="1:19" ht="48" customHeight="1" x14ac:dyDescent="0.3">
      <c r="A7" s="28" t="s">
        <v>67</v>
      </c>
      <c r="B7" s="28" t="s">
        <v>79</v>
      </c>
      <c r="C7" s="23"/>
      <c r="D7" s="23" t="s">
        <v>82</v>
      </c>
      <c r="E7" s="23" t="s">
        <v>83</v>
      </c>
      <c r="F7" s="24" t="s">
        <v>71</v>
      </c>
      <c r="G7" s="25"/>
      <c r="H7" s="26"/>
      <c r="I7" s="27" t="str">
        <f>IFERROR(IF(OR($F7="O",$G7="O",$H7="O"),CHOOSE(MATCH($A7,{"튜브","고압","진공","튜닝","조립","출하"},0),"T","H","V","N","A","P")&amp;IF($F7="O","R",IF($G7="O","A",IF($H7="O","F",""))),""),"")</f>
        <v>TR</v>
      </c>
      <c r="J7" s="15"/>
      <c r="K7" s="16"/>
      <c r="L7" s="17"/>
      <c r="M7" s="18" t="s">
        <v>71</v>
      </c>
      <c r="N7" s="19"/>
      <c r="O7" s="20"/>
      <c r="P7" s="21" t="str">
        <f t="shared" si="0"/>
        <v>7-TR</v>
      </c>
      <c r="Q7" s="108" t="str">
        <f>HYPERLINK("#'마스터_품목'!A7","→ 마스터 R7")</f>
        <v>→ 마스터 R7</v>
      </c>
      <c r="R7" s="109">
        <v>7</v>
      </c>
      <c r="S7" s="109" t="s">
        <v>72</v>
      </c>
    </row>
    <row r="8" spans="1:19" ht="48" customHeight="1" x14ac:dyDescent="0.3">
      <c r="A8" s="28" t="s">
        <v>67</v>
      </c>
      <c r="B8" s="28" t="s">
        <v>79</v>
      </c>
      <c r="C8" s="23"/>
      <c r="D8" s="23" t="s">
        <v>84</v>
      </c>
      <c r="E8" s="23" t="s">
        <v>85</v>
      </c>
      <c r="F8" s="24" t="s">
        <v>71</v>
      </c>
      <c r="G8" s="25"/>
      <c r="H8" s="26"/>
      <c r="I8" s="27" t="str">
        <f>IFERROR(IF(OR($F8="O",$G8="O",$H8="O"),CHOOSE(MATCH($A8,{"튜브","고압","진공","튜닝","조립","출하"},0),"T","H","V","N","A","P")&amp;IF($F8="O","R",IF($G8="O","A",IF($H8="O","F",""))),""),"")</f>
        <v>TR</v>
      </c>
      <c r="J8" s="15"/>
      <c r="K8" s="16"/>
      <c r="L8" s="17"/>
      <c r="M8" s="18" t="s">
        <v>71</v>
      </c>
      <c r="N8" s="19"/>
      <c r="O8" s="20"/>
      <c r="P8" s="21" t="str">
        <f t="shared" si="0"/>
        <v>7-TR</v>
      </c>
      <c r="Q8" s="108" t="str">
        <f>HYPERLINK("#'마스터_품목'!A8","→ 마스터 R8")</f>
        <v>→ 마스터 R8</v>
      </c>
      <c r="R8" s="109">
        <v>8</v>
      </c>
      <c r="S8" s="109" t="s">
        <v>72</v>
      </c>
    </row>
    <row r="9" spans="1:19" ht="48" customHeight="1" x14ac:dyDescent="0.3">
      <c r="A9" s="28" t="s">
        <v>67</v>
      </c>
      <c r="B9" s="28" t="s">
        <v>79</v>
      </c>
      <c r="C9" s="23"/>
      <c r="D9" s="23" t="s">
        <v>86</v>
      </c>
      <c r="E9" s="23" t="s">
        <v>87</v>
      </c>
      <c r="F9" s="24" t="s">
        <v>71</v>
      </c>
      <c r="G9" s="25"/>
      <c r="H9" s="26"/>
      <c r="I9" s="27" t="str">
        <f>IFERROR(IF(OR($F9="O",$G9="O",$H9="O"),CHOOSE(MATCH($A9,{"튜브","고압","진공","튜닝","조립","출하"},0),"T","H","V","N","A","P")&amp;IF($F9="O","R",IF($G9="O","A",IF($H9="O","F",""))),""),"")</f>
        <v>TR</v>
      </c>
      <c r="J9" s="15"/>
      <c r="K9" s="16"/>
      <c r="L9" s="17"/>
      <c r="M9" s="18" t="s">
        <v>71</v>
      </c>
      <c r="N9" s="19"/>
      <c r="O9" s="20"/>
      <c r="P9" s="21" t="str">
        <f t="shared" si="0"/>
        <v>7-TR</v>
      </c>
      <c r="Q9" s="108" t="str">
        <f>HYPERLINK("#'마스터_품목'!A9","→ 마스터 R9")</f>
        <v>→ 마스터 R9</v>
      </c>
      <c r="R9" s="109">
        <v>9</v>
      </c>
      <c r="S9" s="109" t="s">
        <v>72</v>
      </c>
    </row>
    <row r="10" spans="1:19" ht="48" customHeight="1" x14ac:dyDescent="0.3">
      <c r="A10" s="28" t="s">
        <v>67</v>
      </c>
      <c r="B10" s="28" t="s">
        <v>79</v>
      </c>
      <c r="C10" s="23"/>
      <c r="D10" s="23" t="s">
        <v>88</v>
      </c>
      <c r="E10" s="23" t="s">
        <v>89</v>
      </c>
      <c r="F10" s="24" t="s">
        <v>71</v>
      </c>
      <c r="G10" s="25"/>
      <c r="H10" s="26"/>
      <c r="I10" s="27" t="str">
        <f>IFERROR(IF(OR($F10="O",$G10="O",$H10="O"),CHOOSE(MATCH($A10,{"튜브","고압","진공","튜닝","조립","출하"},0),"T","H","V","N","A","P")&amp;IF($F10="O","R",IF($G10="O","A",IF($H10="O","F",""))),""),"")</f>
        <v>TR</v>
      </c>
      <c r="J10" s="15"/>
      <c r="K10" s="16"/>
      <c r="L10" s="17"/>
      <c r="M10" s="18" t="s">
        <v>71</v>
      </c>
      <c r="N10" s="19"/>
      <c r="O10" s="20"/>
      <c r="P10" s="21" t="str">
        <f t="shared" si="0"/>
        <v>7-TR</v>
      </c>
      <c r="Q10" s="108" t="str">
        <f>HYPERLINK("#'마스터_품목'!A10","→ 마스터 R10")</f>
        <v>→ 마스터 R10</v>
      </c>
      <c r="R10" s="109">
        <v>10</v>
      </c>
      <c r="S10" s="109" t="s">
        <v>72</v>
      </c>
    </row>
    <row r="11" spans="1:19" ht="48" customHeight="1" x14ac:dyDescent="0.3">
      <c r="A11" s="28" t="s">
        <v>67</v>
      </c>
      <c r="B11" s="28" t="s">
        <v>79</v>
      </c>
      <c r="C11" s="23"/>
      <c r="D11" s="23" t="s">
        <v>90</v>
      </c>
      <c r="E11" s="23" t="s">
        <v>91</v>
      </c>
      <c r="F11" s="24" t="s">
        <v>71</v>
      </c>
      <c r="G11" s="25"/>
      <c r="H11" s="26"/>
      <c r="I11" s="27" t="str">
        <f>IFERROR(IF(OR($F11="O",$G11="O",$H11="O"),CHOOSE(MATCH($A11,{"튜브","고압","진공","튜닝","조립","출하"},0),"T","H","V","N","A","P")&amp;IF($F11="O","R",IF($G11="O","A",IF($H11="O","F",""))),""),"")</f>
        <v>TR</v>
      </c>
      <c r="J11" s="15"/>
      <c r="K11" s="16"/>
      <c r="L11" s="17"/>
      <c r="M11" s="18" t="s">
        <v>71</v>
      </c>
      <c r="N11" s="19"/>
      <c r="O11" s="20"/>
      <c r="P11" s="21" t="str">
        <f t="shared" si="0"/>
        <v>7-TR</v>
      </c>
      <c r="Q11" s="108" t="str">
        <f>HYPERLINK("#'마스터_품목'!A11","→ 마스터 R11")</f>
        <v>→ 마스터 R11</v>
      </c>
      <c r="R11" s="109">
        <v>11</v>
      </c>
      <c r="S11" s="109" t="s">
        <v>72</v>
      </c>
    </row>
    <row r="12" spans="1:19" ht="48" customHeight="1" x14ac:dyDescent="0.3">
      <c r="A12" s="28" t="s">
        <v>67</v>
      </c>
      <c r="B12" s="28" t="s">
        <v>92</v>
      </c>
      <c r="C12" s="23"/>
      <c r="D12" s="23" t="s">
        <v>93</v>
      </c>
      <c r="E12" s="23" t="s">
        <v>94</v>
      </c>
      <c r="F12" s="24" t="s">
        <v>71</v>
      </c>
      <c r="G12" s="25"/>
      <c r="H12" s="26"/>
      <c r="I12" s="27" t="str">
        <f>IFERROR(IF(OR($F12="O",$G12="O",$H12="O"),CHOOSE(MATCH($A12,{"튜브","고압","진공","튜닝","조립","출하"},0),"T","H","V","N","A","P")&amp;IF($F12="O","R",IF($G12="O","A",IF($H12="O","F",""))),""),"")</f>
        <v>TR</v>
      </c>
      <c r="J12" s="15"/>
      <c r="K12" s="16"/>
      <c r="L12" s="17"/>
      <c r="M12" s="18"/>
      <c r="N12" s="19"/>
      <c r="O12" s="20" t="s">
        <v>71</v>
      </c>
      <c r="P12" s="21" t="str">
        <f t="shared" si="0"/>
        <v>?-TR</v>
      </c>
      <c r="Q12" s="108" t="str">
        <f>HYPERLINK("#'마스터_품목'!A12","→ 마스터 R12")</f>
        <v>→ 마스터 R12</v>
      </c>
      <c r="R12" s="109">
        <v>12</v>
      </c>
      <c r="S12" s="109" t="s">
        <v>72</v>
      </c>
    </row>
    <row r="13" spans="1:19" ht="48" customHeight="1" x14ac:dyDescent="0.3">
      <c r="A13" s="28" t="s">
        <v>67</v>
      </c>
      <c r="B13" s="28" t="s">
        <v>92</v>
      </c>
      <c r="C13" s="23"/>
      <c r="D13" s="23" t="s">
        <v>95</v>
      </c>
      <c r="E13" s="23" t="s">
        <v>96</v>
      </c>
      <c r="F13" s="24" t="s">
        <v>71</v>
      </c>
      <c r="G13" s="25"/>
      <c r="H13" s="26"/>
      <c r="I13" s="27" t="str">
        <f>IFERROR(IF(OR($F13="O",$G13="O",$H13="O"),CHOOSE(MATCH($A13,{"튜브","고압","진공","튜닝","조립","출하"},0),"T","H","V","N","A","P")&amp;IF($F13="O","R",IF($G13="O","A",IF($H13="O","F",""))),""),"")</f>
        <v>TR</v>
      </c>
      <c r="J13" s="15"/>
      <c r="K13" s="16"/>
      <c r="L13" s="17"/>
      <c r="M13" s="18"/>
      <c r="N13" s="19"/>
      <c r="O13" s="20" t="s">
        <v>71</v>
      </c>
      <c r="P13" s="21" t="str">
        <f t="shared" si="0"/>
        <v>?-TR</v>
      </c>
      <c r="Q13" s="108" t="str">
        <f>HYPERLINK("#'마스터_품목'!A13","→ 마스터 R13")</f>
        <v>→ 마스터 R13</v>
      </c>
      <c r="R13" s="109">
        <v>13</v>
      </c>
      <c r="S13" s="109" t="s">
        <v>72</v>
      </c>
    </row>
    <row r="14" spans="1:19" ht="48" customHeight="1" x14ac:dyDescent="0.3">
      <c r="A14" s="28" t="s">
        <v>67</v>
      </c>
      <c r="B14" s="28" t="s">
        <v>92</v>
      </c>
      <c r="C14" s="23"/>
      <c r="D14" s="23" t="s">
        <v>97</v>
      </c>
      <c r="E14" s="23" t="s">
        <v>98</v>
      </c>
      <c r="F14" s="24" t="s">
        <v>71</v>
      </c>
      <c r="G14" s="25"/>
      <c r="H14" s="26"/>
      <c r="I14" s="27" t="str">
        <f>IFERROR(IF(OR($F14="O",$G14="O",$H14="O"),CHOOSE(MATCH($A14,{"튜브","고압","진공","튜닝","조립","출하"},0),"T","H","V","N","A","P")&amp;IF($F14="O","R",IF($G14="O","A",IF($H14="O","F",""))),""),"")</f>
        <v>TR</v>
      </c>
      <c r="J14" s="15"/>
      <c r="K14" s="16"/>
      <c r="L14" s="17"/>
      <c r="M14" s="18"/>
      <c r="N14" s="19"/>
      <c r="O14" s="20" t="s">
        <v>71</v>
      </c>
      <c r="P14" s="21" t="str">
        <f t="shared" si="0"/>
        <v>?-TR</v>
      </c>
      <c r="Q14" s="108" t="str">
        <f>HYPERLINK("#'마스터_품목'!A14","→ 마스터 R14")</f>
        <v>→ 마스터 R14</v>
      </c>
      <c r="R14" s="109">
        <v>14</v>
      </c>
      <c r="S14" s="109" t="s">
        <v>72</v>
      </c>
    </row>
    <row r="15" spans="1:19" ht="48" customHeight="1" x14ac:dyDescent="0.3">
      <c r="A15" s="28" t="s">
        <v>67</v>
      </c>
      <c r="B15" s="28" t="s">
        <v>92</v>
      </c>
      <c r="C15" s="23"/>
      <c r="D15" s="23" t="s">
        <v>99</v>
      </c>
      <c r="E15" s="23" t="s">
        <v>100</v>
      </c>
      <c r="F15" s="24" t="s">
        <v>71</v>
      </c>
      <c r="G15" s="25"/>
      <c r="H15" s="26"/>
      <c r="I15" s="27" t="str">
        <f>IFERROR(IF(OR($F15="O",$G15="O",$H15="O"),CHOOSE(MATCH($A15,{"튜브","고압","진공","튜닝","조립","출하"},0),"T","H","V","N","A","P")&amp;IF($F15="O","R",IF($G15="O","A",IF($H15="O","F",""))),""),"")</f>
        <v>TR</v>
      </c>
      <c r="J15" s="15"/>
      <c r="K15" s="16"/>
      <c r="L15" s="17"/>
      <c r="M15" s="18"/>
      <c r="N15" s="19"/>
      <c r="O15" s="20" t="s">
        <v>71</v>
      </c>
      <c r="P15" s="21" t="str">
        <f t="shared" si="0"/>
        <v>?-TR</v>
      </c>
      <c r="Q15" s="108" t="str">
        <f>HYPERLINK("#'마스터_품목'!A15","→ 마스터 R15")</f>
        <v>→ 마스터 R15</v>
      </c>
      <c r="R15" s="109">
        <v>15</v>
      </c>
      <c r="S15" s="109" t="s">
        <v>72</v>
      </c>
    </row>
    <row r="16" spans="1:19" ht="48" customHeight="1" x14ac:dyDescent="0.3">
      <c r="A16" s="28" t="s">
        <v>67</v>
      </c>
      <c r="B16" s="28" t="s">
        <v>92</v>
      </c>
      <c r="C16" s="23"/>
      <c r="D16" s="23" t="s">
        <v>101</v>
      </c>
      <c r="E16" s="23" t="s">
        <v>102</v>
      </c>
      <c r="F16" s="24" t="s">
        <v>71</v>
      </c>
      <c r="G16" s="25"/>
      <c r="H16" s="26"/>
      <c r="I16" s="27" t="str">
        <f>IFERROR(IF(OR($F16="O",$G16="O",$H16="O"),CHOOSE(MATCH($A16,{"튜브","고압","진공","튜닝","조립","출하"},0),"T","H","V","N","A","P")&amp;IF($F16="O","R",IF($G16="O","A",IF($H16="O","F",""))),""),"")</f>
        <v>TR</v>
      </c>
      <c r="J16" s="15"/>
      <c r="K16" s="16"/>
      <c r="L16" s="17"/>
      <c r="M16" s="18"/>
      <c r="N16" s="19"/>
      <c r="O16" s="20" t="s">
        <v>71</v>
      </c>
      <c r="P16" s="21" t="str">
        <f t="shared" si="0"/>
        <v>?-TR</v>
      </c>
      <c r="Q16" s="108" t="str">
        <f>HYPERLINK("#'마스터_품목'!A16","→ 마스터 R16")</f>
        <v>→ 마스터 R16</v>
      </c>
      <c r="R16" s="109">
        <v>16</v>
      </c>
      <c r="S16" s="109" t="s">
        <v>72</v>
      </c>
    </row>
    <row r="17" spans="1:19" ht="48" customHeight="1" x14ac:dyDescent="0.3">
      <c r="A17" s="28" t="s">
        <v>67</v>
      </c>
      <c r="B17" s="28" t="s">
        <v>92</v>
      </c>
      <c r="C17" s="23"/>
      <c r="D17" s="23" t="s">
        <v>103</v>
      </c>
      <c r="E17" s="23" t="s">
        <v>104</v>
      </c>
      <c r="F17" s="24" t="s">
        <v>71</v>
      </c>
      <c r="G17" s="25"/>
      <c r="H17" s="26"/>
      <c r="I17" s="27" t="str">
        <f>IFERROR(IF(OR($F17="O",$G17="O",$H17="O"),CHOOSE(MATCH($A17,{"튜브","고압","진공","튜닝","조립","출하"},0),"T","H","V","N","A","P")&amp;IF($F17="O","R",IF($G17="O","A",IF($H17="O","F",""))),""),"")</f>
        <v>TR</v>
      </c>
      <c r="J17" s="15"/>
      <c r="K17" s="16"/>
      <c r="L17" s="17"/>
      <c r="M17" s="18"/>
      <c r="N17" s="19"/>
      <c r="O17" s="20" t="s">
        <v>71</v>
      </c>
      <c r="P17" s="21" t="str">
        <f t="shared" si="0"/>
        <v>?-TR</v>
      </c>
      <c r="Q17" s="108" t="str">
        <f>HYPERLINK("#'마스터_품목'!A17","→ 마스터 R17")</f>
        <v>→ 마스터 R17</v>
      </c>
      <c r="R17" s="109">
        <v>17</v>
      </c>
      <c r="S17" s="109" t="s">
        <v>72</v>
      </c>
    </row>
    <row r="18" spans="1:19" ht="48" customHeight="1" x14ac:dyDescent="0.3">
      <c r="A18" s="28" t="s">
        <v>67</v>
      </c>
      <c r="B18" s="28" t="s">
        <v>92</v>
      </c>
      <c r="C18" s="23"/>
      <c r="D18" s="23" t="s">
        <v>105</v>
      </c>
      <c r="E18" s="23" t="s">
        <v>106</v>
      </c>
      <c r="F18" s="24" t="s">
        <v>71</v>
      </c>
      <c r="G18" s="25"/>
      <c r="H18" s="26"/>
      <c r="I18" s="27" t="str">
        <f>IFERROR(IF(OR($F18="O",$G18="O",$H18="O"),CHOOSE(MATCH($A18,{"튜브","고압","진공","튜닝","조립","출하"},0),"T","H","V","N","A","P")&amp;IF($F18="O","R",IF($G18="O","A",IF($H18="O","F",""))),""),"")</f>
        <v>TR</v>
      </c>
      <c r="J18" s="15"/>
      <c r="K18" s="16"/>
      <c r="L18" s="17"/>
      <c r="M18" s="18"/>
      <c r="N18" s="19"/>
      <c r="O18" s="20" t="s">
        <v>71</v>
      </c>
      <c r="P18" s="21" t="str">
        <f t="shared" si="0"/>
        <v>?-TR</v>
      </c>
      <c r="Q18" s="108" t="str">
        <f>HYPERLINK("#'마스터_품목'!A18","→ 마스터 R18")</f>
        <v>→ 마스터 R18</v>
      </c>
      <c r="R18" s="109">
        <v>18</v>
      </c>
      <c r="S18" s="109" t="s">
        <v>72</v>
      </c>
    </row>
    <row r="19" spans="1:19" ht="48" customHeight="1" x14ac:dyDescent="0.3">
      <c r="A19" s="28" t="s">
        <v>67</v>
      </c>
      <c r="B19" s="28" t="s">
        <v>107</v>
      </c>
      <c r="C19" s="23"/>
      <c r="D19" s="23" t="s">
        <v>108</v>
      </c>
      <c r="E19" s="23"/>
      <c r="F19" s="24"/>
      <c r="G19" s="25"/>
      <c r="H19" s="26" t="s">
        <v>71</v>
      </c>
      <c r="I19" s="27" t="str">
        <f>IFERROR(IF(OR($F19="O",$G19="O",$H19="O"),CHOOSE(MATCH($A19,{"튜브","고압","진공","튜닝","조립","출하"},0),"T","H","V","N","A","P")&amp;IF($F19="O","R",IF($G19="O","A",IF($H19="O","F",""))),""),"")</f>
        <v>TF</v>
      </c>
      <c r="J19" s="15"/>
      <c r="K19" s="16"/>
      <c r="L19" s="17"/>
      <c r="M19" s="18" t="s">
        <v>71</v>
      </c>
      <c r="N19" s="19"/>
      <c r="O19" s="20"/>
      <c r="P19" s="21" t="str">
        <f t="shared" si="0"/>
        <v>7-TF</v>
      </c>
      <c r="Q19" s="108" t="str">
        <f>HYPERLINK("#'마스터_품목'!A19","→ 마스터 R19")</f>
        <v>→ 마스터 R19</v>
      </c>
      <c r="R19" s="109">
        <v>19</v>
      </c>
      <c r="S19" s="109" t="s">
        <v>72</v>
      </c>
    </row>
    <row r="20" spans="1:19" ht="48" customHeight="1" x14ac:dyDescent="0.3">
      <c r="A20" s="28" t="s">
        <v>67</v>
      </c>
      <c r="B20" s="28" t="s">
        <v>107</v>
      </c>
      <c r="C20" s="23"/>
      <c r="D20" s="23" t="s">
        <v>109</v>
      </c>
      <c r="E20" s="23"/>
      <c r="F20" s="24"/>
      <c r="G20" s="25"/>
      <c r="H20" s="26" t="s">
        <v>71</v>
      </c>
      <c r="I20" s="27" t="str">
        <f>IFERROR(IF(OR($F20="O",$G20="O",$H20="O"),CHOOSE(MATCH($A20,{"튜브","고압","진공","튜닝","조립","출하"},0),"T","H","V","N","A","P")&amp;IF($F20="O","R",IF($G20="O","A",IF($H20="O","F",""))),""),"")</f>
        <v>TF</v>
      </c>
      <c r="J20" s="15"/>
      <c r="K20" s="16"/>
      <c r="L20" s="17"/>
      <c r="M20" s="18"/>
      <c r="N20" s="19"/>
      <c r="O20" s="20" t="s">
        <v>71</v>
      </c>
      <c r="P20" s="21" t="str">
        <f t="shared" si="0"/>
        <v>?-TF</v>
      </c>
      <c r="Q20" s="108" t="str">
        <f>HYPERLINK("#'마스터_품목'!A20","→ 마스터 R20")</f>
        <v>→ 마스터 R20</v>
      </c>
      <c r="R20" s="109">
        <v>20</v>
      </c>
      <c r="S20" s="109" t="s">
        <v>72</v>
      </c>
    </row>
  </sheetData>
  <autoFilter ref="A1:S20" xr:uid="{00000000-0009-0000-0000-000001000000}"/>
  <phoneticPr fontId="2" type="noConversion"/>
  <conditionalFormatting sqref="E2:E20">
    <cfRule type="notContainsBlanks" dxfId="30" priority="1"/>
  </conditionalFormatting>
  <conditionalFormatting sqref="I2:I20">
    <cfRule type="expression" dxfId="29" priority="2">
      <formula>RIGHT($I2,1)="R"</formula>
    </cfRule>
    <cfRule type="expression" dxfId="28" priority="3">
      <formula>RIGHT($I2,1)="A"</formula>
    </cfRule>
    <cfRule type="expression" dxfId="27" priority="4">
      <formula>RIGHT($I2,1)="F"</formula>
    </cfRule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5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style="137" customWidth="1"/>
    <col min="2" max="2" width="14" style="137" customWidth="1"/>
    <col min="3" max="3" width="22" style="137" customWidth="1"/>
    <col min="4" max="5" width="52" style="137" customWidth="1"/>
    <col min="6" max="6" width="9" style="137" customWidth="1" outlineLevel="2"/>
    <col min="7" max="8" width="13" style="137" customWidth="1" outlineLevel="2"/>
    <col min="9" max="9" width="9" style="137" customWidth="1" outlineLevel="2"/>
    <col min="10" max="10" width="16" style="137" bestFit="1" customWidth="1" outlineLevel="1"/>
    <col min="11" max="11" width="13.75" style="137" customWidth="1" outlineLevel="1"/>
    <col min="12" max="14" width="13" style="137" customWidth="1" outlineLevel="1"/>
    <col min="15" max="15" width="13" style="137" customWidth="1" outlineLevel="1" collapsed="1"/>
    <col min="16" max="16" width="14" style="137" customWidth="1"/>
    <col min="17" max="17" width="16" style="137" customWidth="1"/>
    <col min="18" max="18" width="9" style="137" customWidth="1"/>
    <col min="19" max="19" width="14" style="137" customWidth="1"/>
    <col min="20" max="23" width="9" style="137" customWidth="1"/>
    <col min="24" max="16384" width="9" style="137"/>
  </cols>
  <sheetData>
    <row r="1" spans="1:19" ht="36" customHeight="1" x14ac:dyDescent="0.3">
      <c r="A1" s="126" t="s">
        <v>48</v>
      </c>
      <c r="B1" s="126" t="s">
        <v>49</v>
      </c>
      <c r="C1" s="126" t="s">
        <v>50</v>
      </c>
      <c r="D1" s="126" t="s">
        <v>51</v>
      </c>
      <c r="E1" s="127" t="s">
        <v>52</v>
      </c>
      <c r="F1" s="128" t="s">
        <v>53</v>
      </c>
      <c r="G1" s="129" t="s">
        <v>54</v>
      </c>
      <c r="H1" s="130" t="s">
        <v>55</v>
      </c>
      <c r="I1" s="131" t="s">
        <v>56</v>
      </c>
      <c r="J1" s="128" t="s">
        <v>57</v>
      </c>
      <c r="K1" s="129" t="s">
        <v>58</v>
      </c>
      <c r="L1" s="132" t="s">
        <v>59</v>
      </c>
      <c r="M1" s="130" t="s">
        <v>60</v>
      </c>
      <c r="N1" s="133" t="s">
        <v>61</v>
      </c>
      <c r="O1" s="134" t="s">
        <v>62</v>
      </c>
      <c r="P1" s="131" t="s">
        <v>63</v>
      </c>
      <c r="Q1" s="135" t="s">
        <v>64</v>
      </c>
      <c r="R1" s="136" t="s">
        <v>65</v>
      </c>
      <c r="S1" s="136" t="s">
        <v>66</v>
      </c>
    </row>
    <row r="2" spans="1:19" ht="48" customHeight="1" x14ac:dyDescent="0.3">
      <c r="A2" s="138" t="s">
        <v>110</v>
      </c>
      <c r="B2" s="138" t="s">
        <v>67</v>
      </c>
      <c r="C2" s="139" t="s">
        <v>111</v>
      </c>
      <c r="D2" s="139" t="s">
        <v>112</v>
      </c>
      <c r="E2" s="139" t="s">
        <v>113</v>
      </c>
      <c r="F2" s="140" t="s">
        <v>71</v>
      </c>
      <c r="G2" s="141"/>
      <c r="H2" s="142"/>
      <c r="I2" s="143" t="str">
        <f>IFERROR(IF(OR($F2="O",$G2="O",$H2="O"),CHOOSE(MATCH($A2,{"튜브","고압","진공","튜닝","조립","출하"},0),"T","H","V","N","A","P")&amp;IF($F2="O","R",IF($G2="O","A",IF($H2="O","F",""))),""),"")</f>
        <v>HR</v>
      </c>
      <c r="J2" s="144" t="s">
        <v>71</v>
      </c>
      <c r="K2" s="145" t="s">
        <v>71</v>
      </c>
      <c r="L2" s="146"/>
      <c r="M2" s="147"/>
      <c r="N2" s="148"/>
      <c r="O2" s="149"/>
      <c r="P2" s="150" t="str">
        <f t="shared" ref="P2:P33" si="0">IF($I2="","",IF($J2="O","3","")&amp;IF($K2="O","4","")&amp;IF($L2="O","6","")&amp;IF($M2="O","7","")&amp;IF($N2="O","8","")&amp;IF($O2="O","?","")&amp;IF(OR($J2="O",$K2="O",$L2="O",$M2="O",$N2="O",$O2="O"),"-","")&amp;$I2)</f>
        <v>34-HR</v>
      </c>
      <c r="Q2" s="151" t="str">
        <f>HYPERLINK("#'마스터_품목'!A21","→ 마스터 R21")</f>
        <v>→ 마스터 R21</v>
      </c>
      <c r="R2" s="152">
        <v>21</v>
      </c>
      <c r="S2" s="152" t="s">
        <v>72</v>
      </c>
    </row>
    <row r="3" spans="1:19" ht="48" customHeight="1" x14ac:dyDescent="0.3">
      <c r="A3" s="138" t="s">
        <v>110</v>
      </c>
      <c r="B3" s="138" t="s">
        <v>67</v>
      </c>
      <c r="C3" s="139" t="s">
        <v>114</v>
      </c>
      <c r="D3" s="139" t="s">
        <v>115</v>
      </c>
      <c r="E3" s="139" t="s">
        <v>116</v>
      </c>
      <c r="F3" s="140" t="s">
        <v>71</v>
      </c>
      <c r="G3" s="141"/>
      <c r="H3" s="142"/>
      <c r="I3" s="143" t="str">
        <f>IFERROR(IF(OR($F3="O",$G3="O",$H3="O"),CHOOSE(MATCH($A3,{"튜브","고압","진공","튜닝","조립","출하"},0),"T","H","V","N","A","P")&amp;IF($F3="O","R",IF($G3="O","A",IF($H3="O","F",""))),""),"")</f>
        <v>HR</v>
      </c>
      <c r="J3" s="144"/>
      <c r="K3" s="145"/>
      <c r="L3" s="146"/>
      <c r="M3" s="147" t="s">
        <v>71</v>
      </c>
      <c r="N3" s="148" t="s">
        <v>71</v>
      </c>
      <c r="O3" s="149"/>
      <c r="P3" s="150" t="str">
        <f t="shared" si="0"/>
        <v>78-HR</v>
      </c>
      <c r="Q3" s="151" t="str">
        <f>HYPERLINK("#'마스터_품목'!A22","→ 마스터 R22")</f>
        <v>→ 마스터 R22</v>
      </c>
      <c r="R3" s="152">
        <v>22</v>
      </c>
      <c r="S3" s="152" t="s">
        <v>72</v>
      </c>
    </row>
    <row r="4" spans="1:19" ht="48" customHeight="1" x14ac:dyDescent="0.3">
      <c r="A4" s="138" t="s">
        <v>110</v>
      </c>
      <c r="B4" s="138" t="s">
        <v>67</v>
      </c>
      <c r="C4" s="139" t="s">
        <v>117</v>
      </c>
      <c r="D4" s="139" t="s">
        <v>118</v>
      </c>
      <c r="E4" s="139" t="s">
        <v>119</v>
      </c>
      <c r="F4" s="140" t="s">
        <v>71</v>
      </c>
      <c r="G4" s="141"/>
      <c r="H4" s="142"/>
      <c r="I4" s="143" t="str">
        <f>IFERROR(IF(OR($F4="O",$G4="O",$H4="O"),CHOOSE(MATCH($A4,{"튜브","고압","진공","튜닝","조립","출하"},0),"T","H","V","N","A","P")&amp;IF($F4="O","R",IF($G4="O","A",IF($H4="O","F",""))),""),"")</f>
        <v>HR</v>
      </c>
      <c r="J4" s="144"/>
      <c r="K4" s="145"/>
      <c r="L4" s="146" t="s">
        <v>71</v>
      </c>
      <c r="M4" s="147"/>
      <c r="N4" s="148"/>
      <c r="O4" s="149"/>
      <c r="P4" s="150" t="str">
        <f t="shared" si="0"/>
        <v>6-HR</v>
      </c>
      <c r="Q4" s="151" t="str">
        <f>HYPERLINK("#'마스터_품목'!A23","→ 마스터 R23")</f>
        <v>→ 마스터 R23</v>
      </c>
      <c r="R4" s="152">
        <v>23</v>
      </c>
      <c r="S4" s="152" t="s">
        <v>72</v>
      </c>
    </row>
    <row r="5" spans="1:19" ht="48" customHeight="1" x14ac:dyDescent="0.3">
      <c r="A5" s="138" t="s">
        <v>110</v>
      </c>
      <c r="B5" s="138" t="s">
        <v>67</v>
      </c>
      <c r="C5" s="139" t="s">
        <v>120</v>
      </c>
      <c r="D5" s="139" t="s">
        <v>121</v>
      </c>
      <c r="E5" s="139" t="s">
        <v>122</v>
      </c>
      <c r="F5" s="140" t="s">
        <v>71</v>
      </c>
      <c r="G5" s="141"/>
      <c r="H5" s="142"/>
      <c r="I5" s="143" t="str">
        <f>IFERROR(IF(OR($F5="O",$G5="O",$H5="O"),CHOOSE(MATCH($A5,{"튜브","고압","진공","튜닝","조립","출하"},0),"T","H","V","N","A","P")&amp;IF($F5="O","R",IF($G5="O","A",IF($H5="O","F",""))),""),"")</f>
        <v>HR</v>
      </c>
      <c r="J5" s="144" t="s">
        <v>71</v>
      </c>
      <c r="K5" s="145" t="s">
        <v>71</v>
      </c>
      <c r="L5" s="146" t="s">
        <v>71</v>
      </c>
      <c r="M5" s="147"/>
      <c r="N5" s="148" t="s">
        <v>71</v>
      </c>
      <c r="O5" s="149"/>
      <c r="P5" s="150" t="str">
        <f t="shared" si="0"/>
        <v>3468-HR</v>
      </c>
      <c r="Q5" s="151" t="str">
        <f>HYPERLINK("#'마스터_품목'!A24","→ 마스터 R24")</f>
        <v>→ 마스터 R24</v>
      </c>
      <c r="R5" s="152">
        <v>24</v>
      </c>
      <c r="S5" s="152" t="s">
        <v>72</v>
      </c>
    </row>
    <row r="6" spans="1:19" ht="48" customHeight="1" x14ac:dyDescent="0.3">
      <c r="A6" s="138" t="s">
        <v>110</v>
      </c>
      <c r="B6" s="138" t="s">
        <v>67</v>
      </c>
      <c r="C6" s="139" t="s">
        <v>117</v>
      </c>
      <c r="D6" s="139" t="s">
        <v>123</v>
      </c>
      <c r="E6" s="139" t="s">
        <v>124</v>
      </c>
      <c r="F6" s="140" t="s">
        <v>71</v>
      </c>
      <c r="G6" s="141"/>
      <c r="H6" s="142"/>
      <c r="I6" s="143" t="str">
        <f>IFERROR(IF(OR($F6="O",$G6="O",$H6="O"),CHOOSE(MATCH($A6,{"튜브","고압","진공","튜닝","조립","출하"},0),"T","H","V","N","A","P")&amp;IF($F6="O","R",IF($G6="O","A",IF($H6="O","F",""))),""),"")</f>
        <v>HR</v>
      </c>
      <c r="J6" s="144"/>
      <c r="K6" s="145"/>
      <c r="L6" s="146" t="s">
        <v>71</v>
      </c>
      <c r="M6" s="147"/>
      <c r="N6" s="148"/>
      <c r="O6" s="149"/>
      <c r="P6" s="150" t="str">
        <f t="shared" si="0"/>
        <v>6-HR</v>
      </c>
      <c r="Q6" s="151" t="str">
        <f>HYPERLINK("#'마스터_품목'!A25","→ 마스터 R25")</f>
        <v>→ 마스터 R25</v>
      </c>
      <c r="R6" s="152">
        <v>25</v>
      </c>
      <c r="S6" s="152" t="s">
        <v>72</v>
      </c>
    </row>
    <row r="7" spans="1:19" ht="48" customHeight="1" x14ac:dyDescent="0.3">
      <c r="A7" s="138" t="s">
        <v>110</v>
      </c>
      <c r="B7" s="138" t="s">
        <v>67</v>
      </c>
      <c r="C7" s="139" t="s">
        <v>117</v>
      </c>
      <c r="D7" s="139" t="s">
        <v>125</v>
      </c>
      <c r="E7" s="139" t="s">
        <v>126</v>
      </c>
      <c r="F7" s="140" t="s">
        <v>71</v>
      </c>
      <c r="G7" s="141"/>
      <c r="H7" s="142"/>
      <c r="I7" s="143" t="str">
        <f>IFERROR(IF(OR($F7="O",$G7="O",$H7="O"),CHOOSE(MATCH($A7,{"튜브","고압","진공","튜닝","조립","출하"},0),"T","H","V","N","A","P")&amp;IF($F7="O","R",IF($G7="O","A",IF($H7="O","F",""))),""),"")</f>
        <v>HR</v>
      </c>
      <c r="J7" s="144"/>
      <c r="K7" s="145"/>
      <c r="L7" s="146" t="s">
        <v>71</v>
      </c>
      <c r="M7" s="147"/>
      <c r="N7" s="148"/>
      <c r="O7" s="149"/>
      <c r="P7" s="150" t="str">
        <f t="shared" si="0"/>
        <v>6-HR</v>
      </c>
      <c r="Q7" s="151" t="str">
        <f>HYPERLINK("#'마스터_품목'!A26","→ 마스터 R26")</f>
        <v>→ 마스터 R26</v>
      </c>
      <c r="R7" s="152">
        <v>26</v>
      </c>
      <c r="S7" s="152" t="s">
        <v>72</v>
      </c>
    </row>
    <row r="8" spans="1:19" ht="48" customHeight="1" x14ac:dyDescent="0.3">
      <c r="A8" s="138" t="s">
        <v>110</v>
      </c>
      <c r="B8" s="138" t="s">
        <v>127</v>
      </c>
      <c r="C8" s="139" t="s">
        <v>111</v>
      </c>
      <c r="D8" s="139" t="s">
        <v>128</v>
      </c>
      <c r="E8" s="139" t="s">
        <v>129</v>
      </c>
      <c r="F8" s="140" t="s">
        <v>71</v>
      </c>
      <c r="G8" s="141"/>
      <c r="H8" s="142"/>
      <c r="I8" s="143" t="str">
        <f>IFERROR(IF(OR($F8="O",$G8="O",$H8="O"),CHOOSE(MATCH($A8,{"튜브","고압","진공","튜닝","조립","출하"},0),"T","H","V","N","A","P")&amp;IF($F8="O","R",IF($G8="O","A",IF($H8="O","F",""))),""),"")</f>
        <v>HR</v>
      </c>
      <c r="J8" s="144" t="s">
        <v>71</v>
      </c>
      <c r="K8" s="145" t="s">
        <v>71</v>
      </c>
      <c r="L8" s="146"/>
      <c r="M8" s="147"/>
      <c r="N8" s="148"/>
      <c r="O8" s="149"/>
      <c r="P8" s="150" t="str">
        <f t="shared" si="0"/>
        <v>34-HR</v>
      </c>
      <c r="Q8" s="151" t="str">
        <f>HYPERLINK("#'마스터_품목'!A27","→ 마스터 R27")</f>
        <v>→ 마스터 R27</v>
      </c>
      <c r="R8" s="152">
        <v>27</v>
      </c>
      <c r="S8" s="152" t="s">
        <v>72</v>
      </c>
    </row>
    <row r="9" spans="1:19" ht="48" customHeight="1" x14ac:dyDescent="0.3">
      <c r="A9" s="138" t="s">
        <v>110</v>
      </c>
      <c r="B9" s="138" t="s">
        <v>127</v>
      </c>
      <c r="C9" s="139" t="s">
        <v>130</v>
      </c>
      <c r="D9" s="139" t="s">
        <v>131</v>
      </c>
      <c r="E9" s="139" t="s">
        <v>132</v>
      </c>
      <c r="F9" s="140" t="s">
        <v>71</v>
      </c>
      <c r="G9" s="141"/>
      <c r="H9" s="142"/>
      <c r="I9" s="143" t="str">
        <f>IFERROR(IF(OR($F9="O",$G9="O",$H9="O"),CHOOSE(MATCH($A9,{"튜브","고압","진공","튜닝","조립","출하"},0),"T","H","V","N","A","P")&amp;IF($F9="O","R",IF($G9="O","A",IF($H9="O","F",""))),""),"")</f>
        <v>HR</v>
      </c>
      <c r="J9" s="144" t="s">
        <v>71</v>
      </c>
      <c r="K9" s="145" t="s">
        <v>71</v>
      </c>
      <c r="L9" s="146"/>
      <c r="M9" s="147" t="s">
        <v>71</v>
      </c>
      <c r="N9" s="148"/>
      <c r="O9" s="149"/>
      <c r="P9" s="150" t="str">
        <f t="shared" si="0"/>
        <v>347-HR</v>
      </c>
      <c r="Q9" s="151" t="str">
        <f>HYPERLINK("#'마스터_품목'!A28","→ 마스터 R28")</f>
        <v>→ 마스터 R28</v>
      </c>
      <c r="R9" s="152">
        <v>28</v>
      </c>
      <c r="S9" s="152" t="s">
        <v>72</v>
      </c>
    </row>
    <row r="10" spans="1:19" ht="48" customHeight="1" x14ac:dyDescent="0.3">
      <c r="A10" s="138" t="s">
        <v>110</v>
      </c>
      <c r="B10" s="138" t="s">
        <v>127</v>
      </c>
      <c r="C10" s="139" t="s">
        <v>133</v>
      </c>
      <c r="D10" s="139" t="s">
        <v>134</v>
      </c>
      <c r="E10" s="139" t="s">
        <v>135</v>
      </c>
      <c r="F10" s="140" t="s">
        <v>71</v>
      </c>
      <c r="G10" s="141"/>
      <c r="H10" s="142"/>
      <c r="I10" s="143" t="str">
        <f>IFERROR(IF(OR($F10="O",$G10="O",$H10="O"),CHOOSE(MATCH($A10,{"튜브","고압","진공","튜닝","조립","출하"},0),"T","H","V","N","A","P")&amp;IF($F10="O","R",IF($G10="O","A",IF($H10="O","F",""))),""),"")</f>
        <v>HR</v>
      </c>
      <c r="J10" s="144" t="s">
        <v>71</v>
      </c>
      <c r="K10" s="145" t="s">
        <v>71</v>
      </c>
      <c r="L10" s="146" t="s">
        <v>71</v>
      </c>
      <c r="M10" s="147"/>
      <c r="N10" s="148"/>
      <c r="O10" s="149"/>
      <c r="P10" s="150" t="str">
        <f t="shared" si="0"/>
        <v>346-HR</v>
      </c>
      <c r="Q10" s="151" t="str">
        <f>HYPERLINK("#'마스터_품목'!A29","→ 마스터 R29")</f>
        <v>→ 마스터 R29</v>
      </c>
      <c r="R10" s="152">
        <v>29</v>
      </c>
      <c r="S10" s="152" t="s">
        <v>72</v>
      </c>
    </row>
    <row r="11" spans="1:19" ht="48" customHeight="1" x14ac:dyDescent="0.3">
      <c r="A11" s="138" t="s">
        <v>110</v>
      </c>
      <c r="B11" s="138" t="s">
        <v>127</v>
      </c>
      <c r="C11" s="139" t="s">
        <v>111</v>
      </c>
      <c r="D11" s="139" t="s">
        <v>136</v>
      </c>
      <c r="E11" s="139" t="s">
        <v>137</v>
      </c>
      <c r="F11" s="140" t="s">
        <v>71</v>
      </c>
      <c r="G11" s="141"/>
      <c r="H11" s="142"/>
      <c r="I11" s="143" t="str">
        <f>IFERROR(IF(OR($F11="O",$G11="O",$H11="O"),CHOOSE(MATCH($A11,{"튜브","고압","진공","튜닝","조립","출하"},0),"T","H","V","N","A","P")&amp;IF($F11="O","R",IF($G11="O","A",IF($H11="O","F",""))),""),"")</f>
        <v>HR</v>
      </c>
      <c r="J11" s="144" t="s">
        <v>71</v>
      </c>
      <c r="K11" s="145" t="s">
        <v>71</v>
      </c>
      <c r="L11" s="146"/>
      <c r="M11" s="147"/>
      <c r="N11" s="148"/>
      <c r="O11" s="149"/>
      <c r="P11" s="150" t="str">
        <f t="shared" si="0"/>
        <v>34-HR</v>
      </c>
      <c r="Q11" s="151" t="str">
        <f>HYPERLINK("#'마스터_품목'!A30","→ 마스터 R30")</f>
        <v>→ 마스터 R30</v>
      </c>
      <c r="R11" s="152">
        <v>30</v>
      </c>
      <c r="S11" s="152" t="s">
        <v>72</v>
      </c>
    </row>
    <row r="12" spans="1:19" ht="48" customHeight="1" x14ac:dyDescent="0.3">
      <c r="A12" s="138" t="s">
        <v>110</v>
      </c>
      <c r="B12" s="138" t="s">
        <v>127</v>
      </c>
      <c r="C12" s="139" t="s">
        <v>133</v>
      </c>
      <c r="D12" s="139" t="s">
        <v>138</v>
      </c>
      <c r="E12" s="139" t="s">
        <v>139</v>
      </c>
      <c r="F12" s="140" t="s">
        <v>71</v>
      </c>
      <c r="G12" s="141"/>
      <c r="H12" s="142"/>
      <c r="I12" s="143" t="str">
        <f>IFERROR(IF(OR($F12="O",$G12="O",$H12="O"),CHOOSE(MATCH($A12,{"튜브","고압","진공","튜닝","조립","출하"},0),"T","H","V","N","A","P")&amp;IF($F12="O","R",IF($G12="O","A",IF($H12="O","F",""))),""),"")</f>
        <v>HR</v>
      </c>
      <c r="J12" s="144" t="s">
        <v>71</v>
      </c>
      <c r="K12" s="145" t="s">
        <v>71</v>
      </c>
      <c r="L12" s="146" t="s">
        <v>71</v>
      </c>
      <c r="M12" s="147"/>
      <c r="N12" s="148"/>
      <c r="O12" s="149"/>
      <c r="P12" s="150" t="str">
        <f t="shared" si="0"/>
        <v>346-HR</v>
      </c>
      <c r="Q12" s="151" t="str">
        <f>HYPERLINK("#'마스터_품목'!A31","→ 마스터 R31")</f>
        <v>→ 마스터 R31</v>
      </c>
      <c r="R12" s="152">
        <v>31</v>
      </c>
      <c r="S12" s="152" t="s">
        <v>72</v>
      </c>
    </row>
    <row r="13" spans="1:19" ht="48" customHeight="1" x14ac:dyDescent="0.3">
      <c r="A13" s="138" t="s">
        <v>110</v>
      </c>
      <c r="B13" s="138" t="s">
        <v>127</v>
      </c>
      <c r="C13" s="139" t="s">
        <v>117</v>
      </c>
      <c r="D13" s="139" t="s">
        <v>140</v>
      </c>
      <c r="E13" s="139" t="s">
        <v>141</v>
      </c>
      <c r="F13" s="140" t="s">
        <v>71</v>
      </c>
      <c r="G13" s="141"/>
      <c r="H13" s="142"/>
      <c r="I13" s="143" t="str">
        <f>IFERROR(IF(OR($F13="O",$G13="O",$H13="O"),CHOOSE(MATCH($A13,{"튜브","고압","진공","튜닝","조립","출하"},0),"T","H","V","N","A","P")&amp;IF($F13="O","R",IF($G13="O","A",IF($H13="O","F",""))),""),"")</f>
        <v>HR</v>
      </c>
      <c r="J13" s="144"/>
      <c r="K13" s="145"/>
      <c r="L13" s="146" t="s">
        <v>71</v>
      </c>
      <c r="M13" s="147"/>
      <c r="N13" s="148"/>
      <c r="O13" s="149"/>
      <c r="P13" s="150" t="str">
        <f t="shared" si="0"/>
        <v>6-HR</v>
      </c>
      <c r="Q13" s="151" t="str">
        <f>HYPERLINK("#'마스터_품목'!A32","→ 마스터 R32")</f>
        <v>→ 마스터 R32</v>
      </c>
      <c r="R13" s="152">
        <v>32</v>
      </c>
      <c r="S13" s="152" t="s">
        <v>72</v>
      </c>
    </row>
    <row r="14" spans="1:19" ht="48" customHeight="1" x14ac:dyDescent="0.3">
      <c r="A14" s="138" t="s">
        <v>110</v>
      </c>
      <c r="B14" s="138" t="s">
        <v>127</v>
      </c>
      <c r="C14" s="139" t="s">
        <v>133</v>
      </c>
      <c r="D14" s="139" t="s">
        <v>142</v>
      </c>
      <c r="E14" s="139" t="s">
        <v>143</v>
      </c>
      <c r="F14" s="140" t="s">
        <v>71</v>
      </c>
      <c r="G14" s="141"/>
      <c r="H14" s="142"/>
      <c r="I14" s="143" t="str">
        <f>IFERROR(IF(OR($F14="O",$G14="O",$H14="O"),CHOOSE(MATCH($A14,{"튜브","고압","진공","튜닝","조립","출하"},0),"T","H","V","N","A","P")&amp;IF($F14="O","R",IF($G14="O","A",IF($H14="O","F",""))),""),"")</f>
        <v>HR</v>
      </c>
      <c r="J14" s="144" t="s">
        <v>71</v>
      </c>
      <c r="K14" s="145" t="s">
        <v>71</v>
      </c>
      <c r="L14" s="146" t="s">
        <v>71</v>
      </c>
      <c r="M14" s="147"/>
      <c r="N14" s="148"/>
      <c r="O14" s="149"/>
      <c r="P14" s="150" t="str">
        <f t="shared" si="0"/>
        <v>346-HR</v>
      </c>
      <c r="Q14" s="151" t="str">
        <f>HYPERLINK("#'마스터_품목'!A33","→ 마스터 R33")</f>
        <v>→ 마스터 R33</v>
      </c>
      <c r="R14" s="152">
        <v>33</v>
      </c>
      <c r="S14" s="152" t="s">
        <v>72</v>
      </c>
    </row>
    <row r="15" spans="1:19" ht="48" customHeight="1" x14ac:dyDescent="0.3">
      <c r="A15" s="138" t="s">
        <v>110</v>
      </c>
      <c r="B15" s="138" t="s">
        <v>127</v>
      </c>
      <c r="C15" s="139" t="s">
        <v>111</v>
      </c>
      <c r="D15" s="139" t="s">
        <v>144</v>
      </c>
      <c r="E15" s="139" t="s">
        <v>145</v>
      </c>
      <c r="F15" s="140" t="s">
        <v>71</v>
      </c>
      <c r="G15" s="141"/>
      <c r="H15" s="142"/>
      <c r="I15" s="143" t="str">
        <f>IFERROR(IF(OR($F15="O",$G15="O",$H15="O"),CHOOSE(MATCH($A15,{"튜브","고압","진공","튜닝","조립","출하"},0),"T","H","V","N","A","P")&amp;IF($F15="O","R",IF($G15="O","A",IF($H15="O","F",""))),""),"")</f>
        <v>HR</v>
      </c>
      <c r="J15" s="144" t="s">
        <v>71</v>
      </c>
      <c r="K15" s="145" t="s">
        <v>71</v>
      </c>
      <c r="L15" s="146"/>
      <c r="M15" s="147"/>
      <c r="N15" s="148"/>
      <c r="O15" s="149"/>
      <c r="P15" s="150" t="str">
        <f t="shared" si="0"/>
        <v>34-HR</v>
      </c>
      <c r="Q15" s="151" t="str">
        <f>HYPERLINK("#'마스터_품목'!A34","→ 마스터 R34")</f>
        <v>→ 마스터 R34</v>
      </c>
      <c r="R15" s="152">
        <v>34</v>
      </c>
      <c r="S15" s="152" t="s">
        <v>72</v>
      </c>
    </row>
    <row r="16" spans="1:19" ht="48" customHeight="1" x14ac:dyDescent="0.3">
      <c r="A16" s="138" t="s">
        <v>110</v>
      </c>
      <c r="B16" s="138" t="s">
        <v>127</v>
      </c>
      <c r="C16" s="139" t="s">
        <v>133</v>
      </c>
      <c r="D16" s="139" t="s">
        <v>146</v>
      </c>
      <c r="E16" s="139" t="s">
        <v>147</v>
      </c>
      <c r="F16" s="140" t="s">
        <v>71</v>
      </c>
      <c r="G16" s="141"/>
      <c r="H16" s="142"/>
      <c r="I16" s="143" t="str">
        <f>IFERROR(IF(OR($F16="O",$G16="O",$H16="O"),CHOOSE(MATCH($A16,{"튜브","고압","진공","튜닝","조립","출하"},0),"T","H","V","N","A","P")&amp;IF($F16="O","R",IF($G16="O","A",IF($H16="O","F",""))),""),"")</f>
        <v>HR</v>
      </c>
      <c r="J16" s="144" t="s">
        <v>71</v>
      </c>
      <c r="K16" s="145" t="s">
        <v>71</v>
      </c>
      <c r="L16" s="146" t="s">
        <v>71</v>
      </c>
      <c r="M16" s="147"/>
      <c r="N16" s="148"/>
      <c r="O16" s="149"/>
      <c r="P16" s="150" t="str">
        <f t="shared" si="0"/>
        <v>346-HR</v>
      </c>
      <c r="Q16" s="151" t="str">
        <f>HYPERLINK("#'마스터_품목'!A35","→ 마스터 R35")</f>
        <v>→ 마스터 R35</v>
      </c>
      <c r="R16" s="152">
        <v>35</v>
      </c>
      <c r="S16" s="152" t="s">
        <v>72</v>
      </c>
    </row>
    <row r="17" spans="1:19" ht="48" customHeight="1" x14ac:dyDescent="0.3">
      <c r="A17" s="138" t="s">
        <v>110</v>
      </c>
      <c r="B17" s="138" t="s">
        <v>127</v>
      </c>
      <c r="C17" s="139" t="s">
        <v>148</v>
      </c>
      <c r="D17" s="139" t="s">
        <v>149</v>
      </c>
      <c r="E17" s="139" t="s">
        <v>150</v>
      </c>
      <c r="F17" s="140" t="s">
        <v>71</v>
      </c>
      <c r="G17" s="141"/>
      <c r="H17" s="142"/>
      <c r="I17" s="143" t="str">
        <f>IFERROR(IF(OR($F17="O",$G17="O",$H17="O"),CHOOSE(MATCH($A17,{"튜브","고압","진공","튜닝","조립","출하"},0),"T","H","V","N","A","P")&amp;IF($F17="O","R",IF($G17="O","A",IF($H17="O","F",""))),""),"")</f>
        <v>HR</v>
      </c>
      <c r="J17" s="144" t="s">
        <v>71</v>
      </c>
      <c r="K17" s="145" t="s">
        <v>71</v>
      </c>
      <c r="L17" s="146" t="s">
        <v>71</v>
      </c>
      <c r="M17" s="147"/>
      <c r="N17" s="148"/>
      <c r="O17" s="149"/>
      <c r="P17" s="150" t="str">
        <f t="shared" si="0"/>
        <v>346-HR</v>
      </c>
      <c r="Q17" s="151" t="str">
        <f>HYPERLINK("#'마스터_품목'!A36","→ 마스터 R36")</f>
        <v>→ 마스터 R36</v>
      </c>
      <c r="R17" s="152">
        <v>36</v>
      </c>
      <c r="S17" s="152" t="s">
        <v>72</v>
      </c>
    </row>
    <row r="18" spans="1:19" ht="48" customHeight="1" x14ac:dyDescent="0.3">
      <c r="A18" s="138" t="s">
        <v>110</v>
      </c>
      <c r="B18" s="138" t="s">
        <v>127</v>
      </c>
      <c r="C18" s="139" t="s">
        <v>148</v>
      </c>
      <c r="D18" s="139" t="s">
        <v>151</v>
      </c>
      <c r="E18" s="139" t="s">
        <v>152</v>
      </c>
      <c r="F18" s="140" t="s">
        <v>71</v>
      </c>
      <c r="G18" s="141"/>
      <c r="H18" s="142"/>
      <c r="I18" s="143" t="str">
        <f>IFERROR(IF(OR($F18="O",$G18="O",$H18="O"),CHOOSE(MATCH($A18,{"튜브","고압","진공","튜닝","조립","출하"},0),"T","H","V","N","A","P")&amp;IF($F18="O","R",IF($G18="O","A",IF($H18="O","F",""))),""),"")</f>
        <v>HR</v>
      </c>
      <c r="J18" s="144" t="s">
        <v>71</v>
      </c>
      <c r="K18" s="145" t="s">
        <v>71</v>
      </c>
      <c r="L18" s="146" t="s">
        <v>71</v>
      </c>
      <c r="M18" s="147" t="s">
        <v>71</v>
      </c>
      <c r="N18" s="148"/>
      <c r="O18" s="149"/>
      <c r="P18" s="150" t="str">
        <f t="shared" si="0"/>
        <v>3467-HR</v>
      </c>
      <c r="Q18" s="151" t="str">
        <f>HYPERLINK("#'마스터_품목'!A37","→ 마스터 R37")</f>
        <v>→ 마스터 R37</v>
      </c>
      <c r="R18" s="152">
        <v>37</v>
      </c>
      <c r="S18" s="152" t="s">
        <v>72</v>
      </c>
    </row>
    <row r="19" spans="1:19" ht="48" customHeight="1" x14ac:dyDescent="0.3">
      <c r="A19" s="138" t="s">
        <v>110</v>
      </c>
      <c r="B19" s="138" t="s">
        <v>127</v>
      </c>
      <c r="C19" s="139" t="s">
        <v>153</v>
      </c>
      <c r="D19" s="139" t="s">
        <v>154</v>
      </c>
      <c r="E19" s="139" t="s">
        <v>155</v>
      </c>
      <c r="F19" s="140" t="s">
        <v>71</v>
      </c>
      <c r="G19" s="141"/>
      <c r="H19" s="142"/>
      <c r="I19" s="143" t="str">
        <f>IFERROR(IF(OR($F19="O",$G19="O",$H19="O"),CHOOSE(MATCH($A19,{"튜브","고압","진공","튜닝","조립","출하"},0),"T","H","V","N","A","P")&amp;IF($F19="O","R",IF($G19="O","A",IF($H19="O","F",""))),""),"")</f>
        <v>HR</v>
      </c>
      <c r="J19" s="144"/>
      <c r="K19" s="145"/>
      <c r="L19" s="146"/>
      <c r="M19" s="147" t="s">
        <v>71</v>
      </c>
      <c r="N19" s="148"/>
      <c r="O19" s="149"/>
      <c r="P19" s="150" t="str">
        <f t="shared" si="0"/>
        <v>7-HR</v>
      </c>
      <c r="Q19" s="151" t="str">
        <f>HYPERLINK("#'마스터_품목'!A38","→ 마스터 R38")</f>
        <v>→ 마스터 R38</v>
      </c>
      <c r="R19" s="152">
        <v>38</v>
      </c>
      <c r="S19" s="152" t="s">
        <v>72</v>
      </c>
    </row>
    <row r="20" spans="1:19" ht="48" customHeight="1" x14ac:dyDescent="0.3">
      <c r="A20" s="138" t="s">
        <v>110</v>
      </c>
      <c r="B20" s="138" t="s">
        <v>127</v>
      </c>
      <c r="C20" s="139" t="s">
        <v>156</v>
      </c>
      <c r="D20" s="139" t="s">
        <v>157</v>
      </c>
      <c r="E20" s="139" t="s">
        <v>158</v>
      </c>
      <c r="F20" s="140" t="s">
        <v>71</v>
      </c>
      <c r="G20" s="141"/>
      <c r="H20" s="142"/>
      <c r="I20" s="143" t="str">
        <f>IFERROR(IF(OR($F20="O",$G20="O",$H20="O"),CHOOSE(MATCH($A20,{"튜브","고압","진공","튜닝","조립","출하"},0),"T","H","V","N","A","P")&amp;IF($F20="O","R",IF($G20="O","A",IF($H20="O","F",""))),""),"")</f>
        <v>HR</v>
      </c>
      <c r="J20" s="144"/>
      <c r="K20" s="145"/>
      <c r="L20" s="146" t="s">
        <v>71</v>
      </c>
      <c r="M20" s="147" t="s">
        <v>71</v>
      </c>
      <c r="N20" s="148"/>
      <c r="O20" s="149"/>
      <c r="P20" s="150" t="str">
        <f t="shared" si="0"/>
        <v>67-HR</v>
      </c>
      <c r="Q20" s="151" t="str">
        <f>HYPERLINK("#'마스터_품목'!A39","→ 마스터 R39")</f>
        <v>→ 마스터 R39</v>
      </c>
      <c r="R20" s="152">
        <v>39</v>
      </c>
      <c r="S20" s="152" t="s">
        <v>72</v>
      </c>
    </row>
    <row r="21" spans="1:19" ht="48" customHeight="1" x14ac:dyDescent="0.3">
      <c r="A21" s="138" t="s">
        <v>110</v>
      </c>
      <c r="B21" s="138" t="s">
        <v>127</v>
      </c>
      <c r="C21" s="139" t="s">
        <v>153</v>
      </c>
      <c r="D21" s="139" t="s">
        <v>159</v>
      </c>
      <c r="E21" s="139" t="s">
        <v>160</v>
      </c>
      <c r="F21" s="140" t="s">
        <v>71</v>
      </c>
      <c r="G21" s="141"/>
      <c r="H21" s="142"/>
      <c r="I21" s="143" t="str">
        <f>IFERROR(IF(OR($F21="O",$G21="O",$H21="O"),CHOOSE(MATCH($A21,{"튜브","고압","진공","튜닝","조립","출하"},0),"T","H","V","N","A","P")&amp;IF($F21="O","R",IF($G21="O","A",IF($H21="O","F",""))),""),"")</f>
        <v>HR</v>
      </c>
      <c r="J21" s="144"/>
      <c r="K21" s="145"/>
      <c r="L21" s="146"/>
      <c r="M21" s="147" t="s">
        <v>71</v>
      </c>
      <c r="N21" s="148"/>
      <c r="O21" s="149"/>
      <c r="P21" s="150" t="str">
        <f t="shared" si="0"/>
        <v>7-HR</v>
      </c>
      <c r="Q21" s="151" t="str">
        <f>HYPERLINK("#'마스터_품목'!A40","→ 마스터 R40")</f>
        <v>→ 마스터 R40</v>
      </c>
      <c r="R21" s="152">
        <v>40</v>
      </c>
      <c r="S21" s="152" t="s">
        <v>72</v>
      </c>
    </row>
    <row r="22" spans="1:19" ht="48" customHeight="1" x14ac:dyDescent="0.3">
      <c r="A22" s="138" t="s">
        <v>110</v>
      </c>
      <c r="B22" s="138" t="s">
        <v>127</v>
      </c>
      <c r="C22" s="139" t="s">
        <v>117</v>
      </c>
      <c r="D22" s="139" t="s">
        <v>161</v>
      </c>
      <c r="E22" s="139"/>
      <c r="F22" s="140" t="s">
        <v>71</v>
      </c>
      <c r="G22" s="141"/>
      <c r="H22" s="142"/>
      <c r="I22" s="143" t="str">
        <f>IFERROR(IF(OR($F22="O",$G22="O",$H22="O"),CHOOSE(MATCH($A22,{"튜브","고압","진공","튜닝","조립","출하"},0),"T","H","V","N","A","P")&amp;IF($F22="O","R",IF($G22="O","A",IF($H22="O","F",""))),""),"")</f>
        <v>HR</v>
      </c>
      <c r="J22" s="144"/>
      <c r="K22" s="145"/>
      <c r="L22" s="146" t="s">
        <v>71</v>
      </c>
      <c r="M22" s="147"/>
      <c r="N22" s="148"/>
      <c r="O22" s="149"/>
      <c r="P22" s="150" t="str">
        <f t="shared" si="0"/>
        <v>6-HR</v>
      </c>
      <c r="Q22" s="151" t="str">
        <f>HYPERLINK("#'마스터_품목'!A41","→ 마스터 R41")</f>
        <v>→ 마스터 R41</v>
      </c>
      <c r="R22" s="152">
        <v>41</v>
      </c>
      <c r="S22" s="152" t="s">
        <v>72</v>
      </c>
    </row>
    <row r="23" spans="1:19" ht="48" customHeight="1" x14ac:dyDescent="0.3">
      <c r="A23" s="138" t="s">
        <v>110</v>
      </c>
      <c r="B23" s="138" t="s">
        <v>127</v>
      </c>
      <c r="C23" s="139" t="s">
        <v>153</v>
      </c>
      <c r="D23" s="139" t="s">
        <v>162</v>
      </c>
      <c r="E23" s="139" t="s">
        <v>163</v>
      </c>
      <c r="F23" s="140" t="s">
        <v>71</v>
      </c>
      <c r="G23" s="141"/>
      <c r="H23" s="142"/>
      <c r="I23" s="143" t="str">
        <f>IFERROR(IF(OR($F23="O",$G23="O",$H23="O"),CHOOSE(MATCH($A23,{"튜브","고압","진공","튜닝","조립","출하"},0),"T","H","V","N","A","P")&amp;IF($F23="O","R",IF($G23="O","A",IF($H23="O","F",""))),""),"")</f>
        <v>HR</v>
      </c>
      <c r="J23" s="144"/>
      <c r="K23" s="145"/>
      <c r="L23" s="146"/>
      <c r="M23" s="147" t="s">
        <v>71</v>
      </c>
      <c r="N23" s="148"/>
      <c r="O23" s="149"/>
      <c r="P23" s="150" t="str">
        <f t="shared" si="0"/>
        <v>7-HR</v>
      </c>
      <c r="Q23" s="151" t="str">
        <f>HYPERLINK("#'마스터_품목'!A42","→ 마스터 R42")</f>
        <v>→ 마스터 R42</v>
      </c>
      <c r="R23" s="152">
        <v>42</v>
      </c>
      <c r="S23" s="152" t="s">
        <v>72</v>
      </c>
    </row>
    <row r="24" spans="1:19" ht="48" customHeight="1" x14ac:dyDescent="0.3">
      <c r="A24" s="138" t="s">
        <v>164</v>
      </c>
      <c r="B24" s="138" t="s">
        <v>127</v>
      </c>
      <c r="C24" s="139" t="s">
        <v>117</v>
      </c>
      <c r="D24" s="139" t="s">
        <v>165</v>
      </c>
      <c r="E24" s="139" t="s">
        <v>166</v>
      </c>
      <c r="F24" s="140" t="s">
        <v>71</v>
      </c>
      <c r="G24" s="141"/>
      <c r="H24" s="142"/>
      <c r="I24" s="143" t="str">
        <f>IFERROR(IF(OR($F24="O",$G24="O",$H24="O"),CHOOSE(MATCH($A24,{"튜브","고압","진공","튜닝","조립","출하"},0),"T","H","V","N","A","P")&amp;IF($F24="O","R",IF($G24="O","A",IF($H24="O","F",""))),""),"")</f>
        <v>VR</v>
      </c>
      <c r="J24" s="144"/>
      <c r="K24" s="145"/>
      <c r="L24" s="146" t="s">
        <v>71</v>
      </c>
      <c r="M24" s="147"/>
      <c r="N24" s="148"/>
      <c r="O24" s="149" t="s">
        <v>71</v>
      </c>
      <c r="P24" s="150" t="str">
        <f t="shared" si="0"/>
        <v>6?-VR</v>
      </c>
      <c r="Q24" s="151" t="str">
        <f>HYPERLINK("#'마스터_품목'!A91","→ 마스터 R91")</f>
        <v>→ 마스터 R91</v>
      </c>
      <c r="R24" s="152">
        <v>91</v>
      </c>
      <c r="S24" s="152" t="s">
        <v>72</v>
      </c>
    </row>
    <row r="25" spans="1:19" ht="48" customHeight="1" x14ac:dyDescent="0.3">
      <c r="A25" s="138" t="s">
        <v>164</v>
      </c>
      <c r="B25" s="138" t="s">
        <v>127</v>
      </c>
      <c r="C25" s="139" t="s">
        <v>153</v>
      </c>
      <c r="D25" s="139" t="s">
        <v>167</v>
      </c>
      <c r="E25" s="139" t="s">
        <v>168</v>
      </c>
      <c r="F25" s="140" t="s">
        <v>71</v>
      </c>
      <c r="G25" s="141"/>
      <c r="H25" s="142"/>
      <c r="I25" s="143" t="str">
        <f>IFERROR(IF(OR($F25="O",$G25="O",$H25="O"),CHOOSE(MATCH($A25,{"튜브","고압","진공","튜닝","조립","출하"},0),"T","H","V","N","A","P")&amp;IF($F25="O","R",IF($G25="O","A",IF($H25="O","F",""))),""),"")</f>
        <v>VR</v>
      </c>
      <c r="J25" s="144" t="s">
        <v>71</v>
      </c>
      <c r="K25" s="145"/>
      <c r="L25" s="146"/>
      <c r="M25" s="147" t="s">
        <v>71</v>
      </c>
      <c r="N25" s="148"/>
      <c r="O25" s="149"/>
      <c r="P25" s="150" t="str">
        <f t="shared" si="0"/>
        <v>37-VR</v>
      </c>
      <c r="Q25" s="151" t="str">
        <f>HYPERLINK("#'마스터_품목'!A92","→ 마스터 R92")</f>
        <v>→ 마스터 R92</v>
      </c>
      <c r="R25" s="152">
        <v>92</v>
      </c>
      <c r="S25" s="152" t="s">
        <v>72</v>
      </c>
    </row>
    <row r="26" spans="1:19" ht="48" customHeight="1" x14ac:dyDescent="0.3">
      <c r="A26" s="138" t="s">
        <v>164</v>
      </c>
      <c r="B26" s="138" t="s">
        <v>127</v>
      </c>
      <c r="C26" s="139" t="s">
        <v>148</v>
      </c>
      <c r="D26" s="139" t="s">
        <v>169</v>
      </c>
      <c r="E26" s="139" t="s">
        <v>170</v>
      </c>
      <c r="F26" s="140" t="s">
        <v>71</v>
      </c>
      <c r="G26" s="141"/>
      <c r="H26" s="142"/>
      <c r="I26" s="143" t="str">
        <f>IFERROR(IF(OR($F26="O",$G26="O",$H26="O"),CHOOSE(MATCH($A26,{"튜브","고압","진공","튜닝","조립","출하"},0),"T","H","V","N","A","P")&amp;IF($F26="O","R",IF($G26="O","A",IF($H26="O","F",""))),""),"")</f>
        <v>VR</v>
      </c>
      <c r="J26" s="144" t="s">
        <v>71</v>
      </c>
      <c r="K26" s="145" t="s">
        <v>71</v>
      </c>
      <c r="L26" s="146"/>
      <c r="M26" s="147" t="s">
        <v>71</v>
      </c>
      <c r="N26" s="148" t="s">
        <v>71</v>
      </c>
      <c r="O26" s="149"/>
      <c r="P26" s="150" t="str">
        <f t="shared" si="0"/>
        <v>3478-VR</v>
      </c>
      <c r="Q26" s="151" t="str">
        <f>HYPERLINK("#'마스터_품목'!A93","→ 마스터 R93")</f>
        <v>→ 마스터 R93</v>
      </c>
      <c r="R26" s="152">
        <v>93</v>
      </c>
      <c r="S26" s="152" t="s">
        <v>72</v>
      </c>
    </row>
    <row r="27" spans="1:19" ht="48" customHeight="1" x14ac:dyDescent="0.3">
      <c r="A27" s="138" t="s">
        <v>164</v>
      </c>
      <c r="B27" s="138" t="s">
        <v>127</v>
      </c>
      <c r="C27" s="139" t="s">
        <v>148</v>
      </c>
      <c r="D27" s="139" t="s">
        <v>171</v>
      </c>
      <c r="E27" s="139" t="s">
        <v>172</v>
      </c>
      <c r="F27" s="140" t="s">
        <v>71</v>
      </c>
      <c r="G27" s="141"/>
      <c r="H27" s="142"/>
      <c r="I27" s="143" t="str">
        <f>IFERROR(IF(OR($F27="O",$G27="O",$H27="O"),CHOOSE(MATCH($A27,{"튜브","고압","진공","튜닝","조립","출하"},0),"T","H","V","N","A","P")&amp;IF($F27="O","R",IF($G27="O","A",IF($H27="O","F",""))),""),"")</f>
        <v>VR</v>
      </c>
      <c r="J27" s="144" t="s">
        <v>71</v>
      </c>
      <c r="K27" s="145" t="s">
        <v>71</v>
      </c>
      <c r="L27" s="146" t="s">
        <v>71</v>
      </c>
      <c r="M27" s="147" t="s">
        <v>71</v>
      </c>
      <c r="N27" s="148" t="s">
        <v>71</v>
      </c>
      <c r="O27" s="149" t="s">
        <v>71</v>
      </c>
      <c r="P27" s="150" t="str">
        <f t="shared" si="0"/>
        <v>34678?-VR</v>
      </c>
      <c r="Q27" s="151" t="str">
        <f>HYPERLINK("#'마스터_품목'!A94","→ 마스터 R94")</f>
        <v>→ 마스터 R94</v>
      </c>
      <c r="R27" s="152">
        <v>94</v>
      </c>
      <c r="S27" s="152" t="s">
        <v>72</v>
      </c>
    </row>
    <row r="28" spans="1:19" ht="48" customHeight="1" x14ac:dyDescent="0.3">
      <c r="A28" s="138" t="s">
        <v>110</v>
      </c>
      <c r="B28" s="138" t="s">
        <v>173</v>
      </c>
      <c r="C28" s="139" t="s">
        <v>133</v>
      </c>
      <c r="D28" s="139" t="s">
        <v>174</v>
      </c>
      <c r="E28" s="139" t="s">
        <v>175</v>
      </c>
      <c r="F28" s="140" t="s">
        <v>71</v>
      </c>
      <c r="G28" s="141"/>
      <c r="H28" s="142"/>
      <c r="I28" s="143" t="str">
        <f>IFERROR(IF(OR($F28="O",$G28="O",$H28="O"),CHOOSE(MATCH($A28,{"튜브","고압","진공","튜닝","조립","출하"},0),"T","H","V","N","A","P")&amp;IF($F28="O","R",IF($G28="O","A",IF($H28="O","F",""))),""),"")</f>
        <v>HR</v>
      </c>
      <c r="J28" s="144" t="s">
        <v>71</v>
      </c>
      <c r="K28" s="145" t="s">
        <v>71</v>
      </c>
      <c r="L28" s="146" t="s">
        <v>71</v>
      </c>
      <c r="M28" s="147"/>
      <c r="N28" s="148"/>
      <c r="O28" s="149"/>
      <c r="P28" s="150" t="str">
        <f t="shared" si="0"/>
        <v>346-HR</v>
      </c>
      <c r="Q28" s="151" t="str">
        <f>HYPERLINK("#'마스터_품목'!A43","→ 마스터 R43")</f>
        <v>→ 마스터 R43</v>
      </c>
      <c r="R28" s="152">
        <v>43</v>
      </c>
      <c r="S28" s="152" t="s">
        <v>72</v>
      </c>
    </row>
    <row r="29" spans="1:19" ht="48" customHeight="1" x14ac:dyDescent="0.3">
      <c r="A29" s="138" t="s">
        <v>110</v>
      </c>
      <c r="B29" s="138" t="s">
        <v>173</v>
      </c>
      <c r="C29" s="139" t="s">
        <v>133</v>
      </c>
      <c r="D29" s="139" t="s">
        <v>176</v>
      </c>
      <c r="E29" s="139" t="s">
        <v>177</v>
      </c>
      <c r="F29" s="140" t="s">
        <v>71</v>
      </c>
      <c r="G29" s="141"/>
      <c r="H29" s="142"/>
      <c r="I29" s="143" t="str">
        <f>IFERROR(IF(OR($F29="O",$G29="O",$H29="O"),CHOOSE(MATCH($A29,{"튜브","고압","진공","튜닝","조립","출하"},0),"T","H","V","N","A","P")&amp;IF($F29="O","R",IF($G29="O","A",IF($H29="O","F",""))),""),"")</f>
        <v>HR</v>
      </c>
      <c r="J29" s="144" t="s">
        <v>71</v>
      </c>
      <c r="K29" s="145" t="s">
        <v>71</v>
      </c>
      <c r="L29" s="146" t="s">
        <v>71</v>
      </c>
      <c r="M29" s="147"/>
      <c r="N29" s="148"/>
      <c r="O29" s="149"/>
      <c r="P29" s="150" t="str">
        <f t="shared" si="0"/>
        <v>346-HR</v>
      </c>
      <c r="Q29" s="151" t="str">
        <f>HYPERLINK("#'마스터_품목'!A44","→ 마스터 R44")</f>
        <v>→ 마스터 R44</v>
      </c>
      <c r="R29" s="152">
        <v>44</v>
      </c>
      <c r="S29" s="152" t="s">
        <v>72</v>
      </c>
    </row>
    <row r="30" spans="1:19" ht="48" customHeight="1" x14ac:dyDescent="0.3">
      <c r="A30" s="138" t="s">
        <v>110</v>
      </c>
      <c r="B30" s="138" t="s">
        <v>173</v>
      </c>
      <c r="C30" s="139" t="s">
        <v>117</v>
      </c>
      <c r="D30" s="139" t="s">
        <v>178</v>
      </c>
      <c r="E30" s="139" t="s">
        <v>179</v>
      </c>
      <c r="F30" s="140" t="s">
        <v>71</v>
      </c>
      <c r="G30" s="141"/>
      <c r="H30" s="142"/>
      <c r="I30" s="143" t="str">
        <f>IFERROR(IF(OR($F30="O",$G30="O",$H30="O"),CHOOSE(MATCH($A30,{"튜브","고압","진공","튜닝","조립","출하"},0),"T","H","V","N","A","P")&amp;IF($F30="O","R",IF($G30="O","A",IF($H30="O","F",""))),""),"")</f>
        <v>HR</v>
      </c>
      <c r="J30" s="144"/>
      <c r="K30" s="145"/>
      <c r="L30" s="146" t="s">
        <v>71</v>
      </c>
      <c r="M30" s="147"/>
      <c r="N30" s="148"/>
      <c r="O30" s="149"/>
      <c r="P30" s="150" t="str">
        <f t="shared" si="0"/>
        <v>6-HR</v>
      </c>
      <c r="Q30" s="151" t="str">
        <f>HYPERLINK("#'마스터_품목'!A45","→ 마스터 R45")</f>
        <v>→ 마스터 R45</v>
      </c>
      <c r="R30" s="152">
        <v>45</v>
      </c>
      <c r="S30" s="152" t="s">
        <v>72</v>
      </c>
    </row>
    <row r="31" spans="1:19" ht="48" customHeight="1" x14ac:dyDescent="0.3">
      <c r="A31" s="138" t="s">
        <v>110</v>
      </c>
      <c r="B31" s="138" t="s">
        <v>173</v>
      </c>
      <c r="C31" s="139" t="s">
        <v>111</v>
      </c>
      <c r="D31" s="139" t="s">
        <v>180</v>
      </c>
      <c r="E31" s="139" t="s">
        <v>181</v>
      </c>
      <c r="F31" s="140" t="s">
        <v>71</v>
      </c>
      <c r="G31" s="141"/>
      <c r="H31" s="142"/>
      <c r="I31" s="143" t="str">
        <f>IFERROR(IF(OR($F31="O",$G31="O",$H31="O"),CHOOSE(MATCH($A31,{"튜브","고압","진공","튜닝","조립","출하"},0),"T","H","V","N","A","P")&amp;IF($F31="O","R",IF($G31="O","A",IF($H31="O","F",""))),""),"")</f>
        <v>HR</v>
      </c>
      <c r="J31" s="144" t="s">
        <v>71</v>
      </c>
      <c r="K31" s="145" t="s">
        <v>71</v>
      </c>
      <c r="L31" s="146"/>
      <c r="M31" s="147"/>
      <c r="N31" s="148"/>
      <c r="O31" s="149"/>
      <c r="P31" s="150" t="str">
        <f t="shared" si="0"/>
        <v>34-HR</v>
      </c>
      <c r="Q31" s="151" t="str">
        <f>HYPERLINK("#'마스터_품목'!A46","→ 마스터 R46")</f>
        <v>→ 마스터 R46</v>
      </c>
      <c r="R31" s="152">
        <v>46</v>
      </c>
      <c r="S31" s="152" t="s">
        <v>72</v>
      </c>
    </row>
    <row r="32" spans="1:19" ht="48" customHeight="1" x14ac:dyDescent="0.3">
      <c r="A32" s="138" t="s">
        <v>110</v>
      </c>
      <c r="B32" s="138" t="s">
        <v>173</v>
      </c>
      <c r="C32" s="139" t="s">
        <v>182</v>
      </c>
      <c r="D32" s="139" t="s">
        <v>180</v>
      </c>
      <c r="E32" s="139" t="s">
        <v>183</v>
      </c>
      <c r="F32" s="140" t="s">
        <v>71</v>
      </c>
      <c r="G32" s="141"/>
      <c r="H32" s="142"/>
      <c r="I32" s="143" t="str">
        <f>IFERROR(IF(OR($F32="O",$G32="O",$H32="O"),CHOOSE(MATCH($A32,{"튜브","고압","진공","튜닝","조립","출하"},0),"T","H","V","N","A","P")&amp;IF($F32="O","R",IF($G32="O","A",IF($H32="O","F",""))),""),"")</f>
        <v>HR</v>
      </c>
      <c r="J32" s="144"/>
      <c r="K32" s="145"/>
      <c r="L32" s="146"/>
      <c r="M32" s="147"/>
      <c r="N32" s="148" t="s">
        <v>71</v>
      </c>
      <c r="O32" s="149"/>
      <c r="P32" s="150" t="str">
        <f t="shared" si="0"/>
        <v>8-HR</v>
      </c>
      <c r="Q32" s="151" t="str">
        <f>HYPERLINK("#'마스터_품목'!A47","→ 마스터 R47")</f>
        <v>→ 마스터 R47</v>
      </c>
      <c r="R32" s="152">
        <v>47</v>
      </c>
      <c r="S32" s="152" t="s">
        <v>72</v>
      </c>
    </row>
    <row r="33" spans="1:19" ht="48" customHeight="1" x14ac:dyDescent="0.3">
      <c r="A33" s="138" t="s">
        <v>110</v>
      </c>
      <c r="B33" s="138" t="s">
        <v>173</v>
      </c>
      <c r="C33" s="139" t="s">
        <v>111</v>
      </c>
      <c r="D33" s="139" t="s">
        <v>184</v>
      </c>
      <c r="E33" s="139"/>
      <c r="F33" s="140"/>
      <c r="G33" s="141" t="s">
        <v>71</v>
      </c>
      <c r="H33" s="142"/>
      <c r="I33" s="143" t="str">
        <f>IFERROR(IF(OR($F33="O",$G33="O",$H33="O"),CHOOSE(MATCH($A33,{"튜브","고압","진공","튜닝","조립","출하"},0),"T","H","V","N","A","P")&amp;IF($F33="O","R",IF($G33="O","A",IF($H33="O","F",""))),""),"")</f>
        <v>HA</v>
      </c>
      <c r="J33" s="144" t="s">
        <v>71</v>
      </c>
      <c r="K33" s="145" t="s">
        <v>71</v>
      </c>
      <c r="L33" s="146"/>
      <c r="M33" s="147"/>
      <c r="N33" s="148"/>
      <c r="O33" s="149"/>
      <c r="P33" s="150" t="str">
        <f t="shared" si="0"/>
        <v>34-HA</v>
      </c>
      <c r="Q33" s="151" t="str">
        <f>HYPERLINK("#'마스터_품목'!A48","→ 마스터 R48")</f>
        <v>→ 마스터 R48</v>
      </c>
      <c r="R33" s="152">
        <v>48</v>
      </c>
      <c r="S33" s="152" t="s">
        <v>72</v>
      </c>
    </row>
    <row r="34" spans="1:19" ht="48" customHeight="1" x14ac:dyDescent="0.3">
      <c r="A34" s="138" t="s">
        <v>110</v>
      </c>
      <c r="B34" s="138" t="s">
        <v>173</v>
      </c>
      <c r="C34" s="139" t="s">
        <v>117</v>
      </c>
      <c r="D34" s="139" t="s">
        <v>185</v>
      </c>
      <c r="E34" s="139"/>
      <c r="F34" s="140"/>
      <c r="G34" s="141" t="s">
        <v>71</v>
      </c>
      <c r="H34" s="142"/>
      <c r="I34" s="143" t="str">
        <f>IFERROR(IF(OR($F34="O",$G34="O",$H34="O"),CHOOSE(MATCH($A34,{"튜브","고압","진공","튜닝","조립","출하"},0),"T","H","V","N","A","P")&amp;IF($F34="O","R",IF($G34="O","A",IF($H34="O","F",""))),""),"")</f>
        <v>HA</v>
      </c>
      <c r="J34" s="144"/>
      <c r="K34" s="145"/>
      <c r="L34" s="146" t="s">
        <v>71</v>
      </c>
      <c r="M34" s="147"/>
      <c r="N34" s="148"/>
      <c r="O34" s="149"/>
      <c r="P34" s="150" t="str">
        <f t="shared" ref="P34:P65" si="1">IF($I34="","",IF($J34="O","3","")&amp;IF($K34="O","4","")&amp;IF($L34="O","6","")&amp;IF($M34="O","7","")&amp;IF($N34="O","8","")&amp;IF($O34="O","?","")&amp;IF(OR($J34="O",$K34="O",$L34="O",$M34="O",$N34="O",$O34="O"),"-","")&amp;$I34)</f>
        <v>6-HA</v>
      </c>
      <c r="Q34" s="151" t="str">
        <f>HYPERLINK("#'마스터_품목'!A49","→ 마스터 R49")</f>
        <v>→ 마스터 R49</v>
      </c>
      <c r="R34" s="152">
        <v>49</v>
      </c>
      <c r="S34" s="152" t="s">
        <v>72</v>
      </c>
    </row>
    <row r="35" spans="1:19" ht="48" customHeight="1" x14ac:dyDescent="0.3">
      <c r="A35" s="138" t="s">
        <v>110</v>
      </c>
      <c r="B35" s="138" t="s">
        <v>173</v>
      </c>
      <c r="C35" s="139" t="s">
        <v>182</v>
      </c>
      <c r="D35" s="139" t="s">
        <v>186</v>
      </c>
      <c r="E35" s="139"/>
      <c r="F35" s="140"/>
      <c r="G35" s="141" t="s">
        <v>71</v>
      </c>
      <c r="H35" s="142"/>
      <c r="I35" s="143" t="str">
        <f>IFERROR(IF(OR($F35="O",$G35="O",$H35="O"),CHOOSE(MATCH($A35,{"튜브","고압","진공","튜닝","조립","출하"},0),"T","H","V","N","A","P")&amp;IF($F35="O","R",IF($G35="O","A",IF($H35="O","F",""))),""),"")</f>
        <v>HA</v>
      </c>
      <c r="J35" s="144"/>
      <c r="K35" s="145"/>
      <c r="L35" s="146"/>
      <c r="M35" s="147"/>
      <c r="N35" s="148" t="s">
        <v>71</v>
      </c>
      <c r="O35" s="149"/>
      <c r="P35" s="150" t="str">
        <f t="shared" si="1"/>
        <v>8-HA</v>
      </c>
      <c r="Q35" s="151" t="str">
        <f>HYPERLINK("#'마스터_품목'!A50","→ 마스터 R50")</f>
        <v>→ 마스터 R50</v>
      </c>
      <c r="R35" s="152">
        <v>50</v>
      </c>
      <c r="S35" s="152" t="s">
        <v>72</v>
      </c>
    </row>
    <row r="36" spans="1:19" ht="48" customHeight="1" x14ac:dyDescent="0.3">
      <c r="A36" s="138" t="s">
        <v>110</v>
      </c>
      <c r="B36" s="138" t="s">
        <v>173</v>
      </c>
      <c r="C36" s="139" t="s">
        <v>117</v>
      </c>
      <c r="D36" s="139" t="s">
        <v>187</v>
      </c>
      <c r="E36" s="139"/>
      <c r="F36" s="140"/>
      <c r="G36" s="141" t="s">
        <v>71</v>
      </c>
      <c r="H36" s="142"/>
      <c r="I36" s="143" t="str">
        <f>IFERROR(IF(OR($F36="O",$G36="O",$H36="O"),CHOOSE(MATCH($A36,{"튜브","고압","진공","튜닝","조립","출하"},0),"T","H","V","N","A","P")&amp;IF($F36="O","R",IF($G36="O","A",IF($H36="O","F",""))),""),"")</f>
        <v>HA</v>
      </c>
      <c r="J36" s="144"/>
      <c r="K36" s="145"/>
      <c r="L36" s="146" t="s">
        <v>71</v>
      </c>
      <c r="M36" s="147"/>
      <c r="N36" s="148"/>
      <c r="O36" s="149"/>
      <c r="P36" s="150" t="str">
        <f t="shared" si="1"/>
        <v>6-HA</v>
      </c>
      <c r="Q36" s="151" t="str">
        <f>HYPERLINK("#'마스터_품목'!A51","→ 마스터 R51")</f>
        <v>→ 마스터 R51</v>
      </c>
      <c r="R36" s="152">
        <v>51</v>
      </c>
      <c r="S36" s="152" t="s">
        <v>72</v>
      </c>
    </row>
    <row r="37" spans="1:19" ht="48" customHeight="1" x14ac:dyDescent="0.3">
      <c r="A37" s="138" t="s">
        <v>110</v>
      </c>
      <c r="B37" s="138" t="s">
        <v>188</v>
      </c>
      <c r="C37" s="139" t="s">
        <v>111</v>
      </c>
      <c r="D37" s="139" t="s">
        <v>188</v>
      </c>
      <c r="E37" s="139" t="s">
        <v>189</v>
      </c>
      <c r="F37" s="140" t="s">
        <v>71</v>
      </c>
      <c r="G37" s="141"/>
      <c r="H37" s="142"/>
      <c r="I37" s="143" t="str">
        <f>IFERROR(IF(OR($F37="O",$G37="O",$H37="O"),CHOOSE(MATCH($A37,{"튜브","고압","진공","튜닝","조립","출하"},0),"T","H","V","N","A","P")&amp;IF($F37="O","R",IF($G37="O","A",IF($H37="O","F",""))),""),"")</f>
        <v>HR</v>
      </c>
      <c r="J37" s="144" t="s">
        <v>71</v>
      </c>
      <c r="K37" s="145" t="s">
        <v>71</v>
      </c>
      <c r="L37" s="146"/>
      <c r="M37" s="147"/>
      <c r="N37" s="148"/>
      <c r="O37" s="149"/>
      <c r="P37" s="150" t="str">
        <f t="shared" si="1"/>
        <v>34-HR</v>
      </c>
      <c r="Q37" s="151" t="str">
        <f>HYPERLINK("#'마스터_품목'!A52","→ 마스터 R52")</f>
        <v>→ 마스터 R52</v>
      </c>
      <c r="R37" s="152">
        <v>52</v>
      </c>
      <c r="S37" s="152" t="s">
        <v>72</v>
      </c>
    </row>
    <row r="38" spans="1:19" ht="48" customHeight="1" x14ac:dyDescent="0.3">
      <c r="A38" s="138" t="s">
        <v>110</v>
      </c>
      <c r="B38" s="138" t="s">
        <v>188</v>
      </c>
      <c r="C38" s="139" t="s">
        <v>153</v>
      </c>
      <c r="D38" s="139" t="s">
        <v>188</v>
      </c>
      <c r="E38" s="139" t="s">
        <v>190</v>
      </c>
      <c r="F38" s="140" t="s">
        <v>71</v>
      </c>
      <c r="G38" s="141"/>
      <c r="H38" s="142"/>
      <c r="I38" s="143" t="str">
        <f>IFERROR(IF(OR($F38="O",$G38="O",$H38="O"),CHOOSE(MATCH($A38,{"튜브","고압","진공","튜닝","조립","출하"},0),"T","H","V","N","A","P")&amp;IF($F38="O","R",IF($G38="O","A",IF($H38="O","F",""))),""),"")</f>
        <v>HR</v>
      </c>
      <c r="J38" s="144"/>
      <c r="K38" s="145"/>
      <c r="L38" s="146"/>
      <c r="M38" s="147" t="s">
        <v>71</v>
      </c>
      <c r="N38" s="148"/>
      <c r="O38" s="149"/>
      <c r="P38" s="150" t="str">
        <f t="shared" si="1"/>
        <v>7-HR</v>
      </c>
      <c r="Q38" s="151" t="str">
        <f>HYPERLINK("#'마스터_품목'!A53","→ 마스터 R53")</f>
        <v>→ 마스터 R53</v>
      </c>
      <c r="R38" s="152">
        <v>53</v>
      </c>
      <c r="S38" s="152" t="s">
        <v>72</v>
      </c>
    </row>
    <row r="39" spans="1:19" ht="48" customHeight="1" x14ac:dyDescent="0.3">
      <c r="A39" s="138" t="s">
        <v>110</v>
      </c>
      <c r="B39" s="138" t="s">
        <v>188</v>
      </c>
      <c r="C39" s="139" t="s">
        <v>182</v>
      </c>
      <c r="D39" s="139" t="s">
        <v>188</v>
      </c>
      <c r="E39" s="139"/>
      <c r="F39" s="140" t="s">
        <v>71</v>
      </c>
      <c r="G39" s="141"/>
      <c r="H39" s="142"/>
      <c r="I39" s="143" t="str">
        <f>IFERROR(IF(OR($F39="O",$G39="O",$H39="O"),CHOOSE(MATCH($A39,{"튜브","고압","진공","튜닝","조립","출하"},0),"T","H","V","N","A","P")&amp;IF($F39="O","R",IF($G39="O","A",IF($H39="O","F",""))),""),"")</f>
        <v>HR</v>
      </c>
      <c r="J39" s="144"/>
      <c r="K39" s="145"/>
      <c r="L39" s="146"/>
      <c r="M39" s="147"/>
      <c r="N39" s="148" t="s">
        <v>71</v>
      </c>
      <c r="O39" s="149"/>
      <c r="P39" s="150" t="str">
        <f t="shared" si="1"/>
        <v>8-HR</v>
      </c>
      <c r="Q39" s="151" t="str">
        <f>HYPERLINK("#'마스터_품목'!A54","→ 마스터 R54")</f>
        <v>→ 마스터 R54</v>
      </c>
      <c r="R39" s="152">
        <v>54</v>
      </c>
      <c r="S39" s="152" t="s">
        <v>72</v>
      </c>
    </row>
    <row r="40" spans="1:19" ht="48" customHeight="1" x14ac:dyDescent="0.3">
      <c r="A40" s="138" t="s">
        <v>110</v>
      </c>
      <c r="B40" s="138" t="s">
        <v>188</v>
      </c>
      <c r="C40" s="139" t="s">
        <v>117</v>
      </c>
      <c r="D40" s="139" t="s">
        <v>188</v>
      </c>
      <c r="E40" s="139" t="s">
        <v>191</v>
      </c>
      <c r="F40" s="140" t="s">
        <v>71</v>
      </c>
      <c r="G40" s="141"/>
      <c r="H40" s="142"/>
      <c r="I40" s="143" t="str">
        <f>IFERROR(IF(OR($F40="O",$G40="O",$H40="O"),CHOOSE(MATCH($A40,{"튜브","고압","진공","튜닝","조립","출하"},0),"T","H","V","N","A","P")&amp;IF($F40="O","R",IF($G40="O","A",IF($H40="O","F",""))),""),"")</f>
        <v>HR</v>
      </c>
      <c r="J40" s="144"/>
      <c r="K40" s="145"/>
      <c r="L40" s="146" t="s">
        <v>71</v>
      </c>
      <c r="M40" s="147"/>
      <c r="N40" s="148"/>
      <c r="O40" s="149"/>
      <c r="P40" s="150" t="str">
        <f t="shared" si="1"/>
        <v>6-HR</v>
      </c>
      <c r="Q40" s="151" t="str">
        <f>HYPERLINK("#'마스터_품목'!A55","→ 마스터 R55")</f>
        <v>→ 마스터 R55</v>
      </c>
      <c r="R40" s="152">
        <v>55</v>
      </c>
      <c r="S40" s="152" t="s">
        <v>72</v>
      </c>
    </row>
    <row r="41" spans="1:19" ht="48" customHeight="1" x14ac:dyDescent="0.3">
      <c r="A41" s="138" t="s">
        <v>110</v>
      </c>
      <c r="B41" s="138" t="s">
        <v>192</v>
      </c>
      <c r="C41" s="139" t="s">
        <v>111</v>
      </c>
      <c r="D41" s="139" t="s">
        <v>193</v>
      </c>
      <c r="E41" s="139" t="s">
        <v>194</v>
      </c>
      <c r="F41" s="140" t="s">
        <v>71</v>
      </c>
      <c r="G41" s="141"/>
      <c r="H41" s="142"/>
      <c r="I41" s="143" t="str">
        <f>IFERROR(IF(OR($F41="O",$G41="O",$H41="O"),CHOOSE(MATCH($A41,{"튜브","고압","진공","튜닝","조립","출하"},0),"T","H","V","N","A","P")&amp;IF($F41="O","R",IF($G41="O","A",IF($H41="O","F",""))),""),"")</f>
        <v>HR</v>
      </c>
      <c r="J41" s="144" t="s">
        <v>71</v>
      </c>
      <c r="K41" s="145" t="s">
        <v>71</v>
      </c>
      <c r="L41" s="146"/>
      <c r="M41" s="147"/>
      <c r="N41" s="148"/>
      <c r="O41" s="149"/>
      <c r="P41" s="150" t="str">
        <f t="shared" si="1"/>
        <v>34-HR</v>
      </c>
      <c r="Q41" s="151" t="str">
        <f>HYPERLINK("#'마스터_품목'!A56","→ 마스터 R56")</f>
        <v>→ 마스터 R56</v>
      </c>
      <c r="R41" s="152">
        <v>56</v>
      </c>
      <c r="S41" s="152" t="s">
        <v>72</v>
      </c>
    </row>
    <row r="42" spans="1:19" ht="48" customHeight="1" x14ac:dyDescent="0.3">
      <c r="A42" s="138" t="s">
        <v>110</v>
      </c>
      <c r="B42" s="138" t="s">
        <v>192</v>
      </c>
      <c r="C42" s="139" t="s">
        <v>195</v>
      </c>
      <c r="D42" s="139" t="s">
        <v>196</v>
      </c>
      <c r="E42" s="139" t="s">
        <v>197</v>
      </c>
      <c r="F42" s="140" t="s">
        <v>71</v>
      </c>
      <c r="G42" s="141"/>
      <c r="H42" s="142"/>
      <c r="I42" s="143" t="str">
        <f>IFERROR(IF(OR($F42="O",$G42="O",$H42="O"),CHOOSE(MATCH($A42,{"튜브","고압","진공","튜닝","조립","출하"},0),"T","H","V","N","A","P")&amp;IF($F42="O","R",IF($G42="O","A",IF($H42="O","F",""))),""),"")</f>
        <v>HR</v>
      </c>
      <c r="J42" s="144" t="s">
        <v>71</v>
      </c>
      <c r="K42" s="145"/>
      <c r="L42" s="146"/>
      <c r="M42" s="147"/>
      <c r="N42" s="148"/>
      <c r="O42" s="149"/>
      <c r="P42" s="150" t="str">
        <f t="shared" si="1"/>
        <v>3-HR</v>
      </c>
      <c r="Q42" s="151" t="str">
        <f>HYPERLINK("#'마스터_품목'!A57","→ 마스터 R57")</f>
        <v>→ 마스터 R57</v>
      </c>
      <c r="R42" s="152">
        <v>57</v>
      </c>
      <c r="S42" s="152" t="s">
        <v>72</v>
      </c>
    </row>
    <row r="43" spans="1:19" ht="48" customHeight="1" x14ac:dyDescent="0.3">
      <c r="A43" s="138" t="s">
        <v>110</v>
      </c>
      <c r="B43" s="138" t="s">
        <v>192</v>
      </c>
      <c r="C43" s="139" t="s">
        <v>198</v>
      </c>
      <c r="D43" s="139" t="s">
        <v>196</v>
      </c>
      <c r="E43" s="139" t="s">
        <v>199</v>
      </c>
      <c r="F43" s="140" t="s">
        <v>71</v>
      </c>
      <c r="G43" s="141"/>
      <c r="H43" s="142"/>
      <c r="I43" s="143" t="str">
        <f>IFERROR(IF(OR($F43="O",$G43="O",$H43="O"),CHOOSE(MATCH($A43,{"튜브","고압","진공","튜닝","조립","출하"},0),"T","H","V","N","A","P")&amp;IF($F43="O","R",IF($G43="O","A",IF($H43="O","F",""))),""),"")</f>
        <v>HR</v>
      </c>
      <c r="J43" s="144"/>
      <c r="K43" s="145" t="s">
        <v>71</v>
      </c>
      <c r="L43" s="146"/>
      <c r="M43" s="147"/>
      <c r="N43" s="148"/>
      <c r="O43" s="149"/>
      <c r="P43" s="150" t="str">
        <f t="shared" si="1"/>
        <v>4-HR</v>
      </c>
      <c r="Q43" s="151" t="str">
        <f>HYPERLINK("#'마스터_품목'!A58","→ 마스터 R58")</f>
        <v>→ 마스터 R58</v>
      </c>
      <c r="R43" s="152">
        <v>58</v>
      </c>
      <c r="S43" s="152" t="s">
        <v>72</v>
      </c>
    </row>
    <row r="44" spans="1:19" ht="48" customHeight="1" x14ac:dyDescent="0.3">
      <c r="A44" s="138" t="s">
        <v>110</v>
      </c>
      <c r="B44" s="138" t="s">
        <v>192</v>
      </c>
      <c r="C44" s="139" t="s">
        <v>153</v>
      </c>
      <c r="D44" s="139" t="s">
        <v>200</v>
      </c>
      <c r="E44" s="139" t="s">
        <v>201</v>
      </c>
      <c r="F44" s="140" t="s">
        <v>71</v>
      </c>
      <c r="G44" s="141"/>
      <c r="H44" s="142"/>
      <c r="I44" s="143" t="str">
        <f>IFERROR(IF(OR($F44="O",$G44="O",$H44="O"),CHOOSE(MATCH($A44,{"튜브","고압","진공","튜닝","조립","출하"},0),"T","H","V","N","A","P")&amp;IF($F44="O","R",IF($G44="O","A",IF($H44="O","F",""))),""),"")</f>
        <v>HR</v>
      </c>
      <c r="J44" s="144"/>
      <c r="K44" s="145"/>
      <c r="L44" s="146"/>
      <c r="M44" s="147" t="s">
        <v>71</v>
      </c>
      <c r="N44" s="148"/>
      <c r="O44" s="149"/>
      <c r="P44" s="150" t="str">
        <f t="shared" si="1"/>
        <v>7-HR</v>
      </c>
      <c r="Q44" s="151" t="str">
        <f>HYPERLINK("#'마스터_품목'!A59","→ 마스터 R59")</f>
        <v>→ 마스터 R59</v>
      </c>
      <c r="R44" s="152">
        <v>59</v>
      </c>
      <c r="S44" s="152" t="s">
        <v>72</v>
      </c>
    </row>
    <row r="45" spans="1:19" ht="48" customHeight="1" x14ac:dyDescent="0.3">
      <c r="A45" s="138" t="s">
        <v>110</v>
      </c>
      <c r="B45" s="138" t="s">
        <v>192</v>
      </c>
      <c r="C45" s="139" t="s">
        <v>117</v>
      </c>
      <c r="D45" s="139" t="s">
        <v>202</v>
      </c>
      <c r="E45" s="139" t="s">
        <v>203</v>
      </c>
      <c r="F45" s="140" t="s">
        <v>71</v>
      </c>
      <c r="G45" s="141"/>
      <c r="H45" s="142"/>
      <c r="I45" s="143" t="str">
        <f>IFERROR(IF(OR($F45="O",$G45="O",$H45="O"),CHOOSE(MATCH($A45,{"튜브","고압","진공","튜닝","조립","출하"},0),"T","H","V","N","A","P")&amp;IF($F45="O","R",IF($G45="O","A",IF($H45="O","F",""))),""),"")</f>
        <v>HR</v>
      </c>
      <c r="J45" s="144"/>
      <c r="K45" s="145"/>
      <c r="L45" s="146" t="s">
        <v>71</v>
      </c>
      <c r="M45" s="147"/>
      <c r="N45" s="148"/>
      <c r="O45" s="149"/>
      <c r="P45" s="150" t="str">
        <f t="shared" si="1"/>
        <v>6-HR</v>
      </c>
      <c r="Q45" s="151" t="str">
        <f>HYPERLINK("#'마스터_품목'!A60","→ 마스터 R60")</f>
        <v>→ 마스터 R60</v>
      </c>
      <c r="R45" s="152">
        <v>60</v>
      </c>
      <c r="S45" s="152" t="s">
        <v>72</v>
      </c>
    </row>
    <row r="46" spans="1:19" ht="48" customHeight="1" x14ac:dyDescent="0.3">
      <c r="A46" s="138" t="s">
        <v>110</v>
      </c>
      <c r="B46" s="138" t="s">
        <v>192</v>
      </c>
      <c r="C46" s="139" t="s">
        <v>117</v>
      </c>
      <c r="D46" s="139" t="s">
        <v>204</v>
      </c>
      <c r="E46" s="139" t="s">
        <v>205</v>
      </c>
      <c r="F46" s="140" t="s">
        <v>71</v>
      </c>
      <c r="G46" s="141"/>
      <c r="H46" s="142"/>
      <c r="I46" s="143" t="str">
        <f>IFERROR(IF(OR($F46="O",$G46="O",$H46="O"),CHOOSE(MATCH($A46,{"튜브","고압","진공","튜닝","조립","출하"},0),"T","H","V","N","A","P")&amp;IF($F46="O","R",IF($G46="O","A",IF($H46="O","F",""))),""),"")</f>
        <v>HR</v>
      </c>
      <c r="J46" s="144"/>
      <c r="K46" s="145"/>
      <c r="L46" s="146" t="s">
        <v>71</v>
      </c>
      <c r="M46" s="147"/>
      <c r="N46" s="148"/>
      <c r="O46" s="149"/>
      <c r="P46" s="150" t="str">
        <f t="shared" si="1"/>
        <v>6-HR</v>
      </c>
      <c r="Q46" s="151" t="str">
        <f>HYPERLINK("#'마스터_품목'!A61","→ 마스터 R61")</f>
        <v>→ 마스터 R61</v>
      </c>
      <c r="R46" s="152">
        <v>61</v>
      </c>
      <c r="S46" s="152" t="s">
        <v>72</v>
      </c>
    </row>
    <row r="47" spans="1:19" ht="48" customHeight="1" x14ac:dyDescent="0.3">
      <c r="A47" s="138" t="s">
        <v>110</v>
      </c>
      <c r="B47" s="138" t="s">
        <v>192</v>
      </c>
      <c r="C47" s="139" t="s">
        <v>111</v>
      </c>
      <c r="D47" s="139" t="s">
        <v>206</v>
      </c>
      <c r="E47" s="139" t="s">
        <v>207</v>
      </c>
      <c r="F47" s="140" t="s">
        <v>71</v>
      </c>
      <c r="G47" s="141"/>
      <c r="H47" s="142"/>
      <c r="I47" s="143" t="str">
        <f>IFERROR(IF(OR($F47="O",$G47="O",$H47="O"),CHOOSE(MATCH($A47,{"튜브","고압","진공","튜닝","조립","출하"},0),"T","H","V","N","A","P")&amp;IF($F47="O","R",IF($G47="O","A",IF($H47="O","F",""))),""),"")</f>
        <v>HR</v>
      </c>
      <c r="J47" s="144" t="s">
        <v>71</v>
      </c>
      <c r="K47" s="145" t="s">
        <v>71</v>
      </c>
      <c r="L47" s="146"/>
      <c r="M47" s="147"/>
      <c r="N47" s="148"/>
      <c r="O47" s="149"/>
      <c r="P47" s="150" t="str">
        <f t="shared" si="1"/>
        <v>34-HR</v>
      </c>
      <c r="Q47" s="151" t="str">
        <f>HYPERLINK("#'마스터_품목'!A62","→ 마스터 R62")</f>
        <v>→ 마스터 R62</v>
      </c>
      <c r="R47" s="152">
        <v>62</v>
      </c>
      <c r="S47" s="152" t="s">
        <v>72</v>
      </c>
    </row>
    <row r="48" spans="1:19" ht="48" customHeight="1" x14ac:dyDescent="0.3">
      <c r="A48" s="138" t="s">
        <v>110</v>
      </c>
      <c r="B48" s="138" t="s">
        <v>192</v>
      </c>
      <c r="C48" s="139" t="s">
        <v>195</v>
      </c>
      <c r="D48" s="139" t="s">
        <v>208</v>
      </c>
      <c r="E48" s="139" t="s">
        <v>209</v>
      </c>
      <c r="F48" s="140" t="s">
        <v>71</v>
      </c>
      <c r="G48" s="141"/>
      <c r="H48" s="142"/>
      <c r="I48" s="143" t="str">
        <f>IFERROR(IF(OR($F48="O",$G48="O",$H48="O"),CHOOSE(MATCH($A48,{"튜브","고압","진공","튜닝","조립","출하"},0),"T","H","V","N","A","P")&amp;IF($F48="O","R",IF($G48="O","A",IF($H48="O","F",""))),""),"")</f>
        <v>HR</v>
      </c>
      <c r="J48" s="144" t="s">
        <v>71</v>
      </c>
      <c r="K48" s="145"/>
      <c r="L48" s="146"/>
      <c r="M48" s="147"/>
      <c r="N48" s="148"/>
      <c r="O48" s="149"/>
      <c r="P48" s="150" t="str">
        <f t="shared" si="1"/>
        <v>3-HR</v>
      </c>
      <c r="Q48" s="151" t="str">
        <f>HYPERLINK("#'마스터_품목'!A63","→ 마스터 R63")</f>
        <v>→ 마스터 R63</v>
      </c>
      <c r="R48" s="152">
        <v>63</v>
      </c>
      <c r="S48" s="152" t="s">
        <v>72</v>
      </c>
    </row>
    <row r="49" spans="1:19" ht="48" customHeight="1" x14ac:dyDescent="0.3">
      <c r="A49" s="138" t="s">
        <v>110</v>
      </c>
      <c r="B49" s="138" t="s">
        <v>192</v>
      </c>
      <c r="C49" s="139" t="s">
        <v>153</v>
      </c>
      <c r="D49" s="139" t="s">
        <v>210</v>
      </c>
      <c r="E49" s="139" t="s">
        <v>211</v>
      </c>
      <c r="F49" s="140" t="s">
        <v>71</v>
      </c>
      <c r="G49" s="141"/>
      <c r="H49" s="142"/>
      <c r="I49" s="143" t="str">
        <f>IFERROR(IF(OR($F49="O",$G49="O",$H49="O"),CHOOSE(MATCH($A49,{"튜브","고압","진공","튜닝","조립","출하"},0),"T","H","V","N","A","P")&amp;IF($F49="O","R",IF($G49="O","A",IF($H49="O","F",""))),""),"")</f>
        <v>HR</v>
      </c>
      <c r="J49" s="144"/>
      <c r="K49" s="145"/>
      <c r="L49" s="146"/>
      <c r="M49" s="147" t="s">
        <v>71</v>
      </c>
      <c r="N49" s="148"/>
      <c r="O49" s="149"/>
      <c r="P49" s="150" t="str">
        <f t="shared" si="1"/>
        <v>7-HR</v>
      </c>
      <c r="Q49" s="151" t="str">
        <f>HYPERLINK("#'마스터_품목'!A64","→ 마스터 R64")</f>
        <v>→ 마스터 R64</v>
      </c>
      <c r="R49" s="152">
        <v>64</v>
      </c>
      <c r="S49" s="152" t="s">
        <v>72</v>
      </c>
    </row>
    <row r="50" spans="1:19" ht="48" customHeight="1" x14ac:dyDescent="0.3">
      <c r="A50" s="138" t="s">
        <v>110</v>
      </c>
      <c r="B50" s="138" t="s">
        <v>192</v>
      </c>
      <c r="C50" s="139" t="s">
        <v>182</v>
      </c>
      <c r="D50" s="139" t="s">
        <v>212</v>
      </c>
      <c r="E50" s="139" t="s">
        <v>213</v>
      </c>
      <c r="F50" s="140" t="s">
        <v>71</v>
      </c>
      <c r="G50" s="141"/>
      <c r="H50" s="142"/>
      <c r="I50" s="143" t="str">
        <f>IFERROR(IF(OR($F50="O",$G50="O",$H50="O"),CHOOSE(MATCH($A50,{"튜브","고압","진공","튜닝","조립","출하"},0),"T","H","V","N","A","P")&amp;IF($F50="O","R",IF($G50="O","A",IF($H50="O","F",""))),""),"")</f>
        <v>HR</v>
      </c>
      <c r="J50" s="144"/>
      <c r="K50" s="145"/>
      <c r="L50" s="146"/>
      <c r="M50" s="147"/>
      <c r="N50" s="148" t="s">
        <v>71</v>
      </c>
      <c r="O50" s="149"/>
      <c r="P50" s="150" t="str">
        <f t="shared" si="1"/>
        <v>8-HR</v>
      </c>
      <c r="Q50" s="151" t="str">
        <f>HYPERLINK("#'마스터_품목'!A65","→ 마스터 R65")</f>
        <v>→ 마스터 R65</v>
      </c>
      <c r="R50" s="152">
        <v>65</v>
      </c>
      <c r="S50" s="152" t="s">
        <v>72</v>
      </c>
    </row>
    <row r="51" spans="1:19" ht="48" customHeight="1" x14ac:dyDescent="0.3">
      <c r="A51" s="138" t="s">
        <v>110</v>
      </c>
      <c r="B51" s="138" t="s">
        <v>192</v>
      </c>
      <c r="C51" s="139" t="s">
        <v>153</v>
      </c>
      <c r="D51" s="139" t="s">
        <v>214</v>
      </c>
      <c r="E51" s="139" t="s">
        <v>215</v>
      </c>
      <c r="F51" s="140" t="s">
        <v>71</v>
      </c>
      <c r="G51" s="141"/>
      <c r="H51" s="142"/>
      <c r="I51" s="143" t="str">
        <f>IFERROR(IF(OR($F51="O",$G51="O",$H51="O"),CHOOSE(MATCH($A51,{"튜브","고압","진공","튜닝","조립","출하"},0),"T","H","V","N","A","P")&amp;IF($F51="O","R",IF($G51="O","A",IF($H51="O","F",""))),""),"")</f>
        <v>HR</v>
      </c>
      <c r="J51" s="144"/>
      <c r="K51" s="145"/>
      <c r="L51" s="146"/>
      <c r="M51" s="147" t="s">
        <v>71</v>
      </c>
      <c r="N51" s="148"/>
      <c r="O51" s="149"/>
      <c r="P51" s="150" t="str">
        <f t="shared" si="1"/>
        <v>7-HR</v>
      </c>
      <c r="Q51" s="151" t="str">
        <f>HYPERLINK("#'마스터_품목'!A66","→ 마스터 R66")</f>
        <v>→ 마스터 R66</v>
      </c>
      <c r="R51" s="152">
        <v>66</v>
      </c>
      <c r="S51" s="152" t="s">
        <v>72</v>
      </c>
    </row>
    <row r="52" spans="1:19" ht="48" customHeight="1" x14ac:dyDescent="0.3">
      <c r="A52" s="138" t="s">
        <v>110</v>
      </c>
      <c r="B52" s="138" t="s">
        <v>192</v>
      </c>
      <c r="C52" s="139" t="s">
        <v>153</v>
      </c>
      <c r="D52" s="139" t="s">
        <v>216</v>
      </c>
      <c r="E52" s="139"/>
      <c r="F52" s="140" t="s">
        <v>71</v>
      </c>
      <c r="G52" s="141"/>
      <c r="H52" s="142"/>
      <c r="I52" s="143" t="str">
        <f>IFERROR(IF(OR($F52="O",$G52="O",$H52="O"),CHOOSE(MATCH($A52,{"튜브","고압","진공","튜닝","조립","출하"},0),"T","H","V","N","A","P")&amp;IF($F52="O","R",IF($G52="O","A",IF($H52="O","F",""))),""),"")</f>
        <v>HR</v>
      </c>
      <c r="J52" s="144"/>
      <c r="K52" s="145"/>
      <c r="L52" s="146"/>
      <c r="M52" s="147" t="s">
        <v>71</v>
      </c>
      <c r="N52" s="148"/>
      <c r="O52" s="149"/>
      <c r="P52" s="150" t="str">
        <f t="shared" si="1"/>
        <v>7-HR</v>
      </c>
      <c r="Q52" s="151" t="str">
        <f>HYPERLINK("#'마스터_품목'!A67","→ 마스터 R67")</f>
        <v>→ 마스터 R67</v>
      </c>
      <c r="R52" s="152">
        <v>67</v>
      </c>
      <c r="S52" s="152" t="s">
        <v>72</v>
      </c>
    </row>
    <row r="53" spans="1:19" ht="48" customHeight="1" x14ac:dyDescent="0.3">
      <c r="A53" s="138" t="s">
        <v>110</v>
      </c>
      <c r="B53" s="138" t="s">
        <v>192</v>
      </c>
      <c r="C53" s="139" t="s">
        <v>217</v>
      </c>
      <c r="D53" s="139" t="s">
        <v>218</v>
      </c>
      <c r="E53" s="139"/>
      <c r="F53" s="140" t="s">
        <v>71</v>
      </c>
      <c r="G53" s="141"/>
      <c r="H53" s="142"/>
      <c r="I53" s="143" t="str">
        <f>IFERROR(IF(OR($F53="O",$G53="O",$H53="O"),CHOOSE(MATCH($A53,{"튜브","고압","진공","튜닝","조립","출하"},0),"T","H","V","N","A","P")&amp;IF($F53="O","R",IF($G53="O","A",IF($H53="O","F",""))),""),"")</f>
        <v>HR</v>
      </c>
      <c r="J53" s="144" t="s">
        <v>71</v>
      </c>
      <c r="K53" s="145"/>
      <c r="L53" s="146"/>
      <c r="M53" s="147"/>
      <c r="N53" s="148"/>
      <c r="O53" s="149"/>
      <c r="P53" s="150" t="str">
        <f t="shared" si="1"/>
        <v>3-HR</v>
      </c>
      <c r="Q53" s="151" t="str">
        <f>HYPERLINK("#'마스터_품목'!A68","→ 마스터 R68")</f>
        <v>→ 마스터 R68</v>
      </c>
      <c r="R53" s="152">
        <v>68</v>
      </c>
      <c r="S53" s="152" t="s">
        <v>72</v>
      </c>
    </row>
    <row r="54" spans="1:19" ht="48" customHeight="1" x14ac:dyDescent="0.3">
      <c r="A54" s="138" t="s">
        <v>110</v>
      </c>
      <c r="B54" s="138" t="s">
        <v>192</v>
      </c>
      <c r="C54" s="139" t="s">
        <v>117</v>
      </c>
      <c r="D54" s="139" t="s">
        <v>193</v>
      </c>
      <c r="E54" s="139" t="s">
        <v>219</v>
      </c>
      <c r="F54" s="140" t="s">
        <v>71</v>
      </c>
      <c r="G54" s="141"/>
      <c r="H54" s="142"/>
      <c r="I54" s="143" t="str">
        <f>IFERROR(IF(OR($F54="O",$G54="O",$H54="O"),CHOOSE(MATCH($A54,{"튜브","고압","진공","튜닝","조립","출하"},0),"T","H","V","N","A","P")&amp;IF($F54="O","R",IF($G54="O","A",IF($H54="O","F",""))),""),"")</f>
        <v>HR</v>
      </c>
      <c r="J54" s="144"/>
      <c r="K54" s="145"/>
      <c r="L54" s="146" t="s">
        <v>71</v>
      </c>
      <c r="M54" s="147"/>
      <c r="N54" s="148"/>
      <c r="O54" s="149"/>
      <c r="P54" s="150" t="str">
        <f t="shared" si="1"/>
        <v>6-HR</v>
      </c>
      <c r="Q54" s="151" t="str">
        <f>HYPERLINK("#'마스터_품목'!A69","→ 마스터 R69")</f>
        <v>→ 마스터 R69</v>
      </c>
      <c r="R54" s="152">
        <v>69</v>
      </c>
      <c r="S54" s="152" t="s">
        <v>72</v>
      </c>
    </row>
    <row r="55" spans="1:19" ht="48" customHeight="1" x14ac:dyDescent="0.3">
      <c r="A55" s="138" t="s">
        <v>110</v>
      </c>
      <c r="B55" s="138" t="s">
        <v>192</v>
      </c>
      <c r="C55" s="139" t="s">
        <v>117</v>
      </c>
      <c r="D55" s="139" t="s">
        <v>196</v>
      </c>
      <c r="E55" s="139" t="s">
        <v>220</v>
      </c>
      <c r="F55" s="140" t="s">
        <v>71</v>
      </c>
      <c r="G55" s="141"/>
      <c r="H55" s="142"/>
      <c r="I55" s="143" t="str">
        <f>IFERROR(IF(OR($F55="O",$G55="O",$H55="O"),CHOOSE(MATCH($A55,{"튜브","고압","진공","튜닝","조립","출하"},0),"T","H","V","N","A","P")&amp;IF($F55="O","R",IF($G55="O","A",IF($H55="O","F",""))),""),"")</f>
        <v>HR</v>
      </c>
      <c r="J55" s="144"/>
      <c r="K55" s="145"/>
      <c r="L55" s="146" t="s">
        <v>71</v>
      </c>
      <c r="M55" s="147"/>
      <c r="N55" s="148"/>
      <c r="O55" s="149"/>
      <c r="P55" s="150" t="str">
        <f t="shared" si="1"/>
        <v>6-HR</v>
      </c>
      <c r="Q55" s="151" t="str">
        <f>HYPERLINK("#'마스터_품목'!A70","→ 마스터 R70")</f>
        <v>→ 마스터 R70</v>
      </c>
      <c r="R55" s="152">
        <v>70</v>
      </c>
      <c r="S55" s="152" t="s">
        <v>72</v>
      </c>
    </row>
    <row r="56" spans="1:19" ht="48" customHeight="1" x14ac:dyDescent="0.3">
      <c r="A56" s="138" t="s">
        <v>164</v>
      </c>
      <c r="B56" s="138" t="s">
        <v>192</v>
      </c>
      <c r="C56" s="139" t="s">
        <v>111</v>
      </c>
      <c r="D56" s="139" t="s">
        <v>221</v>
      </c>
      <c r="E56" s="139" t="s">
        <v>222</v>
      </c>
      <c r="F56" s="140" t="s">
        <v>71</v>
      </c>
      <c r="G56" s="141"/>
      <c r="H56" s="142"/>
      <c r="I56" s="143" t="str">
        <f>IFERROR(IF(OR($F56="O",$G56="O",$H56="O"),CHOOSE(MATCH($A56,{"튜브","고압","진공","튜닝","조립","출하"},0),"T","H","V","N","A","P")&amp;IF($F56="O","R",IF($G56="O","A",IF($H56="O","F",""))),""),"")</f>
        <v>VR</v>
      </c>
      <c r="J56" s="144" t="s">
        <v>71</v>
      </c>
      <c r="K56" s="145" t="s">
        <v>71</v>
      </c>
      <c r="L56" s="146"/>
      <c r="M56" s="147"/>
      <c r="N56" s="148"/>
      <c r="O56" s="149"/>
      <c r="P56" s="150" t="str">
        <f t="shared" si="1"/>
        <v>34-VR</v>
      </c>
      <c r="Q56" s="151" t="str">
        <f>HYPERLINK("#'마스터_품목'!A95","→ 마스터 R95")</f>
        <v>→ 마스터 R95</v>
      </c>
      <c r="R56" s="152">
        <v>95</v>
      </c>
      <c r="S56" s="152" t="s">
        <v>72</v>
      </c>
    </row>
    <row r="57" spans="1:19" ht="48" customHeight="1" x14ac:dyDescent="0.3">
      <c r="A57" s="138" t="s">
        <v>164</v>
      </c>
      <c r="B57" s="138" t="s">
        <v>192</v>
      </c>
      <c r="C57" s="139" t="s">
        <v>117</v>
      </c>
      <c r="D57" s="139" t="s">
        <v>223</v>
      </c>
      <c r="E57" s="139" t="s">
        <v>224</v>
      </c>
      <c r="F57" s="140" t="s">
        <v>71</v>
      </c>
      <c r="G57" s="141"/>
      <c r="H57" s="142"/>
      <c r="I57" s="143" t="str">
        <f>IFERROR(IF(OR($F57="O",$G57="O",$H57="O"),CHOOSE(MATCH($A57,{"튜브","고압","진공","튜닝","조립","출하"},0),"T","H","V","N","A","P")&amp;IF($F57="O","R",IF($G57="O","A",IF($H57="O","F",""))),""),"")</f>
        <v>VR</v>
      </c>
      <c r="J57" s="144"/>
      <c r="K57" s="145"/>
      <c r="L57" s="146" t="s">
        <v>71</v>
      </c>
      <c r="M57" s="147"/>
      <c r="N57" s="148"/>
      <c r="O57" s="149"/>
      <c r="P57" s="150" t="str">
        <f t="shared" si="1"/>
        <v>6-VR</v>
      </c>
      <c r="Q57" s="151" t="str">
        <f>HYPERLINK("#'마스터_품목'!A96","→ 마스터 R96")</f>
        <v>→ 마스터 R96</v>
      </c>
      <c r="R57" s="152">
        <v>96</v>
      </c>
      <c r="S57" s="152" t="s">
        <v>72</v>
      </c>
    </row>
    <row r="58" spans="1:19" ht="48" customHeight="1" x14ac:dyDescent="0.3">
      <c r="A58" s="138" t="s">
        <v>164</v>
      </c>
      <c r="B58" s="138" t="s">
        <v>192</v>
      </c>
      <c r="C58" s="139" t="s">
        <v>117</v>
      </c>
      <c r="D58" s="139" t="s">
        <v>225</v>
      </c>
      <c r="E58" s="139" t="s">
        <v>226</v>
      </c>
      <c r="F58" s="140" t="s">
        <v>71</v>
      </c>
      <c r="G58" s="141"/>
      <c r="H58" s="142"/>
      <c r="I58" s="143" t="str">
        <f>IFERROR(IF(OR($F58="O",$G58="O",$H58="O"),CHOOSE(MATCH($A58,{"튜브","고압","진공","튜닝","조립","출하"},0),"T","H","V","N","A","P")&amp;IF($F58="O","R",IF($G58="O","A",IF($H58="O","F",""))),""),"")</f>
        <v>VR</v>
      </c>
      <c r="J58" s="144"/>
      <c r="K58" s="145"/>
      <c r="L58" s="146" t="s">
        <v>71</v>
      </c>
      <c r="M58" s="147"/>
      <c r="N58" s="148"/>
      <c r="O58" s="149"/>
      <c r="P58" s="150" t="str">
        <f t="shared" si="1"/>
        <v>6-VR</v>
      </c>
      <c r="Q58" s="151" t="str">
        <f>HYPERLINK("#'마스터_품목'!A97","→ 마스터 R97")</f>
        <v>→ 마스터 R97</v>
      </c>
      <c r="R58" s="152">
        <v>97</v>
      </c>
      <c r="S58" s="152" t="s">
        <v>72</v>
      </c>
    </row>
    <row r="59" spans="1:19" ht="48" customHeight="1" x14ac:dyDescent="0.3">
      <c r="A59" s="138" t="s">
        <v>164</v>
      </c>
      <c r="B59" s="138" t="s">
        <v>192</v>
      </c>
      <c r="C59" s="139" t="s">
        <v>153</v>
      </c>
      <c r="D59" s="139" t="s">
        <v>223</v>
      </c>
      <c r="E59" s="139"/>
      <c r="F59" s="140" t="s">
        <v>71</v>
      </c>
      <c r="G59" s="141"/>
      <c r="H59" s="142"/>
      <c r="I59" s="143" t="str">
        <f>IFERROR(IF(OR($F59="O",$G59="O",$H59="O"),CHOOSE(MATCH($A59,{"튜브","고압","진공","튜닝","조립","출하"},0),"T","H","V","N","A","P")&amp;IF($F59="O","R",IF($G59="O","A",IF($H59="O","F",""))),""),"")</f>
        <v>VR</v>
      </c>
      <c r="J59" s="144"/>
      <c r="K59" s="145"/>
      <c r="L59" s="146"/>
      <c r="M59" s="147" t="s">
        <v>71</v>
      </c>
      <c r="N59" s="148"/>
      <c r="O59" s="149"/>
      <c r="P59" s="150" t="str">
        <f t="shared" si="1"/>
        <v>7-VR</v>
      </c>
      <c r="Q59" s="151" t="str">
        <f>HYPERLINK("#'마스터_품목'!A98","→ 마스터 R98")</f>
        <v>→ 마스터 R98</v>
      </c>
      <c r="R59" s="152">
        <v>98</v>
      </c>
      <c r="S59" s="152" t="s">
        <v>72</v>
      </c>
    </row>
    <row r="60" spans="1:19" ht="48" customHeight="1" x14ac:dyDescent="0.3">
      <c r="A60" s="138" t="s">
        <v>164</v>
      </c>
      <c r="B60" s="138" t="s">
        <v>192</v>
      </c>
      <c r="C60" s="139" t="s">
        <v>195</v>
      </c>
      <c r="D60" s="139" t="s">
        <v>227</v>
      </c>
      <c r="E60" s="139" t="s">
        <v>228</v>
      </c>
      <c r="F60" s="140" t="s">
        <v>71</v>
      </c>
      <c r="G60" s="141"/>
      <c r="H60" s="142"/>
      <c r="I60" s="143" t="str">
        <f>IFERROR(IF(OR($F60="O",$G60="O",$H60="O"),CHOOSE(MATCH($A60,{"튜브","고압","진공","튜닝","조립","출하"},0),"T","H","V","N","A","P")&amp;IF($F60="O","R",IF($G60="O","A",IF($H60="O","F",""))),""),"")</f>
        <v>VR</v>
      </c>
      <c r="J60" s="144" t="s">
        <v>71</v>
      </c>
      <c r="K60" s="145"/>
      <c r="L60" s="146"/>
      <c r="M60" s="147"/>
      <c r="N60" s="148"/>
      <c r="O60" s="149"/>
      <c r="P60" s="150" t="str">
        <f t="shared" si="1"/>
        <v>3-VR</v>
      </c>
      <c r="Q60" s="151" t="str">
        <f>HYPERLINK("#'마스터_품목'!A99","→ 마스터 R99")</f>
        <v>→ 마스터 R99</v>
      </c>
      <c r="R60" s="152">
        <v>99</v>
      </c>
      <c r="S60" s="152" t="s">
        <v>72</v>
      </c>
    </row>
    <row r="61" spans="1:19" ht="48" customHeight="1" x14ac:dyDescent="0.3">
      <c r="A61" s="138" t="s">
        <v>164</v>
      </c>
      <c r="B61" s="138" t="s">
        <v>192</v>
      </c>
      <c r="C61" s="139" t="s">
        <v>182</v>
      </c>
      <c r="D61" s="139" t="s">
        <v>227</v>
      </c>
      <c r="E61" s="139" t="s">
        <v>229</v>
      </c>
      <c r="F61" s="140" t="s">
        <v>71</v>
      </c>
      <c r="G61" s="141"/>
      <c r="H61" s="142"/>
      <c r="I61" s="143" t="str">
        <f>IFERROR(IF(OR($F61="O",$G61="O",$H61="O"),CHOOSE(MATCH($A61,{"튜브","고압","진공","튜닝","조립","출하"},0),"T","H","V","N","A","P")&amp;IF($F61="O","R",IF($G61="O","A",IF($H61="O","F",""))),""),"")</f>
        <v>VR</v>
      </c>
      <c r="J61" s="144"/>
      <c r="K61" s="145"/>
      <c r="L61" s="146"/>
      <c r="M61" s="147"/>
      <c r="N61" s="148" t="s">
        <v>71</v>
      </c>
      <c r="O61" s="149"/>
      <c r="P61" s="150" t="str">
        <f t="shared" si="1"/>
        <v>8-VR</v>
      </c>
      <c r="Q61" s="151" t="str">
        <f>HYPERLINK("#'마스터_품목'!A100","→ 마스터 R100")</f>
        <v>→ 마스터 R100</v>
      </c>
      <c r="R61" s="152">
        <v>100</v>
      </c>
      <c r="S61" s="152" t="s">
        <v>72</v>
      </c>
    </row>
    <row r="62" spans="1:19" ht="48" customHeight="1" x14ac:dyDescent="0.3">
      <c r="A62" s="138" t="s">
        <v>164</v>
      </c>
      <c r="B62" s="138" t="s">
        <v>192</v>
      </c>
      <c r="C62" s="139" t="s">
        <v>217</v>
      </c>
      <c r="D62" s="139" t="s">
        <v>225</v>
      </c>
      <c r="E62" s="139"/>
      <c r="F62" s="140" t="s">
        <v>71</v>
      </c>
      <c r="G62" s="141"/>
      <c r="H62" s="142"/>
      <c r="I62" s="143" t="str">
        <f>IFERROR(IF(OR($F62="O",$G62="O",$H62="O"),CHOOSE(MATCH($A62,{"튜브","고압","진공","튜닝","조립","출하"},0),"T","H","V","N","A","P")&amp;IF($F62="O","R",IF($G62="O","A",IF($H62="O","F",""))),""),"")</f>
        <v>VR</v>
      </c>
      <c r="J62" s="144" t="s">
        <v>71</v>
      </c>
      <c r="K62" s="145"/>
      <c r="L62" s="146"/>
      <c r="M62" s="147"/>
      <c r="N62" s="148"/>
      <c r="O62" s="149"/>
      <c r="P62" s="150" t="str">
        <f t="shared" si="1"/>
        <v>3-VR</v>
      </c>
      <c r="Q62" s="151" t="str">
        <f>HYPERLINK("#'마스터_품목'!A101","→ 마스터 R101")</f>
        <v>→ 마스터 R101</v>
      </c>
      <c r="R62" s="152">
        <v>101</v>
      </c>
      <c r="S62" s="152" t="s">
        <v>72</v>
      </c>
    </row>
    <row r="63" spans="1:19" ht="48" customHeight="1" x14ac:dyDescent="0.3">
      <c r="A63" s="138" t="s">
        <v>164</v>
      </c>
      <c r="B63" s="138" t="s">
        <v>192</v>
      </c>
      <c r="C63" s="139" t="s">
        <v>195</v>
      </c>
      <c r="D63" s="139" t="s">
        <v>230</v>
      </c>
      <c r="E63" s="139" t="s">
        <v>231</v>
      </c>
      <c r="F63" s="140" t="s">
        <v>71</v>
      </c>
      <c r="G63" s="141"/>
      <c r="H63" s="142"/>
      <c r="I63" s="143" t="str">
        <f>IFERROR(IF(OR($F63="O",$G63="O",$H63="O"),CHOOSE(MATCH($A63,{"튜브","고압","진공","튜닝","조립","출하"},0),"T","H","V","N","A","P")&amp;IF($F63="O","R",IF($G63="O","A",IF($H63="O","F",""))),""),"")</f>
        <v>VR</v>
      </c>
      <c r="J63" s="144" t="s">
        <v>71</v>
      </c>
      <c r="K63" s="145"/>
      <c r="L63" s="146"/>
      <c r="M63" s="147"/>
      <c r="N63" s="148"/>
      <c r="O63" s="149"/>
      <c r="P63" s="150" t="str">
        <f t="shared" si="1"/>
        <v>3-VR</v>
      </c>
      <c r="Q63" s="151" t="str">
        <f>HYPERLINK("#'마스터_품목'!A102","→ 마스터 R102")</f>
        <v>→ 마스터 R102</v>
      </c>
      <c r="R63" s="152">
        <v>102</v>
      </c>
      <c r="S63" s="152" t="s">
        <v>72</v>
      </c>
    </row>
    <row r="64" spans="1:19" ht="48" customHeight="1" x14ac:dyDescent="0.3">
      <c r="A64" s="138" t="s">
        <v>164</v>
      </c>
      <c r="B64" s="138" t="s">
        <v>192</v>
      </c>
      <c r="C64" s="139" t="s">
        <v>195</v>
      </c>
      <c r="D64" s="139" t="s">
        <v>232</v>
      </c>
      <c r="E64" s="139" t="s">
        <v>233</v>
      </c>
      <c r="F64" s="140" t="s">
        <v>71</v>
      </c>
      <c r="G64" s="141"/>
      <c r="H64" s="142"/>
      <c r="I64" s="143" t="str">
        <f>IFERROR(IF(OR($F64="O",$G64="O",$H64="O"),CHOOSE(MATCH($A64,{"튜브","고압","진공","튜닝","조립","출하"},0),"T","H","V","N","A","P")&amp;IF($F64="O","R",IF($G64="O","A",IF($H64="O","F",""))),""),"")</f>
        <v>VR</v>
      </c>
      <c r="J64" s="144" t="s">
        <v>71</v>
      </c>
      <c r="K64" s="145"/>
      <c r="L64" s="146"/>
      <c r="M64" s="147"/>
      <c r="N64" s="148"/>
      <c r="O64" s="149"/>
      <c r="P64" s="150" t="str">
        <f t="shared" si="1"/>
        <v>3-VR</v>
      </c>
      <c r="Q64" s="151" t="str">
        <f>HYPERLINK("#'마스터_품목'!A103","→ 마스터 R103")</f>
        <v>→ 마스터 R103</v>
      </c>
      <c r="R64" s="152">
        <v>103</v>
      </c>
      <c r="S64" s="152" t="s">
        <v>72</v>
      </c>
    </row>
    <row r="65" spans="1:19" ht="48" customHeight="1" x14ac:dyDescent="0.3">
      <c r="A65" s="138" t="s">
        <v>164</v>
      </c>
      <c r="B65" s="138" t="s">
        <v>192</v>
      </c>
      <c r="C65" s="139" t="s">
        <v>195</v>
      </c>
      <c r="D65" s="139" t="s">
        <v>234</v>
      </c>
      <c r="E65" s="139" t="s">
        <v>235</v>
      </c>
      <c r="F65" s="140" t="s">
        <v>71</v>
      </c>
      <c r="G65" s="141"/>
      <c r="H65" s="142"/>
      <c r="I65" s="143" t="str">
        <f>IFERROR(IF(OR($F65="O",$G65="O",$H65="O"),CHOOSE(MATCH($A65,{"튜브","고압","진공","튜닝","조립","출하"},0),"T","H","V","N","A","P")&amp;IF($F65="O","R",IF($G65="O","A",IF($H65="O","F",""))),""),"")</f>
        <v>VR</v>
      </c>
      <c r="J65" s="144" t="s">
        <v>71</v>
      </c>
      <c r="K65" s="145"/>
      <c r="L65" s="146"/>
      <c r="M65" s="147"/>
      <c r="N65" s="148"/>
      <c r="O65" s="149"/>
      <c r="P65" s="150" t="str">
        <f t="shared" si="1"/>
        <v>3-VR</v>
      </c>
      <c r="Q65" s="151" t="str">
        <f>HYPERLINK("#'마스터_품목'!A104","→ 마스터 R104")</f>
        <v>→ 마스터 R104</v>
      </c>
      <c r="R65" s="152">
        <v>104</v>
      </c>
      <c r="S65" s="152" t="s">
        <v>72</v>
      </c>
    </row>
    <row r="66" spans="1:19" ht="48" customHeight="1" x14ac:dyDescent="0.3">
      <c r="A66" s="138" t="s">
        <v>164</v>
      </c>
      <c r="B66" s="138" t="s">
        <v>192</v>
      </c>
      <c r="C66" s="139" t="s">
        <v>198</v>
      </c>
      <c r="D66" s="139" t="s">
        <v>236</v>
      </c>
      <c r="E66" s="139"/>
      <c r="F66" s="140" t="s">
        <v>71</v>
      </c>
      <c r="G66" s="141"/>
      <c r="H66" s="142"/>
      <c r="I66" s="143" t="str">
        <f>IFERROR(IF(OR($F66="O",$G66="O",$H66="O"),CHOOSE(MATCH($A66,{"튜브","고압","진공","튜닝","조립","출하"},0),"T","H","V","N","A","P")&amp;IF($F66="O","R",IF($G66="O","A",IF($H66="O","F",""))),""),"")</f>
        <v>VR</v>
      </c>
      <c r="J66" s="144"/>
      <c r="K66" s="145" t="s">
        <v>71</v>
      </c>
      <c r="L66" s="146"/>
      <c r="M66" s="147"/>
      <c r="N66" s="148"/>
      <c r="O66" s="149"/>
      <c r="P66" s="150" t="str">
        <f t="shared" ref="P66:P97" si="2">IF($I66="","",IF($J66="O","3","")&amp;IF($K66="O","4","")&amp;IF($L66="O","6","")&amp;IF($M66="O","7","")&amp;IF($N66="O","8","")&amp;IF($O66="O","?","")&amp;IF(OR($J66="O",$K66="O",$L66="O",$M66="O",$N66="O",$O66="O"),"-","")&amp;$I66)</f>
        <v>4-VR</v>
      </c>
      <c r="Q66" s="151" t="str">
        <f>HYPERLINK("#'마스터_품목'!A105","→ 마스터 R105")</f>
        <v>→ 마스터 R105</v>
      </c>
      <c r="R66" s="152">
        <v>105</v>
      </c>
      <c r="S66" s="152" t="s">
        <v>72</v>
      </c>
    </row>
    <row r="67" spans="1:19" ht="48" customHeight="1" x14ac:dyDescent="0.3">
      <c r="A67" s="138" t="s">
        <v>164</v>
      </c>
      <c r="B67" s="138" t="s">
        <v>192</v>
      </c>
      <c r="C67" s="139" t="s">
        <v>153</v>
      </c>
      <c r="D67" s="139" t="s">
        <v>237</v>
      </c>
      <c r="E67" s="139"/>
      <c r="F67" s="140" t="s">
        <v>71</v>
      </c>
      <c r="G67" s="141"/>
      <c r="H67" s="142"/>
      <c r="I67" s="143" t="str">
        <f>IFERROR(IF(OR($F67="O",$G67="O",$H67="O"),CHOOSE(MATCH($A67,{"튜브","고압","진공","튜닝","조립","출하"},0),"T","H","V","N","A","P")&amp;IF($F67="O","R",IF($G67="O","A",IF($H67="O","F",""))),""),"")</f>
        <v>VR</v>
      </c>
      <c r="J67" s="144"/>
      <c r="K67" s="145"/>
      <c r="L67" s="146"/>
      <c r="M67" s="147" t="s">
        <v>71</v>
      </c>
      <c r="N67" s="148"/>
      <c r="O67" s="149"/>
      <c r="P67" s="150" t="str">
        <f t="shared" si="2"/>
        <v>7-VR</v>
      </c>
      <c r="Q67" s="151" t="str">
        <f>HYPERLINK("#'마스터_품목'!A106","→ 마스터 R106")</f>
        <v>→ 마스터 R106</v>
      </c>
      <c r="R67" s="152">
        <v>106</v>
      </c>
      <c r="S67" s="152" t="s">
        <v>72</v>
      </c>
    </row>
    <row r="68" spans="1:19" ht="48" customHeight="1" x14ac:dyDescent="0.3">
      <c r="A68" s="138" t="s">
        <v>164</v>
      </c>
      <c r="B68" s="138" t="s">
        <v>192</v>
      </c>
      <c r="C68" s="139" t="s">
        <v>182</v>
      </c>
      <c r="D68" s="139" t="s">
        <v>238</v>
      </c>
      <c r="E68" s="139"/>
      <c r="F68" s="140" t="s">
        <v>71</v>
      </c>
      <c r="G68" s="141"/>
      <c r="H68" s="142"/>
      <c r="I68" s="143" t="str">
        <f>IFERROR(IF(OR($F68="O",$G68="O",$H68="O"),CHOOSE(MATCH($A68,{"튜브","고압","진공","튜닝","조립","출하"},0),"T","H","V","N","A","P")&amp;IF($F68="O","R",IF($G68="O","A",IF($H68="O","F",""))),""),"")</f>
        <v>VR</v>
      </c>
      <c r="J68" s="144"/>
      <c r="K68" s="145"/>
      <c r="L68" s="146"/>
      <c r="M68" s="147"/>
      <c r="N68" s="148" t="s">
        <v>71</v>
      </c>
      <c r="O68" s="149"/>
      <c r="P68" s="150" t="str">
        <f t="shared" si="2"/>
        <v>8-VR</v>
      </c>
      <c r="Q68" s="151" t="str">
        <f>HYPERLINK("#'마스터_품목'!A107","→ 마스터 R107")</f>
        <v>→ 마스터 R107</v>
      </c>
      <c r="R68" s="152">
        <v>107</v>
      </c>
      <c r="S68" s="152" t="s">
        <v>72</v>
      </c>
    </row>
    <row r="69" spans="1:19" ht="48" customHeight="1" x14ac:dyDescent="0.3">
      <c r="A69" s="138" t="s">
        <v>164</v>
      </c>
      <c r="B69" s="138" t="s">
        <v>192</v>
      </c>
      <c r="C69" s="139" t="s">
        <v>217</v>
      </c>
      <c r="D69" s="139" t="s">
        <v>239</v>
      </c>
      <c r="E69" s="139"/>
      <c r="F69" s="140" t="s">
        <v>71</v>
      </c>
      <c r="G69" s="141"/>
      <c r="H69" s="142"/>
      <c r="I69" s="143" t="str">
        <f>IFERROR(IF(OR($F69="O",$G69="O",$H69="O"),CHOOSE(MATCH($A69,{"튜브","고압","진공","튜닝","조립","출하"},0),"T","H","V","N","A","P")&amp;IF($F69="O","R",IF($G69="O","A",IF($H69="O","F",""))),""),"")</f>
        <v>VR</v>
      </c>
      <c r="J69" s="144" t="s">
        <v>71</v>
      </c>
      <c r="K69" s="145"/>
      <c r="L69" s="146"/>
      <c r="M69" s="147"/>
      <c r="N69" s="148"/>
      <c r="O69" s="149"/>
      <c r="P69" s="150" t="str">
        <f t="shared" si="2"/>
        <v>3-VR</v>
      </c>
      <c r="Q69" s="151" t="str">
        <f>HYPERLINK("#'마스터_품목'!A108","→ 마스터 R108")</f>
        <v>→ 마스터 R108</v>
      </c>
      <c r="R69" s="152">
        <v>108</v>
      </c>
      <c r="S69" s="152" t="s">
        <v>72</v>
      </c>
    </row>
    <row r="70" spans="1:19" ht="48" customHeight="1" x14ac:dyDescent="0.3">
      <c r="A70" s="138" t="s">
        <v>240</v>
      </c>
      <c r="B70" s="138" t="s">
        <v>192</v>
      </c>
      <c r="C70" s="139" t="s">
        <v>117</v>
      </c>
      <c r="D70" s="139" t="s">
        <v>241</v>
      </c>
      <c r="E70" s="139"/>
      <c r="F70" s="140" t="s">
        <v>71</v>
      </c>
      <c r="G70" s="141"/>
      <c r="H70" s="142"/>
      <c r="I70" s="143" t="str">
        <f>IFERROR(IF(OR($F70="O",$G70="O",$H70="O"),CHOOSE(MATCH($A70,{"튜브","고압","진공","튜닝","조립","출하"},0),"T","H","V","N","A","P")&amp;IF($F70="O","R",IF($G70="O","A",IF($H70="O","F",""))),""),"")</f>
        <v>NR</v>
      </c>
      <c r="J70" s="144"/>
      <c r="K70" s="145"/>
      <c r="L70" s="146" t="s">
        <v>71</v>
      </c>
      <c r="M70" s="147"/>
      <c r="N70" s="148"/>
      <c r="O70" s="149"/>
      <c r="P70" s="150" t="str">
        <f t="shared" si="2"/>
        <v>6-NR</v>
      </c>
      <c r="Q70" s="151" t="str">
        <f>HYPERLINK("#'마스터_품목'!A159","→ 마스터 R159")</f>
        <v>→ 마스터 R159</v>
      </c>
      <c r="R70" s="152">
        <v>159</v>
      </c>
      <c r="S70" s="152" t="s">
        <v>72</v>
      </c>
    </row>
    <row r="71" spans="1:19" ht="48" customHeight="1" x14ac:dyDescent="0.3">
      <c r="A71" s="138" t="s">
        <v>240</v>
      </c>
      <c r="B71" s="138" t="s">
        <v>192</v>
      </c>
      <c r="C71" s="139" t="s">
        <v>153</v>
      </c>
      <c r="D71" s="139" t="s">
        <v>242</v>
      </c>
      <c r="E71" s="139" t="s">
        <v>243</v>
      </c>
      <c r="F71" s="140" t="s">
        <v>71</v>
      </c>
      <c r="G71" s="141"/>
      <c r="H71" s="142"/>
      <c r="I71" s="143" t="str">
        <f>IFERROR(IF(OR($F71="O",$G71="O",$H71="O"),CHOOSE(MATCH($A71,{"튜브","고압","진공","튜닝","조립","출하"},0),"T","H","V","N","A","P")&amp;IF($F71="O","R",IF($G71="O","A",IF($H71="O","F",""))),""),"")</f>
        <v>NR</v>
      </c>
      <c r="J71" s="144"/>
      <c r="K71" s="145"/>
      <c r="L71" s="146"/>
      <c r="M71" s="147" t="s">
        <v>71</v>
      </c>
      <c r="N71" s="148"/>
      <c r="O71" s="149"/>
      <c r="P71" s="150" t="str">
        <f t="shared" si="2"/>
        <v>7-NR</v>
      </c>
      <c r="Q71" s="151" t="str">
        <f>HYPERLINK("#'마스터_품목'!A160","→ 마스터 R160")</f>
        <v>→ 마스터 R160</v>
      </c>
      <c r="R71" s="152">
        <v>160</v>
      </c>
      <c r="S71" s="152" t="s">
        <v>72</v>
      </c>
    </row>
    <row r="72" spans="1:19" ht="48" customHeight="1" x14ac:dyDescent="0.3">
      <c r="A72" s="138" t="s">
        <v>110</v>
      </c>
      <c r="B72" s="138" t="s">
        <v>244</v>
      </c>
      <c r="C72" s="139" t="s">
        <v>111</v>
      </c>
      <c r="D72" s="139" t="s">
        <v>245</v>
      </c>
      <c r="E72" s="139"/>
      <c r="F72" s="140"/>
      <c r="G72" s="141" t="s">
        <v>71</v>
      </c>
      <c r="H72" s="142"/>
      <c r="I72" s="143" t="str">
        <f>IFERROR(IF(OR($F72="O",$G72="O",$H72="O"),CHOOSE(MATCH($A72,{"튜브","고압","진공","튜닝","조립","출하"},0),"T","H","V","N","A","P")&amp;IF($F72="O","R",IF($G72="O","A",IF($H72="O","F",""))),""),"")</f>
        <v>HA</v>
      </c>
      <c r="J72" s="144" t="s">
        <v>71</v>
      </c>
      <c r="K72" s="145" t="s">
        <v>71</v>
      </c>
      <c r="L72" s="146"/>
      <c r="M72" s="147"/>
      <c r="N72" s="148"/>
      <c r="O72" s="149"/>
      <c r="P72" s="150" t="str">
        <f t="shared" si="2"/>
        <v>34-HA</v>
      </c>
      <c r="Q72" s="151" t="str">
        <f>HYPERLINK("#'마스터_품목'!A71","→ 마스터 R71")</f>
        <v>→ 마스터 R71</v>
      </c>
      <c r="R72" s="152">
        <v>71</v>
      </c>
      <c r="S72" s="152" t="s">
        <v>72</v>
      </c>
    </row>
    <row r="73" spans="1:19" ht="48" customHeight="1" x14ac:dyDescent="0.3">
      <c r="A73" s="138" t="s">
        <v>110</v>
      </c>
      <c r="B73" s="138" t="s">
        <v>244</v>
      </c>
      <c r="C73" s="139" t="s">
        <v>120</v>
      </c>
      <c r="D73" s="139" t="s">
        <v>246</v>
      </c>
      <c r="E73" s="139"/>
      <c r="F73" s="140"/>
      <c r="G73" s="141" t="s">
        <v>71</v>
      </c>
      <c r="H73" s="142"/>
      <c r="I73" s="143" t="str">
        <f>IFERROR(IF(OR($F73="O",$G73="O",$H73="O"),CHOOSE(MATCH($A73,{"튜브","고압","진공","튜닝","조립","출하"},0),"T","H","V","N","A","P")&amp;IF($F73="O","R",IF($G73="O","A",IF($H73="O","F",""))),""),"")</f>
        <v>HA</v>
      </c>
      <c r="J73" s="144" t="s">
        <v>71</v>
      </c>
      <c r="K73" s="145" t="s">
        <v>71</v>
      </c>
      <c r="L73" s="146" t="s">
        <v>71</v>
      </c>
      <c r="M73" s="147"/>
      <c r="N73" s="148" t="s">
        <v>71</v>
      </c>
      <c r="O73" s="149"/>
      <c r="P73" s="150" t="str">
        <f t="shared" si="2"/>
        <v>3468-HA</v>
      </c>
      <c r="Q73" s="151" t="str">
        <f>HYPERLINK("#'마스터_품목'!A72","→ 마스터 R72")</f>
        <v>→ 마스터 R72</v>
      </c>
      <c r="R73" s="152">
        <v>72</v>
      </c>
      <c r="S73" s="152" t="s">
        <v>72</v>
      </c>
    </row>
    <row r="74" spans="1:19" ht="48" customHeight="1" x14ac:dyDescent="0.3">
      <c r="A74" s="138" t="s">
        <v>110</v>
      </c>
      <c r="B74" s="138" t="s">
        <v>244</v>
      </c>
      <c r="C74" s="139" t="s">
        <v>114</v>
      </c>
      <c r="D74" s="139" t="s">
        <v>247</v>
      </c>
      <c r="E74" s="139"/>
      <c r="F74" s="140"/>
      <c r="G74" s="141" t="s">
        <v>71</v>
      </c>
      <c r="H74" s="142"/>
      <c r="I74" s="143" t="str">
        <f>IFERROR(IF(OR($F74="O",$G74="O",$H74="O"),CHOOSE(MATCH($A74,{"튜브","고압","진공","튜닝","조립","출하"},0),"T","H","V","N","A","P")&amp;IF($F74="O","R",IF($G74="O","A",IF($H74="O","F",""))),""),"")</f>
        <v>HA</v>
      </c>
      <c r="J74" s="144"/>
      <c r="K74" s="145"/>
      <c r="L74" s="146"/>
      <c r="M74" s="147" t="s">
        <v>71</v>
      </c>
      <c r="N74" s="148" t="s">
        <v>71</v>
      </c>
      <c r="O74" s="149"/>
      <c r="P74" s="150" t="str">
        <f t="shared" si="2"/>
        <v>78-HA</v>
      </c>
      <c r="Q74" s="151" t="str">
        <f>HYPERLINK("#'마스터_품목'!A73","→ 마스터 R73")</f>
        <v>→ 마스터 R73</v>
      </c>
      <c r="R74" s="152">
        <v>73</v>
      </c>
      <c r="S74" s="152" t="s">
        <v>72</v>
      </c>
    </row>
    <row r="75" spans="1:19" ht="48" customHeight="1" x14ac:dyDescent="0.3">
      <c r="A75" s="138" t="s">
        <v>110</v>
      </c>
      <c r="B75" s="138" t="s">
        <v>244</v>
      </c>
      <c r="C75" s="139" t="s">
        <v>117</v>
      </c>
      <c r="D75" s="139" t="s">
        <v>248</v>
      </c>
      <c r="E75" s="139"/>
      <c r="F75" s="140"/>
      <c r="G75" s="141" t="s">
        <v>71</v>
      </c>
      <c r="H75" s="142"/>
      <c r="I75" s="143" t="str">
        <f>IFERROR(IF(OR($F75="O",$G75="O",$H75="O"),CHOOSE(MATCH($A75,{"튜브","고압","진공","튜닝","조립","출하"},0),"T","H","V","N","A","P")&amp;IF($F75="O","R",IF($G75="O","A",IF($H75="O","F",""))),""),"")</f>
        <v>HA</v>
      </c>
      <c r="J75" s="144"/>
      <c r="K75" s="145"/>
      <c r="L75" s="146" t="s">
        <v>71</v>
      </c>
      <c r="M75" s="147"/>
      <c r="N75" s="148"/>
      <c r="O75" s="149"/>
      <c r="P75" s="150" t="str">
        <f t="shared" si="2"/>
        <v>6-HA</v>
      </c>
      <c r="Q75" s="151" t="str">
        <f>HYPERLINK("#'마스터_품목'!A74","→ 마스터 R74")</f>
        <v>→ 마스터 R74</v>
      </c>
      <c r="R75" s="152">
        <v>74</v>
      </c>
      <c r="S75" s="152" t="s">
        <v>72</v>
      </c>
    </row>
    <row r="76" spans="1:19" ht="48" customHeight="1" x14ac:dyDescent="0.3">
      <c r="A76" s="138" t="s">
        <v>110</v>
      </c>
      <c r="B76" s="138" t="s">
        <v>244</v>
      </c>
      <c r="C76" s="139" t="s">
        <v>117</v>
      </c>
      <c r="D76" s="139" t="s">
        <v>249</v>
      </c>
      <c r="E76" s="139"/>
      <c r="F76" s="140"/>
      <c r="G76" s="141" t="s">
        <v>71</v>
      </c>
      <c r="H76" s="142"/>
      <c r="I76" s="143" t="str">
        <f>IFERROR(IF(OR($F76="O",$G76="O",$H76="O"),CHOOSE(MATCH($A76,{"튜브","고압","진공","튜닝","조립","출하"},0),"T","H","V","N","A","P")&amp;IF($F76="O","R",IF($G76="O","A",IF($H76="O","F",""))),""),"")</f>
        <v>HA</v>
      </c>
      <c r="J76" s="144"/>
      <c r="K76" s="145"/>
      <c r="L76" s="146" t="s">
        <v>71</v>
      </c>
      <c r="M76" s="147"/>
      <c r="N76" s="148"/>
      <c r="O76" s="149"/>
      <c r="P76" s="150" t="str">
        <f t="shared" si="2"/>
        <v>6-HA</v>
      </c>
      <c r="Q76" s="151" t="str">
        <f>HYPERLINK("#'마스터_품목'!A75","→ 마스터 R75")</f>
        <v>→ 마스터 R75</v>
      </c>
      <c r="R76" s="152">
        <v>75</v>
      </c>
      <c r="S76" s="152" t="s">
        <v>72</v>
      </c>
    </row>
    <row r="77" spans="1:19" ht="48" customHeight="1" x14ac:dyDescent="0.3">
      <c r="A77" s="138" t="s">
        <v>110</v>
      </c>
      <c r="B77" s="138" t="s">
        <v>244</v>
      </c>
      <c r="C77" s="139" t="s">
        <v>117</v>
      </c>
      <c r="D77" s="139" t="s">
        <v>250</v>
      </c>
      <c r="E77" s="139"/>
      <c r="F77" s="140"/>
      <c r="G77" s="141" t="s">
        <v>71</v>
      </c>
      <c r="H77" s="142"/>
      <c r="I77" s="143" t="str">
        <f>IFERROR(IF(OR($F77="O",$G77="O",$H77="O"),CHOOSE(MATCH($A77,{"튜브","고압","진공","튜닝","조립","출하"},0),"T","H","V","N","A","P")&amp;IF($F77="O","R",IF($G77="O","A",IF($H77="O","F",""))),""),"")</f>
        <v>HA</v>
      </c>
      <c r="J77" s="144"/>
      <c r="K77" s="145"/>
      <c r="L77" s="146" t="s">
        <v>71</v>
      </c>
      <c r="M77" s="147"/>
      <c r="N77" s="148"/>
      <c r="O77" s="149"/>
      <c r="P77" s="150" t="str">
        <f t="shared" si="2"/>
        <v>6-HA</v>
      </c>
      <c r="Q77" s="151" t="str">
        <f>HYPERLINK("#'마스터_품목'!A76","→ 마스터 R76")</f>
        <v>→ 마스터 R76</v>
      </c>
      <c r="R77" s="152">
        <v>76</v>
      </c>
      <c r="S77" s="152" t="s">
        <v>72</v>
      </c>
    </row>
    <row r="78" spans="1:19" ht="48" customHeight="1" x14ac:dyDescent="0.3">
      <c r="A78" s="138" t="s">
        <v>110</v>
      </c>
      <c r="B78" s="138" t="s">
        <v>251</v>
      </c>
      <c r="C78" s="139" t="s">
        <v>111</v>
      </c>
      <c r="D78" s="139" t="s">
        <v>252</v>
      </c>
      <c r="E78" s="139"/>
      <c r="F78" s="140"/>
      <c r="G78" s="141" t="s">
        <v>71</v>
      </c>
      <c r="H78" s="142"/>
      <c r="I78" s="143" t="str">
        <f>IFERROR(IF(OR($F78="O",$G78="O",$H78="O"),CHOOSE(MATCH($A78,{"튜브","고압","진공","튜닝","조립","출하"},0),"T","H","V","N","A","P")&amp;IF($F78="O","R",IF($G78="O","A",IF($H78="O","F",""))),""),"")</f>
        <v>HA</v>
      </c>
      <c r="J78" s="144" t="s">
        <v>71</v>
      </c>
      <c r="K78" s="145" t="s">
        <v>71</v>
      </c>
      <c r="L78" s="146"/>
      <c r="M78" s="147"/>
      <c r="N78" s="148"/>
      <c r="O78" s="149"/>
      <c r="P78" s="150" t="str">
        <f t="shared" si="2"/>
        <v>34-HA</v>
      </c>
      <c r="Q78" s="151" t="str">
        <f>HYPERLINK("#'마스터_품목'!A77","→ 마스터 R77")</f>
        <v>→ 마스터 R77</v>
      </c>
      <c r="R78" s="152">
        <v>77</v>
      </c>
      <c r="S78" s="152" t="s">
        <v>72</v>
      </c>
    </row>
    <row r="79" spans="1:19" ht="48" customHeight="1" x14ac:dyDescent="0.3">
      <c r="A79" s="138" t="s">
        <v>110</v>
      </c>
      <c r="B79" s="138" t="s">
        <v>251</v>
      </c>
      <c r="C79" s="139" t="s">
        <v>195</v>
      </c>
      <c r="D79" s="139" t="s">
        <v>253</v>
      </c>
      <c r="E79" s="139"/>
      <c r="F79" s="140"/>
      <c r="G79" s="141" t="s">
        <v>71</v>
      </c>
      <c r="H79" s="142"/>
      <c r="I79" s="143" t="str">
        <f>IFERROR(IF(OR($F79="O",$G79="O",$H79="O"),CHOOSE(MATCH($A79,{"튜브","고압","진공","튜닝","조립","출하"},0),"T","H","V","N","A","P")&amp;IF($F79="O","R",IF($G79="O","A",IF($H79="O","F",""))),""),"")</f>
        <v>HA</v>
      </c>
      <c r="J79" s="144" t="s">
        <v>71</v>
      </c>
      <c r="K79" s="145"/>
      <c r="L79" s="146"/>
      <c r="M79" s="147"/>
      <c r="N79" s="148"/>
      <c r="O79" s="149"/>
      <c r="P79" s="150" t="str">
        <f t="shared" si="2"/>
        <v>3-HA</v>
      </c>
      <c r="Q79" s="151" t="str">
        <f>HYPERLINK("#'마스터_품목'!A78","→ 마스터 R78")</f>
        <v>→ 마스터 R78</v>
      </c>
      <c r="R79" s="152">
        <v>78</v>
      </c>
      <c r="S79" s="152" t="s">
        <v>72</v>
      </c>
    </row>
    <row r="80" spans="1:19" ht="48" customHeight="1" x14ac:dyDescent="0.3">
      <c r="A80" s="138" t="s">
        <v>110</v>
      </c>
      <c r="B80" s="138" t="s">
        <v>251</v>
      </c>
      <c r="C80" s="139" t="s">
        <v>117</v>
      </c>
      <c r="D80" s="139" t="s">
        <v>254</v>
      </c>
      <c r="E80" s="139"/>
      <c r="F80" s="140"/>
      <c r="G80" s="141" t="s">
        <v>71</v>
      </c>
      <c r="H80" s="142"/>
      <c r="I80" s="143" t="str">
        <f>IFERROR(IF(OR($F80="O",$G80="O",$H80="O"),CHOOSE(MATCH($A80,{"튜브","고압","진공","튜닝","조립","출하"},0),"T","H","V","N","A","P")&amp;IF($F80="O","R",IF($G80="O","A",IF($H80="O","F",""))),""),"")</f>
        <v>HA</v>
      </c>
      <c r="J80" s="144"/>
      <c r="K80" s="145"/>
      <c r="L80" s="146" t="s">
        <v>71</v>
      </c>
      <c r="M80" s="147"/>
      <c r="N80" s="148"/>
      <c r="O80" s="149"/>
      <c r="P80" s="150" t="str">
        <f t="shared" si="2"/>
        <v>6-HA</v>
      </c>
      <c r="Q80" s="151" t="str">
        <f>HYPERLINK("#'마스터_품목'!A79","→ 마스터 R79")</f>
        <v>→ 마스터 R79</v>
      </c>
      <c r="R80" s="152">
        <v>79</v>
      </c>
      <c r="S80" s="152" t="s">
        <v>72</v>
      </c>
    </row>
    <row r="81" spans="1:19" ht="48" customHeight="1" x14ac:dyDescent="0.3">
      <c r="A81" s="138" t="s">
        <v>110</v>
      </c>
      <c r="B81" s="138" t="s">
        <v>251</v>
      </c>
      <c r="C81" s="139" t="s">
        <v>117</v>
      </c>
      <c r="D81" s="139" t="s">
        <v>255</v>
      </c>
      <c r="E81" s="139"/>
      <c r="F81" s="140"/>
      <c r="G81" s="141" t="s">
        <v>71</v>
      </c>
      <c r="H81" s="142"/>
      <c r="I81" s="143" t="str">
        <f>IFERROR(IF(OR($F81="O",$G81="O",$H81="O"),CHOOSE(MATCH($A81,{"튜브","고압","진공","튜닝","조립","출하"},0),"T","H","V","N","A","P")&amp;IF($F81="O","R",IF($G81="O","A",IF($H81="O","F",""))),""),"")</f>
        <v>HA</v>
      </c>
      <c r="J81" s="144"/>
      <c r="K81" s="145"/>
      <c r="L81" s="146" t="s">
        <v>71</v>
      </c>
      <c r="M81" s="147"/>
      <c r="N81" s="148"/>
      <c r="O81" s="149"/>
      <c r="P81" s="150" t="str">
        <f t="shared" si="2"/>
        <v>6-HA</v>
      </c>
      <c r="Q81" s="151" t="str">
        <f>HYPERLINK("#'마스터_품목'!A80","→ 마스터 R80")</f>
        <v>→ 마스터 R80</v>
      </c>
      <c r="R81" s="152">
        <v>80</v>
      </c>
      <c r="S81" s="152" t="s">
        <v>72</v>
      </c>
    </row>
    <row r="82" spans="1:19" ht="48" customHeight="1" x14ac:dyDescent="0.3">
      <c r="A82" s="138" t="s">
        <v>110</v>
      </c>
      <c r="B82" s="138" t="s">
        <v>251</v>
      </c>
      <c r="C82" s="139" t="s">
        <v>153</v>
      </c>
      <c r="D82" s="139" t="s">
        <v>254</v>
      </c>
      <c r="E82" s="139"/>
      <c r="F82" s="140"/>
      <c r="G82" s="141" t="s">
        <v>71</v>
      </c>
      <c r="H82" s="142"/>
      <c r="I82" s="143" t="str">
        <f>IFERROR(IF(OR($F82="O",$G82="O",$H82="O"),CHOOSE(MATCH($A82,{"튜브","고압","진공","튜닝","조립","출하"},0),"T","H","V","N","A","P")&amp;IF($F82="O","R",IF($G82="O","A",IF($H82="O","F",""))),""),"")</f>
        <v>HA</v>
      </c>
      <c r="J82" s="144"/>
      <c r="K82" s="145"/>
      <c r="L82" s="146"/>
      <c r="M82" s="147" t="s">
        <v>71</v>
      </c>
      <c r="N82" s="148"/>
      <c r="O82" s="149"/>
      <c r="P82" s="150" t="str">
        <f t="shared" si="2"/>
        <v>7-HA</v>
      </c>
      <c r="Q82" s="151" t="str">
        <f>HYPERLINK("#'마스터_품목'!A81","→ 마스터 R81")</f>
        <v>→ 마스터 R81</v>
      </c>
      <c r="R82" s="152">
        <v>81</v>
      </c>
      <c r="S82" s="152" t="s">
        <v>72</v>
      </c>
    </row>
    <row r="83" spans="1:19" ht="48" customHeight="1" x14ac:dyDescent="0.3">
      <c r="A83" s="138" t="s">
        <v>110</v>
      </c>
      <c r="B83" s="138" t="s">
        <v>251</v>
      </c>
      <c r="C83" s="139" t="s">
        <v>153</v>
      </c>
      <c r="D83" s="139" t="s">
        <v>256</v>
      </c>
      <c r="E83" s="139"/>
      <c r="F83" s="140"/>
      <c r="G83" s="141" t="s">
        <v>71</v>
      </c>
      <c r="H83" s="142"/>
      <c r="I83" s="143" t="str">
        <f>IFERROR(IF(OR($F83="O",$G83="O",$H83="O"),CHOOSE(MATCH($A83,{"튜브","고압","진공","튜닝","조립","출하"},0),"T","H","V","N","A","P")&amp;IF($F83="O","R",IF($G83="O","A",IF($H83="O","F",""))),""),"")</f>
        <v>HA</v>
      </c>
      <c r="J83" s="144"/>
      <c r="K83" s="145"/>
      <c r="L83" s="146"/>
      <c r="M83" s="147" t="s">
        <v>71</v>
      </c>
      <c r="N83" s="148"/>
      <c r="O83" s="149"/>
      <c r="P83" s="150" t="str">
        <f t="shared" si="2"/>
        <v>7-HA</v>
      </c>
      <c r="Q83" s="151" t="str">
        <f>HYPERLINK("#'마스터_품목'!A82","→ 마스터 R82")</f>
        <v>→ 마스터 R82</v>
      </c>
      <c r="R83" s="152">
        <v>82</v>
      </c>
      <c r="S83" s="152" t="s">
        <v>72</v>
      </c>
    </row>
    <row r="84" spans="1:19" ht="48" customHeight="1" x14ac:dyDescent="0.3">
      <c r="A84" s="138" t="s">
        <v>110</v>
      </c>
      <c r="B84" s="138" t="s">
        <v>251</v>
      </c>
      <c r="C84" s="139" t="s">
        <v>182</v>
      </c>
      <c r="D84" s="139" t="s">
        <v>257</v>
      </c>
      <c r="E84" s="139"/>
      <c r="F84" s="140"/>
      <c r="G84" s="141" t="s">
        <v>71</v>
      </c>
      <c r="H84" s="142"/>
      <c r="I84" s="143" t="str">
        <f>IFERROR(IF(OR($F84="O",$G84="O",$H84="O"),CHOOSE(MATCH($A84,{"튜브","고압","진공","튜닝","조립","출하"},0),"T","H","V","N","A","P")&amp;IF($F84="O","R",IF($G84="O","A",IF($H84="O","F",""))),""),"")</f>
        <v>HA</v>
      </c>
      <c r="J84" s="144"/>
      <c r="K84" s="145"/>
      <c r="L84" s="146"/>
      <c r="M84" s="147"/>
      <c r="N84" s="148" t="s">
        <v>71</v>
      </c>
      <c r="O84" s="149"/>
      <c r="P84" s="150" t="str">
        <f t="shared" si="2"/>
        <v>8-HA</v>
      </c>
      <c r="Q84" s="151" t="str">
        <f>HYPERLINK("#'마스터_품목'!A83","→ 마스터 R83")</f>
        <v>→ 마스터 R83</v>
      </c>
      <c r="R84" s="152">
        <v>83</v>
      </c>
      <c r="S84" s="152" t="s">
        <v>72</v>
      </c>
    </row>
    <row r="85" spans="1:19" ht="48" customHeight="1" x14ac:dyDescent="0.3">
      <c r="A85" s="138" t="s">
        <v>110</v>
      </c>
      <c r="B85" s="138" t="s">
        <v>251</v>
      </c>
      <c r="C85" s="139" t="s">
        <v>182</v>
      </c>
      <c r="D85" s="139" t="s">
        <v>258</v>
      </c>
      <c r="E85" s="139"/>
      <c r="F85" s="140"/>
      <c r="G85" s="141" t="s">
        <v>71</v>
      </c>
      <c r="H85" s="142"/>
      <c r="I85" s="143" t="str">
        <f>IFERROR(IF(OR($F85="O",$G85="O",$H85="O"),CHOOSE(MATCH($A85,{"튜브","고압","진공","튜닝","조립","출하"},0),"T","H","V","N","A","P")&amp;IF($F85="O","R",IF($G85="O","A",IF($H85="O","F",""))),""),"")</f>
        <v>HA</v>
      </c>
      <c r="J85" s="144"/>
      <c r="K85" s="145"/>
      <c r="L85" s="146"/>
      <c r="M85" s="147"/>
      <c r="N85" s="148" t="s">
        <v>71</v>
      </c>
      <c r="O85" s="149"/>
      <c r="P85" s="150" t="str">
        <f t="shared" si="2"/>
        <v>8-HA</v>
      </c>
      <c r="Q85" s="151" t="str">
        <f>HYPERLINK("#'마스터_품목'!A84","→ 마스터 R84")</f>
        <v>→ 마스터 R84</v>
      </c>
      <c r="R85" s="152">
        <v>84</v>
      </c>
      <c r="S85" s="152" t="s">
        <v>72</v>
      </c>
    </row>
    <row r="86" spans="1:19" ht="48" customHeight="1" x14ac:dyDescent="0.3">
      <c r="A86" s="138" t="s">
        <v>110</v>
      </c>
      <c r="B86" s="138" t="s">
        <v>251</v>
      </c>
      <c r="C86" s="139" t="s">
        <v>217</v>
      </c>
      <c r="D86" s="139" t="s">
        <v>259</v>
      </c>
      <c r="E86" s="139"/>
      <c r="F86" s="140"/>
      <c r="G86" s="141" t="s">
        <v>71</v>
      </c>
      <c r="H86" s="142"/>
      <c r="I86" s="143" t="str">
        <f>IFERROR(IF(OR($F86="O",$G86="O",$H86="O"),CHOOSE(MATCH($A86,{"튜브","고압","진공","튜닝","조립","출하"},0),"T","H","V","N","A","P")&amp;IF($F86="O","R",IF($G86="O","A",IF($H86="O","F",""))),""),"")</f>
        <v>HA</v>
      </c>
      <c r="J86" s="144" t="s">
        <v>71</v>
      </c>
      <c r="K86" s="145"/>
      <c r="L86" s="146"/>
      <c r="M86" s="147"/>
      <c r="N86" s="148"/>
      <c r="O86" s="149"/>
      <c r="P86" s="150" t="str">
        <f t="shared" si="2"/>
        <v>3-HA</v>
      </c>
      <c r="Q86" s="151" t="str">
        <f>HYPERLINK("#'마스터_품목'!A85","→ 마스터 R85")</f>
        <v>→ 마스터 R85</v>
      </c>
      <c r="R86" s="152">
        <v>85</v>
      </c>
      <c r="S86" s="152" t="s">
        <v>72</v>
      </c>
    </row>
    <row r="87" spans="1:19" ht="48" customHeight="1" x14ac:dyDescent="0.3">
      <c r="A87" s="138" t="s">
        <v>110</v>
      </c>
      <c r="B87" s="138" t="s">
        <v>260</v>
      </c>
      <c r="C87" s="139" t="s">
        <v>133</v>
      </c>
      <c r="D87" s="139" t="s">
        <v>261</v>
      </c>
      <c r="E87" s="139" t="s">
        <v>262</v>
      </c>
      <c r="F87" s="140" t="s">
        <v>71</v>
      </c>
      <c r="G87" s="141"/>
      <c r="H87" s="142"/>
      <c r="I87" s="143" t="str">
        <f>IFERROR(IF(OR($F87="O",$G87="O",$H87="O"),CHOOSE(MATCH($A87,{"튜브","고압","진공","튜닝","조립","출하"},0),"T","H","V","N","A","P")&amp;IF($F87="O","R",IF($G87="O","A",IF($H87="O","F",""))),""),"")</f>
        <v>HR</v>
      </c>
      <c r="J87" s="144" t="s">
        <v>71</v>
      </c>
      <c r="K87" s="145" t="s">
        <v>71</v>
      </c>
      <c r="L87" s="146" t="s">
        <v>71</v>
      </c>
      <c r="M87" s="147"/>
      <c r="N87" s="148"/>
      <c r="O87" s="149"/>
      <c r="P87" s="150" t="str">
        <f t="shared" si="2"/>
        <v>346-HR</v>
      </c>
      <c r="Q87" s="151" t="str">
        <f>HYPERLINK("#'마스터_품목'!A86","→ 마스터 R86")</f>
        <v>→ 마스터 R86</v>
      </c>
      <c r="R87" s="152">
        <v>86</v>
      </c>
      <c r="S87" s="152" t="s">
        <v>72</v>
      </c>
    </row>
    <row r="88" spans="1:19" ht="48" customHeight="1" x14ac:dyDescent="0.3">
      <c r="A88" s="138" t="s">
        <v>110</v>
      </c>
      <c r="B88" s="138" t="s">
        <v>260</v>
      </c>
      <c r="C88" s="139" t="s">
        <v>263</v>
      </c>
      <c r="D88" s="139" t="s">
        <v>264</v>
      </c>
      <c r="E88" s="139" t="s">
        <v>265</v>
      </c>
      <c r="F88" s="140" t="s">
        <v>71</v>
      </c>
      <c r="G88" s="141"/>
      <c r="H88" s="142"/>
      <c r="I88" s="143" t="str">
        <f>IFERROR(IF(OR($F88="O",$G88="O",$H88="O"),CHOOSE(MATCH($A88,{"튜브","고압","진공","튜닝","조립","출하"},0),"T","H","V","N","A","P")&amp;IF($F88="O","R",IF($G88="O","A",IF($H88="O","F",""))),""),"")</f>
        <v>HR</v>
      </c>
      <c r="J88" s="144"/>
      <c r="K88" s="145"/>
      <c r="L88" s="146"/>
      <c r="M88" s="147" t="s">
        <v>71</v>
      </c>
      <c r="N88" s="148" t="s">
        <v>71</v>
      </c>
      <c r="O88" s="149"/>
      <c r="P88" s="150" t="str">
        <f t="shared" si="2"/>
        <v>78-HR</v>
      </c>
      <c r="Q88" s="151" t="str">
        <f>HYPERLINK("#'마스터_품목'!A87","→ 마스터 R87")</f>
        <v>→ 마스터 R87</v>
      </c>
      <c r="R88" s="152">
        <v>87</v>
      </c>
      <c r="S88" s="152" t="s">
        <v>72</v>
      </c>
    </row>
    <row r="89" spans="1:19" ht="48" customHeight="1" x14ac:dyDescent="0.3">
      <c r="A89" s="138" t="s">
        <v>110</v>
      </c>
      <c r="B89" s="138" t="s">
        <v>260</v>
      </c>
      <c r="C89" s="139" t="s">
        <v>182</v>
      </c>
      <c r="D89" s="139" t="s">
        <v>266</v>
      </c>
      <c r="E89" s="139" t="s">
        <v>267</v>
      </c>
      <c r="F89" s="140" t="s">
        <v>71</v>
      </c>
      <c r="G89" s="141"/>
      <c r="H89" s="142"/>
      <c r="I89" s="143" t="str">
        <f>IFERROR(IF(OR($F89="O",$G89="O",$H89="O"),CHOOSE(MATCH($A89,{"튜브","고압","진공","튜닝","조립","출하"},0),"T","H","V","N","A","P")&amp;IF($F89="O","R",IF($G89="O","A",IF($H89="O","F",""))),""),"")</f>
        <v>HR</v>
      </c>
      <c r="J89" s="144"/>
      <c r="K89" s="145"/>
      <c r="L89" s="146"/>
      <c r="M89" s="147"/>
      <c r="N89" s="148" t="s">
        <v>71</v>
      </c>
      <c r="O89" s="149"/>
      <c r="P89" s="150" t="str">
        <f t="shared" si="2"/>
        <v>8-HR</v>
      </c>
      <c r="Q89" s="151" t="str">
        <f>HYPERLINK("#'마스터_품목'!A88","→ 마스터 R88")</f>
        <v>→ 마스터 R88</v>
      </c>
      <c r="R89" s="152">
        <v>88</v>
      </c>
      <c r="S89" s="152" t="s">
        <v>72</v>
      </c>
    </row>
    <row r="90" spans="1:19" ht="48" customHeight="1" x14ac:dyDescent="0.3">
      <c r="A90" s="138" t="s">
        <v>110</v>
      </c>
      <c r="B90" s="138" t="s">
        <v>260</v>
      </c>
      <c r="C90" s="139" t="s">
        <v>182</v>
      </c>
      <c r="D90" s="139" t="s">
        <v>268</v>
      </c>
      <c r="E90" s="139" t="s">
        <v>269</v>
      </c>
      <c r="F90" s="140" t="s">
        <v>71</v>
      </c>
      <c r="G90" s="141"/>
      <c r="H90" s="142"/>
      <c r="I90" s="143" t="str">
        <f>IFERROR(IF(OR($F90="O",$G90="O",$H90="O"),CHOOSE(MATCH($A90,{"튜브","고압","진공","튜닝","조립","출하"},0),"T","H","V","N","A","P")&amp;IF($F90="O","R",IF($G90="O","A",IF($H90="O","F",""))),""),"")</f>
        <v>HR</v>
      </c>
      <c r="J90" s="144"/>
      <c r="K90" s="145"/>
      <c r="L90" s="146"/>
      <c r="M90" s="147"/>
      <c r="N90" s="148" t="s">
        <v>71</v>
      </c>
      <c r="O90" s="149"/>
      <c r="P90" s="150" t="str">
        <f t="shared" si="2"/>
        <v>8-HR</v>
      </c>
      <c r="Q90" s="151" t="str">
        <f>HYPERLINK("#'마스터_품목'!A89","→ 마스터 R89")</f>
        <v>→ 마스터 R89</v>
      </c>
      <c r="R90" s="152">
        <v>89</v>
      </c>
      <c r="S90" s="152" t="s">
        <v>72</v>
      </c>
    </row>
    <row r="91" spans="1:19" ht="48" customHeight="1" x14ac:dyDescent="0.3">
      <c r="A91" s="138" t="s">
        <v>110</v>
      </c>
      <c r="B91" s="138" t="s">
        <v>260</v>
      </c>
      <c r="C91" s="139" t="s">
        <v>117</v>
      </c>
      <c r="D91" s="139" t="s">
        <v>270</v>
      </c>
      <c r="E91" s="139"/>
      <c r="F91" s="140" t="s">
        <v>71</v>
      </c>
      <c r="G91" s="141"/>
      <c r="H91" s="142"/>
      <c r="I91" s="143" t="str">
        <f>IFERROR(IF(OR($F91="O",$G91="O",$H91="O"),CHOOSE(MATCH($A91,{"튜브","고압","진공","튜닝","조립","출하"},0),"T","H","V","N","A","P")&amp;IF($F91="O","R",IF($G91="O","A",IF($H91="O","F",""))),""),"")</f>
        <v>HR</v>
      </c>
      <c r="J91" s="144"/>
      <c r="K91" s="145"/>
      <c r="L91" s="146" t="s">
        <v>71</v>
      </c>
      <c r="M91" s="147"/>
      <c r="N91" s="148"/>
      <c r="O91" s="149"/>
      <c r="P91" s="150" t="str">
        <f t="shared" si="2"/>
        <v>6-HR</v>
      </c>
      <c r="Q91" s="151" t="str">
        <f>HYPERLINK("#'마스터_품목'!A90","→ 마스터 R90")</f>
        <v>→ 마스터 R90</v>
      </c>
      <c r="R91" s="152">
        <v>90</v>
      </c>
      <c r="S91" s="152" t="s">
        <v>72</v>
      </c>
    </row>
    <row r="92" spans="1:19" ht="48" customHeight="1" x14ac:dyDescent="0.3">
      <c r="A92" s="138" t="s">
        <v>164</v>
      </c>
      <c r="B92" s="138" t="s">
        <v>271</v>
      </c>
      <c r="C92" s="139" t="s">
        <v>133</v>
      </c>
      <c r="D92" s="139" t="s">
        <v>272</v>
      </c>
      <c r="E92" s="139" t="s">
        <v>273</v>
      </c>
      <c r="F92" s="140" t="s">
        <v>71</v>
      </c>
      <c r="G92" s="141"/>
      <c r="H92" s="142"/>
      <c r="I92" s="143" t="str">
        <f>IFERROR(IF(OR($F92="O",$G92="O",$H92="O"),CHOOSE(MATCH($A92,{"튜브","고압","진공","튜닝","조립","출하"},0),"T","H","V","N","A","P")&amp;IF($F92="O","R",IF($G92="O","A",IF($H92="O","F",""))),""),"")</f>
        <v>VR</v>
      </c>
      <c r="J92" s="144" t="s">
        <v>71</v>
      </c>
      <c r="K92" s="145" t="s">
        <v>71</v>
      </c>
      <c r="L92" s="146"/>
      <c r="M92" s="147"/>
      <c r="N92" s="148"/>
      <c r="O92" s="149"/>
      <c r="P92" s="150" t="str">
        <f t="shared" si="2"/>
        <v>34-VR</v>
      </c>
      <c r="Q92" s="151" t="str">
        <f>HYPERLINK("#'마스터_품목'!A109","→ 마스터 R109")</f>
        <v>→ 마스터 R109</v>
      </c>
      <c r="R92" s="152">
        <v>109</v>
      </c>
      <c r="S92" s="152" t="s">
        <v>72</v>
      </c>
    </row>
    <row r="93" spans="1:19" ht="48" customHeight="1" x14ac:dyDescent="0.3">
      <c r="A93" s="138" t="s">
        <v>164</v>
      </c>
      <c r="B93" s="138" t="s">
        <v>271</v>
      </c>
      <c r="C93" s="139" t="s">
        <v>153</v>
      </c>
      <c r="D93" s="139" t="s">
        <v>274</v>
      </c>
      <c r="E93" s="139" t="s">
        <v>275</v>
      </c>
      <c r="F93" s="140" t="s">
        <v>71</v>
      </c>
      <c r="G93" s="141"/>
      <c r="H93" s="142"/>
      <c r="I93" s="143" t="str">
        <f>IFERROR(IF(OR($F93="O",$G93="O",$H93="O"),CHOOSE(MATCH($A93,{"튜브","고압","진공","튜닝","조립","출하"},0),"T","H","V","N","A","P")&amp;IF($F93="O","R",IF($G93="O","A",IF($H93="O","F",""))),""),"")</f>
        <v>VR</v>
      </c>
      <c r="J93" s="144"/>
      <c r="K93" s="145"/>
      <c r="L93" s="146"/>
      <c r="M93" s="147" t="s">
        <v>71</v>
      </c>
      <c r="N93" s="148"/>
      <c r="O93" s="149"/>
      <c r="P93" s="150" t="str">
        <f t="shared" si="2"/>
        <v>7-VR</v>
      </c>
      <c r="Q93" s="151" t="str">
        <f>HYPERLINK("#'마스터_품목'!A110","→ 마스터 R110")</f>
        <v>→ 마스터 R110</v>
      </c>
      <c r="R93" s="152">
        <v>110</v>
      </c>
      <c r="S93" s="152" t="s">
        <v>72</v>
      </c>
    </row>
    <row r="94" spans="1:19" ht="48" customHeight="1" x14ac:dyDescent="0.3">
      <c r="A94" s="138" t="s">
        <v>164</v>
      </c>
      <c r="B94" s="138" t="s">
        <v>271</v>
      </c>
      <c r="C94" s="139" t="s">
        <v>153</v>
      </c>
      <c r="D94" s="139" t="s">
        <v>276</v>
      </c>
      <c r="E94" s="139" t="s">
        <v>277</v>
      </c>
      <c r="F94" s="140" t="s">
        <v>71</v>
      </c>
      <c r="G94" s="141"/>
      <c r="H94" s="142"/>
      <c r="I94" s="143" t="str">
        <f>IFERROR(IF(OR($F94="O",$G94="O",$H94="O"),CHOOSE(MATCH($A94,{"튜브","고압","진공","튜닝","조립","출하"},0),"T","H","V","N","A","P")&amp;IF($F94="O","R",IF($G94="O","A",IF($H94="O","F",""))),""),"")</f>
        <v>VR</v>
      </c>
      <c r="J94" s="144"/>
      <c r="K94" s="145"/>
      <c r="L94" s="146"/>
      <c r="M94" s="147" t="s">
        <v>71</v>
      </c>
      <c r="N94" s="148"/>
      <c r="O94" s="149"/>
      <c r="P94" s="150" t="str">
        <f t="shared" si="2"/>
        <v>7-VR</v>
      </c>
      <c r="Q94" s="151" t="str">
        <f>HYPERLINK("#'마스터_품목'!A111","→ 마스터 R111")</f>
        <v>→ 마스터 R111</v>
      </c>
      <c r="R94" s="152">
        <v>111</v>
      </c>
      <c r="S94" s="152" t="s">
        <v>72</v>
      </c>
    </row>
    <row r="95" spans="1:19" ht="48" customHeight="1" x14ac:dyDescent="0.3">
      <c r="A95" s="138" t="s">
        <v>164</v>
      </c>
      <c r="B95" s="138" t="s">
        <v>271</v>
      </c>
      <c r="C95" s="139" t="s">
        <v>117</v>
      </c>
      <c r="D95" s="139" t="s">
        <v>274</v>
      </c>
      <c r="E95" s="139"/>
      <c r="F95" s="140" t="s">
        <v>71</v>
      </c>
      <c r="G95" s="141"/>
      <c r="H95" s="142"/>
      <c r="I95" s="143" t="str">
        <f>IFERROR(IF(OR($F95="O",$G95="O",$H95="O"),CHOOSE(MATCH($A95,{"튜브","고압","진공","튜닝","조립","출하"},0),"T","H","V","N","A","P")&amp;IF($F95="O","R",IF($G95="O","A",IF($H95="O","F",""))),""),"")</f>
        <v>VR</v>
      </c>
      <c r="J95" s="144" t="s">
        <v>71</v>
      </c>
      <c r="K95" s="145"/>
      <c r="L95" s="146" t="s">
        <v>71</v>
      </c>
      <c r="M95" s="147"/>
      <c r="N95" s="148"/>
      <c r="O95" s="149"/>
      <c r="P95" s="150" t="str">
        <f t="shared" si="2"/>
        <v>36-VR</v>
      </c>
      <c r="Q95" s="151" t="str">
        <f>HYPERLINK("#'마스터_품목'!A112","→ 마스터 R112")</f>
        <v>→ 마스터 R112</v>
      </c>
      <c r="R95" s="152">
        <v>112</v>
      </c>
      <c r="S95" s="152" t="s">
        <v>72</v>
      </c>
    </row>
    <row r="96" spans="1:19" ht="48" customHeight="1" x14ac:dyDescent="0.3">
      <c r="A96" s="138" t="s">
        <v>164</v>
      </c>
      <c r="B96" s="138" t="s">
        <v>271</v>
      </c>
      <c r="C96" s="139" t="s">
        <v>182</v>
      </c>
      <c r="D96" s="139" t="s">
        <v>274</v>
      </c>
      <c r="E96" s="139" t="s">
        <v>278</v>
      </c>
      <c r="F96" s="140" t="s">
        <v>71</v>
      </c>
      <c r="G96" s="141"/>
      <c r="H96" s="142"/>
      <c r="I96" s="143" t="str">
        <f>IFERROR(IF(OR($F96="O",$G96="O",$H96="O"),CHOOSE(MATCH($A96,{"튜브","고압","진공","튜닝","조립","출하"},0),"T","H","V","N","A","P")&amp;IF($F96="O","R",IF($G96="O","A",IF($H96="O","F",""))),""),"")</f>
        <v>VR</v>
      </c>
      <c r="J96" s="144"/>
      <c r="K96" s="145"/>
      <c r="L96" s="146"/>
      <c r="M96" s="147"/>
      <c r="N96" s="148" t="s">
        <v>71</v>
      </c>
      <c r="O96" s="149"/>
      <c r="P96" s="150" t="str">
        <f t="shared" si="2"/>
        <v>8-VR</v>
      </c>
      <c r="Q96" s="151" t="str">
        <f>HYPERLINK("#'마스터_품목'!A113","→ 마스터 R113")</f>
        <v>→ 마스터 R113</v>
      </c>
      <c r="R96" s="152">
        <v>113</v>
      </c>
      <c r="S96" s="152" t="s">
        <v>72</v>
      </c>
    </row>
    <row r="97" spans="1:19" ht="48" customHeight="1" x14ac:dyDescent="0.3">
      <c r="A97" s="138" t="s">
        <v>164</v>
      </c>
      <c r="B97" s="138" t="s">
        <v>271</v>
      </c>
      <c r="C97" s="139" t="s">
        <v>182</v>
      </c>
      <c r="D97" s="139" t="s">
        <v>279</v>
      </c>
      <c r="E97" s="139" t="s">
        <v>280</v>
      </c>
      <c r="F97" s="140" t="s">
        <v>71</v>
      </c>
      <c r="G97" s="141"/>
      <c r="H97" s="142"/>
      <c r="I97" s="143" t="str">
        <f>IFERROR(IF(OR($F97="O",$G97="O",$H97="O"),CHOOSE(MATCH($A97,{"튜브","고압","진공","튜닝","조립","출하"},0),"T","H","V","N","A","P")&amp;IF($F97="O","R",IF($G97="O","A",IF($H97="O","F",""))),""),"")</f>
        <v>VR</v>
      </c>
      <c r="J97" s="144"/>
      <c r="K97" s="145"/>
      <c r="L97" s="146"/>
      <c r="M97" s="147"/>
      <c r="N97" s="148" t="s">
        <v>71</v>
      </c>
      <c r="O97" s="149"/>
      <c r="P97" s="150" t="str">
        <f t="shared" si="2"/>
        <v>8-VR</v>
      </c>
      <c r="Q97" s="151" t="str">
        <f>HYPERLINK("#'마스터_품목'!A114","→ 마스터 R114")</f>
        <v>→ 마스터 R114</v>
      </c>
      <c r="R97" s="152">
        <v>114</v>
      </c>
      <c r="S97" s="152" t="s">
        <v>72</v>
      </c>
    </row>
    <row r="98" spans="1:19" ht="48" customHeight="1" x14ac:dyDescent="0.3">
      <c r="A98" s="138" t="s">
        <v>164</v>
      </c>
      <c r="B98" s="138" t="s">
        <v>260</v>
      </c>
      <c r="C98" s="139" t="s">
        <v>153</v>
      </c>
      <c r="D98" s="139" t="s">
        <v>279</v>
      </c>
      <c r="E98" s="139" t="s">
        <v>281</v>
      </c>
      <c r="F98" s="140" t="s">
        <v>71</v>
      </c>
      <c r="G98" s="141"/>
      <c r="H98" s="142"/>
      <c r="I98" s="143" t="str">
        <f>IFERROR(IF(OR($F98="O",$G98="O",$H98="O"),CHOOSE(MATCH($A98,{"튜브","고압","진공","튜닝","조립","출하"},0),"T","H","V","N","A","P")&amp;IF($F98="O","R",IF($G98="O","A",IF($H98="O","F",""))),""),"")</f>
        <v>VR</v>
      </c>
      <c r="J98" s="144"/>
      <c r="K98" s="145"/>
      <c r="L98" s="146"/>
      <c r="M98" s="147" t="s">
        <v>71</v>
      </c>
      <c r="N98" s="148"/>
      <c r="O98" s="149"/>
      <c r="P98" s="150" t="str">
        <f t="shared" ref="P98:P129" si="3">IF($I98="","",IF($J98="O","3","")&amp;IF($K98="O","4","")&amp;IF($L98="O","6","")&amp;IF($M98="O","7","")&amp;IF($N98="O","8","")&amp;IF($O98="O","?","")&amp;IF(OR($J98="O",$K98="O",$L98="O",$M98="O",$N98="O",$O98="O"),"-","")&amp;$I98)</f>
        <v>7-VR</v>
      </c>
      <c r="Q98" s="151" t="str">
        <f>HYPERLINK("#'마스터_품목'!A115","→ 마스터 R115")</f>
        <v>→ 마스터 R115</v>
      </c>
      <c r="R98" s="152">
        <v>115</v>
      </c>
      <c r="S98" s="152" t="s">
        <v>72</v>
      </c>
    </row>
    <row r="99" spans="1:19" ht="48" customHeight="1" x14ac:dyDescent="0.3">
      <c r="A99" s="138" t="s">
        <v>164</v>
      </c>
      <c r="B99" s="138" t="s">
        <v>260</v>
      </c>
      <c r="C99" s="139" t="s">
        <v>111</v>
      </c>
      <c r="D99" s="139" t="s">
        <v>282</v>
      </c>
      <c r="E99" s="139" t="s">
        <v>283</v>
      </c>
      <c r="F99" s="140" t="s">
        <v>71</v>
      </c>
      <c r="G99" s="141"/>
      <c r="H99" s="142"/>
      <c r="I99" s="143" t="str">
        <f>IFERROR(IF(OR($F99="O",$G99="O",$H99="O"),CHOOSE(MATCH($A99,{"튜브","고압","진공","튜닝","조립","출하"},0),"T","H","V","N","A","P")&amp;IF($F99="O","R",IF($G99="O","A",IF($H99="O","F",""))),""),"")</f>
        <v>VR</v>
      </c>
      <c r="J99" s="144" t="s">
        <v>71</v>
      </c>
      <c r="K99" s="145" t="s">
        <v>71</v>
      </c>
      <c r="L99" s="146"/>
      <c r="M99" s="147"/>
      <c r="N99" s="148"/>
      <c r="O99" s="149"/>
      <c r="P99" s="150" t="str">
        <f t="shared" si="3"/>
        <v>34-VR</v>
      </c>
      <c r="Q99" s="151" t="str">
        <f>HYPERLINK("#'마스터_품목'!A116","→ 마스터 R116")</f>
        <v>→ 마스터 R116</v>
      </c>
      <c r="R99" s="152">
        <v>116</v>
      </c>
      <c r="S99" s="152" t="s">
        <v>72</v>
      </c>
    </row>
    <row r="100" spans="1:19" ht="48" customHeight="1" x14ac:dyDescent="0.3">
      <c r="A100" s="138" t="s">
        <v>164</v>
      </c>
      <c r="B100" s="138" t="s">
        <v>260</v>
      </c>
      <c r="C100" s="139" t="s">
        <v>148</v>
      </c>
      <c r="D100" s="139" t="s">
        <v>284</v>
      </c>
      <c r="E100" s="139" t="s">
        <v>285</v>
      </c>
      <c r="F100" s="140" t="s">
        <v>71</v>
      </c>
      <c r="G100" s="141"/>
      <c r="H100" s="142"/>
      <c r="I100" s="143" t="str">
        <f>IFERROR(IF(OR($F100="O",$G100="O",$H100="O"),CHOOSE(MATCH($A100,{"튜브","고압","진공","튜닝","조립","출하"},0),"T","H","V","N","A","P")&amp;IF($F100="O","R",IF($G100="O","A",IF($H100="O","F",""))),""),"")</f>
        <v>VR</v>
      </c>
      <c r="J100" s="144" t="s">
        <v>71</v>
      </c>
      <c r="K100" s="145" t="s">
        <v>71</v>
      </c>
      <c r="L100" s="146"/>
      <c r="M100" s="147" t="s">
        <v>71</v>
      </c>
      <c r="N100" s="148"/>
      <c r="O100" s="149"/>
      <c r="P100" s="150" t="str">
        <f t="shared" si="3"/>
        <v>347-VR</v>
      </c>
      <c r="Q100" s="151" t="str">
        <f>HYPERLINK("#'마스터_품목'!A117","→ 마스터 R117")</f>
        <v>→ 마스터 R117</v>
      </c>
      <c r="R100" s="152">
        <v>117</v>
      </c>
      <c r="S100" s="152" t="s">
        <v>72</v>
      </c>
    </row>
    <row r="101" spans="1:19" ht="48" customHeight="1" x14ac:dyDescent="0.3">
      <c r="A101" s="138" t="s">
        <v>164</v>
      </c>
      <c r="B101" s="138" t="s">
        <v>260</v>
      </c>
      <c r="C101" s="139" t="s">
        <v>182</v>
      </c>
      <c r="D101" s="139" t="s">
        <v>284</v>
      </c>
      <c r="E101" s="139"/>
      <c r="F101" s="140" t="s">
        <v>71</v>
      </c>
      <c r="G101" s="141"/>
      <c r="H101" s="142"/>
      <c r="I101" s="143" t="str">
        <f>IFERROR(IF(OR($F101="O",$G101="O",$H101="O"),CHOOSE(MATCH($A101,{"튜브","고압","진공","튜닝","조립","출하"},0),"T","H","V","N","A","P")&amp;IF($F101="O","R",IF($G101="O","A",IF($H101="O","F",""))),""),"")</f>
        <v>VR</v>
      </c>
      <c r="J101" s="144" t="s">
        <v>71</v>
      </c>
      <c r="K101" s="145"/>
      <c r="L101" s="146"/>
      <c r="M101" s="147"/>
      <c r="N101" s="148" t="s">
        <v>71</v>
      </c>
      <c r="O101" s="149" t="s">
        <v>71</v>
      </c>
      <c r="P101" s="150" t="str">
        <f t="shared" si="3"/>
        <v>38?-VR</v>
      </c>
      <c r="Q101" s="151" t="str">
        <f>HYPERLINK("#'마스터_품목'!A118","→ 마스터 R118")</f>
        <v>→ 마스터 R118</v>
      </c>
      <c r="R101" s="152">
        <v>118</v>
      </c>
      <c r="S101" s="152" t="s">
        <v>72</v>
      </c>
    </row>
    <row r="102" spans="1:19" ht="48" customHeight="1" x14ac:dyDescent="0.3">
      <c r="A102" s="138" t="s">
        <v>164</v>
      </c>
      <c r="B102" s="138" t="s">
        <v>260</v>
      </c>
      <c r="C102" s="139" t="s">
        <v>182</v>
      </c>
      <c r="D102" s="139" t="s">
        <v>286</v>
      </c>
      <c r="E102" s="139"/>
      <c r="F102" s="140" t="s">
        <v>71</v>
      </c>
      <c r="G102" s="141"/>
      <c r="H102" s="142"/>
      <c r="I102" s="143" t="str">
        <f>IFERROR(IF(OR($F102="O",$G102="O",$H102="O"),CHOOSE(MATCH($A102,{"튜브","고압","진공","튜닝","조립","출하"},0),"T","H","V","N","A","P")&amp;IF($F102="O","R",IF($G102="O","A",IF($H102="O","F",""))),""),"")</f>
        <v>VR</v>
      </c>
      <c r="J102" s="144" t="s">
        <v>71</v>
      </c>
      <c r="K102" s="145"/>
      <c r="L102" s="146"/>
      <c r="M102" s="147"/>
      <c r="N102" s="148" t="s">
        <v>71</v>
      </c>
      <c r="O102" s="149" t="s">
        <v>71</v>
      </c>
      <c r="P102" s="150" t="str">
        <f t="shared" si="3"/>
        <v>38?-VR</v>
      </c>
      <c r="Q102" s="151" t="str">
        <f>HYPERLINK("#'마스터_품목'!A119","→ 마스터 R119")</f>
        <v>→ 마스터 R119</v>
      </c>
      <c r="R102" s="152">
        <v>119</v>
      </c>
      <c r="S102" s="152" t="s">
        <v>72</v>
      </c>
    </row>
    <row r="103" spans="1:19" ht="48" customHeight="1" x14ac:dyDescent="0.3">
      <c r="A103" s="138" t="s">
        <v>164</v>
      </c>
      <c r="B103" s="138" t="s">
        <v>260</v>
      </c>
      <c r="C103" s="139" t="s">
        <v>287</v>
      </c>
      <c r="D103" s="139" t="s">
        <v>286</v>
      </c>
      <c r="E103" s="139"/>
      <c r="F103" s="140" t="s">
        <v>71</v>
      </c>
      <c r="G103" s="141"/>
      <c r="H103" s="142"/>
      <c r="I103" s="143" t="str">
        <f>IFERROR(IF(OR($F103="O",$G103="O",$H103="O"),CHOOSE(MATCH($A103,{"튜브","고압","진공","튜닝","조립","출하"},0),"T","H","V","N","A","P")&amp;IF($F103="O","R",IF($G103="O","A",IF($H103="O","F",""))),""),"")</f>
        <v>VR</v>
      </c>
      <c r="J103" s="144"/>
      <c r="K103" s="145"/>
      <c r="L103" s="146" t="s">
        <v>71</v>
      </c>
      <c r="M103" s="147"/>
      <c r="N103" s="148"/>
      <c r="O103" s="149"/>
      <c r="P103" s="150" t="str">
        <f t="shared" si="3"/>
        <v>6-VR</v>
      </c>
      <c r="Q103" s="151" t="str">
        <f>HYPERLINK("#'마스터_품목'!A120","→ 마스터 R120")</f>
        <v>→ 마스터 R120</v>
      </c>
      <c r="R103" s="152">
        <v>120</v>
      </c>
      <c r="S103" s="152" t="s">
        <v>72</v>
      </c>
    </row>
    <row r="104" spans="1:19" ht="48" customHeight="1" x14ac:dyDescent="0.3">
      <c r="A104" s="138" t="s">
        <v>164</v>
      </c>
      <c r="B104" s="138" t="s">
        <v>260</v>
      </c>
      <c r="C104" s="139" t="s">
        <v>195</v>
      </c>
      <c r="D104" s="139" t="s">
        <v>288</v>
      </c>
      <c r="E104" s="139" t="s">
        <v>289</v>
      </c>
      <c r="F104" s="140" t="s">
        <v>71</v>
      </c>
      <c r="G104" s="141"/>
      <c r="H104" s="142"/>
      <c r="I104" s="143" t="str">
        <f>IFERROR(IF(OR($F104="O",$G104="O",$H104="O"),CHOOSE(MATCH($A104,{"튜브","고압","진공","튜닝","조립","출하"},0),"T","H","V","N","A","P")&amp;IF($F104="O","R",IF($G104="O","A",IF($H104="O","F",""))),""),"")</f>
        <v>VR</v>
      </c>
      <c r="J104" s="144" t="s">
        <v>71</v>
      </c>
      <c r="K104" s="145"/>
      <c r="L104" s="146"/>
      <c r="M104" s="147"/>
      <c r="N104" s="148"/>
      <c r="O104" s="149"/>
      <c r="P104" s="150" t="str">
        <f t="shared" si="3"/>
        <v>3-VR</v>
      </c>
      <c r="Q104" s="151" t="str">
        <f>HYPERLINK("#'마스터_품목'!A121","→ 마스터 R121")</f>
        <v>→ 마스터 R121</v>
      </c>
      <c r="R104" s="152">
        <v>121</v>
      </c>
      <c r="S104" s="152" t="s">
        <v>72</v>
      </c>
    </row>
    <row r="105" spans="1:19" ht="48" customHeight="1" x14ac:dyDescent="0.3">
      <c r="A105" s="138" t="s">
        <v>164</v>
      </c>
      <c r="B105" s="138" t="s">
        <v>260</v>
      </c>
      <c r="C105" s="139" t="s">
        <v>133</v>
      </c>
      <c r="D105" s="139" t="s">
        <v>279</v>
      </c>
      <c r="E105" s="139" t="s">
        <v>290</v>
      </c>
      <c r="F105" s="140" t="s">
        <v>71</v>
      </c>
      <c r="G105" s="141"/>
      <c r="H105" s="142"/>
      <c r="I105" s="143" t="str">
        <f>IFERROR(IF(OR($F105="O",$G105="O",$H105="O"),CHOOSE(MATCH($A105,{"튜브","고압","진공","튜닝","조립","출하"},0),"T","H","V","N","A","P")&amp;IF($F105="O","R",IF($G105="O","A",IF($H105="O","F",""))),""),"")</f>
        <v>VR</v>
      </c>
      <c r="J105" s="144" t="s">
        <v>71</v>
      </c>
      <c r="K105" s="145" t="s">
        <v>71</v>
      </c>
      <c r="L105" s="146" t="s">
        <v>71</v>
      </c>
      <c r="M105" s="147"/>
      <c r="N105" s="148"/>
      <c r="O105" s="149"/>
      <c r="P105" s="150" t="str">
        <f t="shared" si="3"/>
        <v>346-VR</v>
      </c>
      <c r="Q105" s="151" t="str">
        <f>HYPERLINK("#'마스터_품목'!A122","→ 마스터 R122")</f>
        <v>→ 마스터 R122</v>
      </c>
      <c r="R105" s="152">
        <v>122</v>
      </c>
      <c r="S105" s="152" t="s">
        <v>72</v>
      </c>
    </row>
    <row r="106" spans="1:19" ht="48" customHeight="1" x14ac:dyDescent="0.3">
      <c r="A106" s="138" t="s">
        <v>164</v>
      </c>
      <c r="B106" s="138" t="s">
        <v>260</v>
      </c>
      <c r="C106" s="139" t="s">
        <v>198</v>
      </c>
      <c r="D106" s="139" t="s">
        <v>288</v>
      </c>
      <c r="E106" s="139" t="s">
        <v>291</v>
      </c>
      <c r="F106" s="140" t="s">
        <v>71</v>
      </c>
      <c r="G106" s="141"/>
      <c r="H106" s="142"/>
      <c r="I106" s="143" t="str">
        <f>IFERROR(IF(OR($F106="O",$G106="O",$H106="O"),CHOOSE(MATCH($A106,{"튜브","고압","진공","튜닝","조립","출하"},0),"T","H","V","N","A","P")&amp;IF($F106="O","R",IF($G106="O","A",IF($H106="O","F",""))),""),"")</f>
        <v>VR</v>
      </c>
      <c r="J106" s="144"/>
      <c r="K106" s="145" t="s">
        <v>71</v>
      </c>
      <c r="L106" s="146"/>
      <c r="M106" s="147"/>
      <c r="N106" s="148"/>
      <c r="O106" s="149"/>
      <c r="P106" s="150" t="str">
        <f t="shared" si="3"/>
        <v>4-VR</v>
      </c>
      <c r="Q106" s="151" t="str">
        <f>HYPERLINK("#'마스터_품목'!A123","→ 마스터 R123")</f>
        <v>→ 마스터 R123</v>
      </c>
      <c r="R106" s="152">
        <v>123</v>
      </c>
      <c r="S106" s="152" t="s">
        <v>72</v>
      </c>
    </row>
    <row r="107" spans="1:19" ht="48" customHeight="1" x14ac:dyDescent="0.3">
      <c r="A107" s="138" t="s">
        <v>164</v>
      </c>
      <c r="B107" s="138" t="s">
        <v>260</v>
      </c>
      <c r="C107" s="139" t="s">
        <v>153</v>
      </c>
      <c r="D107" s="139" t="s">
        <v>288</v>
      </c>
      <c r="E107" s="139" t="s">
        <v>292</v>
      </c>
      <c r="F107" s="140" t="s">
        <v>71</v>
      </c>
      <c r="G107" s="141"/>
      <c r="H107" s="142"/>
      <c r="I107" s="143" t="str">
        <f>IFERROR(IF(OR($F107="O",$G107="O",$H107="O"),CHOOSE(MATCH($A107,{"튜브","고압","진공","튜닝","조립","출하"},0),"T","H","V","N","A","P")&amp;IF($F107="O","R",IF($G107="O","A",IF($H107="O","F",""))),""),"")</f>
        <v>VR</v>
      </c>
      <c r="J107" s="144"/>
      <c r="K107" s="145"/>
      <c r="L107" s="146"/>
      <c r="M107" s="147" t="s">
        <v>71</v>
      </c>
      <c r="N107" s="148"/>
      <c r="O107" s="149"/>
      <c r="P107" s="150" t="str">
        <f t="shared" si="3"/>
        <v>7-VR</v>
      </c>
      <c r="Q107" s="151" t="str">
        <f>HYPERLINK("#'마스터_품목'!A124","→ 마스터 R124")</f>
        <v>→ 마스터 R124</v>
      </c>
      <c r="R107" s="152">
        <v>124</v>
      </c>
      <c r="S107" s="152" t="s">
        <v>72</v>
      </c>
    </row>
    <row r="108" spans="1:19" ht="48" customHeight="1" x14ac:dyDescent="0.3">
      <c r="A108" s="138" t="s">
        <v>164</v>
      </c>
      <c r="B108" s="138" t="s">
        <v>260</v>
      </c>
      <c r="C108" s="139" t="s">
        <v>117</v>
      </c>
      <c r="D108" s="139" t="s">
        <v>288</v>
      </c>
      <c r="E108" s="139" t="s">
        <v>293</v>
      </c>
      <c r="F108" s="140" t="s">
        <v>71</v>
      </c>
      <c r="G108" s="141"/>
      <c r="H108" s="142"/>
      <c r="I108" s="143" t="str">
        <f>IFERROR(IF(OR($F108="O",$G108="O",$H108="O"),CHOOSE(MATCH($A108,{"튜브","고압","진공","튜닝","조립","출하"},0),"T","H","V","N","A","P")&amp;IF($F108="O","R",IF($G108="O","A",IF($H108="O","F",""))),""),"")</f>
        <v>VR</v>
      </c>
      <c r="J108" s="144"/>
      <c r="K108" s="145"/>
      <c r="L108" s="146" t="s">
        <v>71</v>
      </c>
      <c r="M108" s="147"/>
      <c r="N108" s="148"/>
      <c r="O108" s="149"/>
      <c r="P108" s="150" t="str">
        <f t="shared" si="3"/>
        <v>6-VR</v>
      </c>
      <c r="Q108" s="151" t="str">
        <f>HYPERLINK("#'마스터_품목'!A125","→ 마스터 R125")</f>
        <v>→ 마스터 R125</v>
      </c>
      <c r="R108" s="152">
        <v>125</v>
      </c>
      <c r="S108" s="152" t="s">
        <v>72</v>
      </c>
    </row>
    <row r="109" spans="1:19" ht="48" customHeight="1" x14ac:dyDescent="0.3">
      <c r="A109" s="138" t="s">
        <v>164</v>
      </c>
      <c r="B109" s="138" t="s">
        <v>260</v>
      </c>
      <c r="C109" s="139" t="s">
        <v>117</v>
      </c>
      <c r="D109" s="139" t="s">
        <v>294</v>
      </c>
      <c r="E109" s="139"/>
      <c r="F109" s="140" t="s">
        <v>71</v>
      </c>
      <c r="G109" s="141"/>
      <c r="H109" s="142"/>
      <c r="I109" s="143" t="str">
        <f>IFERROR(IF(OR($F109="O",$G109="O",$H109="O"),CHOOSE(MATCH($A109,{"튜브","고압","진공","튜닝","조립","출하"},0),"T","H","V","N","A","P")&amp;IF($F109="O","R",IF($G109="O","A",IF($H109="O","F",""))),""),"")</f>
        <v>VR</v>
      </c>
      <c r="J109" s="144"/>
      <c r="K109" s="145"/>
      <c r="L109" s="146" t="s">
        <v>71</v>
      </c>
      <c r="M109" s="147"/>
      <c r="N109" s="148"/>
      <c r="O109" s="149"/>
      <c r="P109" s="150" t="str">
        <f t="shared" si="3"/>
        <v>6-VR</v>
      </c>
      <c r="Q109" s="151" t="str">
        <f>HYPERLINK("#'마스터_품목'!A126","→ 마스터 R126")</f>
        <v>→ 마스터 R126</v>
      </c>
      <c r="R109" s="152">
        <v>126</v>
      </c>
      <c r="S109" s="152" t="s">
        <v>72</v>
      </c>
    </row>
    <row r="110" spans="1:19" ht="48" customHeight="1" x14ac:dyDescent="0.3">
      <c r="A110" s="138" t="s">
        <v>164</v>
      </c>
      <c r="B110" s="138" t="s">
        <v>260</v>
      </c>
      <c r="C110" s="139" t="s">
        <v>217</v>
      </c>
      <c r="D110" s="139" t="s">
        <v>294</v>
      </c>
      <c r="E110" s="139"/>
      <c r="F110" s="140" t="s">
        <v>71</v>
      </c>
      <c r="G110" s="141"/>
      <c r="H110" s="142"/>
      <c r="I110" s="143" t="str">
        <f>IFERROR(IF(OR($F110="O",$G110="O",$H110="O"),CHOOSE(MATCH($A110,{"튜브","고압","진공","튜닝","조립","출하"},0),"T","H","V","N","A","P")&amp;IF($F110="O","R",IF($G110="O","A",IF($H110="O","F",""))),""),"")</f>
        <v>VR</v>
      </c>
      <c r="J110" s="144" t="s">
        <v>71</v>
      </c>
      <c r="K110" s="145"/>
      <c r="L110" s="146"/>
      <c r="M110" s="147"/>
      <c r="N110" s="148"/>
      <c r="O110" s="149"/>
      <c r="P110" s="150" t="str">
        <f t="shared" si="3"/>
        <v>3-VR</v>
      </c>
      <c r="Q110" s="151" t="str">
        <f>HYPERLINK("#'마스터_품목'!A127","→ 마스터 R127")</f>
        <v>→ 마스터 R127</v>
      </c>
      <c r="R110" s="152">
        <v>127</v>
      </c>
      <c r="S110" s="152" t="s">
        <v>72</v>
      </c>
    </row>
    <row r="111" spans="1:19" ht="48" customHeight="1" x14ac:dyDescent="0.3">
      <c r="A111" s="138" t="s">
        <v>164</v>
      </c>
      <c r="B111" s="138" t="s">
        <v>260</v>
      </c>
      <c r="C111" s="139" t="s">
        <v>182</v>
      </c>
      <c r="D111" s="139" t="s">
        <v>288</v>
      </c>
      <c r="E111" s="139" t="s">
        <v>295</v>
      </c>
      <c r="F111" s="140" t="s">
        <v>71</v>
      </c>
      <c r="G111" s="141"/>
      <c r="H111" s="142"/>
      <c r="I111" s="143" t="str">
        <f>IFERROR(IF(OR($F111="O",$G111="O",$H111="O"),CHOOSE(MATCH($A111,{"튜브","고압","진공","튜닝","조립","출하"},0),"T","H","V","N","A","P")&amp;IF($F111="O","R",IF($G111="O","A",IF($H111="O","F",""))),""),"")</f>
        <v>VR</v>
      </c>
      <c r="J111" s="144"/>
      <c r="K111" s="145"/>
      <c r="L111" s="146"/>
      <c r="M111" s="147"/>
      <c r="N111" s="148" t="s">
        <v>71</v>
      </c>
      <c r="O111" s="149"/>
      <c r="P111" s="150" t="str">
        <f t="shared" si="3"/>
        <v>8-VR</v>
      </c>
      <c r="Q111" s="151" t="str">
        <f>HYPERLINK("#'마스터_품목'!A128","→ 마스터 R128")</f>
        <v>→ 마스터 R128</v>
      </c>
      <c r="R111" s="152">
        <v>128</v>
      </c>
      <c r="S111" s="152" t="s">
        <v>72</v>
      </c>
    </row>
    <row r="112" spans="1:19" ht="48" customHeight="1" x14ac:dyDescent="0.3">
      <c r="A112" s="138" t="s">
        <v>164</v>
      </c>
      <c r="B112" s="138" t="s">
        <v>260</v>
      </c>
      <c r="C112" s="139" t="s">
        <v>133</v>
      </c>
      <c r="D112" s="139" t="s">
        <v>296</v>
      </c>
      <c r="E112" s="139" t="s">
        <v>297</v>
      </c>
      <c r="F112" s="140" t="s">
        <v>71</v>
      </c>
      <c r="G112" s="141"/>
      <c r="H112" s="142"/>
      <c r="I112" s="143" t="str">
        <f>IFERROR(IF(OR($F112="O",$G112="O",$H112="O"),CHOOSE(MATCH($A112,{"튜브","고압","진공","튜닝","조립","출하"},0),"T","H","V","N","A","P")&amp;IF($F112="O","R",IF($G112="O","A",IF($H112="O","F",""))),""),"")</f>
        <v>VR</v>
      </c>
      <c r="J112" s="153" t="s">
        <v>71</v>
      </c>
      <c r="K112" s="154" t="s">
        <v>71</v>
      </c>
      <c r="L112" s="155" t="s">
        <v>71</v>
      </c>
      <c r="M112" s="156" t="s">
        <v>71</v>
      </c>
      <c r="N112" s="157" t="s">
        <v>71</v>
      </c>
      <c r="O112" s="149"/>
      <c r="P112" s="150" t="str">
        <f t="shared" si="3"/>
        <v>34678-VR</v>
      </c>
      <c r="Q112" s="151" t="str">
        <f>HYPERLINK("#'마스터_품목'!A129","→ 마스터 R129")</f>
        <v>→ 마스터 R129</v>
      </c>
      <c r="R112" s="152">
        <v>129</v>
      </c>
      <c r="S112" s="152" t="s">
        <v>72</v>
      </c>
    </row>
    <row r="113" spans="1:19" ht="48" customHeight="1" x14ac:dyDescent="0.3">
      <c r="A113" s="138" t="s">
        <v>164</v>
      </c>
      <c r="B113" s="138" t="s">
        <v>260</v>
      </c>
      <c r="C113" s="139" t="s">
        <v>195</v>
      </c>
      <c r="D113" s="139" t="s">
        <v>298</v>
      </c>
      <c r="E113" s="139" t="s">
        <v>299</v>
      </c>
      <c r="F113" s="140" t="s">
        <v>71</v>
      </c>
      <c r="G113" s="141"/>
      <c r="H113" s="142"/>
      <c r="I113" s="143" t="str">
        <f>IFERROR(IF(OR($F113="O",$G113="O",$H113="O"),CHOOSE(MATCH($A113,{"튜브","고압","진공","튜닝","조립","출하"},0),"T","H","V","N","A","P")&amp;IF($F113="O","R",IF($G113="O","A",IF($H113="O","F",""))),""),"")</f>
        <v>VR</v>
      </c>
      <c r="J113" s="144" t="s">
        <v>71</v>
      </c>
      <c r="K113" s="145" t="s">
        <v>71</v>
      </c>
      <c r="L113" s="146" t="s">
        <v>71</v>
      </c>
      <c r="M113" s="147" t="s">
        <v>71</v>
      </c>
      <c r="N113" s="148" t="s">
        <v>71</v>
      </c>
      <c r="O113" s="149" t="s">
        <v>71</v>
      </c>
      <c r="P113" s="150" t="str">
        <f t="shared" si="3"/>
        <v>34678?-VR</v>
      </c>
      <c r="Q113" s="151" t="str">
        <f>HYPERLINK("#'마스터_품목'!A130","→ 마스터 R130")</f>
        <v>→ 마스터 R130</v>
      </c>
      <c r="R113" s="152">
        <v>130</v>
      </c>
      <c r="S113" s="152" t="s">
        <v>72</v>
      </c>
    </row>
    <row r="114" spans="1:19" ht="48" customHeight="1" x14ac:dyDescent="0.3">
      <c r="A114" s="138" t="s">
        <v>164</v>
      </c>
      <c r="B114" s="138" t="s">
        <v>260</v>
      </c>
      <c r="C114" s="139" t="s">
        <v>195</v>
      </c>
      <c r="D114" s="139" t="s">
        <v>300</v>
      </c>
      <c r="E114" s="139" t="s">
        <v>301</v>
      </c>
      <c r="F114" s="140" t="s">
        <v>71</v>
      </c>
      <c r="G114" s="141"/>
      <c r="H114" s="142"/>
      <c r="I114" s="143" t="str">
        <f>IFERROR(IF(OR($F114="O",$G114="O",$H114="O"),CHOOSE(MATCH($A114,{"튜브","고압","진공","튜닝","조립","출하"},0),"T","H","V","N","A","P")&amp;IF($F114="O","R",IF($G114="O","A",IF($H114="O","F",""))),""),"")</f>
        <v>VR</v>
      </c>
      <c r="J114" s="144" t="s">
        <v>71</v>
      </c>
      <c r="K114" s="145" t="s">
        <v>71</v>
      </c>
      <c r="L114" s="146" t="s">
        <v>71</v>
      </c>
      <c r="M114" s="147" t="s">
        <v>71</v>
      </c>
      <c r="N114" s="148" t="s">
        <v>71</v>
      </c>
      <c r="O114" s="149" t="s">
        <v>71</v>
      </c>
      <c r="P114" s="150" t="str">
        <f t="shared" si="3"/>
        <v>34678?-VR</v>
      </c>
      <c r="Q114" s="151" t="str">
        <f>HYPERLINK("#'마스터_품목'!A131","→ 마스터 R131")</f>
        <v>→ 마스터 R131</v>
      </c>
      <c r="R114" s="152">
        <v>131</v>
      </c>
      <c r="S114" s="152" t="s">
        <v>72</v>
      </c>
    </row>
    <row r="115" spans="1:19" ht="48" customHeight="1" x14ac:dyDescent="0.3">
      <c r="A115" s="138" t="s">
        <v>164</v>
      </c>
      <c r="B115" s="138" t="s">
        <v>271</v>
      </c>
      <c r="C115" s="139" t="s">
        <v>195</v>
      </c>
      <c r="D115" s="139" t="s">
        <v>302</v>
      </c>
      <c r="E115" s="139"/>
      <c r="F115" s="140"/>
      <c r="G115" s="141" t="s">
        <v>71</v>
      </c>
      <c r="H115" s="142"/>
      <c r="I115" s="143" t="str">
        <f>IFERROR(IF(OR($F115="O",$G115="O",$H115="O"),CHOOSE(MATCH($A115,{"튜브","고압","진공","튜닝","조립","출하"},0),"T","H","V","N","A","P")&amp;IF($F115="O","R",IF($G115="O","A",IF($H115="O","F",""))),""),"")</f>
        <v>VA</v>
      </c>
      <c r="J115" s="144" t="s">
        <v>71</v>
      </c>
      <c r="K115" s="145"/>
      <c r="L115" s="146"/>
      <c r="M115" s="147"/>
      <c r="N115" s="148"/>
      <c r="O115" s="149"/>
      <c r="P115" s="150" t="str">
        <f t="shared" si="3"/>
        <v>3-VA</v>
      </c>
      <c r="Q115" s="151" t="str">
        <f>HYPERLINK("#'마스터_품목'!A132","→ 마스터 R132")</f>
        <v>→ 마스터 R132</v>
      </c>
      <c r="R115" s="152">
        <v>132</v>
      </c>
      <c r="S115" s="152" t="s">
        <v>72</v>
      </c>
    </row>
    <row r="116" spans="1:19" ht="48" customHeight="1" x14ac:dyDescent="0.3">
      <c r="A116" s="138" t="s">
        <v>164</v>
      </c>
      <c r="B116" s="138" t="s">
        <v>271</v>
      </c>
      <c r="C116" s="139" t="s">
        <v>195</v>
      </c>
      <c r="D116" s="139" t="s">
        <v>303</v>
      </c>
      <c r="E116" s="139"/>
      <c r="F116" s="140"/>
      <c r="G116" s="141" t="s">
        <v>71</v>
      </c>
      <c r="H116" s="142"/>
      <c r="I116" s="143" t="str">
        <f>IFERROR(IF(OR($F116="O",$G116="O",$H116="O"),CHOOSE(MATCH($A116,{"튜브","고압","진공","튜닝","조립","출하"},0),"T","H","V","N","A","P")&amp;IF($F116="O","R",IF($G116="O","A",IF($H116="O","F",""))),""),"")</f>
        <v>VA</v>
      </c>
      <c r="J116" s="144" t="s">
        <v>71</v>
      </c>
      <c r="K116" s="145"/>
      <c r="L116" s="146"/>
      <c r="M116" s="147"/>
      <c r="N116" s="148"/>
      <c r="O116" s="149"/>
      <c r="P116" s="150" t="str">
        <f t="shared" si="3"/>
        <v>3-VA</v>
      </c>
      <c r="Q116" s="151" t="str">
        <f>HYPERLINK("#'마스터_품목'!A133","→ 마스터 R133")</f>
        <v>→ 마스터 R133</v>
      </c>
      <c r="R116" s="152">
        <v>133</v>
      </c>
      <c r="S116" s="152" t="s">
        <v>72</v>
      </c>
    </row>
    <row r="117" spans="1:19" ht="48" customHeight="1" x14ac:dyDescent="0.3">
      <c r="A117" s="138" t="s">
        <v>164</v>
      </c>
      <c r="B117" s="138" t="s">
        <v>271</v>
      </c>
      <c r="C117" s="139" t="s">
        <v>198</v>
      </c>
      <c r="D117" s="139" t="s">
        <v>302</v>
      </c>
      <c r="E117" s="139"/>
      <c r="F117" s="140"/>
      <c r="G117" s="141" t="s">
        <v>71</v>
      </c>
      <c r="H117" s="142"/>
      <c r="I117" s="143" t="str">
        <f>IFERROR(IF(OR($F117="O",$G117="O",$H117="O"),CHOOSE(MATCH($A117,{"튜브","고압","진공","튜닝","조립","출하"},0),"T","H","V","N","A","P")&amp;IF($F117="O","R",IF($G117="O","A",IF($H117="O","F",""))),""),"")</f>
        <v>VA</v>
      </c>
      <c r="J117" s="144"/>
      <c r="K117" s="145" t="s">
        <v>71</v>
      </c>
      <c r="L117" s="146"/>
      <c r="M117" s="147"/>
      <c r="N117" s="148"/>
      <c r="O117" s="149"/>
      <c r="P117" s="150" t="str">
        <f t="shared" si="3"/>
        <v>4-VA</v>
      </c>
      <c r="Q117" s="151" t="str">
        <f>HYPERLINK("#'마스터_품목'!A134","→ 마스터 R134")</f>
        <v>→ 마스터 R134</v>
      </c>
      <c r="R117" s="152">
        <v>134</v>
      </c>
      <c r="S117" s="152" t="s">
        <v>72</v>
      </c>
    </row>
    <row r="118" spans="1:19" ht="48" customHeight="1" x14ac:dyDescent="0.3">
      <c r="A118" s="138" t="s">
        <v>164</v>
      </c>
      <c r="B118" s="138" t="s">
        <v>271</v>
      </c>
      <c r="C118" s="139" t="s">
        <v>117</v>
      </c>
      <c r="D118" s="139" t="s">
        <v>302</v>
      </c>
      <c r="E118" s="139"/>
      <c r="F118" s="140"/>
      <c r="G118" s="141" t="s">
        <v>71</v>
      </c>
      <c r="H118" s="142"/>
      <c r="I118" s="143" t="str">
        <f>IFERROR(IF(OR($F118="O",$G118="O",$H118="O"),CHOOSE(MATCH($A118,{"튜브","고압","진공","튜닝","조립","출하"},0),"T","H","V","N","A","P")&amp;IF($F118="O","R",IF($G118="O","A",IF($H118="O","F",""))),""),"")</f>
        <v>VA</v>
      </c>
      <c r="J118" s="144"/>
      <c r="K118" s="145"/>
      <c r="L118" s="146" t="s">
        <v>71</v>
      </c>
      <c r="M118" s="147"/>
      <c r="N118" s="148"/>
      <c r="O118" s="149"/>
      <c r="P118" s="150" t="str">
        <f t="shared" si="3"/>
        <v>6-VA</v>
      </c>
      <c r="Q118" s="151" t="str">
        <f>HYPERLINK("#'마스터_품목'!A135","→ 마스터 R135")</f>
        <v>→ 마스터 R135</v>
      </c>
      <c r="R118" s="152">
        <v>135</v>
      </c>
      <c r="S118" s="152" t="s">
        <v>72</v>
      </c>
    </row>
    <row r="119" spans="1:19" ht="48" customHeight="1" x14ac:dyDescent="0.3">
      <c r="A119" s="138" t="s">
        <v>164</v>
      </c>
      <c r="B119" s="138" t="s">
        <v>271</v>
      </c>
      <c r="C119" s="139" t="s">
        <v>117</v>
      </c>
      <c r="D119" s="139" t="s">
        <v>304</v>
      </c>
      <c r="E119" s="139"/>
      <c r="F119" s="140"/>
      <c r="G119" s="141" t="s">
        <v>71</v>
      </c>
      <c r="H119" s="142"/>
      <c r="I119" s="143" t="str">
        <f>IFERROR(IF(OR($F119="O",$G119="O",$H119="O"),CHOOSE(MATCH($A119,{"튜브","고압","진공","튜닝","조립","출하"},0),"T","H","V","N","A","P")&amp;IF($F119="O","R",IF($G119="O","A",IF($H119="O","F",""))),""),"")</f>
        <v>VA</v>
      </c>
      <c r="J119" s="144"/>
      <c r="K119" s="145"/>
      <c r="L119" s="146" t="s">
        <v>71</v>
      </c>
      <c r="M119" s="147"/>
      <c r="N119" s="148"/>
      <c r="O119" s="149"/>
      <c r="P119" s="150" t="str">
        <f t="shared" si="3"/>
        <v>6-VA</v>
      </c>
      <c r="Q119" s="151" t="str">
        <f>HYPERLINK("#'마스터_품목'!A136","→ 마스터 R136")</f>
        <v>→ 마스터 R136</v>
      </c>
      <c r="R119" s="152">
        <v>136</v>
      </c>
      <c r="S119" s="152" t="s">
        <v>72</v>
      </c>
    </row>
    <row r="120" spans="1:19" ht="48" customHeight="1" x14ac:dyDescent="0.3">
      <c r="A120" s="138" t="s">
        <v>164</v>
      </c>
      <c r="B120" s="138" t="s">
        <v>271</v>
      </c>
      <c r="C120" s="139" t="s">
        <v>153</v>
      </c>
      <c r="D120" s="139" t="s">
        <v>302</v>
      </c>
      <c r="E120" s="139"/>
      <c r="F120" s="140"/>
      <c r="G120" s="141" t="s">
        <v>71</v>
      </c>
      <c r="H120" s="142"/>
      <c r="I120" s="143" t="str">
        <f>IFERROR(IF(OR($F120="O",$G120="O",$H120="O"),CHOOSE(MATCH($A120,{"튜브","고압","진공","튜닝","조립","출하"},0),"T","H","V","N","A","P")&amp;IF($F120="O","R",IF($G120="O","A",IF($H120="O","F",""))),""),"")</f>
        <v>VA</v>
      </c>
      <c r="J120" s="144"/>
      <c r="K120" s="145"/>
      <c r="L120" s="146"/>
      <c r="M120" s="147" t="s">
        <v>71</v>
      </c>
      <c r="N120" s="148"/>
      <c r="O120" s="149"/>
      <c r="P120" s="150" t="str">
        <f t="shared" si="3"/>
        <v>7-VA</v>
      </c>
      <c r="Q120" s="151" t="str">
        <f>HYPERLINK("#'마스터_품목'!A137","→ 마스터 R137")</f>
        <v>→ 마스터 R137</v>
      </c>
      <c r="R120" s="152">
        <v>137</v>
      </c>
      <c r="S120" s="152" t="s">
        <v>72</v>
      </c>
    </row>
    <row r="121" spans="1:19" ht="48" customHeight="1" x14ac:dyDescent="0.3">
      <c r="A121" s="138" t="s">
        <v>164</v>
      </c>
      <c r="B121" s="138" t="s">
        <v>271</v>
      </c>
      <c r="C121" s="139" t="s">
        <v>217</v>
      </c>
      <c r="D121" s="139" t="s">
        <v>304</v>
      </c>
      <c r="E121" s="139"/>
      <c r="F121" s="140"/>
      <c r="G121" s="141" t="s">
        <v>71</v>
      </c>
      <c r="H121" s="142"/>
      <c r="I121" s="143" t="str">
        <f>IFERROR(IF(OR($F121="O",$G121="O",$H121="O"),CHOOSE(MATCH($A121,{"튜브","고압","진공","튜닝","조립","출하"},0),"T","H","V","N","A","P")&amp;IF($F121="O","R",IF($G121="O","A",IF($H121="O","F",""))),""),"")</f>
        <v>VA</v>
      </c>
      <c r="J121" s="144" t="s">
        <v>71</v>
      </c>
      <c r="K121" s="145"/>
      <c r="L121" s="146"/>
      <c r="M121" s="147"/>
      <c r="N121" s="148"/>
      <c r="O121" s="149"/>
      <c r="P121" s="150" t="str">
        <f t="shared" si="3"/>
        <v>3-VA</v>
      </c>
      <c r="Q121" s="151" t="str">
        <f>HYPERLINK("#'마스터_품목'!A138","→ 마스터 R138")</f>
        <v>→ 마스터 R138</v>
      </c>
      <c r="R121" s="152">
        <v>138</v>
      </c>
      <c r="S121" s="152" t="s">
        <v>72</v>
      </c>
    </row>
    <row r="122" spans="1:19" ht="48" customHeight="1" x14ac:dyDescent="0.3">
      <c r="A122" s="138" t="s">
        <v>164</v>
      </c>
      <c r="B122" s="138" t="s">
        <v>271</v>
      </c>
      <c r="C122" s="139" t="s">
        <v>182</v>
      </c>
      <c r="D122" s="139" t="s">
        <v>302</v>
      </c>
      <c r="E122" s="139"/>
      <c r="F122" s="140"/>
      <c r="G122" s="141" t="s">
        <v>71</v>
      </c>
      <c r="H122" s="142"/>
      <c r="I122" s="143" t="str">
        <f>IFERROR(IF(OR($F122="O",$G122="O",$H122="O"),CHOOSE(MATCH($A122,{"튜브","고압","진공","튜닝","조립","출하"},0),"T","H","V","N","A","P")&amp;IF($F122="O","R",IF($G122="O","A",IF($H122="O","F",""))),""),"")</f>
        <v>VA</v>
      </c>
      <c r="J122" s="144"/>
      <c r="K122" s="145"/>
      <c r="L122" s="146"/>
      <c r="M122" s="147"/>
      <c r="N122" s="148" t="s">
        <v>71</v>
      </c>
      <c r="O122" s="149"/>
      <c r="P122" s="150" t="str">
        <f t="shared" si="3"/>
        <v>8-VA</v>
      </c>
      <c r="Q122" s="151" t="str">
        <f>HYPERLINK("#'마스터_품목'!A139","→ 마스터 R139")</f>
        <v>→ 마스터 R139</v>
      </c>
      <c r="R122" s="152">
        <v>139</v>
      </c>
      <c r="S122" s="152" t="s">
        <v>72</v>
      </c>
    </row>
    <row r="123" spans="1:19" ht="48" customHeight="1" x14ac:dyDescent="0.3">
      <c r="A123" s="138" t="s">
        <v>110</v>
      </c>
      <c r="B123" s="138" t="s">
        <v>305</v>
      </c>
      <c r="C123" s="139" t="s">
        <v>195</v>
      </c>
      <c r="D123" s="139" t="s">
        <v>306</v>
      </c>
      <c r="E123" s="139"/>
      <c r="F123" s="140"/>
      <c r="G123" s="141"/>
      <c r="H123" s="142" t="s">
        <v>71</v>
      </c>
      <c r="I123" s="143" t="str">
        <f>IFERROR(IF(OR($F123="O",$G123="O",$H123="O"),CHOOSE(MATCH($A123,{"튜브","고압","진공","튜닝","조립","출하"},0),"T","H","V","N","A","P")&amp;IF($F123="O","R",IF($G123="O","A",IF($H123="O","F",""))),""),"")</f>
        <v>HF</v>
      </c>
      <c r="J123" s="144" t="s">
        <v>71</v>
      </c>
      <c r="K123" s="145"/>
      <c r="L123" s="146"/>
      <c r="M123" s="147"/>
      <c r="N123" s="148"/>
      <c r="O123" s="149"/>
      <c r="P123" s="150" t="str">
        <f t="shared" si="3"/>
        <v>3-HF</v>
      </c>
      <c r="Q123" s="151" t="str">
        <f>HYPERLINK("#'마스터_품목'!A140","→ 마스터 R140")</f>
        <v>→ 마스터 R140</v>
      </c>
      <c r="R123" s="152">
        <v>140</v>
      </c>
      <c r="S123" s="152" t="s">
        <v>72</v>
      </c>
    </row>
    <row r="124" spans="1:19" ht="48" customHeight="1" x14ac:dyDescent="0.3">
      <c r="A124" s="138" t="s">
        <v>110</v>
      </c>
      <c r="B124" s="138" t="s">
        <v>305</v>
      </c>
      <c r="C124" s="139" t="s">
        <v>195</v>
      </c>
      <c r="D124" s="139" t="s">
        <v>307</v>
      </c>
      <c r="E124" s="139"/>
      <c r="F124" s="140"/>
      <c r="G124" s="141"/>
      <c r="H124" s="142" t="s">
        <v>71</v>
      </c>
      <c r="I124" s="143" t="str">
        <f>IFERROR(IF(OR($F124="O",$G124="O",$H124="O"),CHOOSE(MATCH($A124,{"튜브","고압","진공","튜닝","조립","출하"},0),"T","H","V","N","A","P")&amp;IF($F124="O","R",IF($G124="O","A",IF($H124="O","F",""))),""),"")</f>
        <v>HF</v>
      </c>
      <c r="J124" s="144" t="s">
        <v>71</v>
      </c>
      <c r="K124" s="145"/>
      <c r="L124" s="146"/>
      <c r="M124" s="147"/>
      <c r="N124" s="148"/>
      <c r="O124" s="149"/>
      <c r="P124" s="150" t="str">
        <f t="shared" si="3"/>
        <v>3-HF</v>
      </c>
      <c r="Q124" s="151" t="str">
        <f>HYPERLINK("#'마스터_품목'!A141","→ 마스터 R141")</f>
        <v>→ 마스터 R141</v>
      </c>
      <c r="R124" s="152">
        <v>141</v>
      </c>
      <c r="S124" s="152" t="s">
        <v>72</v>
      </c>
    </row>
    <row r="125" spans="1:19" ht="48" customHeight="1" x14ac:dyDescent="0.3">
      <c r="A125" s="138" t="s">
        <v>110</v>
      </c>
      <c r="B125" s="138" t="s">
        <v>305</v>
      </c>
      <c r="C125" s="139" t="s">
        <v>198</v>
      </c>
      <c r="D125" s="139" t="s">
        <v>306</v>
      </c>
      <c r="E125" s="139"/>
      <c r="F125" s="140"/>
      <c r="G125" s="141"/>
      <c r="H125" s="142" t="s">
        <v>71</v>
      </c>
      <c r="I125" s="143" t="str">
        <f>IFERROR(IF(OR($F125="O",$G125="O",$H125="O"),CHOOSE(MATCH($A125,{"튜브","고압","진공","튜닝","조립","출하"},0),"T","H","V","N","A","P")&amp;IF($F125="O","R",IF($G125="O","A",IF($H125="O","F",""))),""),"")</f>
        <v>HF</v>
      </c>
      <c r="J125" s="144"/>
      <c r="K125" s="145" t="s">
        <v>71</v>
      </c>
      <c r="L125" s="146"/>
      <c r="M125" s="147"/>
      <c r="N125" s="148"/>
      <c r="O125" s="149"/>
      <c r="P125" s="150" t="str">
        <f t="shared" si="3"/>
        <v>4-HF</v>
      </c>
      <c r="Q125" s="151" t="str">
        <f>HYPERLINK("#'마스터_품목'!A142","→ 마스터 R142")</f>
        <v>→ 마스터 R142</v>
      </c>
      <c r="R125" s="152">
        <v>142</v>
      </c>
      <c r="S125" s="152" t="s">
        <v>72</v>
      </c>
    </row>
    <row r="126" spans="1:19" ht="48" customHeight="1" x14ac:dyDescent="0.3">
      <c r="A126" s="138" t="s">
        <v>110</v>
      </c>
      <c r="B126" s="138" t="s">
        <v>305</v>
      </c>
      <c r="C126" s="139" t="s">
        <v>117</v>
      </c>
      <c r="D126" s="139" t="s">
        <v>308</v>
      </c>
      <c r="E126" s="139"/>
      <c r="F126" s="140"/>
      <c r="G126" s="141"/>
      <c r="H126" s="142" t="s">
        <v>71</v>
      </c>
      <c r="I126" s="143" t="str">
        <f>IFERROR(IF(OR($F126="O",$G126="O",$H126="O"),CHOOSE(MATCH($A126,{"튜브","고압","진공","튜닝","조립","출하"},0),"T","H","V","N","A","P")&amp;IF($F126="O","R",IF($G126="O","A",IF($H126="O","F",""))),""),"")</f>
        <v>HF</v>
      </c>
      <c r="J126" s="144"/>
      <c r="K126" s="145"/>
      <c r="L126" s="146" t="s">
        <v>71</v>
      </c>
      <c r="M126" s="147"/>
      <c r="N126" s="148"/>
      <c r="O126" s="149"/>
      <c r="P126" s="150" t="str">
        <f t="shared" si="3"/>
        <v>6-HF</v>
      </c>
      <c r="Q126" s="151" t="str">
        <f>HYPERLINK("#'마스터_품목'!A143","→ 마스터 R143")</f>
        <v>→ 마스터 R143</v>
      </c>
      <c r="R126" s="152">
        <v>143</v>
      </c>
      <c r="S126" s="152" t="s">
        <v>72</v>
      </c>
    </row>
    <row r="127" spans="1:19" ht="48" customHeight="1" x14ac:dyDescent="0.3">
      <c r="A127" s="138" t="s">
        <v>110</v>
      </c>
      <c r="B127" s="138" t="s">
        <v>305</v>
      </c>
      <c r="C127" s="139" t="s">
        <v>117</v>
      </c>
      <c r="D127" s="139" t="s">
        <v>309</v>
      </c>
      <c r="E127" s="139"/>
      <c r="F127" s="140"/>
      <c r="G127" s="141"/>
      <c r="H127" s="142" t="s">
        <v>71</v>
      </c>
      <c r="I127" s="143" t="str">
        <f>IFERROR(IF(OR($F127="O",$G127="O",$H127="O"),CHOOSE(MATCH($A127,{"튜브","고압","진공","튜닝","조립","출하"},0),"T","H","V","N","A","P")&amp;IF($F127="O","R",IF($G127="O","A",IF($H127="O","F",""))),""),"")</f>
        <v>HF</v>
      </c>
      <c r="J127" s="144"/>
      <c r="K127" s="145"/>
      <c r="L127" s="146" t="s">
        <v>71</v>
      </c>
      <c r="M127" s="147"/>
      <c r="N127" s="148"/>
      <c r="O127" s="149"/>
      <c r="P127" s="150" t="str">
        <f t="shared" si="3"/>
        <v>6-HF</v>
      </c>
      <c r="Q127" s="151" t="str">
        <f>HYPERLINK("#'마스터_품목'!A144","→ 마스터 R144")</f>
        <v>→ 마스터 R144</v>
      </c>
      <c r="R127" s="152">
        <v>144</v>
      </c>
      <c r="S127" s="152" t="s">
        <v>72</v>
      </c>
    </row>
    <row r="128" spans="1:19" ht="48" customHeight="1" x14ac:dyDescent="0.3">
      <c r="A128" s="138" t="s">
        <v>110</v>
      </c>
      <c r="B128" s="138" t="s">
        <v>305</v>
      </c>
      <c r="C128" s="139" t="s">
        <v>117</v>
      </c>
      <c r="D128" s="139" t="s">
        <v>310</v>
      </c>
      <c r="E128" s="139"/>
      <c r="F128" s="140"/>
      <c r="G128" s="141"/>
      <c r="H128" s="142" t="s">
        <v>71</v>
      </c>
      <c r="I128" s="143" t="str">
        <f>IFERROR(IF(OR($F128="O",$G128="O",$H128="O"),CHOOSE(MATCH($A128,{"튜브","고압","진공","튜닝","조립","출하"},0),"T","H","V","N","A","P")&amp;IF($F128="O","R",IF($G128="O","A",IF($H128="O","F",""))),""),"")</f>
        <v>HF</v>
      </c>
      <c r="J128" s="144"/>
      <c r="K128" s="145"/>
      <c r="L128" s="146" t="s">
        <v>71</v>
      </c>
      <c r="M128" s="147"/>
      <c r="N128" s="148"/>
      <c r="O128" s="149"/>
      <c r="P128" s="150" t="str">
        <f t="shared" si="3"/>
        <v>6-HF</v>
      </c>
      <c r="Q128" s="151" t="str">
        <f>HYPERLINK("#'마스터_품목'!A145","→ 마스터 R145")</f>
        <v>→ 마스터 R145</v>
      </c>
      <c r="R128" s="152">
        <v>145</v>
      </c>
      <c r="S128" s="152" t="s">
        <v>72</v>
      </c>
    </row>
    <row r="129" spans="1:19" ht="48" customHeight="1" x14ac:dyDescent="0.3">
      <c r="A129" s="138" t="s">
        <v>110</v>
      </c>
      <c r="B129" s="138" t="s">
        <v>305</v>
      </c>
      <c r="C129" s="139" t="s">
        <v>153</v>
      </c>
      <c r="D129" s="139" t="s">
        <v>306</v>
      </c>
      <c r="E129" s="139"/>
      <c r="F129" s="140"/>
      <c r="G129" s="141"/>
      <c r="H129" s="142" t="s">
        <v>71</v>
      </c>
      <c r="I129" s="143" t="str">
        <f>IFERROR(IF(OR($F129="O",$G129="O",$H129="O"),CHOOSE(MATCH($A129,{"튜브","고압","진공","튜닝","조립","출하"},0),"T","H","V","N","A","P")&amp;IF($F129="O","R",IF($G129="O","A",IF($H129="O","F",""))),""),"")</f>
        <v>HF</v>
      </c>
      <c r="J129" s="144"/>
      <c r="K129" s="145"/>
      <c r="L129" s="146"/>
      <c r="M129" s="147" t="s">
        <v>71</v>
      </c>
      <c r="N129" s="148"/>
      <c r="O129" s="149"/>
      <c r="P129" s="150" t="str">
        <f t="shared" si="3"/>
        <v>7-HF</v>
      </c>
      <c r="Q129" s="151" t="str">
        <f>HYPERLINK("#'마스터_품목'!A146","→ 마스터 R146")</f>
        <v>→ 마스터 R146</v>
      </c>
      <c r="R129" s="152">
        <v>146</v>
      </c>
      <c r="S129" s="152" t="s">
        <v>72</v>
      </c>
    </row>
    <row r="130" spans="1:19" ht="48" customHeight="1" x14ac:dyDescent="0.3">
      <c r="A130" s="138" t="s">
        <v>110</v>
      </c>
      <c r="B130" s="138" t="s">
        <v>305</v>
      </c>
      <c r="C130" s="139" t="s">
        <v>117</v>
      </c>
      <c r="D130" s="139" t="s">
        <v>311</v>
      </c>
      <c r="E130" s="139"/>
      <c r="F130" s="140"/>
      <c r="G130" s="141"/>
      <c r="H130" s="142" t="s">
        <v>71</v>
      </c>
      <c r="I130" s="143" t="str">
        <f>IFERROR(IF(OR($F130="O",$G130="O",$H130="O"),CHOOSE(MATCH($A130,{"튜브","고압","진공","튜닝","조립","출하"},0),"T","H","V","N","A","P")&amp;IF($F130="O","R",IF($G130="O","A",IF($H130="O","F",""))),""),"")</f>
        <v>HF</v>
      </c>
      <c r="J130" s="144"/>
      <c r="K130" s="145"/>
      <c r="L130" s="146" t="s">
        <v>71</v>
      </c>
      <c r="M130" s="147"/>
      <c r="N130" s="148"/>
      <c r="O130" s="149"/>
      <c r="P130" s="150" t="str">
        <f t="shared" ref="P130:P165" si="4">IF($I130="","",IF($J130="O","3","")&amp;IF($K130="O","4","")&amp;IF($L130="O","6","")&amp;IF($M130="O","7","")&amp;IF($N130="O","8","")&amp;IF($O130="O","?","")&amp;IF(OR($J130="O",$K130="O",$L130="O",$M130="O",$N130="O",$O130="O"),"-","")&amp;$I130)</f>
        <v>6-HF</v>
      </c>
      <c r="Q130" s="151" t="str">
        <f>HYPERLINK("#'마스터_품목'!A147","→ 마스터 R147")</f>
        <v>→ 마스터 R147</v>
      </c>
      <c r="R130" s="152">
        <v>147</v>
      </c>
      <c r="S130" s="152" t="s">
        <v>72</v>
      </c>
    </row>
    <row r="131" spans="1:19" ht="48" customHeight="1" x14ac:dyDescent="0.3">
      <c r="A131" s="138" t="s">
        <v>164</v>
      </c>
      <c r="B131" s="138" t="s">
        <v>305</v>
      </c>
      <c r="C131" s="139" t="s">
        <v>153</v>
      </c>
      <c r="D131" s="139" t="s">
        <v>312</v>
      </c>
      <c r="E131" s="139"/>
      <c r="F131" s="140"/>
      <c r="G131" s="141" t="s">
        <v>71</v>
      </c>
      <c r="H131" s="142"/>
      <c r="I131" s="143" t="str">
        <f>IFERROR(IF(OR($F131="O",$G131="O",$H131="O"),CHOOSE(MATCH($A131,{"튜브","고압","진공","튜닝","조립","출하"},0),"T","H","V","N","A","P")&amp;IF($F131="O","R",IF($G131="O","A",IF($H131="O","F",""))),""),"")</f>
        <v>VA</v>
      </c>
      <c r="J131" s="144"/>
      <c r="K131" s="145"/>
      <c r="L131" s="146"/>
      <c r="M131" s="147" t="s">
        <v>71</v>
      </c>
      <c r="N131" s="148"/>
      <c r="O131" s="149"/>
      <c r="P131" s="150" t="str">
        <f t="shared" si="4"/>
        <v>7-VA</v>
      </c>
      <c r="Q131" s="151" t="str">
        <f>HYPERLINK("#'마스터_품목'!A148","→ 마스터 R148")</f>
        <v>→ 마스터 R148</v>
      </c>
      <c r="R131" s="152">
        <v>148</v>
      </c>
      <c r="S131" s="152" t="s">
        <v>72</v>
      </c>
    </row>
    <row r="132" spans="1:19" ht="48" customHeight="1" x14ac:dyDescent="0.3">
      <c r="A132" s="138" t="s">
        <v>164</v>
      </c>
      <c r="B132" s="138" t="s">
        <v>305</v>
      </c>
      <c r="C132" s="139" t="s">
        <v>217</v>
      </c>
      <c r="D132" s="139" t="s">
        <v>311</v>
      </c>
      <c r="E132" s="139"/>
      <c r="F132" s="140"/>
      <c r="G132" s="141" t="s">
        <v>71</v>
      </c>
      <c r="H132" s="142"/>
      <c r="I132" s="143" t="str">
        <f>IFERROR(IF(OR($F132="O",$G132="O",$H132="O"),CHOOSE(MATCH($A132,{"튜브","고압","진공","튜닝","조립","출하"},0),"T","H","V","N","A","P")&amp;IF($F132="O","R",IF($G132="O","A",IF($H132="O","F",""))),""),"")</f>
        <v>VA</v>
      </c>
      <c r="J132" s="144" t="s">
        <v>71</v>
      </c>
      <c r="K132" s="145"/>
      <c r="L132" s="146"/>
      <c r="M132" s="147"/>
      <c r="N132" s="148"/>
      <c r="O132" s="149"/>
      <c r="P132" s="150" t="str">
        <f t="shared" si="4"/>
        <v>3-VA</v>
      </c>
      <c r="Q132" s="151" t="str">
        <f>HYPERLINK("#'마스터_품목'!A149","→ 마스터 R149")</f>
        <v>→ 마스터 R149</v>
      </c>
      <c r="R132" s="152">
        <v>149</v>
      </c>
      <c r="S132" s="152" t="s">
        <v>72</v>
      </c>
    </row>
    <row r="133" spans="1:19" ht="48" customHeight="1" x14ac:dyDescent="0.3">
      <c r="A133" s="138" t="s">
        <v>164</v>
      </c>
      <c r="B133" s="138" t="s">
        <v>305</v>
      </c>
      <c r="C133" s="139" t="s">
        <v>182</v>
      </c>
      <c r="D133" s="139" t="s">
        <v>313</v>
      </c>
      <c r="E133" s="139"/>
      <c r="F133" s="140"/>
      <c r="G133" s="141" t="s">
        <v>71</v>
      </c>
      <c r="H133" s="142"/>
      <c r="I133" s="143" t="str">
        <f>IFERROR(IF(OR($F133="O",$G133="O",$H133="O"),CHOOSE(MATCH($A133,{"튜브","고압","진공","튜닝","조립","출하"},0),"T","H","V","N","A","P")&amp;IF($F133="O","R",IF($G133="O","A",IF($H133="O","F",""))),""),"")</f>
        <v>VA</v>
      </c>
      <c r="J133" s="144"/>
      <c r="K133" s="145"/>
      <c r="L133" s="146"/>
      <c r="M133" s="147"/>
      <c r="N133" s="148" t="s">
        <v>71</v>
      </c>
      <c r="O133" s="149"/>
      <c r="P133" s="150" t="str">
        <f t="shared" si="4"/>
        <v>8-VA</v>
      </c>
      <c r="Q133" s="151" t="str">
        <f>HYPERLINK("#'마스터_품목'!A150","→ 마스터 R150")</f>
        <v>→ 마스터 R150</v>
      </c>
      <c r="R133" s="152">
        <v>150</v>
      </c>
      <c r="S133" s="152" t="s">
        <v>72</v>
      </c>
    </row>
    <row r="134" spans="1:19" ht="48" customHeight="1" x14ac:dyDescent="0.3">
      <c r="A134" s="138" t="s">
        <v>164</v>
      </c>
      <c r="B134" s="138" t="s">
        <v>164</v>
      </c>
      <c r="C134" s="139" t="s">
        <v>195</v>
      </c>
      <c r="D134" s="139" t="s">
        <v>314</v>
      </c>
      <c r="E134" s="139"/>
      <c r="F134" s="140"/>
      <c r="G134" s="141" t="s">
        <v>71</v>
      </c>
      <c r="H134" s="142"/>
      <c r="I134" s="143" t="str">
        <f>IFERROR(IF(OR($F134="O",$G134="O",$H134="O"),CHOOSE(MATCH($A134,{"튜브","고압","진공","튜닝","조립","출하"},0),"T","H","V","N","A","P")&amp;IF($F134="O","R",IF($G134="O","A",IF($H134="O","F",""))),""),"")</f>
        <v>VA</v>
      </c>
      <c r="J134" s="144" t="s">
        <v>71</v>
      </c>
      <c r="K134" s="145"/>
      <c r="L134" s="146"/>
      <c r="M134" s="147"/>
      <c r="N134" s="148"/>
      <c r="O134" s="149"/>
      <c r="P134" s="150" t="str">
        <f t="shared" si="4"/>
        <v>3-VA</v>
      </c>
      <c r="Q134" s="151" t="str">
        <f>HYPERLINK("#'마스터_품목'!A151","→ 마스터 R151")</f>
        <v>→ 마스터 R151</v>
      </c>
      <c r="R134" s="152">
        <v>151</v>
      </c>
      <c r="S134" s="152" t="s">
        <v>72</v>
      </c>
    </row>
    <row r="135" spans="1:19" ht="48" customHeight="1" x14ac:dyDescent="0.3">
      <c r="A135" s="138" t="s">
        <v>164</v>
      </c>
      <c r="B135" s="138" t="s">
        <v>164</v>
      </c>
      <c r="C135" s="139" t="s">
        <v>195</v>
      </c>
      <c r="D135" s="139" t="s">
        <v>315</v>
      </c>
      <c r="E135" s="139"/>
      <c r="F135" s="140"/>
      <c r="G135" s="141" t="s">
        <v>71</v>
      </c>
      <c r="H135" s="142"/>
      <c r="I135" s="143" t="str">
        <f>IFERROR(IF(OR($F135="O",$G135="O",$H135="O"),CHOOSE(MATCH($A135,{"튜브","고압","진공","튜닝","조립","출하"},0),"T","H","V","N","A","P")&amp;IF($F135="O","R",IF($G135="O","A",IF($H135="O","F",""))),""),"")</f>
        <v>VA</v>
      </c>
      <c r="J135" s="144" t="s">
        <v>71</v>
      </c>
      <c r="K135" s="145"/>
      <c r="L135" s="146"/>
      <c r="M135" s="147"/>
      <c r="N135" s="148"/>
      <c r="O135" s="149"/>
      <c r="P135" s="150" t="str">
        <f t="shared" si="4"/>
        <v>3-VA</v>
      </c>
      <c r="Q135" s="151" t="str">
        <f>HYPERLINK("#'마스터_품목'!A152","→ 마스터 R152")</f>
        <v>→ 마스터 R152</v>
      </c>
      <c r="R135" s="152">
        <v>152</v>
      </c>
      <c r="S135" s="152" t="s">
        <v>72</v>
      </c>
    </row>
    <row r="136" spans="1:19" ht="48" customHeight="1" x14ac:dyDescent="0.3">
      <c r="A136" s="138" t="s">
        <v>164</v>
      </c>
      <c r="B136" s="138" t="s">
        <v>164</v>
      </c>
      <c r="C136" s="139" t="s">
        <v>198</v>
      </c>
      <c r="D136" s="139" t="s">
        <v>314</v>
      </c>
      <c r="E136" s="139"/>
      <c r="F136" s="140"/>
      <c r="G136" s="141" t="s">
        <v>71</v>
      </c>
      <c r="H136" s="142"/>
      <c r="I136" s="143" t="str">
        <f>IFERROR(IF(OR($F136="O",$G136="O",$H136="O"),CHOOSE(MATCH($A136,{"튜브","고압","진공","튜닝","조립","출하"},0),"T","H","V","N","A","P")&amp;IF($F136="O","R",IF($G136="O","A",IF($H136="O","F",""))),""),"")</f>
        <v>VA</v>
      </c>
      <c r="J136" s="144"/>
      <c r="K136" s="145" t="s">
        <v>71</v>
      </c>
      <c r="L136" s="146"/>
      <c r="M136" s="147"/>
      <c r="N136" s="148"/>
      <c r="O136" s="149"/>
      <c r="P136" s="150" t="str">
        <f t="shared" si="4"/>
        <v>4-VA</v>
      </c>
      <c r="Q136" s="151" t="str">
        <f>HYPERLINK("#'마스터_품목'!A153","→ 마스터 R153")</f>
        <v>→ 마스터 R153</v>
      </c>
      <c r="R136" s="152">
        <v>153</v>
      </c>
      <c r="S136" s="152" t="s">
        <v>72</v>
      </c>
    </row>
    <row r="137" spans="1:19" ht="48" customHeight="1" x14ac:dyDescent="0.3">
      <c r="A137" s="138" t="s">
        <v>164</v>
      </c>
      <c r="B137" s="138" t="s">
        <v>164</v>
      </c>
      <c r="C137" s="139" t="s">
        <v>117</v>
      </c>
      <c r="D137" s="139" t="s">
        <v>314</v>
      </c>
      <c r="E137" s="139"/>
      <c r="F137" s="140"/>
      <c r="G137" s="141" t="s">
        <v>71</v>
      </c>
      <c r="H137" s="142"/>
      <c r="I137" s="143" t="str">
        <f>IFERROR(IF(OR($F137="O",$G137="O",$H137="O"),CHOOSE(MATCH($A137,{"튜브","고압","진공","튜닝","조립","출하"},0),"T","H","V","N","A","P")&amp;IF($F137="O","R",IF($G137="O","A",IF($H137="O","F",""))),""),"")</f>
        <v>VA</v>
      </c>
      <c r="J137" s="144"/>
      <c r="K137" s="145"/>
      <c r="L137" s="146" t="s">
        <v>71</v>
      </c>
      <c r="M137" s="147"/>
      <c r="N137" s="148"/>
      <c r="O137" s="149"/>
      <c r="P137" s="150" t="str">
        <f t="shared" si="4"/>
        <v>6-VA</v>
      </c>
      <c r="Q137" s="151" t="str">
        <f>HYPERLINK("#'마스터_품목'!A154","→ 마스터 R154")</f>
        <v>→ 마스터 R154</v>
      </c>
      <c r="R137" s="152">
        <v>154</v>
      </c>
      <c r="S137" s="152" t="s">
        <v>72</v>
      </c>
    </row>
    <row r="138" spans="1:19" ht="48" customHeight="1" x14ac:dyDescent="0.3">
      <c r="A138" s="138" t="s">
        <v>164</v>
      </c>
      <c r="B138" s="138" t="s">
        <v>164</v>
      </c>
      <c r="C138" s="139" t="s">
        <v>117</v>
      </c>
      <c r="D138" s="139" t="s">
        <v>316</v>
      </c>
      <c r="E138" s="139"/>
      <c r="F138" s="140"/>
      <c r="G138" s="141" t="s">
        <v>71</v>
      </c>
      <c r="H138" s="142"/>
      <c r="I138" s="143" t="str">
        <f>IFERROR(IF(OR($F138="O",$G138="O",$H138="O"),CHOOSE(MATCH($A138,{"튜브","고압","진공","튜닝","조립","출하"},0),"T","H","V","N","A","P")&amp;IF($F138="O","R",IF($G138="O","A",IF($H138="O","F",""))),""),"")</f>
        <v>VA</v>
      </c>
      <c r="J138" s="144"/>
      <c r="K138" s="145"/>
      <c r="L138" s="146" t="s">
        <v>71</v>
      </c>
      <c r="M138" s="147"/>
      <c r="N138" s="148"/>
      <c r="O138" s="149"/>
      <c r="P138" s="150" t="str">
        <f t="shared" si="4"/>
        <v>6-VA</v>
      </c>
      <c r="Q138" s="151" t="str">
        <f>HYPERLINK("#'마스터_품목'!A155","→ 마스터 R155")</f>
        <v>→ 마스터 R155</v>
      </c>
      <c r="R138" s="152">
        <v>155</v>
      </c>
      <c r="S138" s="152" t="s">
        <v>72</v>
      </c>
    </row>
    <row r="139" spans="1:19" ht="48" customHeight="1" x14ac:dyDescent="0.3">
      <c r="A139" s="138" t="s">
        <v>164</v>
      </c>
      <c r="B139" s="138" t="s">
        <v>164</v>
      </c>
      <c r="C139" s="139" t="s">
        <v>153</v>
      </c>
      <c r="D139" s="139" t="s">
        <v>314</v>
      </c>
      <c r="E139" s="139"/>
      <c r="F139" s="140"/>
      <c r="G139" s="141" t="s">
        <v>71</v>
      </c>
      <c r="H139" s="142"/>
      <c r="I139" s="143" t="str">
        <f>IFERROR(IF(OR($F139="O",$G139="O",$H139="O"),CHOOSE(MATCH($A139,{"튜브","고압","진공","튜닝","조립","출하"},0),"T","H","V","N","A","P")&amp;IF($F139="O","R",IF($G139="O","A",IF($H139="O","F",""))),""),"")</f>
        <v>VA</v>
      </c>
      <c r="J139" s="144"/>
      <c r="K139" s="145"/>
      <c r="L139" s="146"/>
      <c r="M139" s="147" t="s">
        <v>71</v>
      </c>
      <c r="N139" s="148"/>
      <c r="O139" s="149"/>
      <c r="P139" s="150" t="str">
        <f t="shared" si="4"/>
        <v>7-VA</v>
      </c>
      <c r="Q139" s="151" t="str">
        <f>HYPERLINK("#'마스터_품목'!A156","→ 마스터 R156")</f>
        <v>→ 마스터 R156</v>
      </c>
      <c r="R139" s="152">
        <v>156</v>
      </c>
      <c r="S139" s="152" t="s">
        <v>72</v>
      </c>
    </row>
    <row r="140" spans="1:19" ht="48" customHeight="1" x14ac:dyDescent="0.3">
      <c r="A140" s="138" t="s">
        <v>164</v>
      </c>
      <c r="B140" s="138" t="s">
        <v>164</v>
      </c>
      <c r="C140" s="139" t="s">
        <v>182</v>
      </c>
      <c r="D140" s="139" t="s">
        <v>314</v>
      </c>
      <c r="E140" s="139"/>
      <c r="F140" s="140"/>
      <c r="G140" s="141" t="s">
        <v>71</v>
      </c>
      <c r="H140" s="142"/>
      <c r="I140" s="143" t="str">
        <f>IFERROR(IF(OR($F140="O",$G140="O",$H140="O"),CHOOSE(MATCH($A140,{"튜브","고압","진공","튜닝","조립","출하"},0),"T","H","V","N","A","P")&amp;IF($F140="O","R",IF($G140="O","A",IF($H140="O","F",""))),""),"")</f>
        <v>VA</v>
      </c>
      <c r="J140" s="144"/>
      <c r="K140" s="145"/>
      <c r="L140" s="146"/>
      <c r="M140" s="147"/>
      <c r="N140" s="148" t="s">
        <v>71</v>
      </c>
      <c r="O140" s="149"/>
      <c r="P140" s="150" t="str">
        <f t="shared" si="4"/>
        <v>8-VA</v>
      </c>
      <c r="Q140" s="151" t="str">
        <f>HYPERLINK("#'마스터_품목'!A157","→ 마스터 R157")</f>
        <v>→ 마스터 R157</v>
      </c>
      <c r="R140" s="152">
        <v>157</v>
      </c>
      <c r="S140" s="152" t="s">
        <v>72</v>
      </c>
    </row>
    <row r="141" spans="1:19" ht="48" customHeight="1" x14ac:dyDescent="0.3">
      <c r="A141" s="138" t="s">
        <v>164</v>
      </c>
      <c r="B141" s="138" t="s">
        <v>164</v>
      </c>
      <c r="C141" s="139" t="s">
        <v>217</v>
      </c>
      <c r="D141" s="139" t="s">
        <v>316</v>
      </c>
      <c r="E141" s="139"/>
      <c r="F141" s="140"/>
      <c r="G141" s="141" t="s">
        <v>71</v>
      </c>
      <c r="H141" s="142"/>
      <c r="I141" s="143" t="str">
        <f>IFERROR(IF(OR($F141="O",$G141="O",$H141="O"),CHOOSE(MATCH($A141,{"튜브","고압","진공","튜닝","조립","출하"},0),"T","H","V","N","A","P")&amp;IF($F141="O","R",IF($G141="O","A",IF($H141="O","F",""))),""),"")</f>
        <v>VA</v>
      </c>
      <c r="J141" s="144" t="s">
        <v>71</v>
      </c>
      <c r="K141" s="145"/>
      <c r="L141" s="146"/>
      <c r="M141" s="147"/>
      <c r="N141" s="148"/>
      <c r="O141" s="149"/>
      <c r="P141" s="150" t="str">
        <f t="shared" si="4"/>
        <v>3-VA</v>
      </c>
      <c r="Q141" s="151" t="str">
        <f>HYPERLINK("#'마스터_품목'!A158","→ 마스터 R158")</f>
        <v>→ 마스터 R158</v>
      </c>
      <c r="R141" s="152">
        <v>158</v>
      </c>
      <c r="S141" s="152" t="s">
        <v>72</v>
      </c>
    </row>
    <row r="142" spans="1:19" ht="48" customHeight="1" x14ac:dyDescent="0.3">
      <c r="A142" s="138" t="s">
        <v>164</v>
      </c>
      <c r="B142" s="138" t="s">
        <v>164</v>
      </c>
      <c r="C142" s="139" t="s">
        <v>195</v>
      </c>
      <c r="D142" s="139" t="s">
        <v>317</v>
      </c>
      <c r="E142" s="139"/>
      <c r="F142" s="140"/>
      <c r="G142" s="141"/>
      <c r="H142" s="142" t="s">
        <v>71</v>
      </c>
      <c r="I142" s="143" t="str">
        <f>IFERROR(IF(OR($F142="O",$G142="O",$H142="O"),CHOOSE(MATCH($A142,{"튜브","고압","진공","튜닝","조립","출하"},0),"T","H","V","N","A","P")&amp;IF($F142="O","R",IF($G142="O","A",IF($H142="O","F",""))),""),"")</f>
        <v>VF</v>
      </c>
      <c r="J142" s="144" t="s">
        <v>71</v>
      </c>
      <c r="K142" s="145"/>
      <c r="L142" s="146"/>
      <c r="M142" s="147"/>
      <c r="N142" s="148"/>
      <c r="O142" s="149"/>
      <c r="P142" s="150" t="str">
        <f t="shared" si="4"/>
        <v>3-VF</v>
      </c>
      <c r="Q142" s="151" t="str">
        <f>HYPERLINK("#'마스터_품목'!A161","→ 마스터 R161")</f>
        <v>→ 마스터 R161</v>
      </c>
      <c r="R142" s="152">
        <v>161</v>
      </c>
      <c r="S142" s="152" t="s">
        <v>72</v>
      </c>
    </row>
    <row r="143" spans="1:19" ht="48" customHeight="1" x14ac:dyDescent="0.3">
      <c r="A143" s="138" t="s">
        <v>164</v>
      </c>
      <c r="B143" s="138" t="s">
        <v>164</v>
      </c>
      <c r="C143" s="139" t="s">
        <v>195</v>
      </c>
      <c r="D143" s="139" t="s">
        <v>318</v>
      </c>
      <c r="E143" s="139"/>
      <c r="F143" s="140"/>
      <c r="G143" s="141"/>
      <c r="H143" s="142" t="s">
        <v>71</v>
      </c>
      <c r="I143" s="143" t="str">
        <f>IFERROR(IF(OR($F143="O",$G143="O",$H143="O"),CHOOSE(MATCH($A143,{"튜브","고압","진공","튜닝","조립","출하"},0),"T","H","V","N","A","P")&amp;IF($F143="O","R",IF($G143="O","A",IF($H143="O","F",""))),""),"")</f>
        <v>VF</v>
      </c>
      <c r="J143" s="144" t="s">
        <v>71</v>
      </c>
      <c r="K143" s="145"/>
      <c r="L143" s="146"/>
      <c r="M143" s="147"/>
      <c r="N143" s="148"/>
      <c r="O143" s="149"/>
      <c r="P143" s="150" t="str">
        <f t="shared" si="4"/>
        <v>3-VF</v>
      </c>
      <c r="Q143" s="151" t="str">
        <f>HYPERLINK("#'마스터_품목'!A162","→ 마스터 R162")</f>
        <v>→ 마스터 R162</v>
      </c>
      <c r="R143" s="152">
        <v>162</v>
      </c>
      <c r="S143" s="152" t="s">
        <v>72</v>
      </c>
    </row>
    <row r="144" spans="1:19" ht="48" customHeight="1" x14ac:dyDescent="0.3">
      <c r="A144" s="138" t="s">
        <v>164</v>
      </c>
      <c r="B144" s="138" t="s">
        <v>164</v>
      </c>
      <c r="C144" s="139" t="s">
        <v>195</v>
      </c>
      <c r="D144" s="139" t="s">
        <v>319</v>
      </c>
      <c r="E144" s="139"/>
      <c r="F144" s="140"/>
      <c r="G144" s="141"/>
      <c r="H144" s="142" t="s">
        <v>71</v>
      </c>
      <c r="I144" s="143" t="str">
        <f>IFERROR(IF(OR($F144="O",$G144="O",$H144="O"),CHOOSE(MATCH($A144,{"튜브","고압","진공","튜닝","조립","출하"},0),"T","H","V","N","A","P")&amp;IF($F144="O","R",IF($G144="O","A",IF($H144="O","F",""))),""),"")</f>
        <v>VF</v>
      </c>
      <c r="J144" s="144" t="s">
        <v>71</v>
      </c>
      <c r="K144" s="145"/>
      <c r="L144" s="146"/>
      <c r="M144" s="147"/>
      <c r="N144" s="148"/>
      <c r="O144" s="149"/>
      <c r="P144" s="150" t="str">
        <f t="shared" si="4"/>
        <v>3-VF</v>
      </c>
      <c r="Q144" s="151" t="str">
        <f>HYPERLINK("#'마스터_품목'!A163","→ 마스터 R163")</f>
        <v>→ 마스터 R163</v>
      </c>
      <c r="R144" s="152">
        <v>163</v>
      </c>
      <c r="S144" s="152" t="s">
        <v>72</v>
      </c>
    </row>
    <row r="145" spans="1:19" ht="48" customHeight="1" x14ac:dyDescent="0.3">
      <c r="A145" s="138" t="s">
        <v>164</v>
      </c>
      <c r="B145" s="138" t="s">
        <v>164</v>
      </c>
      <c r="C145" s="139" t="s">
        <v>198</v>
      </c>
      <c r="D145" s="139" t="s">
        <v>320</v>
      </c>
      <c r="E145" s="139"/>
      <c r="F145" s="140"/>
      <c r="G145" s="141"/>
      <c r="H145" s="142" t="s">
        <v>71</v>
      </c>
      <c r="I145" s="143" t="str">
        <f>IFERROR(IF(OR($F145="O",$G145="O",$H145="O"),CHOOSE(MATCH($A145,{"튜브","고압","진공","튜닝","조립","출하"},0),"T","H","V","N","A","P")&amp;IF($F145="O","R",IF($G145="O","A",IF($H145="O","F",""))),""),"")</f>
        <v>VF</v>
      </c>
      <c r="J145" s="144"/>
      <c r="K145" s="145" t="s">
        <v>71</v>
      </c>
      <c r="L145" s="146"/>
      <c r="M145" s="147"/>
      <c r="N145" s="148"/>
      <c r="O145" s="149"/>
      <c r="P145" s="150" t="str">
        <f t="shared" si="4"/>
        <v>4-VF</v>
      </c>
      <c r="Q145" s="151" t="str">
        <f>HYPERLINK("#'마스터_품목'!A164","→ 마스터 R164")</f>
        <v>→ 마스터 R164</v>
      </c>
      <c r="R145" s="152">
        <v>164</v>
      </c>
      <c r="S145" s="152" t="s">
        <v>72</v>
      </c>
    </row>
    <row r="146" spans="1:19" ht="48" customHeight="1" x14ac:dyDescent="0.3">
      <c r="A146" s="138" t="s">
        <v>164</v>
      </c>
      <c r="B146" s="138" t="s">
        <v>164</v>
      </c>
      <c r="C146" s="139" t="s">
        <v>117</v>
      </c>
      <c r="D146" s="139" t="s">
        <v>321</v>
      </c>
      <c r="E146" s="139"/>
      <c r="F146" s="140"/>
      <c r="G146" s="141"/>
      <c r="H146" s="142" t="s">
        <v>71</v>
      </c>
      <c r="I146" s="143" t="str">
        <f>IFERROR(IF(OR($F146="O",$G146="O",$H146="O"),CHOOSE(MATCH($A146,{"튜브","고압","진공","튜닝","조립","출하"},0),"T","H","V","N","A","P")&amp;IF($F146="O","R",IF($G146="O","A",IF($H146="O","F",""))),""),"")</f>
        <v>VF</v>
      </c>
      <c r="J146" s="144"/>
      <c r="K146" s="145"/>
      <c r="L146" s="146" t="s">
        <v>71</v>
      </c>
      <c r="M146" s="147"/>
      <c r="N146" s="148"/>
      <c r="O146" s="149"/>
      <c r="P146" s="150" t="str">
        <f t="shared" si="4"/>
        <v>6-VF</v>
      </c>
      <c r="Q146" s="151" t="str">
        <f>HYPERLINK("#'마스터_품목'!A165","→ 마스터 R165")</f>
        <v>→ 마스터 R165</v>
      </c>
      <c r="R146" s="152">
        <v>165</v>
      </c>
      <c r="S146" s="152" t="s">
        <v>72</v>
      </c>
    </row>
    <row r="147" spans="1:19" ht="48" customHeight="1" x14ac:dyDescent="0.3">
      <c r="A147" s="138" t="s">
        <v>164</v>
      </c>
      <c r="B147" s="138" t="s">
        <v>164</v>
      </c>
      <c r="C147" s="139" t="s">
        <v>182</v>
      </c>
      <c r="D147" s="139" t="s">
        <v>322</v>
      </c>
      <c r="E147" s="139"/>
      <c r="F147" s="140"/>
      <c r="G147" s="141"/>
      <c r="H147" s="142" t="s">
        <v>71</v>
      </c>
      <c r="I147" s="143" t="str">
        <f>IFERROR(IF(OR($F147="O",$G147="O",$H147="O"),CHOOSE(MATCH($A147,{"튜브","고압","진공","튜닝","조립","출하"},0),"T","H","V","N","A","P")&amp;IF($F147="O","R",IF($G147="O","A",IF($H147="O","F",""))),""),"")</f>
        <v>VF</v>
      </c>
      <c r="J147" s="144"/>
      <c r="K147" s="145"/>
      <c r="L147" s="146"/>
      <c r="M147" s="147"/>
      <c r="N147" s="148" t="s">
        <v>71</v>
      </c>
      <c r="O147" s="149"/>
      <c r="P147" s="150" t="str">
        <f t="shared" si="4"/>
        <v>8-VF</v>
      </c>
      <c r="Q147" s="151" t="str">
        <f>HYPERLINK("#'마스터_품목'!A166","→ 마스터 R166")</f>
        <v>→ 마스터 R166</v>
      </c>
      <c r="R147" s="152">
        <v>166</v>
      </c>
      <c r="S147" s="152" t="s">
        <v>72</v>
      </c>
    </row>
    <row r="148" spans="1:19" ht="48" customHeight="1" x14ac:dyDescent="0.3">
      <c r="A148" s="138" t="s">
        <v>164</v>
      </c>
      <c r="B148" s="138" t="s">
        <v>164</v>
      </c>
      <c r="C148" s="139" t="s">
        <v>153</v>
      </c>
      <c r="D148" s="139" t="s">
        <v>323</v>
      </c>
      <c r="E148" s="139"/>
      <c r="F148" s="140"/>
      <c r="G148" s="141"/>
      <c r="H148" s="142" t="s">
        <v>71</v>
      </c>
      <c r="I148" s="143" t="str">
        <f>IFERROR(IF(OR($F148="O",$G148="O",$H148="O"),CHOOSE(MATCH($A148,{"튜브","고압","진공","튜닝","조립","출하"},0),"T","H","V","N","A","P")&amp;IF($F148="O","R",IF($G148="O","A",IF($H148="O","F",""))),""),"")</f>
        <v>VF</v>
      </c>
      <c r="J148" s="144"/>
      <c r="K148" s="145"/>
      <c r="L148" s="146"/>
      <c r="M148" s="147" t="s">
        <v>71</v>
      </c>
      <c r="N148" s="148"/>
      <c r="O148" s="149"/>
      <c r="P148" s="150" t="str">
        <f t="shared" si="4"/>
        <v>7-VF</v>
      </c>
      <c r="Q148" s="151" t="str">
        <f>HYPERLINK("#'마스터_품목'!A167","→ 마스터 R167")</f>
        <v>→ 마스터 R167</v>
      </c>
      <c r="R148" s="152">
        <v>167</v>
      </c>
      <c r="S148" s="152" t="s">
        <v>72</v>
      </c>
    </row>
    <row r="149" spans="1:19" ht="48" customHeight="1" x14ac:dyDescent="0.3">
      <c r="A149" s="138" t="s">
        <v>240</v>
      </c>
      <c r="B149" s="138" t="s">
        <v>324</v>
      </c>
      <c r="C149" s="139" t="s">
        <v>195</v>
      </c>
      <c r="D149" s="139" t="s">
        <v>325</v>
      </c>
      <c r="E149" s="139"/>
      <c r="F149" s="140"/>
      <c r="G149" s="141"/>
      <c r="H149" s="142" t="s">
        <v>71</v>
      </c>
      <c r="I149" s="143" t="str">
        <f>IFERROR(IF(OR($F149="O",$G149="O",$H149="O"),CHOOSE(MATCH($A149,{"튜브","고압","진공","튜닝","조립","출하"},0),"T","H","V","N","A","P")&amp;IF($F149="O","R",IF($G149="O","A",IF($H149="O","F",""))),""),"")</f>
        <v>NF</v>
      </c>
      <c r="J149" s="144" t="s">
        <v>71</v>
      </c>
      <c r="K149" s="145"/>
      <c r="L149" s="146"/>
      <c r="M149" s="147"/>
      <c r="N149" s="148"/>
      <c r="O149" s="149"/>
      <c r="P149" s="150" t="str">
        <f t="shared" si="4"/>
        <v>3-NF</v>
      </c>
      <c r="Q149" s="151" t="str">
        <f>HYPERLINK("#'마스터_품목'!A168","→ 마스터 R168")</f>
        <v>→ 마스터 R168</v>
      </c>
      <c r="R149" s="152">
        <v>168</v>
      </c>
      <c r="S149" s="152" t="s">
        <v>72</v>
      </c>
    </row>
    <row r="150" spans="1:19" ht="48" customHeight="1" x14ac:dyDescent="0.3">
      <c r="A150" s="138" t="s">
        <v>240</v>
      </c>
      <c r="B150" s="138" t="s">
        <v>324</v>
      </c>
      <c r="C150" s="139" t="s">
        <v>195</v>
      </c>
      <c r="D150" s="139" t="s">
        <v>326</v>
      </c>
      <c r="E150" s="139"/>
      <c r="F150" s="140"/>
      <c r="G150" s="141"/>
      <c r="H150" s="142" t="s">
        <v>71</v>
      </c>
      <c r="I150" s="143" t="str">
        <f>IFERROR(IF(OR($F150="O",$G150="O",$H150="O"),CHOOSE(MATCH($A150,{"튜브","고압","진공","튜닝","조립","출하"},0),"T","H","V","N","A","P")&amp;IF($F150="O","R",IF($G150="O","A",IF($H150="O","F",""))),""),"")</f>
        <v>NF</v>
      </c>
      <c r="J150" s="144" t="s">
        <v>71</v>
      </c>
      <c r="K150" s="145"/>
      <c r="L150" s="146"/>
      <c r="M150" s="147"/>
      <c r="N150" s="148"/>
      <c r="O150" s="149"/>
      <c r="P150" s="150" t="str">
        <f t="shared" si="4"/>
        <v>3-NF</v>
      </c>
      <c r="Q150" s="151" t="str">
        <f>HYPERLINK("#'마스터_품목'!A169","→ 마스터 R169")</f>
        <v>→ 마스터 R169</v>
      </c>
      <c r="R150" s="152">
        <v>169</v>
      </c>
      <c r="S150" s="152" t="s">
        <v>72</v>
      </c>
    </row>
    <row r="151" spans="1:19" ht="48" customHeight="1" x14ac:dyDescent="0.3">
      <c r="A151" s="138" t="s">
        <v>240</v>
      </c>
      <c r="B151" s="138" t="s">
        <v>324</v>
      </c>
      <c r="C151" s="139" t="s">
        <v>195</v>
      </c>
      <c r="D151" s="139" t="s">
        <v>327</v>
      </c>
      <c r="E151" s="139"/>
      <c r="F151" s="140"/>
      <c r="G151" s="141"/>
      <c r="H151" s="142" t="s">
        <v>71</v>
      </c>
      <c r="I151" s="143" t="str">
        <f>IFERROR(IF(OR($F151="O",$G151="O",$H151="O"),CHOOSE(MATCH($A151,{"튜브","고압","진공","튜닝","조립","출하"},0),"T","H","V","N","A","P")&amp;IF($F151="O","R",IF($G151="O","A",IF($H151="O","F",""))),""),"")</f>
        <v>NF</v>
      </c>
      <c r="J151" s="144" t="s">
        <v>71</v>
      </c>
      <c r="K151" s="145"/>
      <c r="L151" s="146"/>
      <c r="M151" s="147"/>
      <c r="N151" s="148"/>
      <c r="O151" s="149"/>
      <c r="P151" s="150" t="str">
        <f t="shared" si="4"/>
        <v>3-NF</v>
      </c>
      <c r="Q151" s="151" t="str">
        <f>HYPERLINK("#'마스터_품목'!A170","→ 마스터 R170")</f>
        <v>→ 마스터 R170</v>
      </c>
      <c r="R151" s="152">
        <v>170</v>
      </c>
      <c r="S151" s="152" t="s">
        <v>72</v>
      </c>
    </row>
    <row r="152" spans="1:19" ht="48" customHeight="1" x14ac:dyDescent="0.3">
      <c r="A152" s="138" t="s">
        <v>240</v>
      </c>
      <c r="B152" s="138" t="s">
        <v>324</v>
      </c>
      <c r="C152" s="139" t="s">
        <v>328</v>
      </c>
      <c r="D152" s="139" t="s">
        <v>329</v>
      </c>
      <c r="E152" s="139"/>
      <c r="F152" s="140"/>
      <c r="G152" s="141"/>
      <c r="H152" s="142" t="s">
        <v>71</v>
      </c>
      <c r="I152" s="143" t="str">
        <f>IFERROR(IF(OR($F152="O",$G152="O",$H152="O"),CHOOSE(MATCH($A152,{"튜브","고압","진공","튜닝","조립","출하"},0),"T","H","V","N","A","P")&amp;IF($F152="O","R",IF($G152="O","A",IF($H152="O","F",""))),""),"")</f>
        <v>NF</v>
      </c>
      <c r="J152" s="144" t="s">
        <v>71</v>
      </c>
      <c r="K152" s="145"/>
      <c r="L152" s="146"/>
      <c r="M152" s="147"/>
      <c r="N152" s="148"/>
      <c r="O152" s="149"/>
      <c r="P152" s="150" t="str">
        <f t="shared" si="4"/>
        <v>3-NF</v>
      </c>
      <c r="Q152" s="151" t="str">
        <f>HYPERLINK("#'마스터_품목'!A171","→ 마스터 R171")</f>
        <v>→ 마스터 R171</v>
      </c>
      <c r="R152" s="152">
        <v>171</v>
      </c>
      <c r="S152" s="152" t="s">
        <v>72</v>
      </c>
    </row>
    <row r="153" spans="1:19" ht="48" customHeight="1" x14ac:dyDescent="0.3">
      <c r="A153" s="138" t="s">
        <v>240</v>
      </c>
      <c r="B153" s="138" t="s">
        <v>324</v>
      </c>
      <c r="C153" s="139" t="s">
        <v>198</v>
      </c>
      <c r="D153" s="139" t="s">
        <v>330</v>
      </c>
      <c r="E153" s="139"/>
      <c r="F153" s="140"/>
      <c r="G153" s="141"/>
      <c r="H153" s="142" t="s">
        <v>71</v>
      </c>
      <c r="I153" s="143" t="str">
        <f>IFERROR(IF(OR($F153="O",$G153="O",$H153="O"),CHOOSE(MATCH($A153,{"튜브","고압","진공","튜닝","조립","출하"},0),"T","H","V","N","A","P")&amp;IF($F153="O","R",IF($G153="O","A",IF($H153="O","F",""))),""),"")</f>
        <v>NF</v>
      </c>
      <c r="J153" s="144"/>
      <c r="K153" s="145" t="s">
        <v>71</v>
      </c>
      <c r="L153" s="146"/>
      <c r="M153" s="147"/>
      <c r="N153" s="148"/>
      <c r="O153" s="149"/>
      <c r="P153" s="150" t="str">
        <f t="shared" si="4"/>
        <v>4-NF</v>
      </c>
      <c r="Q153" s="151" t="str">
        <f>HYPERLINK("#'마스터_품목'!A172","→ 마스터 R172")</f>
        <v>→ 마스터 R172</v>
      </c>
      <c r="R153" s="152">
        <v>172</v>
      </c>
      <c r="S153" s="152" t="s">
        <v>72</v>
      </c>
    </row>
    <row r="154" spans="1:19" ht="48" customHeight="1" x14ac:dyDescent="0.3">
      <c r="A154" s="138" t="s">
        <v>240</v>
      </c>
      <c r="B154" s="138" t="s">
        <v>324</v>
      </c>
      <c r="C154" s="139" t="s">
        <v>198</v>
      </c>
      <c r="D154" s="139" t="s">
        <v>331</v>
      </c>
      <c r="E154" s="139"/>
      <c r="F154" s="140"/>
      <c r="G154" s="141"/>
      <c r="H154" s="142" t="s">
        <v>71</v>
      </c>
      <c r="I154" s="143" t="str">
        <f>IFERROR(IF(OR($F154="O",$G154="O",$H154="O"),CHOOSE(MATCH($A154,{"튜브","고압","진공","튜닝","조립","출하"},0),"T","H","V","N","A","P")&amp;IF($F154="O","R",IF($G154="O","A",IF($H154="O","F",""))),""),"")</f>
        <v>NF</v>
      </c>
      <c r="J154" s="144"/>
      <c r="K154" s="145" t="s">
        <v>71</v>
      </c>
      <c r="L154" s="146"/>
      <c r="M154" s="147"/>
      <c r="N154" s="148"/>
      <c r="O154" s="149"/>
      <c r="P154" s="150" t="str">
        <f t="shared" si="4"/>
        <v>4-NF</v>
      </c>
      <c r="Q154" s="151" t="str">
        <f>HYPERLINK("#'마스터_품목'!A173","→ 마스터 R173")</f>
        <v>→ 마스터 R173</v>
      </c>
      <c r="R154" s="152">
        <v>173</v>
      </c>
      <c r="S154" s="152" t="s">
        <v>72</v>
      </c>
    </row>
    <row r="155" spans="1:19" ht="48" customHeight="1" x14ac:dyDescent="0.3">
      <c r="A155" s="138" t="s">
        <v>240</v>
      </c>
      <c r="B155" s="138" t="s">
        <v>324</v>
      </c>
      <c r="C155" s="139" t="s">
        <v>117</v>
      </c>
      <c r="D155" s="139" t="s">
        <v>332</v>
      </c>
      <c r="E155" s="139"/>
      <c r="F155" s="140"/>
      <c r="G155" s="141"/>
      <c r="H155" s="142" t="s">
        <v>71</v>
      </c>
      <c r="I155" s="143" t="str">
        <f>IFERROR(IF(OR($F155="O",$G155="O",$H155="O"),CHOOSE(MATCH($A155,{"튜브","고압","진공","튜닝","조립","출하"},0),"T","H","V","N","A","P")&amp;IF($F155="O","R",IF($G155="O","A",IF($H155="O","F",""))),""),"")</f>
        <v>NF</v>
      </c>
      <c r="J155" s="144"/>
      <c r="K155" s="145"/>
      <c r="L155" s="146" t="s">
        <v>71</v>
      </c>
      <c r="M155" s="147"/>
      <c r="N155" s="148"/>
      <c r="O155" s="149"/>
      <c r="P155" s="150" t="str">
        <f t="shared" si="4"/>
        <v>6-NF</v>
      </c>
      <c r="Q155" s="151" t="str">
        <f>HYPERLINK("#'마스터_품목'!A174","→ 마스터 R174")</f>
        <v>→ 마스터 R174</v>
      </c>
      <c r="R155" s="152">
        <v>174</v>
      </c>
      <c r="S155" s="152" t="s">
        <v>72</v>
      </c>
    </row>
    <row r="156" spans="1:19" ht="48" customHeight="1" x14ac:dyDescent="0.3">
      <c r="A156" s="138" t="s">
        <v>240</v>
      </c>
      <c r="B156" s="138" t="s">
        <v>324</v>
      </c>
      <c r="C156" s="139" t="s">
        <v>333</v>
      </c>
      <c r="D156" s="139" t="s">
        <v>334</v>
      </c>
      <c r="E156" s="139"/>
      <c r="F156" s="140"/>
      <c r="G156" s="141"/>
      <c r="H156" s="142" t="s">
        <v>71</v>
      </c>
      <c r="I156" s="143" t="str">
        <f>IFERROR(IF(OR($F156="O",$G156="O",$H156="O"),CHOOSE(MATCH($A156,{"튜브","고압","진공","튜닝","조립","출하"},0),"T","H","V","N","A","P")&amp;IF($F156="O","R",IF($G156="O","A",IF($H156="O","F",""))),""),"")</f>
        <v>NF</v>
      </c>
      <c r="J156" s="144"/>
      <c r="K156" s="145"/>
      <c r="L156" s="146" t="s">
        <v>71</v>
      </c>
      <c r="M156" s="147"/>
      <c r="N156" s="148"/>
      <c r="O156" s="149"/>
      <c r="P156" s="150" t="str">
        <f t="shared" si="4"/>
        <v>6-NF</v>
      </c>
      <c r="Q156" s="151" t="str">
        <f>HYPERLINK("#'마스터_품목'!A175","→ 마스터 R175")</f>
        <v>→ 마스터 R175</v>
      </c>
      <c r="R156" s="152">
        <v>175</v>
      </c>
      <c r="S156" s="152" t="s">
        <v>72</v>
      </c>
    </row>
    <row r="157" spans="1:19" ht="48" customHeight="1" x14ac:dyDescent="0.3">
      <c r="A157" s="138" t="s">
        <v>240</v>
      </c>
      <c r="B157" s="138" t="s">
        <v>324</v>
      </c>
      <c r="C157" s="139" t="s">
        <v>153</v>
      </c>
      <c r="D157" s="139" t="s">
        <v>335</v>
      </c>
      <c r="E157" s="139"/>
      <c r="F157" s="140"/>
      <c r="G157" s="141"/>
      <c r="H157" s="142" t="s">
        <v>71</v>
      </c>
      <c r="I157" s="143" t="str">
        <f>IFERROR(IF(OR($F157="O",$G157="O",$H157="O"),CHOOSE(MATCH($A157,{"튜브","고압","진공","튜닝","조립","출하"},0),"T","H","V","N","A","P")&amp;IF($F157="O","R",IF($G157="O","A",IF($H157="O","F",""))),""),"")</f>
        <v>NF</v>
      </c>
      <c r="J157" s="144"/>
      <c r="K157" s="145"/>
      <c r="L157" s="146"/>
      <c r="M157" s="147" t="s">
        <v>71</v>
      </c>
      <c r="N157" s="148"/>
      <c r="O157" s="149"/>
      <c r="P157" s="150" t="str">
        <f t="shared" si="4"/>
        <v>7-NF</v>
      </c>
      <c r="Q157" s="151" t="str">
        <f>HYPERLINK("#'마스터_품목'!A176","→ 마스터 R176")</f>
        <v>→ 마스터 R176</v>
      </c>
      <c r="R157" s="152">
        <v>176</v>
      </c>
      <c r="S157" s="152" t="s">
        <v>72</v>
      </c>
    </row>
    <row r="158" spans="1:19" ht="48" customHeight="1" x14ac:dyDescent="0.3">
      <c r="A158" s="138" t="s">
        <v>240</v>
      </c>
      <c r="B158" s="138" t="s">
        <v>324</v>
      </c>
      <c r="C158" s="139" t="s">
        <v>182</v>
      </c>
      <c r="D158" s="139" t="s">
        <v>336</v>
      </c>
      <c r="E158" s="139"/>
      <c r="F158" s="140"/>
      <c r="G158" s="141"/>
      <c r="H158" s="142" t="s">
        <v>71</v>
      </c>
      <c r="I158" s="143" t="str">
        <f>IFERROR(IF(OR($F158="O",$G158="O",$H158="O"),CHOOSE(MATCH($A158,{"튜브","고압","진공","튜닝","조립","출하"},0),"T","H","V","N","A","P")&amp;IF($F158="O","R",IF($G158="O","A",IF($H158="O","F",""))),""),"")</f>
        <v>NF</v>
      </c>
      <c r="J158" s="144"/>
      <c r="K158" s="145"/>
      <c r="L158" s="146"/>
      <c r="M158" s="147"/>
      <c r="N158" s="148" t="s">
        <v>71</v>
      </c>
      <c r="O158" s="149"/>
      <c r="P158" s="150" t="str">
        <f t="shared" si="4"/>
        <v>8-NF</v>
      </c>
      <c r="Q158" s="151" t="str">
        <f>HYPERLINK("#'마스터_품목'!A177","→ 마스터 R177")</f>
        <v>→ 마스터 R177</v>
      </c>
      <c r="R158" s="152">
        <v>177</v>
      </c>
      <c r="S158" s="152" t="s">
        <v>72</v>
      </c>
    </row>
    <row r="159" spans="1:19" ht="48" customHeight="1" x14ac:dyDescent="0.3">
      <c r="A159" s="125" t="s">
        <v>240</v>
      </c>
      <c r="B159" s="138" t="s">
        <v>337</v>
      </c>
      <c r="C159" s="139" t="s">
        <v>338</v>
      </c>
      <c r="D159" s="139" t="s">
        <v>339</v>
      </c>
      <c r="E159" s="139"/>
      <c r="F159" s="140" t="s">
        <v>71</v>
      </c>
      <c r="G159" s="141"/>
      <c r="H159" s="142"/>
      <c r="I159" s="143" t="str">
        <f>IFERROR(IF(OR($F159="O",$G159="O",$H159="O"),CHOOSE(MATCH($A159,{"튜브","고압","진공","튜닝","조립","출하"},0),"T","H","V","N","A","P")&amp;IF($F159="O","R",IF($G159="O","A",IF($H159="O","F",""))),""),"")</f>
        <v>NR</v>
      </c>
      <c r="J159" s="144"/>
      <c r="K159" s="145"/>
      <c r="L159" s="110" t="s">
        <v>71</v>
      </c>
      <c r="M159" s="111"/>
      <c r="N159" s="148"/>
      <c r="O159" s="149"/>
      <c r="P159" s="150" t="str">
        <f t="shared" si="4"/>
        <v>6-NR</v>
      </c>
      <c r="Q159" s="151" t="str">
        <f>HYPERLINK("#'마스터_품목'!A687","→ 마스터 R687")</f>
        <v>→ 마스터 R687</v>
      </c>
      <c r="R159" s="152">
        <v>687</v>
      </c>
      <c r="S159" s="152" t="s">
        <v>72</v>
      </c>
    </row>
    <row r="160" spans="1:19" ht="48" customHeight="1" x14ac:dyDescent="0.3">
      <c r="A160" s="125" t="s">
        <v>240</v>
      </c>
      <c r="B160" s="138" t="s">
        <v>340</v>
      </c>
      <c r="C160" s="139" t="s">
        <v>341</v>
      </c>
      <c r="D160" s="139" t="s">
        <v>342</v>
      </c>
      <c r="E160" s="139"/>
      <c r="F160" s="140" t="s">
        <v>71</v>
      </c>
      <c r="G160" s="141"/>
      <c r="H160" s="142"/>
      <c r="I160" s="143" t="str">
        <f>IFERROR(IF(OR($F160="O",$G160="O",$H160="O"),CHOOSE(MATCH($A160,{"튜브","고압","진공","튜닝","조립","출하"},0),"T","H","V","N","A","P")&amp;IF($F160="O","R",IF($G160="O","A",IF($H160="O","F",""))),""),"")</f>
        <v>NR</v>
      </c>
      <c r="J160" s="144"/>
      <c r="K160" s="145"/>
      <c r="L160" s="110" t="s">
        <v>71</v>
      </c>
      <c r="M160" s="111"/>
      <c r="N160" s="148"/>
      <c r="O160" s="149"/>
      <c r="P160" s="150" t="str">
        <f t="shared" si="4"/>
        <v>6-NR</v>
      </c>
      <c r="Q160" s="151" t="str">
        <f>HYPERLINK("#'마스터_품목'!A688","→ 마스터 R688")</f>
        <v>→ 마스터 R688</v>
      </c>
      <c r="R160" s="152">
        <v>688</v>
      </c>
      <c r="S160" s="152" t="s">
        <v>72</v>
      </c>
    </row>
    <row r="161" spans="1:19" ht="48" customHeight="1" x14ac:dyDescent="0.3">
      <c r="A161" s="125" t="s">
        <v>240</v>
      </c>
      <c r="B161" s="138" t="s">
        <v>153</v>
      </c>
      <c r="C161" s="139" t="s">
        <v>343</v>
      </c>
      <c r="D161" s="139" t="s">
        <v>344</v>
      </c>
      <c r="E161" s="139"/>
      <c r="F161" s="140" t="s">
        <v>71</v>
      </c>
      <c r="G161" s="141"/>
      <c r="H161" s="142"/>
      <c r="I161" s="143" t="str">
        <f>IFERROR(IF(OR($F161="O",$G161="O",$H161="O"),CHOOSE(MATCH($A161,{"튜브","고압","진공","튜닝","조립","출하"},0),"T","H","V","N","A","P")&amp;IF($F161="O","R",IF($G161="O","A",IF($H161="O","F",""))),""),"")</f>
        <v>NR</v>
      </c>
      <c r="J161" s="144"/>
      <c r="K161" s="145"/>
      <c r="L161" s="110"/>
      <c r="M161" s="111" t="s">
        <v>71</v>
      </c>
      <c r="N161" s="148"/>
      <c r="O161" s="149"/>
      <c r="P161" s="150" t="str">
        <f t="shared" si="4"/>
        <v>7-NR</v>
      </c>
      <c r="Q161" s="151" t="str">
        <f>HYPERLINK("#'마스터_품목'!A689","→ 마스터 R689")</f>
        <v>→ 마스터 R689</v>
      </c>
      <c r="R161" s="152">
        <v>689</v>
      </c>
      <c r="S161" s="152" t="s">
        <v>72</v>
      </c>
    </row>
    <row r="162" spans="1:19" ht="48" customHeight="1" x14ac:dyDescent="0.3">
      <c r="A162" s="125" t="s">
        <v>240</v>
      </c>
      <c r="B162" s="138" t="s">
        <v>340</v>
      </c>
      <c r="C162" s="139" t="s">
        <v>345</v>
      </c>
      <c r="D162" s="139" t="s">
        <v>346</v>
      </c>
      <c r="E162" s="139"/>
      <c r="F162" s="140" t="s">
        <v>71</v>
      </c>
      <c r="G162" s="141"/>
      <c r="H162" s="142"/>
      <c r="I162" s="143" t="str">
        <f>IFERROR(IF(OR($F162="O",$G162="O",$H162="O"),CHOOSE(MATCH($A162,{"튜브","고압","진공","튜닝","조립","출하"},0),"T","H","V","N","A","P")&amp;IF($F162="O","R",IF($G162="O","A",IF($H162="O","F",""))),""),"")</f>
        <v>NR</v>
      </c>
      <c r="J162" s="144"/>
      <c r="K162" s="145"/>
      <c r="L162" s="110" t="s">
        <v>71</v>
      </c>
      <c r="M162" s="111"/>
      <c r="N162" s="148"/>
      <c r="O162" s="149"/>
      <c r="P162" s="150" t="str">
        <f t="shared" si="4"/>
        <v>6-NR</v>
      </c>
      <c r="Q162" s="151" t="str">
        <f>HYPERLINK("#'마스터_품목'!A690","→ 마스터 R690")</f>
        <v>→ 마스터 R690</v>
      </c>
      <c r="R162" s="152">
        <v>690</v>
      </c>
      <c r="S162" s="152" t="s">
        <v>72</v>
      </c>
    </row>
    <row r="163" spans="1:19" ht="48" customHeight="1" x14ac:dyDescent="0.3">
      <c r="A163" s="125" t="s">
        <v>240</v>
      </c>
      <c r="B163" s="138" t="s">
        <v>337</v>
      </c>
      <c r="C163" s="139" t="s">
        <v>347</v>
      </c>
      <c r="D163" s="139" t="s">
        <v>348</v>
      </c>
      <c r="E163" s="139"/>
      <c r="F163" s="140" t="s">
        <v>71</v>
      </c>
      <c r="G163" s="141"/>
      <c r="H163" s="142"/>
      <c r="I163" s="143" t="str">
        <f>IFERROR(IF(OR($F163="O",$G163="O",$H163="O"),CHOOSE(MATCH($A163,{"튜브","고압","진공","튜닝","조립","출하"},0),"T","H","V","N","A","P")&amp;IF($F163="O","R",IF($G163="O","A",IF($H163="O","F",""))),""),"")</f>
        <v>NR</v>
      </c>
      <c r="J163" s="144"/>
      <c r="K163" s="145"/>
      <c r="L163" s="112" t="s">
        <v>71</v>
      </c>
      <c r="M163" s="111"/>
      <c r="N163" s="148"/>
      <c r="O163" s="149"/>
      <c r="P163" s="150" t="str">
        <f t="shared" si="4"/>
        <v>6-NR</v>
      </c>
      <c r="Q163" s="151" t="str">
        <f>HYPERLINK("#'마스터_품목'!A691","→ 마스터 R691")</f>
        <v>→ 마스터 R691</v>
      </c>
      <c r="R163" s="152">
        <v>691</v>
      </c>
      <c r="S163" s="152" t="s">
        <v>72</v>
      </c>
    </row>
    <row r="164" spans="1:19" ht="48" customHeight="1" x14ac:dyDescent="0.3">
      <c r="A164" s="125" t="s">
        <v>240</v>
      </c>
      <c r="B164" s="138" t="s">
        <v>337</v>
      </c>
      <c r="C164" s="139" t="s">
        <v>349</v>
      </c>
      <c r="D164" s="139" t="s">
        <v>350</v>
      </c>
      <c r="E164" s="139"/>
      <c r="F164" s="140" t="s">
        <v>71</v>
      </c>
      <c r="G164" s="141"/>
      <c r="H164" s="142"/>
      <c r="I164" s="143" t="str">
        <f>IFERROR(IF(OR($F164="O",$G164="O",$H164="O"),CHOOSE(MATCH($A164,{"튜브","고압","진공","튜닝","조립","출하"},0),"T","H","V","N","A","P")&amp;IF($F164="O","R",IF($G164="O","A",IF($H164="O","F",""))),""),"")</f>
        <v>NR</v>
      </c>
      <c r="J164" s="144"/>
      <c r="K164" s="145"/>
      <c r="L164" s="112" t="s">
        <v>71</v>
      </c>
      <c r="M164" s="111"/>
      <c r="N164" s="148"/>
      <c r="O164" s="149"/>
      <c r="P164" s="150" t="str">
        <f t="shared" si="4"/>
        <v>6-NR</v>
      </c>
      <c r="Q164" s="151" t="str">
        <f>HYPERLINK("#'마스터_품목'!A692","→ 마스터 R692")</f>
        <v>→ 마스터 R692</v>
      </c>
      <c r="R164" s="152">
        <v>692</v>
      </c>
      <c r="S164" s="152" t="s">
        <v>72</v>
      </c>
    </row>
    <row r="165" spans="1:19" ht="48" customHeight="1" x14ac:dyDescent="0.3">
      <c r="A165" s="125" t="s">
        <v>240</v>
      </c>
      <c r="B165" s="138" t="s">
        <v>351</v>
      </c>
      <c r="C165" s="139" t="s">
        <v>352</v>
      </c>
      <c r="D165" s="139" t="s">
        <v>353</v>
      </c>
      <c r="E165" s="139"/>
      <c r="F165" s="140" t="s">
        <v>71</v>
      </c>
      <c r="G165" s="141"/>
      <c r="H165" s="142"/>
      <c r="I165" s="143" t="str">
        <f>IFERROR(IF(OR($F165="O",$G165="O",$H165="O"),CHOOSE(MATCH($A165,{"튜브","고압","진공","튜닝","조립","출하"},0),"T","H","V","N","A","P")&amp;IF($F165="O","R",IF($G165="O","A",IF($H165="O","F",""))),""),"")</f>
        <v>NR</v>
      </c>
      <c r="J165" s="144"/>
      <c r="K165" s="145"/>
      <c r="L165" s="112" t="s">
        <v>71</v>
      </c>
      <c r="M165" s="111"/>
      <c r="N165" s="148"/>
      <c r="O165" s="149"/>
      <c r="P165" s="150" t="str">
        <f t="shared" si="4"/>
        <v>6-NR</v>
      </c>
      <c r="Q165" s="151" t="str">
        <f>HYPERLINK("#'마스터_품목'!A693","→ 마스터 R693")</f>
        <v>→ 마스터 R693</v>
      </c>
      <c r="R165" s="152">
        <v>693</v>
      </c>
      <c r="S165" s="152" t="s">
        <v>72</v>
      </c>
    </row>
  </sheetData>
  <autoFilter ref="A1:S165" xr:uid="{00000000-0009-0000-0000-000002000000}"/>
  <phoneticPr fontId="2" type="noConversion"/>
  <conditionalFormatting sqref="E2:E165">
    <cfRule type="notContainsBlanks" dxfId="26" priority="1"/>
  </conditionalFormatting>
  <conditionalFormatting sqref="I2:I165">
    <cfRule type="expression" dxfId="25" priority="2">
      <formula>RIGHT($I2,1)="R"</formula>
    </cfRule>
    <cfRule type="expression" dxfId="24" priority="3">
      <formula>RIGHT($I2,1)="A"</formula>
    </cfRule>
    <cfRule type="expression" dxfId="23" priority="4">
      <formula>RIGHT($I2,1)="F"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52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46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22" t="s">
        <v>354</v>
      </c>
      <c r="B2" s="22" t="s">
        <v>355</v>
      </c>
      <c r="C2" s="23" t="s">
        <v>195</v>
      </c>
      <c r="D2" s="45" t="s">
        <v>356</v>
      </c>
      <c r="E2" s="1" t="s">
        <v>357</v>
      </c>
      <c r="F2" s="24" t="s">
        <v>71</v>
      </c>
      <c r="G2" s="25"/>
      <c r="H2" s="26"/>
      <c r="I2" s="27" t="str">
        <f>IFERROR(IF(OR($F2="O",$G2="O",$H2="O"),CHOOSE(MATCH($A2,{"튜브","고압","진공","튜닝","조립","출하"},0),"T","H","V","N","A","P")&amp;IF($F2="O","R",IF($G2="O","A",IF($H2="O","F",""))),""),"")</f>
        <v>AR</v>
      </c>
      <c r="J2" s="15" t="s">
        <v>71</v>
      </c>
      <c r="K2" s="16"/>
      <c r="L2" s="17"/>
      <c r="M2" s="18"/>
      <c r="N2" s="19"/>
      <c r="O2" s="20"/>
      <c r="P2" s="21" t="str">
        <f t="shared" ref="P2:P65" si="0">IF($I2="","",IF($J2="O","3","")&amp;IF($K2="O","4","")&amp;IF($L2="O","6","")&amp;IF($M2="O","7","")&amp;IF($N2="O","8","")&amp;IF($O2="O","?","")&amp;IF(OR($J2="O",$K2="O",$L2="O",$M2="O",$N2="O",$O2="O"),"-","")&amp;$I2)</f>
        <v>3-AR</v>
      </c>
      <c r="Q2" s="108" t="str">
        <f>HYPERLINK("#'마스터_품목'!A178","→ 마스터 R178")</f>
        <v>→ 마스터 R178</v>
      </c>
      <c r="R2" s="109">
        <v>178</v>
      </c>
      <c r="S2" s="109" t="s">
        <v>72</v>
      </c>
    </row>
    <row r="3" spans="1:19" ht="48" customHeight="1" x14ac:dyDescent="0.3">
      <c r="A3" s="22" t="s">
        <v>354</v>
      </c>
      <c r="B3" s="22" t="s">
        <v>355</v>
      </c>
      <c r="C3" s="23" t="s">
        <v>195</v>
      </c>
      <c r="D3" s="23" t="s">
        <v>358</v>
      </c>
      <c r="E3" s="45" t="s">
        <v>359</v>
      </c>
      <c r="F3" s="24" t="s">
        <v>71</v>
      </c>
      <c r="G3" s="25"/>
      <c r="H3" s="26"/>
      <c r="I3" s="27" t="str">
        <f>IFERROR(IF(OR($F3="O",$G3="O",$H3="O"),CHOOSE(MATCH($A3,{"튜브","고압","진공","튜닝","조립","출하"},0),"T","H","V","N","A","P")&amp;IF($F3="O","R",IF($G3="O","A",IF($H3="O","F",""))),""),"")</f>
        <v>AR</v>
      </c>
      <c r="J3" s="15" t="s">
        <v>71</v>
      </c>
      <c r="K3" s="16"/>
      <c r="L3" s="17"/>
      <c r="M3" s="18"/>
      <c r="N3" s="19" t="s">
        <v>71</v>
      </c>
      <c r="O3" s="20"/>
      <c r="P3" s="21" t="str">
        <f t="shared" si="0"/>
        <v>38-AR</v>
      </c>
      <c r="Q3" s="108" t="str">
        <f>HYPERLINK("#'마스터_품목'!A179","→ 마스터 R179")</f>
        <v>→ 마스터 R179</v>
      </c>
      <c r="R3" s="109">
        <v>179</v>
      </c>
      <c r="S3" s="109" t="s">
        <v>72</v>
      </c>
    </row>
    <row r="4" spans="1:19" ht="48" customHeight="1" x14ac:dyDescent="0.3">
      <c r="A4" s="22" t="s">
        <v>354</v>
      </c>
      <c r="B4" s="22" t="s">
        <v>360</v>
      </c>
      <c r="C4" s="23" t="s">
        <v>195</v>
      </c>
      <c r="D4" s="23" t="s">
        <v>361</v>
      </c>
      <c r="E4" s="23" t="s">
        <v>362</v>
      </c>
      <c r="F4" s="24" t="s">
        <v>71</v>
      </c>
      <c r="G4" s="25"/>
      <c r="H4" s="26"/>
      <c r="I4" s="27" t="str">
        <f>IFERROR(IF(OR($F4="O",$G4="O",$H4="O"),CHOOSE(MATCH($A4,{"튜브","고압","진공","튜닝","조립","출하"},0),"T","H","V","N","A","P")&amp;IF($F4="O","R",IF($G4="O","A",IF($H4="O","F",""))),""),"")</f>
        <v>AR</v>
      </c>
      <c r="J4" s="15" t="s">
        <v>71</v>
      </c>
      <c r="K4" s="16"/>
      <c r="L4" s="17"/>
      <c r="M4" s="18"/>
      <c r="N4" s="19"/>
      <c r="O4" s="20"/>
      <c r="P4" s="21" t="str">
        <f t="shared" si="0"/>
        <v>3-AR</v>
      </c>
      <c r="Q4" s="108" t="str">
        <f>HYPERLINK("#'마스터_품목'!A180","→ 마스터 R180")</f>
        <v>→ 마스터 R180</v>
      </c>
      <c r="R4" s="109">
        <v>180</v>
      </c>
      <c r="S4" s="109" t="s">
        <v>72</v>
      </c>
    </row>
    <row r="5" spans="1:19" ht="48" customHeight="1" x14ac:dyDescent="0.3">
      <c r="A5" s="22" t="s">
        <v>354</v>
      </c>
      <c r="B5" s="22" t="s">
        <v>360</v>
      </c>
      <c r="C5" s="23" t="s">
        <v>195</v>
      </c>
      <c r="D5" s="23" t="s">
        <v>363</v>
      </c>
      <c r="E5" s="23" t="s">
        <v>364</v>
      </c>
      <c r="F5" s="24" t="s">
        <v>71</v>
      </c>
      <c r="G5" s="25"/>
      <c r="H5" s="26"/>
      <c r="I5" s="27" t="str">
        <f>IFERROR(IF(OR($F5="O",$G5="O",$H5="O"),CHOOSE(MATCH($A5,{"튜브","고압","진공","튜닝","조립","출하"},0),"T","H","V","N","A","P")&amp;IF($F5="O","R",IF($G5="O","A",IF($H5="O","F",""))),""),"")</f>
        <v>AR</v>
      </c>
      <c r="J5" s="15" t="s">
        <v>71</v>
      </c>
      <c r="K5" s="16"/>
      <c r="L5" s="17"/>
      <c r="M5" s="18"/>
      <c r="N5" s="19"/>
      <c r="O5" s="20"/>
      <c r="P5" s="21" t="str">
        <f t="shared" si="0"/>
        <v>3-AR</v>
      </c>
      <c r="Q5" s="108" t="str">
        <f>HYPERLINK("#'마스터_품목'!A181","→ 마스터 R181")</f>
        <v>→ 마스터 R181</v>
      </c>
      <c r="R5" s="109">
        <v>181</v>
      </c>
      <c r="S5" s="109" t="s">
        <v>72</v>
      </c>
    </row>
    <row r="6" spans="1:19" ht="48" customHeight="1" x14ac:dyDescent="0.3">
      <c r="A6" s="22" t="s">
        <v>354</v>
      </c>
      <c r="B6" s="22" t="s">
        <v>360</v>
      </c>
      <c r="C6" s="23" t="s">
        <v>195</v>
      </c>
      <c r="D6" s="23" t="s">
        <v>365</v>
      </c>
      <c r="E6" s="23" t="s">
        <v>366</v>
      </c>
      <c r="F6" s="24" t="s">
        <v>71</v>
      </c>
      <c r="G6" s="25"/>
      <c r="H6" s="26"/>
      <c r="I6" s="27" t="str">
        <f>IFERROR(IF(OR($F6="O",$G6="O",$H6="O"),CHOOSE(MATCH($A6,{"튜브","고압","진공","튜닝","조립","출하"},0),"T","H","V","N","A","P")&amp;IF($F6="O","R",IF($G6="O","A",IF($H6="O","F",""))),""),"")</f>
        <v>AR</v>
      </c>
      <c r="J6" s="15" t="s">
        <v>71</v>
      </c>
      <c r="K6" s="16"/>
      <c r="L6" s="17"/>
      <c r="M6" s="18"/>
      <c r="N6" s="19"/>
      <c r="O6" s="20"/>
      <c r="P6" s="21" t="str">
        <f t="shared" si="0"/>
        <v>3-AR</v>
      </c>
      <c r="Q6" s="108" t="str">
        <f>HYPERLINK("#'마스터_품목'!A182","→ 마스터 R182")</f>
        <v>→ 마스터 R182</v>
      </c>
      <c r="R6" s="109">
        <v>182</v>
      </c>
      <c r="S6" s="109" t="s">
        <v>72</v>
      </c>
    </row>
    <row r="7" spans="1:19" ht="48" customHeight="1" x14ac:dyDescent="0.3">
      <c r="A7" s="22" t="s">
        <v>354</v>
      </c>
      <c r="B7" s="22" t="s">
        <v>360</v>
      </c>
      <c r="C7" s="23" t="s">
        <v>195</v>
      </c>
      <c r="D7" s="23" t="s">
        <v>367</v>
      </c>
      <c r="E7" s="23" t="s">
        <v>368</v>
      </c>
      <c r="F7" s="24" t="s">
        <v>71</v>
      </c>
      <c r="G7" s="25"/>
      <c r="H7" s="26"/>
      <c r="I7" s="27" t="str">
        <f>IFERROR(IF(OR($F7="O",$G7="O",$H7="O"),CHOOSE(MATCH($A7,{"튜브","고압","진공","튜닝","조립","출하"},0),"T","H","V","N","A","P")&amp;IF($F7="O","R",IF($G7="O","A",IF($H7="O","F",""))),""),"")</f>
        <v>AR</v>
      </c>
      <c r="J7" s="15" t="s">
        <v>71</v>
      </c>
      <c r="K7" s="16"/>
      <c r="L7" s="17"/>
      <c r="M7" s="18"/>
      <c r="N7" s="19"/>
      <c r="O7" s="20"/>
      <c r="P7" s="21" t="str">
        <f t="shared" si="0"/>
        <v>3-AR</v>
      </c>
      <c r="Q7" s="108" t="str">
        <f>HYPERLINK("#'마스터_품목'!A183","→ 마스터 R183")</f>
        <v>→ 마스터 R183</v>
      </c>
      <c r="R7" s="109">
        <v>183</v>
      </c>
      <c r="S7" s="109" t="s">
        <v>72</v>
      </c>
    </row>
    <row r="8" spans="1:19" ht="48" customHeight="1" x14ac:dyDescent="0.3">
      <c r="A8" s="22" t="s">
        <v>354</v>
      </c>
      <c r="B8" s="22" t="s">
        <v>360</v>
      </c>
      <c r="C8" s="23" t="s">
        <v>369</v>
      </c>
      <c r="D8" s="23" t="s">
        <v>370</v>
      </c>
      <c r="E8" s="23" t="s">
        <v>371</v>
      </c>
      <c r="F8" s="24" t="s">
        <v>71</v>
      </c>
      <c r="G8" s="25"/>
      <c r="H8" s="26"/>
      <c r="I8" s="27" t="str">
        <f>IFERROR(IF(OR($F8="O",$G8="O",$H8="O"),CHOOSE(MATCH($A8,{"튜브","고압","진공","튜닝","조립","출하"},0),"T","H","V","N","A","P")&amp;IF($F8="O","R",IF($G8="O","A",IF($H8="O","F",""))),""),"")</f>
        <v>AR</v>
      </c>
      <c r="J8" s="15" t="s">
        <v>71</v>
      </c>
      <c r="K8" s="16"/>
      <c r="L8" s="17"/>
      <c r="M8" s="18"/>
      <c r="N8" s="19"/>
      <c r="O8" s="20"/>
      <c r="P8" s="21" t="str">
        <f t="shared" si="0"/>
        <v>3-AR</v>
      </c>
      <c r="Q8" s="108" t="str">
        <f>HYPERLINK("#'마스터_품목'!A184","→ 마스터 R184")</f>
        <v>→ 마스터 R184</v>
      </c>
      <c r="R8" s="109">
        <v>184</v>
      </c>
      <c r="S8" s="109" t="s">
        <v>72</v>
      </c>
    </row>
    <row r="9" spans="1:19" ht="48" customHeight="1" x14ac:dyDescent="0.3">
      <c r="A9" s="22" t="s">
        <v>354</v>
      </c>
      <c r="B9" s="22" t="s">
        <v>360</v>
      </c>
      <c r="C9" s="23" t="s">
        <v>372</v>
      </c>
      <c r="D9" s="23" t="s">
        <v>370</v>
      </c>
      <c r="E9" s="23" t="s">
        <v>373</v>
      </c>
      <c r="F9" s="24" t="s">
        <v>71</v>
      </c>
      <c r="G9" s="25"/>
      <c r="H9" s="26"/>
      <c r="I9" s="27" t="str">
        <f>IFERROR(IF(OR($F9="O",$G9="O",$H9="O"),CHOOSE(MATCH($A9,{"튜브","고압","진공","튜닝","조립","출하"},0),"T","H","V","N","A","P")&amp;IF($F9="O","R",IF($G9="O","A",IF($H9="O","F",""))),""),"")</f>
        <v>AR</v>
      </c>
      <c r="J9" s="15" t="s">
        <v>71</v>
      </c>
      <c r="K9" s="16"/>
      <c r="L9" s="17"/>
      <c r="M9" s="18"/>
      <c r="N9" s="19"/>
      <c r="O9" s="20"/>
      <c r="P9" s="21" t="str">
        <f t="shared" si="0"/>
        <v>3-AR</v>
      </c>
      <c r="Q9" s="108" t="str">
        <f>HYPERLINK("#'마스터_품목'!A185","→ 마스터 R185")</f>
        <v>→ 마스터 R185</v>
      </c>
      <c r="R9" s="109">
        <v>185</v>
      </c>
      <c r="S9" s="109" t="s">
        <v>72</v>
      </c>
    </row>
    <row r="10" spans="1:19" ht="48" customHeight="1" x14ac:dyDescent="0.3">
      <c r="A10" s="22" t="s">
        <v>354</v>
      </c>
      <c r="B10" s="22" t="s">
        <v>360</v>
      </c>
      <c r="C10" s="23" t="s">
        <v>374</v>
      </c>
      <c r="D10" s="23" t="s">
        <v>375</v>
      </c>
      <c r="E10" s="23" t="s">
        <v>376</v>
      </c>
      <c r="F10" s="24" t="s">
        <v>71</v>
      </c>
      <c r="G10" s="25"/>
      <c r="H10" s="26"/>
      <c r="I10" s="27" t="str">
        <f>IFERROR(IF(OR($F10="O",$G10="O",$H10="O"),CHOOSE(MATCH($A10,{"튜브","고압","진공","튜닝","조립","출하"},0),"T","H","V","N","A","P")&amp;IF($F10="O","R",IF($G10="O","A",IF($H10="O","F",""))),""),"")</f>
        <v>AR</v>
      </c>
      <c r="J10" s="15" t="s">
        <v>71</v>
      </c>
      <c r="K10" s="16"/>
      <c r="L10" s="17"/>
      <c r="M10" s="18"/>
      <c r="N10" s="19"/>
      <c r="O10" s="20"/>
      <c r="P10" s="21" t="str">
        <f t="shared" si="0"/>
        <v>3-AR</v>
      </c>
      <c r="Q10" s="108" t="str">
        <f>HYPERLINK("#'마스터_품목'!A186","→ 마스터 R186")</f>
        <v>→ 마스터 R186</v>
      </c>
      <c r="R10" s="109">
        <v>186</v>
      </c>
      <c r="S10" s="109" t="s">
        <v>72</v>
      </c>
    </row>
    <row r="11" spans="1:19" ht="48" customHeight="1" x14ac:dyDescent="0.3">
      <c r="A11" s="22" t="s">
        <v>354</v>
      </c>
      <c r="B11" s="22" t="s">
        <v>360</v>
      </c>
      <c r="C11" s="23" t="s">
        <v>372</v>
      </c>
      <c r="D11" s="23" t="s">
        <v>375</v>
      </c>
      <c r="E11" s="23" t="s">
        <v>377</v>
      </c>
      <c r="F11" s="24" t="s">
        <v>71</v>
      </c>
      <c r="G11" s="25"/>
      <c r="H11" s="26"/>
      <c r="I11" s="27" t="str">
        <f>IFERROR(IF(OR($F11="O",$G11="O",$H11="O"),CHOOSE(MATCH($A11,{"튜브","고압","진공","튜닝","조립","출하"},0),"T","H","V","N","A","P")&amp;IF($F11="O","R",IF($G11="O","A",IF($H11="O","F",""))),""),"")</f>
        <v>AR</v>
      </c>
      <c r="J11" s="15" t="s">
        <v>71</v>
      </c>
      <c r="K11" s="16"/>
      <c r="L11" s="17"/>
      <c r="M11" s="18"/>
      <c r="N11" s="19"/>
      <c r="O11" s="20"/>
      <c r="P11" s="21" t="str">
        <f t="shared" si="0"/>
        <v>3-AR</v>
      </c>
      <c r="Q11" s="108" t="str">
        <f>HYPERLINK("#'마스터_품목'!A187","→ 마스터 R187")</f>
        <v>→ 마스터 R187</v>
      </c>
      <c r="R11" s="109">
        <v>187</v>
      </c>
      <c r="S11" s="109" t="s">
        <v>72</v>
      </c>
    </row>
    <row r="12" spans="1:19" ht="48" customHeight="1" x14ac:dyDescent="0.3">
      <c r="A12" s="22" t="s">
        <v>354</v>
      </c>
      <c r="B12" s="22" t="s">
        <v>360</v>
      </c>
      <c r="C12" s="23" t="s">
        <v>195</v>
      </c>
      <c r="D12" s="23" t="s">
        <v>378</v>
      </c>
      <c r="E12" s="23" t="s">
        <v>379</v>
      </c>
      <c r="F12" s="24" t="s">
        <v>71</v>
      </c>
      <c r="G12" s="25"/>
      <c r="H12" s="26"/>
      <c r="I12" s="27" t="str">
        <f>IFERROR(IF(OR($F12="O",$G12="O",$H12="O"),CHOOSE(MATCH($A12,{"튜브","고압","진공","튜닝","조립","출하"},0),"T","H","V","N","A","P")&amp;IF($F12="O","R",IF($G12="O","A",IF($H12="O","F",""))),""),"")</f>
        <v>AR</v>
      </c>
      <c r="J12" s="15" t="s">
        <v>71</v>
      </c>
      <c r="K12" s="16"/>
      <c r="L12" s="17"/>
      <c r="M12" s="18"/>
      <c r="N12" s="19"/>
      <c r="O12" s="20"/>
      <c r="P12" s="21" t="str">
        <f t="shared" si="0"/>
        <v>3-AR</v>
      </c>
      <c r="Q12" s="108" t="str">
        <f>HYPERLINK("#'마스터_품목'!A188","→ 마스터 R188")</f>
        <v>→ 마스터 R188</v>
      </c>
      <c r="R12" s="109">
        <v>188</v>
      </c>
      <c r="S12" s="109" t="s">
        <v>72</v>
      </c>
    </row>
    <row r="13" spans="1:19" ht="48" customHeight="1" x14ac:dyDescent="0.3">
      <c r="A13" s="22" t="s">
        <v>354</v>
      </c>
      <c r="B13" s="22" t="s">
        <v>360</v>
      </c>
      <c r="C13" s="23" t="s">
        <v>195</v>
      </c>
      <c r="D13" s="23" t="s">
        <v>380</v>
      </c>
      <c r="E13" s="23" t="s">
        <v>381</v>
      </c>
      <c r="F13" s="24" t="s">
        <v>71</v>
      </c>
      <c r="G13" s="25"/>
      <c r="H13" s="26"/>
      <c r="I13" s="27" t="str">
        <f>IFERROR(IF(OR($F13="O",$G13="O",$H13="O"),CHOOSE(MATCH($A13,{"튜브","고압","진공","튜닝","조립","출하"},0),"T","H","V","N","A","P")&amp;IF($F13="O","R",IF($G13="O","A",IF($H13="O","F",""))),""),"")</f>
        <v>AR</v>
      </c>
      <c r="J13" s="15" t="s">
        <v>71</v>
      </c>
      <c r="K13" s="16"/>
      <c r="L13" s="17"/>
      <c r="M13" s="18"/>
      <c r="N13" s="19"/>
      <c r="O13" s="20"/>
      <c r="P13" s="21" t="str">
        <f t="shared" si="0"/>
        <v>3-AR</v>
      </c>
      <c r="Q13" s="108" t="str">
        <f>HYPERLINK("#'마스터_품목'!A189","→ 마스터 R189")</f>
        <v>→ 마스터 R189</v>
      </c>
      <c r="R13" s="109">
        <v>189</v>
      </c>
      <c r="S13" s="109" t="s">
        <v>72</v>
      </c>
    </row>
    <row r="14" spans="1:19" ht="48" customHeight="1" x14ac:dyDescent="0.3">
      <c r="A14" s="22" t="s">
        <v>354</v>
      </c>
      <c r="B14" s="22" t="s">
        <v>360</v>
      </c>
      <c r="C14" s="23" t="s">
        <v>195</v>
      </c>
      <c r="D14" s="23" t="s">
        <v>382</v>
      </c>
      <c r="E14" s="23" t="s">
        <v>383</v>
      </c>
      <c r="F14" s="24" t="s">
        <v>71</v>
      </c>
      <c r="G14" s="25"/>
      <c r="H14" s="26"/>
      <c r="I14" s="27" t="str">
        <f>IFERROR(IF(OR($F14="O",$G14="O",$H14="O"),CHOOSE(MATCH($A14,{"튜브","고압","진공","튜닝","조립","출하"},0),"T","H","V","N","A","P")&amp;IF($F14="O","R",IF($G14="O","A",IF($H14="O","F",""))),""),"")</f>
        <v>AR</v>
      </c>
      <c r="J14" s="15" t="s">
        <v>71</v>
      </c>
      <c r="K14" s="16"/>
      <c r="L14" s="17"/>
      <c r="M14" s="18"/>
      <c r="N14" s="19"/>
      <c r="O14" s="20"/>
      <c r="P14" s="21" t="str">
        <f t="shared" si="0"/>
        <v>3-AR</v>
      </c>
      <c r="Q14" s="108" t="str">
        <f>HYPERLINK("#'마스터_품목'!A190","→ 마스터 R190")</f>
        <v>→ 마스터 R190</v>
      </c>
      <c r="R14" s="109">
        <v>190</v>
      </c>
      <c r="S14" s="109" t="s">
        <v>72</v>
      </c>
    </row>
    <row r="15" spans="1:19" ht="48" customHeight="1" x14ac:dyDescent="0.3">
      <c r="A15" s="22" t="s">
        <v>354</v>
      </c>
      <c r="B15" s="22" t="s">
        <v>360</v>
      </c>
      <c r="C15" s="23" t="s">
        <v>195</v>
      </c>
      <c r="D15" s="23" t="s">
        <v>384</v>
      </c>
      <c r="E15" s="23" t="s">
        <v>385</v>
      </c>
      <c r="F15" s="24" t="s">
        <v>71</v>
      </c>
      <c r="G15" s="25"/>
      <c r="H15" s="26"/>
      <c r="I15" s="27" t="str">
        <f>IFERROR(IF(OR($F15="O",$G15="O",$H15="O"),CHOOSE(MATCH($A15,{"튜브","고압","진공","튜닝","조립","출하"},0),"T","H","V","N","A","P")&amp;IF($F15="O","R",IF($G15="O","A",IF($H15="O","F",""))),""),"")</f>
        <v>AR</v>
      </c>
      <c r="J15" s="15" t="s">
        <v>71</v>
      </c>
      <c r="K15" s="16"/>
      <c r="L15" s="17"/>
      <c r="M15" s="18"/>
      <c r="N15" s="19"/>
      <c r="O15" s="20"/>
      <c r="P15" s="21" t="str">
        <f t="shared" si="0"/>
        <v>3-AR</v>
      </c>
      <c r="Q15" s="108" t="str">
        <f>HYPERLINK("#'마스터_품목'!A191","→ 마스터 R191")</f>
        <v>→ 마스터 R191</v>
      </c>
      <c r="R15" s="109">
        <v>191</v>
      </c>
      <c r="S15" s="109" t="s">
        <v>72</v>
      </c>
    </row>
    <row r="16" spans="1:19" ht="48" customHeight="1" x14ac:dyDescent="0.3">
      <c r="A16" s="22" t="s">
        <v>354</v>
      </c>
      <c r="B16" s="22" t="s">
        <v>360</v>
      </c>
      <c r="C16" s="23" t="s">
        <v>195</v>
      </c>
      <c r="D16" s="23" t="s">
        <v>386</v>
      </c>
      <c r="E16" s="23" t="s">
        <v>387</v>
      </c>
      <c r="F16" s="24" t="s">
        <v>71</v>
      </c>
      <c r="G16" s="25"/>
      <c r="H16" s="26"/>
      <c r="I16" s="27" t="str">
        <f>IFERROR(IF(OR($F16="O",$G16="O",$H16="O"),CHOOSE(MATCH($A16,{"튜브","고압","진공","튜닝","조립","출하"},0),"T","H","V","N","A","P")&amp;IF($F16="O","R",IF($G16="O","A",IF($H16="O","F",""))),""),"")</f>
        <v>AR</v>
      </c>
      <c r="J16" s="15" t="s">
        <v>71</v>
      </c>
      <c r="K16" s="16"/>
      <c r="L16" s="17"/>
      <c r="M16" s="18"/>
      <c r="N16" s="19"/>
      <c r="O16" s="20"/>
      <c r="P16" s="21" t="str">
        <f t="shared" si="0"/>
        <v>3-AR</v>
      </c>
      <c r="Q16" s="108" t="str">
        <f>HYPERLINK("#'마스터_품목'!A192","→ 마스터 R192")</f>
        <v>→ 마스터 R192</v>
      </c>
      <c r="R16" s="109">
        <v>192</v>
      </c>
      <c r="S16" s="109" t="s">
        <v>72</v>
      </c>
    </row>
    <row r="17" spans="1:19" ht="48" customHeight="1" x14ac:dyDescent="0.3">
      <c r="A17" s="22" t="s">
        <v>354</v>
      </c>
      <c r="B17" s="22" t="s">
        <v>360</v>
      </c>
      <c r="C17" s="23" t="s">
        <v>195</v>
      </c>
      <c r="D17" s="23" t="s">
        <v>388</v>
      </c>
      <c r="E17" s="23" t="s">
        <v>389</v>
      </c>
      <c r="F17" s="24" t="s">
        <v>71</v>
      </c>
      <c r="G17" s="25"/>
      <c r="H17" s="26"/>
      <c r="I17" s="27" t="str">
        <f>IFERROR(IF(OR($F17="O",$G17="O",$H17="O"),CHOOSE(MATCH($A17,{"튜브","고압","진공","튜닝","조립","출하"},0),"T","H","V","N","A","P")&amp;IF($F17="O","R",IF($G17="O","A",IF($H17="O","F",""))),""),"")</f>
        <v>AR</v>
      </c>
      <c r="J17" s="15" t="s">
        <v>71</v>
      </c>
      <c r="K17" s="16"/>
      <c r="L17" s="17"/>
      <c r="M17" s="18"/>
      <c r="N17" s="19"/>
      <c r="O17" s="20"/>
      <c r="P17" s="21" t="str">
        <f t="shared" si="0"/>
        <v>3-AR</v>
      </c>
      <c r="Q17" s="108" t="str">
        <f>HYPERLINK("#'마스터_품목'!A193","→ 마스터 R193")</f>
        <v>→ 마스터 R193</v>
      </c>
      <c r="R17" s="109">
        <v>193</v>
      </c>
      <c r="S17" s="109" t="s">
        <v>72</v>
      </c>
    </row>
    <row r="18" spans="1:19" ht="48" customHeight="1" x14ac:dyDescent="0.3">
      <c r="A18" s="22" t="s">
        <v>354</v>
      </c>
      <c r="B18" s="22" t="s">
        <v>360</v>
      </c>
      <c r="C18" s="23" t="s">
        <v>372</v>
      </c>
      <c r="D18" s="23" t="s">
        <v>390</v>
      </c>
      <c r="E18" s="23" t="s">
        <v>391</v>
      </c>
      <c r="F18" s="24" t="s">
        <v>71</v>
      </c>
      <c r="G18" s="25"/>
      <c r="H18" s="26"/>
      <c r="I18" s="27" t="str">
        <f>IFERROR(IF(OR($F18="O",$G18="O",$H18="O"),CHOOSE(MATCH($A18,{"튜브","고압","진공","튜닝","조립","출하"},0),"T","H","V","N","A","P")&amp;IF($F18="O","R",IF($G18="O","A",IF($H18="O","F",""))),""),"")</f>
        <v>AR</v>
      </c>
      <c r="J18" s="15" t="s">
        <v>71</v>
      </c>
      <c r="K18" s="16"/>
      <c r="L18" s="17"/>
      <c r="M18" s="18"/>
      <c r="N18" s="19"/>
      <c r="O18" s="20"/>
      <c r="P18" s="21" t="str">
        <f t="shared" si="0"/>
        <v>3-AR</v>
      </c>
      <c r="Q18" s="108" t="str">
        <f>HYPERLINK("#'마스터_품목'!A194","→ 마스터 R194")</f>
        <v>→ 마스터 R194</v>
      </c>
      <c r="R18" s="109">
        <v>194</v>
      </c>
      <c r="S18" s="109" t="s">
        <v>72</v>
      </c>
    </row>
    <row r="19" spans="1:19" ht="48" customHeight="1" x14ac:dyDescent="0.3">
      <c r="A19" s="22" t="s">
        <v>354</v>
      </c>
      <c r="B19" s="22" t="s">
        <v>360</v>
      </c>
      <c r="C19" s="23" t="s">
        <v>374</v>
      </c>
      <c r="D19" s="23" t="s">
        <v>390</v>
      </c>
      <c r="E19" s="23" t="s">
        <v>392</v>
      </c>
      <c r="F19" s="24" t="s">
        <v>71</v>
      </c>
      <c r="G19" s="25"/>
      <c r="H19" s="26"/>
      <c r="I19" s="27" t="str">
        <f>IFERROR(IF(OR($F19="O",$G19="O",$H19="O"),CHOOSE(MATCH($A19,{"튜브","고압","진공","튜닝","조립","출하"},0),"T","H","V","N","A","P")&amp;IF($F19="O","R",IF($G19="O","A",IF($H19="O","F",""))),""),"")</f>
        <v>AR</v>
      </c>
      <c r="J19" s="15" t="s">
        <v>71</v>
      </c>
      <c r="K19" s="16"/>
      <c r="L19" s="17"/>
      <c r="M19" s="18"/>
      <c r="N19" s="19"/>
      <c r="O19" s="20"/>
      <c r="P19" s="21" t="str">
        <f t="shared" si="0"/>
        <v>3-AR</v>
      </c>
      <c r="Q19" s="108" t="str">
        <f>HYPERLINK("#'마스터_품목'!A195","→ 마스터 R195")</f>
        <v>→ 마스터 R195</v>
      </c>
      <c r="R19" s="109">
        <v>195</v>
      </c>
      <c r="S19" s="109" t="s">
        <v>72</v>
      </c>
    </row>
    <row r="20" spans="1:19" ht="48" customHeight="1" x14ac:dyDescent="0.3">
      <c r="A20" s="22" t="s">
        <v>354</v>
      </c>
      <c r="B20" s="22" t="s">
        <v>360</v>
      </c>
      <c r="C20" s="23" t="s">
        <v>372</v>
      </c>
      <c r="D20" s="23" t="s">
        <v>393</v>
      </c>
      <c r="E20" s="23" t="s">
        <v>394</v>
      </c>
      <c r="F20" s="24" t="s">
        <v>71</v>
      </c>
      <c r="G20" s="25"/>
      <c r="H20" s="26"/>
      <c r="I20" s="27" t="str">
        <f>IFERROR(IF(OR($F20="O",$G20="O",$H20="O"),CHOOSE(MATCH($A20,{"튜브","고압","진공","튜닝","조립","출하"},0),"T","H","V","N","A","P")&amp;IF($F20="O","R",IF($G20="O","A",IF($H20="O","F",""))),""),"")</f>
        <v>AR</v>
      </c>
      <c r="J20" s="15" t="s">
        <v>71</v>
      </c>
      <c r="K20" s="16"/>
      <c r="L20" s="17"/>
      <c r="M20" s="18"/>
      <c r="N20" s="19"/>
      <c r="O20" s="20"/>
      <c r="P20" s="21" t="str">
        <f t="shared" si="0"/>
        <v>3-AR</v>
      </c>
      <c r="Q20" s="108" t="str">
        <f>HYPERLINK("#'마스터_품목'!A196","→ 마스터 R196")</f>
        <v>→ 마스터 R196</v>
      </c>
      <c r="R20" s="109">
        <v>196</v>
      </c>
      <c r="S20" s="109" t="s">
        <v>72</v>
      </c>
    </row>
    <row r="21" spans="1:19" ht="48" customHeight="1" x14ac:dyDescent="0.3">
      <c r="A21" s="22" t="s">
        <v>354</v>
      </c>
      <c r="B21" s="22" t="s">
        <v>360</v>
      </c>
      <c r="C21" s="23" t="s">
        <v>195</v>
      </c>
      <c r="D21" s="23" t="s">
        <v>395</v>
      </c>
      <c r="E21" s="23" t="s">
        <v>396</v>
      </c>
      <c r="F21" s="24" t="s">
        <v>71</v>
      </c>
      <c r="G21" s="25"/>
      <c r="H21" s="26"/>
      <c r="I21" s="27" t="str">
        <f>IFERROR(IF(OR($F21="O",$G21="O",$H21="O"),CHOOSE(MATCH($A21,{"튜브","고압","진공","튜닝","조립","출하"},0),"T","H","V","N","A","P")&amp;IF($F21="O","R",IF($G21="O","A",IF($H21="O","F",""))),""),"")</f>
        <v>AR</v>
      </c>
      <c r="J21" s="15" t="s">
        <v>71</v>
      </c>
      <c r="K21" s="16"/>
      <c r="L21" s="17"/>
      <c r="M21" s="18"/>
      <c r="N21" s="19"/>
      <c r="O21" s="20"/>
      <c r="P21" s="21" t="str">
        <f t="shared" si="0"/>
        <v>3-AR</v>
      </c>
      <c r="Q21" s="108" t="str">
        <f>HYPERLINK("#'마스터_품목'!A197","→ 마스터 R197")</f>
        <v>→ 마스터 R197</v>
      </c>
      <c r="R21" s="109">
        <v>197</v>
      </c>
      <c r="S21" s="109" t="s">
        <v>72</v>
      </c>
    </row>
    <row r="22" spans="1:19" ht="48" customHeight="1" x14ac:dyDescent="0.3">
      <c r="A22" s="22" t="s">
        <v>354</v>
      </c>
      <c r="B22" s="22" t="s">
        <v>360</v>
      </c>
      <c r="C22" s="23" t="s">
        <v>397</v>
      </c>
      <c r="D22" s="23" t="s">
        <v>398</v>
      </c>
      <c r="E22" s="23" t="s">
        <v>399</v>
      </c>
      <c r="F22" s="24" t="s">
        <v>71</v>
      </c>
      <c r="G22" s="25"/>
      <c r="H22" s="26"/>
      <c r="I22" s="27" t="str">
        <f>IFERROR(IF(OR($F22="O",$G22="O",$H22="O"),CHOOSE(MATCH($A22,{"튜브","고압","진공","튜닝","조립","출하"},0),"T","H","V","N","A","P")&amp;IF($F22="O","R",IF($G22="O","A",IF($H22="O","F",""))),""),"")</f>
        <v>AR</v>
      </c>
      <c r="J22" s="15" t="s">
        <v>71</v>
      </c>
      <c r="K22" s="16" t="s">
        <v>71</v>
      </c>
      <c r="L22" s="17"/>
      <c r="M22" s="18"/>
      <c r="N22" s="19"/>
      <c r="O22" s="20"/>
      <c r="P22" s="21" t="str">
        <f t="shared" si="0"/>
        <v>34-AR</v>
      </c>
      <c r="Q22" s="108" t="str">
        <f>HYPERLINK("#'마스터_품목'!A198","→ 마스터 R198")</f>
        <v>→ 마스터 R198</v>
      </c>
      <c r="R22" s="109">
        <v>198</v>
      </c>
      <c r="S22" s="109" t="s">
        <v>72</v>
      </c>
    </row>
    <row r="23" spans="1:19" ht="48" customHeight="1" x14ac:dyDescent="0.3">
      <c r="A23" s="22" t="s">
        <v>354</v>
      </c>
      <c r="B23" s="22" t="s">
        <v>360</v>
      </c>
      <c r="C23" s="23" t="s">
        <v>397</v>
      </c>
      <c r="D23" s="23" t="s">
        <v>400</v>
      </c>
      <c r="E23" s="23" t="s">
        <v>401</v>
      </c>
      <c r="F23" s="24" t="s">
        <v>71</v>
      </c>
      <c r="G23" s="25"/>
      <c r="H23" s="26"/>
      <c r="I23" s="27" t="str">
        <f>IFERROR(IF(OR($F23="O",$G23="O",$H23="O"),CHOOSE(MATCH($A23,{"튜브","고압","진공","튜닝","조립","출하"},0),"T","H","V","N","A","P")&amp;IF($F23="O","R",IF($G23="O","A",IF($H23="O","F",""))),""),"")</f>
        <v>AR</v>
      </c>
      <c r="J23" s="15" t="s">
        <v>71</v>
      </c>
      <c r="K23" s="16" t="s">
        <v>71</v>
      </c>
      <c r="L23" s="17"/>
      <c r="M23" s="18"/>
      <c r="N23" s="19"/>
      <c r="O23" s="20"/>
      <c r="P23" s="21" t="str">
        <f t="shared" si="0"/>
        <v>34-AR</v>
      </c>
      <c r="Q23" s="108" t="str">
        <f>HYPERLINK("#'마스터_품목'!A199","→ 마스터 R199")</f>
        <v>→ 마스터 R199</v>
      </c>
      <c r="R23" s="109">
        <v>199</v>
      </c>
      <c r="S23" s="109" t="s">
        <v>72</v>
      </c>
    </row>
    <row r="24" spans="1:19" ht="48" customHeight="1" x14ac:dyDescent="0.3">
      <c r="A24" s="22" t="s">
        <v>354</v>
      </c>
      <c r="B24" s="22" t="s">
        <v>360</v>
      </c>
      <c r="C24" s="23" t="s">
        <v>397</v>
      </c>
      <c r="D24" s="23" t="s">
        <v>402</v>
      </c>
      <c r="E24" s="23" t="s">
        <v>403</v>
      </c>
      <c r="F24" s="24" t="s">
        <v>71</v>
      </c>
      <c r="G24" s="25"/>
      <c r="H24" s="26"/>
      <c r="I24" s="27" t="str">
        <f>IFERROR(IF(OR($F24="O",$G24="O",$H24="O"),CHOOSE(MATCH($A24,{"튜브","고압","진공","튜닝","조립","출하"},0),"T","H","V","N","A","P")&amp;IF($F24="O","R",IF($G24="O","A",IF($H24="O","F",""))),""),"")</f>
        <v>AR</v>
      </c>
      <c r="J24" s="15" t="s">
        <v>71</v>
      </c>
      <c r="K24" s="16"/>
      <c r="L24" s="17"/>
      <c r="M24" s="18"/>
      <c r="N24" s="19"/>
      <c r="O24" s="20"/>
      <c r="P24" s="21" t="str">
        <f t="shared" si="0"/>
        <v>3-AR</v>
      </c>
      <c r="Q24" s="108" t="str">
        <f>HYPERLINK("#'마스터_품목'!A200","→ 마스터 R200")</f>
        <v>→ 마스터 R200</v>
      </c>
      <c r="R24" s="109">
        <v>200</v>
      </c>
      <c r="S24" s="109" t="s">
        <v>72</v>
      </c>
    </row>
    <row r="25" spans="1:19" ht="48" customHeight="1" x14ac:dyDescent="0.3">
      <c r="A25" s="22" t="s">
        <v>354</v>
      </c>
      <c r="B25" s="22" t="s">
        <v>360</v>
      </c>
      <c r="C25" s="23" t="s">
        <v>195</v>
      </c>
      <c r="D25" s="23" t="s">
        <v>404</v>
      </c>
      <c r="E25" s="23" t="s">
        <v>405</v>
      </c>
      <c r="F25" s="24" t="s">
        <v>71</v>
      </c>
      <c r="G25" s="25"/>
      <c r="H25" s="26"/>
      <c r="I25" s="27" t="str">
        <f>IFERROR(IF(OR($F25="O",$G25="O",$H25="O"),CHOOSE(MATCH($A25,{"튜브","고압","진공","튜닝","조립","출하"},0),"T","H","V","N","A","P")&amp;IF($F25="O","R",IF($G25="O","A",IF($H25="O","F",""))),""),"")</f>
        <v>AR</v>
      </c>
      <c r="J25" s="15" t="s">
        <v>71</v>
      </c>
      <c r="K25" s="16"/>
      <c r="L25" s="17"/>
      <c r="M25" s="18"/>
      <c r="N25" s="19"/>
      <c r="O25" s="20"/>
      <c r="P25" s="21" t="str">
        <f t="shared" si="0"/>
        <v>3-AR</v>
      </c>
      <c r="Q25" s="108" t="str">
        <f>HYPERLINK("#'마스터_품목'!A201","→ 마스터 R201")</f>
        <v>→ 마스터 R201</v>
      </c>
      <c r="R25" s="109">
        <v>201</v>
      </c>
      <c r="S25" s="109" t="s">
        <v>72</v>
      </c>
    </row>
    <row r="26" spans="1:19" ht="48" customHeight="1" x14ac:dyDescent="0.3">
      <c r="A26" s="22" t="s">
        <v>354</v>
      </c>
      <c r="B26" s="22" t="s">
        <v>360</v>
      </c>
      <c r="C26" s="23" t="s">
        <v>406</v>
      </c>
      <c r="D26" s="23" t="s">
        <v>407</v>
      </c>
      <c r="E26" s="23" t="s">
        <v>408</v>
      </c>
      <c r="F26" s="24" t="s">
        <v>71</v>
      </c>
      <c r="G26" s="25"/>
      <c r="H26" s="26"/>
      <c r="I26" s="27" t="str">
        <f>IFERROR(IF(OR($F26="O",$G26="O",$H26="O"),CHOOSE(MATCH($A26,{"튜브","고압","진공","튜닝","조립","출하"},0),"T","H","V","N","A","P")&amp;IF($F26="O","R",IF($G26="O","A",IF($H26="O","F",""))),""),"")</f>
        <v>AR</v>
      </c>
      <c r="J26" s="15" t="s">
        <v>71</v>
      </c>
      <c r="K26" s="16"/>
      <c r="L26" s="17"/>
      <c r="M26" s="18"/>
      <c r="N26" s="19"/>
      <c r="O26" s="20"/>
      <c r="P26" s="21" t="str">
        <f t="shared" si="0"/>
        <v>3-AR</v>
      </c>
      <c r="Q26" s="108" t="str">
        <f>HYPERLINK("#'마스터_품목'!A202","→ 마스터 R202")</f>
        <v>→ 마스터 R202</v>
      </c>
      <c r="R26" s="109">
        <v>202</v>
      </c>
      <c r="S26" s="109" t="s">
        <v>72</v>
      </c>
    </row>
    <row r="27" spans="1:19" ht="48" customHeight="1" x14ac:dyDescent="0.3">
      <c r="A27" s="22" t="s">
        <v>354</v>
      </c>
      <c r="B27" s="22" t="s">
        <v>360</v>
      </c>
      <c r="C27" s="23" t="s">
        <v>409</v>
      </c>
      <c r="D27" s="23" t="s">
        <v>407</v>
      </c>
      <c r="E27" s="23" t="s">
        <v>410</v>
      </c>
      <c r="F27" s="24" t="s">
        <v>71</v>
      </c>
      <c r="G27" s="25"/>
      <c r="H27" s="26"/>
      <c r="I27" s="27" t="str">
        <f>IFERROR(IF(OR($F27="O",$G27="O",$H27="O"),CHOOSE(MATCH($A27,{"튜브","고압","진공","튜닝","조립","출하"},0),"T","H","V","N","A","P")&amp;IF($F27="O","R",IF($G27="O","A",IF($H27="O","F",""))),""),"")</f>
        <v>AR</v>
      </c>
      <c r="J27" s="15" t="s">
        <v>71</v>
      </c>
      <c r="K27" s="16"/>
      <c r="L27" s="17"/>
      <c r="M27" s="18"/>
      <c r="N27" s="19"/>
      <c r="O27" s="20"/>
      <c r="P27" s="21" t="str">
        <f t="shared" si="0"/>
        <v>3-AR</v>
      </c>
      <c r="Q27" s="108" t="str">
        <f>HYPERLINK("#'마스터_품목'!A203","→ 마스터 R203")</f>
        <v>→ 마스터 R203</v>
      </c>
      <c r="R27" s="109">
        <v>203</v>
      </c>
      <c r="S27" s="109" t="s">
        <v>72</v>
      </c>
    </row>
    <row r="28" spans="1:19" ht="48" customHeight="1" x14ac:dyDescent="0.3">
      <c r="A28" s="22" t="s">
        <v>354</v>
      </c>
      <c r="B28" s="22" t="s">
        <v>360</v>
      </c>
      <c r="C28" s="23" t="s">
        <v>195</v>
      </c>
      <c r="D28" s="23" t="s">
        <v>411</v>
      </c>
      <c r="E28" s="23" t="s">
        <v>412</v>
      </c>
      <c r="F28" s="24" t="s">
        <v>71</v>
      </c>
      <c r="G28" s="25"/>
      <c r="H28" s="26"/>
      <c r="I28" s="27" t="str">
        <f>IFERROR(IF(OR($F28="O",$G28="O",$H28="O"),CHOOSE(MATCH($A28,{"튜브","고압","진공","튜닝","조립","출하"},0),"T","H","V","N","A","P")&amp;IF($F28="O","R",IF($G28="O","A",IF($H28="O","F",""))),""),"")</f>
        <v>AR</v>
      </c>
      <c r="J28" s="15" t="s">
        <v>71</v>
      </c>
      <c r="K28" s="16"/>
      <c r="L28" s="17"/>
      <c r="M28" s="18"/>
      <c r="N28" s="19"/>
      <c r="O28" s="20"/>
      <c r="P28" s="21" t="str">
        <f t="shared" si="0"/>
        <v>3-AR</v>
      </c>
      <c r="Q28" s="108" t="str">
        <f>HYPERLINK("#'마스터_품목'!A204","→ 마스터 R204")</f>
        <v>→ 마스터 R204</v>
      </c>
      <c r="R28" s="109">
        <v>204</v>
      </c>
      <c r="S28" s="109" t="s">
        <v>72</v>
      </c>
    </row>
    <row r="29" spans="1:19" ht="48" customHeight="1" x14ac:dyDescent="0.3">
      <c r="A29" s="22" t="s">
        <v>354</v>
      </c>
      <c r="B29" s="22" t="s">
        <v>360</v>
      </c>
      <c r="C29" s="23" t="s">
        <v>195</v>
      </c>
      <c r="D29" s="23" t="s">
        <v>413</v>
      </c>
      <c r="E29" s="23" t="s">
        <v>414</v>
      </c>
      <c r="F29" s="24" t="s">
        <v>71</v>
      </c>
      <c r="G29" s="25"/>
      <c r="H29" s="26"/>
      <c r="I29" s="27" t="str">
        <f>IFERROR(IF(OR($F29="O",$G29="O",$H29="O"),CHOOSE(MATCH($A29,{"튜브","고압","진공","튜닝","조립","출하"},0),"T","H","V","N","A","P")&amp;IF($F29="O","R",IF($G29="O","A",IF($H29="O","F",""))),""),"")</f>
        <v>AR</v>
      </c>
      <c r="J29" s="15" t="s">
        <v>71</v>
      </c>
      <c r="K29" s="16" t="s">
        <v>71</v>
      </c>
      <c r="L29" s="17"/>
      <c r="M29" s="18"/>
      <c r="N29" s="19"/>
      <c r="O29" s="20"/>
      <c r="P29" s="21" t="str">
        <f t="shared" si="0"/>
        <v>34-AR</v>
      </c>
      <c r="Q29" s="108" t="str">
        <f>HYPERLINK("#'마스터_품목'!A205","→ 마스터 R205")</f>
        <v>→ 마스터 R205</v>
      </c>
      <c r="R29" s="109">
        <v>205</v>
      </c>
      <c r="S29" s="109" t="s">
        <v>72</v>
      </c>
    </row>
    <row r="30" spans="1:19" ht="48" customHeight="1" x14ac:dyDescent="0.3">
      <c r="A30" s="22" t="s">
        <v>354</v>
      </c>
      <c r="B30" s="22" t="s">
        <v>415</v>
      </c>
      <c r="C30" s="23" t="s">
        <v>195</v>
      </c>
      <c r="D30" s="23" t="s">
        <v>416</v>
      </c>
      <c r="E30" s="23" t="s">
        <v>417</v>
      </c>
      <c r="F30" s="24" t="s">
        <v>71</v>
      </c>
      <c r="G30" s="25"/>
      <c r="H30" s="26"/>
      <c r="I30" s="27" t="str">
        <f>IFERROR(IF(OR($F30="O",$G30="O",$H30="O"),CHOOSE(MATCH($A30,{"튜브","고압","진공","튜닝","조립","출하"},0),"T","H","V","N","A","P")&amp;IF($F30="O","R",IF($G30="O","A",IF($H30="O","F",""))),""),"")</f>
        <v>AR</v>
      </c>
      <c r="J30" s="15" t="s">
        <v>71</v>
      </c>
      <c r="K30" s="16"/>
      <c r="L30" s="17"/>
      <c r="M30" s="18"/>
      <c r="N30" s="19"/>
      <c r="O30" s="20"/>
      <c r="P30" s="21" t="str">
        <f t="shared" si="0"/>
        <v>3-AR</v>
      </c>
      <c r="Q30" s="108" t="str">
        <f>HYPERLINK("#'마스터_품목'!A206","→ 마스터 R206")</f>
        <v>→ 마스터 R206</v>
      </c>
      <c r="R30" s="109">
        <v>206</v>
      </c>
      <c r="S30" s="109" t="s">
        <v>72</v>
      </c>
    </row>
    <row r="31" spans="1:19" ht="48" customHeight="1" x14ac:dyDescent="0.3">
      <c r="A31" s="22" t="s">
        <v>354</v>
      </c>
      <c r="B31" s="22" t="s">
        <v>415</v>
      </c>
      <c r="C31" s="23" t="s">
        <v>195</v>
      </c>
      <c r="D31" s="23" t="s">
        <v>418</v>
      </c>
      <c r="E31" s="23" t="s">
        <v>419</v>
      </c>
      <c r="F31" s="24" t="s">
        <v>71</v>
      </c>
      <c r="G31" s="25"/>
      <c r="H31" s="26"/>
      <c r="I31" s="27" t="str">
        <f>IFERROR(IF(OR($F31="O",$G31="O",$H31="O"),CHOOSE(MATCH($A31,{"튜브","고압","진공","튜닝","조립","출하"},0),"T","H","V","N","A","P")&amp;IF($F31="O","R",IF($G31="O","A",IF($H31="O","F",""))),""),"")</f>
        <v>AR</v>
      </c>
      <c r="J31" s="15" t="s">
        <v>71</v>
      </c>
      <c r="K31" s="16"/>
      <c r="L31" s="17"/>
      <c r="M31" s="18"/>
      <c r="N31" s="19"/>
      <c r="O31" s="20"/>
      <c r="P31" s="21" t="str">
        <f t="shared" si="0"/>
        <v>3-AR</v>
      </c>
      <c r="Q31" s="108" t="str">
        <f>HYPERLINK("#'마스터_품목'!A207","→ 마스터 R207")</f>
        <v>→ 마스터 R207</v>
      </c>
      <c r="R31" s="109">
        <v>207</v>
      </c>
      <c r="S31" s="109" t="s">
        <v>72</v>
      </c>
    </row>
    <row r="32" spans="1:19" ht="48" customHeight="1" x14ac:dyDescent="0.3">
      <c r="A32" s="22" t="s">
        <v>354</v>
      </c>
      <c r="B32" s="22" t="s">
        <v>415</v>
      </c>
      <c r="C32" s="23" t="s">
        <v>195</v>
      </c>
      <c r="D32" s="23" t="s">
        <v>420</v>
      </c>
      <c r="E32" s="23" t="s">
        <v>421</v>
      </c>
      <c r="F32" s="24" t="s">
        <v>71</v>
      </c>
      <c r="G32" s="25"/>
      <c r="H32" s="26"/>
      <c r="I32" s="27" t="str">
        <f>IFERROR(IF(OR($F32="O",$G32="O",$H32="O"),CHOOSE(MATCH($A32,{"튜브","고압","진공","튜닝","조립","출하"},0),"T","H","V","N","A","P")&amp;IF($F32="O","R",IF($G32="O","A",IF($H32="O","F",""))),""),"")</f>
        <v>AR</v>
      </c>
      <c r="J32" s="15" t="s">
        <v>71</v>
      </c>
      <c r="K32" s="16"/>
      <c r="L32" s="17"/>
      <c r="M32" s="18"/>
      <c r="N32" s="19"/>
      <c r="O32" s="20"/>
      <c r="P32" s="21" t="str">
        <f t="shared" si="0"/>
        <v>3-AR</v>
      </c>
      <c r="Q32" s="108" t="str">
        <f>HYPERLINK("#'마스터_품목'!A208","→ 마스터 R208")</f>
        <v>→ 마스터 R208</v>
      </c>
      <c r="R32" s="109">
        <v>208</v>
      </c>
      <c r="S32" s="109" t="s">
        <v>72</v>
      </c>
    </row>
    <row r="33" spans="1:19" ht="48" customHeight="1" x14ac:dyDescent="0.3">
      <c r="A33" s="22" t="s">
        <v>354</v>
      </c>
      <c r="B33" s="22" t="s">
        <v>415</v>
      </c>
      <c r="C33" s="23" t="s">
        <v>195</v>
      </c>
      <c r="D33" s="23" t="s">
        <v>422</v>
      </c>
      <c r="E33" s="23" t="s">
        <v>423</v>
      </c>
      <c r="F33" s="24" t="s">
        <v>71</v>
      </c>
      <c r="G33" s="25"/>
      <c r="H33" s="26"/>
      <c r="I33" s="27" t="str">
        <f>IFERROR(IF(OR($F33="O",$G33="O",$H33="O"),CHOOSE(MATCH($A33,{"튜브","고압","진공","튜닝","조립","출하"},0),"T","H","V","N","A","P")&amp;IF($F33="O","R",IF($G33="O","A",IF($H33="O","F",""))),""),"")</f>
        <v>AR</v>
      </c>
      <c r="J33" s="15" t="s">
        <v>71</v>
      </c>
      <c r="K33" s="16"/>
      <c r="L33" s="17"/>
      <c r="M33" s="18"/>
      <c r="N33" s="19"/>
      <c r="O33" s="20"/>
      <c r="P33" s="21" t="str">
        <f t="shared" si="0"/>
        <v>3-AR</v>
      </c>
      <c r="Q33" s="108" t="str">
        <f>HYPERLINK("#'마스터_품목'!A209","→ 마스터 R209")</f>
        <v>→ 마스터 R209</v>
      </c>
      <c r="R33" s="109">
        <v>209</v>
      </c>
      <c r="S33" s="109" t="s">
        <v>72</v>
      </c>
    </row>
    <row r="34" spans="1:19" ht="48" customHeight="1" x14ac:dyDescent="0.3">
      <c r="A34" s="22" t="s">
        <v>354</v>
      </c>
      <c r="B34" s="22" t="s">
        <v>415</v>
      </c>
      <c r="C34" s="23" t="s">
        <v>195</v>
      </c>
      <c r="D34" s="23" t="s">
        <v>424</v>
      </c>
      <c r="E34" s="23" t="s">
        <v>425</v>
      </c>
      <c r="F34" s="24" t="s">
        <v>71</v>
      </c>
      <c r="G34" s="25"/>
      <c r="H34" s="26"/>
      <c r="I34" s="27" t="str">
        <f>IFERROR(IF(OR($F34="O",$G34="O",$H34="O"),CHOOSE(MATCH($A34,{"튜브","고압","진공","튜닝","조립","출하"},0),"T","H","V","N","A","P")&amp;IF($F34="O","R",IF($G34="O","A",IF($H34="O","F",""))),""),"")</f>
        <v>AR</v>
      </c>
      <c r="J34" s="15" t="s">
        <v>71</v>
      </c>
      <c r="K34" s="16"/>
      <c r="L34" s="17"/>
      <c r="M34" s="18"/>
      <c r="N34" s="19"/>
      <c r="O34" s="20"/>
      <c r="P34" s="21" t="str">
        <f t="shared" si="0"/>
        <v>3-AR</v>
      </c>
      <c r="Q34" s="108" t="str">
        <f>HYPERLINK("#'마스터_품목'!A210","→ 마스터 R210")</f>
        <v>→ 마스터 R210</v>
      </c>
      <c r="R34" s="109">
        <v>210</v>
      </c>
      <c r="S34" s="109" t="s">
        <v>72</v>
      </c>
    </row>
    <row r="35" spans="1:19" ht="48" customHeight="1" x14ac:dyDescent="0.3">
      <c r="A35" s="22" t="s">
        <v>354</v>
      </c>
      <c r="B35" s="22" t="s">
        <v>415</v>
      </c>
      <c r="C35" s="23" t="s">
        <v>195</v>
      </c>
      <c r="D35" s="23" t="s">
        <v>426</v>
      </c>
      <c r="E35" s="23" t="s">
        <v>427</v>
      </c>
      <c r="F35" s="24" t="s">
        <v>71</v>
      </c>
      <c r="G35" s="25"/>
      <c r="H35" s="26"/>
      <c r="I35" s="27" t="str">
        <f>IFERROR(IF(OR($F35="O",$G35="O",$H35="O"),CHOOSE(MATCH($A35,{"튜브","고압","진공","튜닝","조립","출하"},0),"T","H","V","N","A","P")&amp;IF($F35="O","R",IF($G35="O","A",IF($H35="O","F",""))),""),"")</f>
        <v>AR</v>
      </c>
      <c r="J35" s="15" t="s">
        <v>71</v>
      </c>
      <c r="K35" s="16"/>
      <c r="L35" s="17"/>
      <c r="M35" s="18"/>
      <c r="N35" s="19"/>
      <c r="O35" s="20"/>
      <c r="P35" s="21" t="str">
        <f t="shared" si="0"/>
        <v>3-AR</v>
      </c>
      <c r="Q35" s="108" t="str">
        <f>HYPERLINK("#'마스터_품목'!A211","→ 마스터 R211")</f>
        <v>→ 마스터 R211</v>
      </c>
      <c r="R35" s="109">
        <v>211</v>
      </c>
      <c r="S35" s="109" t="s">
        <v>72</v>
      </c>
    </row>
    <row r="36" spans="1:19" ht="48" customHeight="1" x14ac:dyDescent="0.3">
      <c r="A36" s="22" t="s">
        <v>354</v>
      </c>
      <c r="B36" s="22" t="s">
        <v>415</v>
      </c>
      <c r="C36" s="23" t="s">
        <v>195</v>
      </c>
      <c r="D36" s="23" t="s">
        <v>428</v>
      </c>
      <c r="E36" s="23" t="s">
        <v>429</v>
      </c>
      <c r="F36" s="24" t="s">
        <v>71</v>
      </c>
      <c r="G36" s="25"/>
      <c r="H36" s="26"/>
      <c r="I36" s="27" t="str">
        <f>IFERROR(IF(OR($F36="O",$G36="O",$H36="O"),CHOOSE(MATCH($A36,{"튜브","고압","진공","튜닝","조립","출하"},0),"T","H","V","N","A","P")&amp;IF($F36="O","R",IF($G36="O","A",IF($H36="O","F",""))),""),"")</f>
        <v>AR</v>
      </c>
      <c r="J36" s="15" t="s">
        <v>71</v>
      </c>
      <c r="K36" s="16"/>
      <c r="L36" s="17"/>
      <c r="M36" s="18"/>
      <c r="N36" s="19"/>
      <c r="O36" s="20"/>
      <c r="P36" s="21" t="str">
        <f t="shared" si="0"/>
        <v>3-AR</v>
      </c>
      <c r="Q36" s="108" t="str">
        <f>HYPERLINK("#'마스터_품목'!A212","→ 마스터 R212")</f>
        <v>→ 마스터 R212</v>
      </c>
      <c r="R36" s="109">
        <v>212</v>
      </c>
      <c r="S36" s="109" t="s">
        <v>72</v>
      </c>
    </row>
    <row r="37" spans="1:19" ht="48" customHeight="1" x14ac:dyDescent="0.3">
      <c r="A37" s="22" t="s">
        <v>354</v>
      </c>
      <c r="B37" s="22" t="s">
        <v>415</v>
      </c>
      <c r="C37" s="23" t="s">
        <v>195</v>
      </c>
      <c r="D37" s="23" t="s">
        <v>430</v>
      </c>
      <c r="E37" s="23" t="s">
        <v>431</v>
      </c>
      <c r="F37" s="24" t="s">
        <v>71</v>
      </c>
      <c r="G37" s="25"/>
      <c r="H37" s="26"/>
      <c r="I37" s="27" t="str">
        <f>IFERROR(IF(OR($F37="O",$G37="O",$H37="O"),CHOOSE(MATCH($A37,{"튜브","고압","진공","튜닝","조립","출하"},0),"T","H","V","N","A","P")&amp;IF($F37="O","R",IF($G37="O","A",IF($H37="O","F",""))),""),"")</f>
        <v>AR</v>
      </c>
      <c r="J37" s="15" t="s">
        <v>71</v>
      </c>
      <c r="K37" s="16"/>
      <c r="L37" s="17"/>
      <c r="M37" s="18"/>
      <c r="N37" s="19"/>
      <c r="O37" s="20"/>
      <c r="P37" s="21" t="str">
        <f t="shared" si="0"/>
        <v>3-AR</v>
      </c>
      <c r="Q37" s="108" t="str">
        <f>HYPERLINK("#'마스터_품목'!A213","→ 마스터 R213")</f>
        <v>→ 마스터 R213</v>
      </c>
      <c r="R37" s="109">
        <v>213</v>
      </c>
      <c r="S37" s="109" t="s">
        <v>72</v>
      </c>
    </row>
    <row r="38" spans="1:19" ht="48" customHeight="1" x14ac:dyDescent="0.3">
      <c r="A38" s="22" t="s">
        <v>354</v>
      </c>
      <c r="B38" s="22" t="s">
        <v>415</v>
      </c>
      <c r="C38" s="23" t="s">
        <v>195</v>
      </c>
      <c r="D38" s="23" t="s">
        <v>432</v>
      </c>
      <c r="E38" s="23" t="s">
        <v>433</v>
      </c>
      <c r="F38" s="24" t="s">
        <v>71</v>
      </c>
      <c r="G38" s="25"/>
      <c r="H38" s="26"/>
      <c r="I38" s="27" t="str">
        <f>IFERROR(IF(OR($F38="O",$G38="O",$H38="O"),CHOOSE(MATCH($A38,{"튜브","고압","진공","튜닝","조립","출하"},0),"T","H","V","N","A","P")&amp;IF($F38="O","R",IF($G38="O","A",IF($H38="O","F",""))),""),"")</f>
        <v>AR</v>
      </c>
      <c r="J38" s="15" t="s">
        <v>71</v>
      </c>
      <c r="K38" s="16"/>
      <c r="L38" s="17"/>
      <c r="M38" s="18"/>
      <c r="N38" s="19"/>
      <c r="O38" s="20"/>
      <c r="P38" s="21" t="str">
        <f t="shared" si="0"/>
        <v>3-AR</v>
      </c>
      <c r="Q38" s="108" t="str">
        <f>HYPERLINK("#'마스터_품목'!A214","→ 마스터 R214")</f>
        <v>→ 마스터 R214</v>
      </c>
      <c r="R38" s="109">
        <v>214</v>
      </c>
      <c r="S38" s="109" t="s">
        <v>72</v>
      </c>
    </row>
    <row r="39" spans="1:19" ht="48" customHeight="1" x14ac:dyDescent="0.3">
      <c r="A39" s="22" t="s">
        <v>354</v>
      </c>
      <c r="B39" s="22" t="s">
        <v>415</v>
      </c>
      <c r="C39" s="23" t="s">
        <v>195</v>
      </c>
      <c r="D39" s="23" t="s">
        <v>434</v>
      </c>
      <c r="E39" s="23" t="s">
        <v>435</v>
      </c>
      <c r="F39" s="24" t="s">
        <v>71</v>
      </c>
      <c r="G39" s="25"/>
      <c r="H39" s="26"/>
      <c r="I39" s="27" t="str">
        <f>IFERROR(IF(OR($F39="O",$G39="O",$H39="O"),CHOOSE(MATCH($A39,{"튜브","고압","진공","튜닝","조립","출하"},0),"T","H","V","N","A","P")&amp;IF($F39="O","R",IF($G39="O","A",IF($H39="O","F",""))),""),"")</f>
        <v>AR</v>
      </c>
      <c r="J39" s="15" t="s">
        <v>71</v>
      </c>
      <c r="K39" s="16"/>
      <c r="L39" s="17"/>
      <c r="M39" s="18"/>
      <c r="N39" s="19"/>
      <c r="O39" s="20"/>
      <c r="P39" s="21" t="str">
        <f t="shared" si="0"/>
        <v>3-AR</v>
      </c>
      <c r="Q39" s="108" t="str">
        <f>HYPERLINK("#'마스터_품목'!A215","→ 마스터 R215")</f>
        <v>→ 마스터 R215</v>
      </c>
      <c r="R39" s="109">
        <v>215</v>
      </c>
      <c r="S39" s="109" t="s">
        <v>72</v>
      </c>
    </row>
    <row r="40" spans="1:19" ht="48" customHeight="1" x14ac:dyDescent="0.3">
      <c r="A40" s="22" t="s">
        <v>354</v>
      </c>
      <c r="B40" s="22" t="s">
        <v>436</v>
      </c>
      <c r="C40" s="23" t="s">
        <v>195</v>
      </c>
      <c r="D40" s="23" t="s">
        <v>437</v>
      </c>
      <c r="E40" s="23"/>
      <c r="F40" s="24"/>
      <c r="G40" s="25" t="s">
        <v>71</v>
      </c>
      <c r="H40" s="26"/>
      <c r="I40" s="27" t="str">
        <f>IFERROR(IF(OR($F40="O",$G40="O",$H40="O"),CHOOSE(MATCH($A40,{"튜브","고압","진공","튜닝","조립","출하"},0),"T","H","V","N","A","P")&amp;IF($F40="O","R",IF($G40="O","A",IF($H40="O","F",""))),""),"")</f>
        <v>AA</v>
      </c>
      <c r="J40" s="15" t="s">
        <v>71</v>
      </c>
      <c r="K40" s="16"/>
      <c r="L40" s="17"/>
      <c r="M40" s="18"/>
      <c r="N40" s="19"/>
      <c r="O40" s="20"/>
      <c r="P40" s="21" t="str">
        <f t="shared" si="0"/>
        <v>3-AA</v>
      </c>
      <c r="Q40" s="108" t="str">
        <f>HYPERLINK("#'마스터_품목'!A216","→ 마스터 R216")</f>
        <v>→ 마스터 R216</v>
      </c>
      <c r="R40" s="109">
        <v>216</v>
      </c>
      <c r="S40" s="109" t="s">
        <v>72</v>
      </c>
    </row>
    <row r="41" spans="1:19" ht="48" customHeight="1" x14ac:dyDescent="0.3">
      <c r="A41" s="22" t="s">
        <v>354</v>
      </c>
      <c r="B41" s="22" t="s">
        <v>436</v>
      </c>
      <c r="C41" s="23" t="s">
        <v>195</v>
      </c>
      <c r="D41" s="23" t="s">
        <v>438</v>
      </c>
      <c r="E41" s="23"/>
      <c r="F41" s="24"/>
      <c r="G41" s="25" t="s">
        <v>71</v>
      </c>
      <c r="H41" s="26"/>
      <c r="I41" s="27" t="str">
        <f>IFERROR(IF(OR($F41="O",$G41="O",$H41="O"),CHOOSE(MATCH($A41,{"튜브","고압","진공","튜닝","조립","출하"},0),"T","H","V","N","A","P")&amp;IF($F41="O","R",IF($G41="O","A",IF($H41="O","F",""))),""),"")</f>
        <v>AA</v>
      </c>
      <c r="J41" s="15" t="s">
        <v>71</v>
      </c>
      <c r="K41" s="16"/>
      <c r="L41" s="17"/>
      <c r="M41" s="18"/>
      <c r="N41" s="19"/>
      <c r="O41" s="20"/>
      <c r="P41" s="21" t="str">
        <f t="shared" si="0"/>
        <v>3-AA</v>
      </c>
      <c r="Q41" s="108" t="str">
        <f>HYPERLINK("#'마스터_품목'!A217","→ 마스터 R217")</f>
        <v>→ 마스터 R217</v>
      </c>
      <c r="R41" s="109">
        <v>217</v>
      </c>
      <c r="S41" s="109" t="s">
        <v>72</v>
      </c>
    </row>
    <row r="42" spans="1:19" ht="48" customHeight="1" x14ac:dyDescent="0.3">
      <c r="A42" s="22" t="s">
        <v>354</v>
      </c>
      <c r="B42" s="22" t="s">
        <v>436</v>
      </c>
      <c r="C42" s="23" t="s">
        <v>195</v>
      </c>
      <c r="D42" s="23" t="s">
        <v>439</v>
      </c>
      <c r="E42" s="23"/>
      <c r="F42" s="24"/>
      <c r="G42" s="25" t="s">
        <v>71</v>
      </c>
      <c r="H42" s="26"/>
      <c r="I42" s="27" t="str">
        <f>IFERROR(IF(OR($F42="O",$G42="O",$H42="O"),CHOOSE(MATCH($A42,{"튜브","고압","진공","튜닝","조립","출하"},0),"T","H","V","N","A","P")&amp;IF($F42="O","R",IF($G42="O","A",IF($H42="O","F",""))),""),"")</f>
        <v>AA</v>
      </c>
      <c r="J42" s="15" t="s">
        <v>71</v>
      </c>
      <c r="K42" s="16"/>
      <c r="L42" s="17"/>
      <c r="M42" s="18"/>
      <c r="N42" s="19"/>
      <c r="O42" s="20"/>
      <c r="P42" s="21" t="str">
        <f t="shared" si="0"/>
        <v>3-AA</v>
      </c>
      <c r="Q42" s="108" t="str">
        <f>HYPERLINK("#'마스터_품목'!A218","→ 마스터 R218")</f>
        <v>→ 마스터 R218</v>
      </c>
      <c r="R42" s="109">
        <v>218</v>
      </c>
      <c r="S42" s="109" t="s">
        <v>72</v>
      </c>
    </row>
    <row r="43" spans="1:19" ht="48" customHeight="1" x14ac:dyDescent="0.3">
      <c r="A43" s="22" t="s">
        <v>354</v>
      </c>
      <c r="B43" s="22" t="s">
        <v>436</v>
      </c>
      <c r="C43" s="23" t="s">
        <v>195</v>
      </c>
      <c r="D43" s="23" t="s">
        <v>440</v>
      </c>
      <c r="E43" s="23"/>
      <c r="F43" s="24"/>
      <c r="G43" s="25" t="s">
        <v>71</v>
      </c>
      <c r="H43" s="26"/>
      <c r="I43" s="27" t="str">
        <f>IFERROR(IF(OR($F43="O",$G43="O",$H43="O"),CHOOSE(MATCH($A43,{"튜브","고압","진공","튜닝","조립","출하"},0),"T","H","V","N","A","P")&amp;IF($F43="O","R",IF($G43="O","A",IF($H43="O","F",""))),""),"")</f>
        <v>AA</v>
      </c>
      <c r="J43" s="15" t="s">
        <v>71</v>
      </c>
      <c r="K43" s="16"/>
      <c r="L43" s="17"/>
      <c r="M43" s="18"/>
      <c r="N43" s="19"/>
      <c r="O43" s="20"/>
      <c r="P43" s="21" t="str">
        <f t="shared" si="0"/>
        <v>3-AA</v>
      </c>
      <c r="Q43" s="108" t="str">
        <f>HYPERLINK("#'마스터_품목'!A219","→ 마스터 R219")</f>
        <v>→ 마스터 R219</v>
      </c>
      <c r="R43" s="109">
        <v>219</v>
      </c>
      <c r="S43" s="109" t="s">
        <v>72</v>
      </c>
    </row>
    <row r="44" spans="1:19" ht="48" customHeight="1" x14ac:dyDescent="0.3">
      <c r="A44" s="22" t="s">
        <v>354</v>
      </c>
      <c r="B44" s="22" t="s">
        <v>436</v>
      </c>
      <c r="C44" s="23" t="s">
        <v>441</v>
      </c>
      <c r="D44" s="23" t="s">
        <v>442</v>
      </c>
      <c r="E44" s="23"/>
      <c r="F44" s="24"/>
      <c r="G44" s="25" t="s">
        <v>71</v>
      </c>
      <c r="H44" s="26"/>
      <c r="I44" s="27" t="str">
        <f>IFERROR(IF(OR($F44="O",$G44="O",$H44="O"),CHOOSE(MATCH($A44,{"튜브","고압","진공","튜닝","조립","출하"},0),"T","H","V","N","A","P")&amp;IF($F44="O","R",IF($G44="O","A",IF($H44="O","F",""))),""),"")</f>
        <v>AA</v>
      </c>
      <c r="J44" s="15" t="s">
        <v>71</v>
      </c>
      <c r="K44" s="16"/>
      <c r="L44" s="17"/>
      <c r="M44" s="18"/>
      <c r="N44" s="19"/>
      <c r="O44" s="20"/>
      <c r="P44" s="21" t="str">
        <f t="shared" si="0"/>
        <v>3-AA</v>
      </c>
      <c r="Q44" s="108" t="str">
        <f>HYPERLINK("#'마스터_품목'!A220","→ 마스터 R220")</f>
        <v>→ 마스터 R220</v>
      </c>
      <c r="R44" s="109">
        <v>220</v>
      </c>
      <c r="S44" s="109" t="s">
        <v>72</v>
      </c>
    </row>
    <row r="45" spans="1:19" ht="48" customHeight="1" x14ac:dyDescent="0.3">
      <c r="A45" s="22" t="s">
        <v>354</v>
      </c>
      <c r="B45" s="22" t="s">
        <v>436</v>
      </c>
      <c r="C45" s="23" t="s">
        <v>443</v>
      </c>
      <c r="D45" s="23" t="s">
        <v>442</v>
      </c>
      <c r="E45" s="23"/>
      <c r="F45" s="24"/>
      <c r="G45" s="25" t="s">
        <v>71</v>
      </c>
      <c r="H45" s="26"/>
      <c r="I45" s="27" t="str">
        <f>IFERROR(IF(OR($F45="O",$G45="O",$H45="O"),CHOOSE(MATCH($A45,{"튜브","고압","진공","튜닝","조립","출하"},0),"T","H","V","N","A","P")&amp;IF($F45="O","R",IF($G45="O","A",IF($H45="O","F",""))),""),"")</f>
        <v>AA</v>
      </c>
      <c r="J45" s="15" t="s">
        <v>71</v>
      </c>
      <c r="K45" s="16"/>
      <c r="L45" s="17"/>
      <c r="M45" s="18"/>
      <c r="N45" s="19"/>
      <c r="O45" s="20"/>
      <c r="P45" s="21" t="str">
        <f t="shared" si="0"/>
        <v>3-AA</v>
      </c>
      <c r="Q45" s="108" t="str">
        <f>HYPERLINK("#'마스터_품목'!A221","→ 마스터 R221")</f>
        <v>→ 마스터 R221</v>
      </c>
      <c r="R45" s="109">
        <v>221</v>
      </c>
      <c r="S45" s="109" t="s">
        <v>72</v>
      </c>
    </row>
    <row r="46" spans="1:19" ht="48" customHeight="1" x14ac:dyDescent="0.3">
      <c r="A46" s="22" t="s">
        <v>354</v>
      </c>
      <c r="B46" s="22" t="s">
        <v>436</v>
      </c>
      <c r="C46" s="23" t="s">
        <v>444</v>
      </c>
      <c r="D46" s="23" t="s">
        <v>445</v>
      </c>
      <c r="E46" s="23"/>
      <c r="F46" s="24"/>
      <c r="G46" s="25" t="s">
        <v>71</v>
      </c>
      <c r="H46" s="26"/>
      <c r="I46" s="27" t="str">
        <f>IFERROR(IF(OR($F46="O",$G46="O",$H46="O"),CHOOSE(MATCH($A46,{"튜브","고압","진공","튜닝","조립","출하"},0),"T","H","V","N","A","P")&amp;IF($F46="O","R",IF($G46="O","A",IF($H46="O","F",""))),""),"")</f>
        <v>AA</v>
      </c>
      <c r="J46" s="15" t="s">
        <v>71</v>
      </c>
      <c r="K46" s="16"/>
      <c r="L46" s="17"/>
      <c r="M46" s="18"/>
      <c r="N46" s="19"/>
      <c r="O46" s="20"/>
      <c r="P46" s="21" t="str">
        <f t="shared" si="0"/>
        <v>3-AA</v>
      </c>
      <c r="Q46" s="108" t="str">
        <f>HYPERLINK("#'마스터_품목'!A222","→ 마스터 R222")</f>
        <v>→ 마스터 R222</v>
      </c>
      <c r="R46" s="109">
        <v>222</v>
      </c>
      <c r="S46" s="109" t="s">
        <v>72</v>
      </c>
    </row>
    <row r="47" spans="1:19" ht="48" customHeight="1" x14ac:dyDescent="0.3">
      <c r="A47" s="22" t="s">
        <v>354</v>
      </c>
      <c r="B47" s="22" t="s">
        <v>436</v>
      </c>
      <c r="C47" s="23" t="s">
        <v>443</v>
      </c>
      <c r="D47" s="23" t="s">
        <v>446</v>
      </c>
      <c r="E47" s="23"/>
      <c r="F47" s="24"/>
      <c r="G47" s="25" t="s">
        <v>71</v>
      </c>
      <c r="H47" s="26"/>
      <c r="I47" s="27" t="str">
        <f>IFERROR(IF(OR($F47="O",$G47="O",$H47="O"),CHOOSE(MATCH($A47,{"튜브","고압","진공","튜닝","조립","출하"},0),"T","H","V","N","A","P")&amp;IF($F47="O","R",IF($G47="O","A",IF($H47="O","F",""))),""),"")</f>
        <v>AA</v>
      </c>
      <c r="J47" s="15" t="s">
        <v>71</v>
      </c>
      <c r="K47" s="16"/>
      <c r="L47" s="17"/>
      <c r="M47" s="18"/>
      <c r="N47" s="19"/>
      <c r="O47" s="20"/>
      <c r="P47" s="21" t="str">
        <f t="shared" si="0"/>
        <v>3-AA</v>
      </c>
      <c r="Q47" s="108" t="str">
        <f>HYPERLINK("#'마스터_품목'!A223","→ 마스터 R223")</f>
        <v>→ 마스터 R223</v>
      </c>
      <c r="R47" s="109">
        <v>223</v>
      </c>
      <c r="S47" s="109" t="s">
        <v>72</v>
      </c>
    </row>
    <row r="48" spans="1:19" ht="48" customHeight="1" x14ac:dyDescent="0.3">
      <c r="A48" s="22" t="s">
        <v>354</v>
      </c>
      <c r="B48" s="22" t="s">
        <v>436</v>
      </c>
      <c r="C48" s="23" t="s">
        <v>444</v>
      </c>
      <c r="D48" s="23" t="s">
        <v>447</v>
      </c>
      <c r="E48" s="23"/>
      <c r="F48" s="24"/>
      <c r="G48" s="25" t="s">
        <v>71</v>
      </c>
      <c r="H48" s="26"/>
      <c r="I48" s="27" t="str">
        <f>IFERROR(IF(OR($F48="O",$G48="O",$H48="O"),CHOOSE(MATCH($A48,{"튜브","고압","진공","튜닝","조립","출하"},0),"T","H","V","N","A","P")&amp;IF($F48="O","R",IF($G48="O","A",IF($H48="O","F",""))),""),"")</f>
        <v>AA</v>
      </c>
      <c r="J48" s="15" t="s">
        <v>71</v>
      </c>
      <c r="K48" s="16"/>
      <c r="L48" s="17"/>
      <c r="M48" s="18"/>
      <c r="N48" s="19"/>
      <c r="O48" s="20"/>
      <c r="P48" s="21" t="str">
        <f t="shared" si="0"/>
        <v>3-AA</v>
      </c>
      <c r="Q48" s="108" t="str">
        <f>HYPERLINK("#'마스터_품목'!A224","→ 마스터 R224")</f>
        <v>→ 마스터 R224</v>
      </c>
      <c r="R48" s="109">
        <v>224</v>
      </c>
      <c r="S48" s="109" t="s">
        <v>72</v>
      </c>
    </row>
    <row r="49" spans="1:19" ht="48" customHeight="1" x14ac:dyDescent="0.3">
      <c r="A49" s="22" t="s">
        <v>354</v>
      </c>
      <c r="B49" s="22" t="s">
        <v>436</v>
      </c>
      <c r="C49" s="23" t="s">
        <v>444</v>
      </c>
      <c r="D49" s="23" t="s">
        <v>448</v>
      </c>
      <c r="E49" s="23"/>
      <c r="F49" s="24"/>
      <c r="G49" s="25" t="s">
        <v>71</v>
      </c>
      <c r="H49" s="26"/>
      <c r="I49" s="27" t="str">
        <f>IFERROR(IF(OR($F49="O",$G49="O",$H49="O"),CHOOSE(MATCH($A49,{"튜브","고압","진공","튜닝","조립","출하"},0),"T","H","V","N","A","P")&amp;IF($F49="O","R",IF($G49="O","A",IF($H49="O","F",""))),""),"")</f>
        <v>AA</v>
      </c>
      <c r="J49" s="15" t="s">
        <v>71</v>
      </c>
      <c r="K49" s="16"/>
      <c r="L49" s="17"/>
      <c r="M49" s="18"/>
      <c r="N49" s="19"/>
      <c r="O49" s="20"/>
      <c r="P49" s="21" t="str">
        <f t="shared" si="0"/>
        <v>3-AA</v>
      </c>
      <c r="Q49" s="108" t="str">
        <f>HYPERLINK("#'마스터_품목'!A225","→ 마스터 R225")</f>
        <v>→ 마스터 R225</v>
      </c>
      <c r="R49" s="109">
        <v>225</v>
      </c>
      <c r="S49" s="109" t="s">
        <v>72</v>
      </c>
    </row>
    <row r="50" spans="1:19" ht="48" customHeight="1" x14ac:dyDescent="0.3">
      <c r="A50" s="22" t="s">
        <v>354</v>
      </c>
      <c r="B50" s="22" t="s">
        <v>436</v>
      </c>
      <c r="C50" s="23" t="s">
        <v>444</v>
      </c>
      <c r="D50" s="23" t="s">
        <v>449</v>
      </c>
      <c r="E50" s="23"/>
      <c r="F50" s="24"/>
      <c r="G50" s="25" t="s">
        <v>71</v>
      </c>
      <c r="H50" s="26"/>
      <c r="I50" s="27" t="str">
        <f>IFERROR(IF(OR($F50="O",$G50="O",$H50="O"),CHOOSE(MATCH($A50,{"튜브","고압","진공","튜닝","조립","출하"},0),"T","H","V","N","A","P")&amp;IF($F50="O","R",IF($G50="O","A",IF($H50="O","F",""))),""),"")</f>
        <v>AA</v>
      </c>
      <c r="J50" s="15" t="s">
        <v>71</v>
      </c>
      <c r="K50" s="16"/>
      <c r="L50" s="17"/>
      <c r="M50" s="18"/>
      <c r="N50" s="19"/>
      <c r="O50" s="20"/>
      <c r="P50" s="21" t="str">
        <f t="shared" si="0"/>
        <v>3-AA</v>
      </c>
      <c r="Q50" s="108" t="str">
        <f>HYPERLINK("#'마스터_품목'!A226","→ 마스터 R226")</f>
        <v>→ 마스터 R226</v>
      </c>
      <c r="R50" s="109">
        <v>226</v>
      </c>
      <c r="S50" s="109" t="s">
        <v>72</v>
      </c>
    </row>
    <row r="51" spans="1:19" ht="48" customHeight="1" x14ac:dyDescent="0.3">
      <c r="A51" s="22" t="s">
        <v>354</v>
      </c>
      <c r="B51" s="22" t="s">
        <v>436</v>
      </c>
      <c r="C51" s="23" t="s">
        <v>443</v>
      </c>
      <c r="D51" s="23" t="s">
        <v>449</v>
      </c>
      <c r="E51" s="23"/>
      <c r="F51" s="24"/>
      <c r="G51" s="25" t="s">
        <v>71</v>
      </c>
      <c r="H51" s="26"/>
      <c r="I51" s="27" t="str">
        <f>IFERROR(IF(OR($F51="O",$G51="O",$H51="O"),CHOOSE(MATCH($A51,{"튜브","고압","진공","튜닝","조립","출하"},0),"T","H","V","N","A","P")&amp;IF($F51="O","R",IF($G51="O","A",IF($H51="O","F",""))),""),"")</f>
        <v>AA</v>
      </c>
      <c r="J51" s="15" t="s">
        <v>71</v>
      </c>
      <c r="K51" s="16"/>
      <c r="L51" s="17"/>
      <c r="M51" s="18"/>
      <c r="N51" s="19"/>
      <c r="O51" s="20"/>
      <c r="P51" s="21" t="str">
        <f t="shared" si="0"/>
        <v>3-AA</v>
      </c>
      <c r="Q51" s="108" t="str">
        <f>HYPERLINK("#'마스터_품목'!A227","→ 마스터 R227")</f>
        <v>→ 마스터 R227</v>
      </c>
      <c r="R51" s="109">
        <v>227</v>
      </c>
      <c r="S51" s="109" t="s">
        <v>72</v>
      </c>
    </row>
    <row r="52" spans="1:19" ht="48" customHeight="1" x14ac:dyDescent="0.3">
      <c r="A52" s="22" t="s">
        <v>354</v>
      </c>
      <c r="B52" s="22" t="s">
        <v>436</v>
      </c>
      <c r="C52" s="23" t="s">
        <v>444</v>
      </c>
      <c r="D52" s="23" t="s">
        <v>450</v>
      </c>
      <c r="E52" s="23"/>
      <c r="F52" s="24"/>
      <c r="G52" s="25" t="s">
        <v>71</v>
      </c>
      <c r="H52" s="26"/>
      <c r="I52" s="27" t="str">
        <f>IFERROR(IF(OR($F52="O",$G52="O",$H52="O"),CHOOSE(MATCH($A52,{"튜브","고압","진공","튜닝","조립","출하"},0),"T","H","V","N","A","P")&amp;IF($F52="O","R",IF($G52="O","A",IF($H52="O","F",""))),""),"")</f>
        <v>AA</v>
      </c>
      <c r="J52" s="15" t="s">
        <v>71</v>
      </c>
      <c r="K52" s="16"/>
      <c r="L52" s="17"/>
      <c r="M52" s="18"/>
      <c r="N52" s="19"/>
      <c r="O52" s="20"/>
      <c r="P52" s="21" t="str">
        <f t="shared" si="0"/>
        <v>3-AA</v>
      </c>
      <c r="Q52" s="108" t="str">
        <f>HYPERLINK("#'마스터_품목'!A228","→ 마스터 R228")</f>
        <v>→ 마스터 R228</v>
      </c>
      <c r="R52" s="109">
        <v>228</v>
      </c>
      <c r="S52" s="109" t="s">
        <v>72</v>
      </c>
    </row>
    <row r="53" spans="1:19" ht="48" customHeight="1" x14ac:dyDescent="0.3">
      <c r="A53" s="22" t="s">
        <v>354</v>
      </c>
      <c r="B53" s="22" t="s">
        <v>436</v>
      </c>
      <c r="C53" s="23" t="s">
        <v>443</v>
      </c>
      <c r="D53" s="23" t="s">
        <v>450</v>
      </c>
      <c r="E53" s="23"/>
      <c r="F53" s="24"/>
      <c r="G53" s="25" t="s">
        <v>71</v>
      </c>
      <c r="H53" s="26"/>
      <c r="I53" s="27" t="str">
        <f>IFERROR(IF(OR($F53="O",$G53="O",$H53="O"),CHOOSE(MATCH($A53,{"튜브","고압","진공","튜닝","조립","출하"},0),"T","H","V","N","A","P")&amp;IF($F53="O","R",IF($G53="O","A",IF($H53="O","F",""))),""),"")</f>
        <v>AA</v>
      </c>
      <c r="J53" s="15" t="s">
        <v>71</v>
      </c>
      <c r="K53" s="16"/>
      <c r="L53" s="17"/>
      <c r="M53" s="18"/>
      <c r="N53" s="19"/>
      <c r="O53" s="20"/>
      <c r="P53" s="21" t="str">
        <f t="shared" si="0"/>
        <v>3-AA</v>
      </c>
      <c r="Q53" s="108" t="str">
        <f>HYPERLINK("#'마스터_품목'!A229","→ 마스터 R229")</f>
        <v>→ 마스터 R229</v>
      </c>
      <c r="R53" s="109">
        <v>229</v>
      </c>
      <c r="S53" s="109" t="s">
        <v>72</v>
      </c>
    </row>
    <row r="54" spans="1:19" ht="48" customHeight="1" x14ac:dyDescent="0.3">
      <c r="A54" s="22" t="s">
        <v>354</v>
      </c>
      <c r="B54" s="22" t="s">
        <v>436</v>
      </c>
      <c r="C54" s="23" t="s">
        <v>444</v>
      </c>
      <c r="D54" s="23" t="s">
        <v>451</v>
      </c>
      <c r="E54" s="23"/>
      <c r="F54" s="24"/>
      <c r="G54" s="25" t="s">
        <v>71</v>
      </c>
      <c r="H54" s="26"/>
      <c r="I54" s="27" t="str">
        <f>IFERROR(IF(OR($F54="O",$G54="O",$H54="O"),CHOOSE(MATCH($A54,{"튜브","고압","진공","튜닝","조립","출하"},0),"T","H","V","N","A","P")&amp;IF($F54="O","R",IF($G54="O","A",IF($H54="O","F",""))),""),"")</f>
        <v>AA</v>
      </c>
      <c r="J54" s="15" t="s">
        <v>71</v>
      </c>
      <c r="K54" s="16"/>
      <c r="L54" s="17"/>
      <c r="M54" s="18"/>
      <c r="N54" s="19"/>
      <c r="O54" s="20"/>
      <c r="P54" s="21" t="str">
        <f t="shared" si="0"/>
        <v>3-AA</v>
      </c>
      <c r="Q54" s="108" t="str">
        <f>HYPERLINK("#'마스터_품목'!A230","→ 마스터 R230")</f>
        <v>→ 마스터 R230</v>
      </c>
      <c r="R54" s="109">
        <v>230</v>
      </c>
      <c r="S54" s="109" t="s">
        <v>72</v>
      </c>
    </row>
    <row r="55" spans="1:19" ht="48" customHeight="1" x14ac:dyDescent="0.3">
      <c r="A55" s="22" t="s">
        <v>354</v>
      </c>
      <c r="B55" s="22" t="s">
        <v>436</v>
      </c>
      <c r="C55" s="23" t="s">
        <v>443</v>
      </c>
      <c r="D55" s="23" t="s">
        <v>445</v>
      </c>
      <c r="E55" s="23"/>
      <c r="F55" s="24"/>
      <c r="G55" s="25" t="s">
        <v>71</v>
      </c>
      <c r="H55" s="26"/>
      <c r="I55" s="27" t="str">
        <f>IFERROR(IF(OR($F55="O",$G55="O",$H55="O"),CHOOSE(MATCH($A55,{"튜브","고압","진공","튜닝","조립","출하"},0),"T","H","V","N","A","P")&amp;IF($F55="O","R",IF($G55="O","A",IF($H55="O","F",""))),""),"")</f>
        <v>AA</v>
      </c>
      <c r="J55" s="15" t="s">
        <v>71</v>
      </c>
      <c r="K55" s="16"/>
      <c r="L55" s="17"/>
      <c r="M55" s="18"/>
      <c r="N55" s="19"/>
      <c r="O55" s="20"/>
      <c r="P55" s="21" t="str">
        <f t="shared" si="0"/>
        <v>3-AA</v>
      </c>
      <c r="Q55" s="108" t="str">
        <f>HYPERLINK("#'마스터_품목'!A231","→ 마스터 R231")</f>
        <v>→ 마스터 R231</v>
      </c>
      <c r="R55" s="109">
        <v>231</v>
      </c>
      <c r="S55" s="109" t="s">
        <v>72</v>
      </c>
    </row>
    <row r="56" spans="1:19" ht="48" customHeight="1" x14ac:dyDescent="0.3">
      <c r="A56" s="22" t="s">
        <v>354</v>
      </c>
      <c r="B56" s="22" t="s">
        <v>452</v>
      </c>
      <c r="C56" s="23" t="s">
        <v>453</v>
      </c>
      <c r="D56" s="23" t="s">
        <v>454</v>
      </c>
      <c r="E56" s="23" t="s">
        <v>455</v>
      </c>
      <c r="F56" s="24" t="s">
        <v>71</v>
      </c>
      <c r="G56" s="25"/>
      <c r="H56" s="26"/>
      <c r="I56" s="27" t="str">
        <f>IFERROR(IF(OR($F56="O",$G56="O",$H56="O"),CHOOSE(MATCH($A56,{"튜브","고압","진공","튜닝","조립","출하"},0),"T","H","V","N","A","P")&amp;IF($F56="O","R",IF($G56="O","A",IF($H56="O","F",""))),""),"")</f>
        <v>AR</v>
      </c>
      <c r="J56" s="15" t="s">
        <v>71</v>
      </c>
      <c r="K56" s="16"/>
      <c r="L56" s="17"/>
      <c r="M56" s="18"/>
      <c r="N56" s="19"/>
      <c r="O56" s="20"/>
      <c r="P56" s="21" t="str">
        <f t="shared" si="0"/>
        <v>3-AR</v>
      </c>
      <c r="Q56" s="108" t="str">
        <f>HYPERLINK("#'마스터_품목'!A232","→ 마스터 R232")</f>
        <v>→ 마스터 R232</v>
      </c>
      <c r="R56" s="109">
        <v>232</v>
      </c>
      <c r="S56" s="109" t="s">
        <v>72</v>
      </c>
    </row>
    <row r="57" spans="1:19" ht="48" customHeight="1" x14ac:dyDescent="0.3">
      <c r="A57" s="22" t="s">
        <v>354</v>
      </c>
      <c r="B57" s="22" t="s">
        <v>452</v>
      </c>
      <c r="C57" s="23" t="s">
        <v>453</v>
      </c>
      <c r="D57" s="23" t="s">
        <v>456</v>
      </c>
      <c r="E57" s="23" t="s">
        <v>457</v>
      </c>
      <c r="F57" s="24" t="s">
        <v>71</v>
      </c>
      <c r="G57" s="25"/>
      <c r="H57" s="26"/>
      <c r="I57" s="27" t="str">
        <f>IFERROR(IF(OR($F57="O",$G57="O",$H57="O"),CHOOSE(MATCH($A57,{"튜브","고압","진공","튜닝","조립","출하"},0),"T","H","V","N","A","P")&amp;IF($F57="O","R",IF($G57="O","A",IF($H57="O","F",""))),""),"")</f>
        <v>AR</v>
      </c>
      <c r="J57" s="15" t="s">
        <v>71</v>
      </c>
      <c r="K57" s="16"/>
      <c r="L57" s="17"/>
      <c r="M57" s="18"/>
      <c r="N57" s="19"/>
      <c r="O57" s="20"/>
      <c r="P57" s="21" t="str">
        <f t="shared" si="0"/>
        <v>3-AR</v>
      </c>
      <c r="Q57" s="108" t="str">
        <f>HYPERLINK("#'마스터_품목'!A233","→ 마스터 R233")</f>
        <v>→ 마스터 R233</v>
      </c>
      <c r="R57" s="109">
        <v>233</v>
      </c>
      <c r="S57" s="109" t="s">
        <v>72</v>
      </c>
    </row>
    <row r="58" spans="1:19" ht="48" customHeight="1" x14ac:dyDescent="0.3">
      <c r="A58" s="22" t="s">
        <v>354</v>
      </c>
      <c r="B58" s="22" t="s">
        <v>452</v>
      </c>
      <c r="C58" s="23" t="s">
        <v>195</v>
      </c>
      <c r="D58" s="23" t="s">
        <v>458</v>
      </c>
      <c r="E58" s="23" t="s">
        <v>459</v>
      </c>
      <c r="F58" s="24" t="s">
        <v>71</v>
      </c>
      <c r="G58" s="25"/>
      <c r="H58" s="26"/>
      <c r="I58" s="27" t="str">
        <f>IFERROR(IF(OR($F58="O",$G58="O",$H58="O"),CHOOSE(MATCH($A58,{"튜브","고압","진공","튜닝","조립","출하"},0),"T","H","V","N","A","P")&amp;IF($F58="O","R",IF($G58="O","A",IF($H58="O","F",""))),""),"")</f>
        <v>AR</v>
      </c>
      <c r="J58" s="15" t="s">
        <v>71</v>
      </c>
      <c r="K58" s="16"/>
      <c r="L58" s="17"/>
      <c r="M58" s="18"/>
      <c r="N58" s="19"/>
      <c r="O58" s="20"/>
      <c r="P58" s="21" t="str">
        <f t="shared" si="0"/>
        <v>3-AR</v>
      </c>
      <c r="Q58" s="108" t="str">
        <f>HYPERLINK("#'마스터_품목'!A234","→ 마스터 R234")</f>
        <v>→ 마스터 R234</v>
      </c>
      <c r="R58" s="109">
        <v>234</v>
      </c>
      <c r="S58" s="109" t="s">
        <v>72</v>
      </c>
    </row>
    <row r="59" spans="1:19" ht="48" customHeight="1" x14ac:dyDescent="0.3">
      <c r="A59" s="22" t="s">
        <v>354</v>
      </c>
      <c r="B59" s="22" t="s">
        <v>452</v>
      </c>
      <c r="C59" s="23" t="s">
        <v>195</v>
      </c>
      <c r="D59" s="23" t="s">
        <v>460</v>
      </c>
      <c r="E59" s="23" t="s">
        <v>461</v>
      </c>
      <c r="F59" s="24" t="s">
        <v>71</v>
      </c>
      <c r="G59" s="25"/>
      <c r="H59" s="26"/>
      <c r="I59" s="27" t="str">
        <f>IFERROR(IF(OR($F59="O",$G59="O",$H59="O"),CHOOSE(MATCH($A59,{"튜브","고압","진공","튜닝","조립","출하"},0),"T","H","V","N","A","P")&amp;IF($F59="O","R",IF($G59="O","A",IF($H59="O","F",""))),""),"")</f>
        <v>AR</v>
      </c>
      <c r="J59" s="15" t="s">
        <v>71</v>
      </c>
      <c r="K59" s="16"/>
      <c r="L59" s="17" t="s">
        <v>71</v>
      </c>
      <c r="M59" s="18"/>
      <c r="N59" s="19" t="s">
        <v>71</v>
      </c>
      <c r="O59" s="20"/>
      <c r="P59" s="21" t="str">
        <f t="shared" si="0"/>
        <v>368-AR</v>
      </c>
      <c r="Q59" s="108" t="str">
        <f>HYPERLINK("#'마스터_품목'!A235","→ 마스터 R235")</f>
        <v>→ 마스터 R235</v>
      </c>
      <c r="R59" s="109">
        <v>235</v>
      </c>
      <c r="S59" s="109" t="s">
        <v>72</v>
      </c>
    </row>
    <row r="60" spans="1:19" ht="48" customHeight="1" x14ac:dyDescent="0.3">
      <c r="A60" s="22" t="s">
        <v>354</v>
      </c>
      <c r="B60" s="22" t="s">
        <v>452</v>
      </c>
      <c r="C60" s="23" t="s">
        <v>195</v>
      </c>
      <c r="D60" s="23" t="s">
        <v>462</v>
      </c>
      <c r="E60" s="23" t="s">
        <v>463</v>
      </c>
      <c r="F60" s="24" t="s">
        <v>71</v>
      </c>
      <c r="G60" s="25"/>
      <c r="H60" s="26"/>
      <c r="I60" s="27" t="str">
        <f>IFERROR(IF(OR($F60="O",$G60="O",$H60="O"),CHOOSE(MATCH($A60,{"튜브","고압","진공","튜닝","조립","출하"},0),"T","H","V","N","A","P")&amp;IF($F60="O","R",IF($G60="O","A",IF($H60="O","F",""))),""),"")</f>
        <v>AR</v>
      </c>
      <c r="J60" s="15" t="s">
        <v>71</v>
      </c>
      <c r="K60" s="16"/>
      <c r="L60" s="17" t="s">
        <v>71</v>
      </c>
      <c r="M60" s="18"/>
      <c r="N60" s="19" t="s">
        <v>71</v>
      </c>
      <c r="O60" s="20"/>
      <c r="P60" s="21" t="str">
        <f t="shared" si="0"/>
        <v>368-AR</v>
      </c>
      <c r="Q60" s="108" t="str">
        <f>HYPERLINK("#'마스터_품목'!A236","→ 마스터 R236")</f>
        <v>→ 마스터 R236</v>
      </c>
      <c r="R60" s="109">
        <v>236</v>
      </c>
      <c r="S60" s="109" t="s">
        <v>72</v>
      </c>
    </row>
    <row r="61" spans="1:19" ht="48" customHeight="1" x14ac:dyDescent="0.3">
      <c r="A61" s="22" t="s">
        <v>354</v>
      </c>
      <c r="B61" s="22" t="s">
        <v>452</v>
      </c>
      <c r="C61" s="23" t="s">
        <v>195</v>
      </c>
      <c r="D61" s="23" t="s">
        <v>464</v>
      </c>
      <c r="E61" s="23" t="s">
        <v>465</v>
      </c>
      <c r="F61" s="24" t="s">
        <v>71</v>
      </c>
      <c r="G61" s="25"/>
      <c r="H61" s="26"/>
      <c r="I61" s="27" t="str">
        <f>IFERROR(IF(OR($F61="O",$G61="O",$H61="O"),CHOOSE(MATCH($A61,{"튜브","고압","진공","튜닝","조립","출하"},0),"T","H","V","N","A","P")&amp;IF($F61="O","R",IF($G61="O","A",IF($H61="O","F",""))),""),"")</f>
        <v>AR</v>
      </c>
      <c r="J61" s="15" t="s">
        <v>71</v>
      </c>
      <c r="K61" s="16"/>
      <c r="L61" s="17" t="s">
        <v>71</v>
      </c>
      <c r="M61" s="18"/>
      <c r="N61" s="19" t="s">
        <v>71</v>
      </c>
      <c r="O61" s="20"/>
      <c r="P61" s="21" t="str">
        <f t="shared" si="0"/>
        <v>368-AR</v>
      </c>
      <c r="Q61" s="108" t="str">
        <f>HYPERLINK("#'마스터_품목'!A237","→ 마스터 R237")</f>
        <v>→ 마스터 R237</v>
      </c>
      <c r="R61" s="109">
        <v>237</v>
      </c>
      <c r="S61" s="109" t="s">
        <v>72</v>
      </c>
    </row>
    <row r="62" spans="1:19" ht="48" customHeight="1" x14ac:dyDescent="0.3">
      <c r="A62" s="22" t="s">
        <v>354</v>
      </c>
      <c r="B62" s="22" t="s">
        <v>452</v>
      </c>
      <c r="C62" s="23" t="s">
        <v>195</v>
      </c>
      <c r="D62" s="23" t="s">
        <v>466</v>
      </c>
      <c r="E62" s="23" t="s">
        <v>467</v>
      </c>
      <c r="F62" s="24" t="s">
        <v>71</v>
      </c>
      <c r="G62" s="25"/>
      <c r="H62" s="26"/>
      <c r="I62" s="27" t="str">
        <f>IFERROR(IF(OR($F62="O",$G62="O",$H62="O"),CHOOSE(MATCH($A62,{"튜브","고압","진공","튜닝","조립","출하"},0),"T","H","V","N","A","P")&amp;IF($F62="O","R",IF($G62="O","A",IF($H62="O","F",""))),""),"")</f>
        <v>AR</v>
      </c>
      <c r="J62" s="15" t="s">
        <v>71</v>
      </c>
      <c r="K62" s="16"/>
      <c r="L62" s="17" t="s">
        <v>71</v>
      </c>
      <c r="M62" s="18"/>
      <c r="N62" s="19" t="s">
        <v>71</v>
      </c>
      <c r="O62" s="20"/>
      <c r="P62" s="21" t="str">
        <f t="shared" si="0"/>
        <v>368-AR</v>
      </c>
      <c r="Q62" s="108" t="str">
        <f>HYPERLINK("#'마스터_품목'!A238","→ 마스터 R238")</f>
        <v>→ 마스터 R238</v>
      </c>
      <c r="R62" s="109">
        <v>238</v>
      </c>
      <c r="S62" s="109" t="s">
        <v>72</v>
      </c>
    </row>
    <row r="63" spans="1:19" ht="48" customHeight="1" x14ac:dyDescent="0.3">
      <c r="A63" s="22" t="s">
        <v>354</v>
      </c>
      <c r="B63" s="22" t="s">
        <v>452</v>
      </c>
      <c r="C63" s="23" t="s">
        <v>195</v>
      </c>
      <c r="D63" s="23" t="s">
        <v>468</v>
      </c>
      <c r="E63" s="23"/>
      <c r="F63" s="24"/>
      <c r="G63" s="25" t="s">
        <v>71</v>
      </c>
      <c r="H63" s="26"/>
      <c r="I63" s="27" t="str">
        <f>IFERROR(IF(OR($F63="O",$G63="O",$H63="O"),CHOOSE(MATCH($A63,{"튜브","고압","진공","튜닝","조립","출하"},0),"T","H","V","N","A","P")&amp;IF($F63="O","R",IF($G63="O","A",IF($H63="O","F",""))),""),"")</f>
        <v>AA</v>
      </c>
      <c r="J63" s="15" t="s">
        <v>71</v>
      </c>
      <c r="K63" s="16"/>
      <c r="L63" s="17"/>
      <c r="M63" s="18"/>
      <c r="N63" s="19"/>
      <c r="O63" s="20"/>
      <c r="P63" s="21" t="str">
        <f t="shared" si="0"/>
        <v>3-AA</v>
      </c>
      <c r="Q63" s="108" t="str">
        <f>HYPERLINK("#'마스터_품목'!A239","→ 마스터 R239")</f>
        <v>→ 마스터 R239</v>
      </c>
      <c r="R63" s="109">
        <v>239</v>
      </c>
      <c r="S63" s="109" t="s">
        <v>72</v>
      </c>
    </row>
    <row r="64" spans="1:19" ht="48" customHeight="1" x14ac:dyDescent="0.3">
      <c r="A64" s="22" t="s">
        <v>354</v>
      </c>
      <c r="B64" s="22" t="s">
        <v>452</v>
      </c>
      <c r="C64" s="23" t="s">
        <v>195</v>
      </c>
      <c r="D64" s="23" t="s">
        <v>469</v>
      </c>
      <c r="E64" s="23"/>
      <c r="F64" s="24"/>
      <c r="G64" s="25" t="s">
        <v>71</v>
      </c>
      <c r="H64" s="26"/>
      <c r="I64" s="27" t="str">
        <f>IFERROR(IF(OR($F64="O",$G64="O",$H64="O"),CHOOSE(MATCH($A64,{"튜브","고압","진공","튜닝","조립","출하"},0),"T","H","V","N","A","P")&amp;IF($F64="O","R",IF($G64="O","A",IF($H64="O","F",""))),""),"")</f>
        <v>AA</v>
      </c>
      <c r="J64" s="15" t="s">
        <v>71</v>
      </c>
      <c r="K64" s="16"/>
      <c r="L64" s="17"/>
      <c r="M64" s="18"/>
      <c r="N64" s="19"/>
      <c r="O64" s="20"/>
      <c r="P64" s="21" t="str">
        <f t="shared" si="0"/>
        <v>3-AA</v>
      </c>
      <c r="Q64" s="108" t="str">
        <f>HYPERLINK("#'마스터_품목'!A240","→ 마스터 R240")</f>
        <v>→ 마스터 R240</v>
      </c>
      <c r="R64" s="109">
        <v>240</v>
      </c>
      <c r="S64" s="109" t="s">
        <v>72</v>
      </c>
    </row>
    <row r="65" spans="1:19" ht="48" customHeight="1" x14ac:dyDescent="0.3">
      <c r="A65" s="22" t="s">
        <v>354</v>
      </c>
      <c r="B65" s="22" t="s">
        <v>452</v>
      </c>
      <c r="C65" s="23" t="s">
        <v>453</v>
      </c>
      <c r="D65" s="23" t="s">
        <v>468</v>
      </c>
      <c r="E65" s="23"/>
      <c r="F65" s="24"/>
      <c r="G65" s="25" t="s">
        <v>71</v>
      </c>
      <c r="H65" s="26"/>
      <c r="I65" s="27" t="str">
        <f>IFERROR(IF(OR($F65="O",$G65="O",$H65="O"),CHOOSE(MATCH($A65,{"튜브","고압","진공","튜닝","조립","출하"},0),"T","H","V","N","A","P")&amp;IF($F65="O","R",IF($G65="O","A",IF($H65="O","F",""))),""),"")</f>
        <v>AA</v>
      </c>
      <c r="J65" s="15" t="s">
        <v>71</v>
      </c>
      <c r="K65" s="16"/>
      <c r="L65" s="17"/>
      <c r="M65" s="18"/>
      <c r="N65" s="19"/>
      <c r="O65" s="20"/>
      <c r="P65" s="21" t="str">
        <f t="shared" si="0"/>
        <v>3-AA</v>
      </c>
      <c r="Q65" s="108" t="str">
        <f>HYPERLINK("#'마스터_품목'!A241","→ 마스터 R241")</f>
        <v>→ 마스터 R241</v>
      </c>
      <c r="R65" s="109">
        <v>241</v>
      </c>
      <c r="S65" s="109" t="s">
        <v>72</v>
      </c>
    </row>
    <row r="66" spans="1:19" ht="48" customHeight="1" x14ac:dyDescent="0.3">
      <c r="A66" s="22" t="s">
        <v>354</v>
      </c>
      <c r="B66" s="22" t="s">
        <v>452</v>
      </c>
      <c r="C66" s="23" t="s">
        <v>453</v>
      </c>
      <c r="D66" s="23" t="s">
        <v>470</v>
      </c>
      <c r="E66" s="23"/>
      <c r="F66" s="24"/>
      <c r="G66" s="25" t="s">
        <v>71</v>
      </c>
      <c r="H66" s="26"/>
      <c r="I66" s="27" t="str">
        <f>IFERROR(IF(OR($F66="O",$G66="O",$H66="O"),CHOOSE(MATCH($A66,{"튜브","고압","진공","튜닝","조립","출하"},0),"T","H","V","N","A","P")&amp;IF($F66="O","R",IF($G66="O","A",IF($H66="O","F",""))),""),"")</f>
        <v>AA</v>
      </c>
      <c r="J66" s="15" t="s">
        <v>71</v>
      </c>
      <c r="K66" s="16"/>
      <c r="L66" s="17"/>
      <c r="M66" s="18"/>
      <c r="N66" s="19"/>
      <c r="O66" s="20"/>
      <c r="P66" s="21" t="str">
        <f t="shared" ref="P66:P129" si="1">IF($I66="","",IF($J66="O","3","")&amp;IF($K66="O","4","")&amp;IF($L66="O","6","")&amp;IF($M66="O","7","")&amp;IF($N66="O","8","")&amp;IF($O66="O","?","")&amp;IF(OR($J66="O",$K66="O",$L66="O",$M66="O",$N66="O",$O66="O"),"-","")&amp;$I66)</f>
        <v>3-AA</v>
      </c>
      <c r="Q66" s="108" t="str">
        <f>HYPERLINK("#'마스터_품목'!A242","→ 마스터 R242")</f>
        <v>→ 마스터 R242</v>
      </c>
      <c r="R66" s="109">
        <v>242</v>
      </c>
      <c r="S66" s="109" t="s">
        <v>72</v>
      </c>
    </row>
    <row r="67" spans="1:19" ht="48" customHeight="1" x14ac:dyDescent="0.3">
      <c r="A67" s="22" t="s">
        <v>354</v>
      </c>
      <c r="B67" s="22" t="s">
        <v>471</v>
      </c>
      <c r="C67" s="23" t="s">
        <v>198</v>
      </c>
      <c r="D67" s="23" t="s">
        <v>472</v>
      </c>
      <c r="E67" s="23" t="s">
        <v>473</v>
      </c>
      <c r="F67" s="24" t="s">
        <v>71</v>
      </c>
      <c r="G67" s="25"/>
      <c r="H67" s="26"/>
      <c r="I67" s="27" t="str">
        <f>IFERROR(IF(OR($F67="O",$G67="O",$H67="O"),CHOOSE(MATCH($A67,{"튜브","고압","진공","튜닝","조립","출하"},0),"T","H","V","N","A","P")&amp;IF($F67="O","R",IF($G67="O","A",IF($H67="O","F",""))),""),"")</f>
        <v>AR</v>
      </c>
      <c r="J67" s="15"/>
      <c r="K67" s="16" t="s">
        <v>71</v>
      </c>
      <c r="L67" s="17"/>
      <c r="M67" s="18"/>
      <c r="N67" s="19"/>
      <c r="O67" s="20"/>
      <c r="P67" s="21" t="str">
        <f t="shared" si="1"/>
        <v>4-AR</v>
      </c>
      <c r="Q67" s="108" t="str">
        <f>HYPERLINK("#'마스터_품목'!A243","→ 마스터 R243")</f>
        <v>→ 마스터 R243</v>
      </c>
      <c r="R67" s="109">
        <v>243</v>
      </c>
      <c r="S67" s="109" t="s">
        <v>72</v>
      </c>
    </row>
    <row r="68" spans="1:19" ht="48" customHeight="1" x14ac:dyDescent="0.3">
      <c r="A68" s="22" t="s">
        <v>354</v>
      </c>
      <c r="B68" s="22" t="s">
        <v>471</v>
      </c>
      <c r="C68" s="23" t="s">
        <v>198</v>
      </c>
      <c r="D68" s="23" t="s">
        <v>474</v>
      </c>
      <c r="E68" s="23" t="s">
        <v>475</v>
      </c>
      <c r="F68" s="24" t="s">
        <v>71</v>
      </c>
      <c r="G68" s="25"/>
      <c r="H68" s="26"/>
      <c r="I68" s="27" t="str">
        <f>IFERROR(IF(OR($F68="O",$G68="O",$H68="O"),CHOOSE(MATCH($A68,{"튜브","고압","진공","튜닝","조립","출하"},0),"T","H","V","N","A","P")&amp;IF($F68="O","R",IF($G68="O","A",IF($H68="O","F",""))),""),"")</f>
        <v>AR</v>
      </c>
      <c r="J68" s="15"/>
      <c r="K68" s="16" t="s">
        <v>71</v>
      </c>
      <c r="L68" s="17"/>
      <c r="M68" s="18"/>
      <c r="N68" s="19"/>
      <c r="O68" s="20"/>
      <c r="P68" s="21" t="str">
        <f t="shared" si="1"/>
        <v>4-AR</v>
      </c>
      <c r="Q68" s="108" t="str">
        <f>HYPERLINK("#'마스터_품목'!A244","→ 마스터 R244")</f>
        <v>→ 마스터 R244</v>
      </c>
      <c r="R68" s="109">
        <v>244</v>
      </c>
      <c r="S68" s="109" t="s">
        <v>72</v>
      </c>
    </row>
    <row r="69" spans="1:19" ht="48" customHeight="1" x14ac:dyDescent="0.3">
      <c r="A69" s="22" t="s">
        <v>354</v>
      </c>
      <c r="B69" s="22" t="s">
        <v>471</v>
      </c>
      <c r="C69" s="23" t="s">
        <v>198</v>
      </c>
      <c r="D69" s="23" t="s">
        <v>476</v>
      </c>
      <c r="E69" s="23" t="s">
        <v>477</v>
      </c>
      <c r="F69" s="24" t="s">
        <v>71</v>
      </c>
      <c r="G69" s="25"/>
      <c r="H69" s="26"/>
      <c r="I69" s="27" t="str">
        <f>IFERROR(IF(OR($F69="O",$G69="O",$H69="O"),CHOOSE(MATCH($A69,{"튜브","고압","진공","튜닝","조립","출하"},0),"T","H","V","N","A","P")&amp;IF($F69="O","R",IF($G69="O","A",IF($H69="O","F",""))),""),"")</f>
        <v>AR</v>
      </c>
      <c r="J69" s="15"/>
      <c r="K69" s="16" t="s">
        <v>71</v>
      </c>
      <c r="L69" s="17"/>
      <c r="M69" s="18"/>
      <c r="N69" s="19"/>
      <c r="O69" s="20"/>
      <c r="P69" s="21" t="str">
        <f t="shared" si="1"/>
        <v>4-AR</v>
      </c>
      <c r="Q69" s="108" t="str">
        <f>HYPERLINK("#'마스터_품목'!A245","→ 마스터 R245")</f>
        <v>→ 마스터 R245</v>
      </c>
      <c r="R69" s="109">
        <v>245</v>
      </c>
      <c r="S69" s="109" t="s">
        <v>72</v>
      </c>
    </row>
    <row r="70" spans="1:19" ht="48" customHeight="1" x14ac:dyDescent="0.3">
      <c r="A70" s="22" t="s">
        <v>354</v>
      </c>
      <c r="B70" s="22" t="s">
        <v>471</v>
      </c>
      <c r="C70" s="23" t="s">
        <v>198</v>
      </c>
      <c r="D70" s="23" t="s">
        <v>478</v>
      </c>
      <c r="E70" s="23" t="s">
        <v>479</v>
      </c>
      <c r="F70" s="24" t="s">
        <v>71</v>
      </c>
      <c r="G70" s="25"/>
      <c r="H70" s="26"/>
      <c r="I70" s="27" t="str">
        <f>IFERROR(IF(OR($F70="O",$G70="O",$H70="O"),CHOOSE(MATCH($A70,{"튜브","고압","진공","튜닝","조립","출하"},0),"T","H","V","N","A","P")&amp;IF($F70="O","R",IF($G70="O","A",IF($H70="O","F",""))),""),"")</f>
        <v>AR</v>
      </c>
      <c r="J70" s="15"/>
      <c r="K70" s="16" t="s">
        <v>71</v>
      </c>
      <c r="L70" s="17"/>
      <c r="M70" s="18"/>
      <c r="N70" s="19"/>
      <c r="O70" s="20"/>
      <c r="P70" s="21" t="str">
        <f t="shared" si="1"/>
        <v>4-AR</v>
      </c>
      <c r="Q70" s="108" t="str">
        <f>HYPERLINK("#'마스터_품목'!A246","→ 마스터 R246")</f>
        <v>→ 마스터 R246</v>
      </c>
      <c r="R70" s="109">
        <v>246</v>
      </c>
      <c r="S70" s="109" t="s">
        <v>72</v>
      </c>
    </row>
    <row r="71" spans="1:19" ht="48" customHeight="1" x14ac:dyDescent="0.3">
      <c r="A71" s="22" t="s">
        <v>354</v>
      </c>
      <c r="B71" s="22" t="s">
        <v>471</v>
      </c>
      <c r="C71" s="23" t="s">
        <v>198</v>
      </c>
      <c r="D71" s="23" t="s">
        <v>367</v>
      </c>
      <c r="E71" s="23" t="s">
        <v>480</v>
      </c>
      <c r="F71" s="24" t="s">
        <v>71</v>
      </c>
      <c r="G71" s="25"/>
      <c r="H71" s="26"/>
      <c r="I71" s="27" t="str">
        <f>IFERROR(IF(OR($F71="O",$G71="O",$H71="O"),CHOOSE(MATCH($A71,{"튜브","고압","진공","튜닝","조립","출하"},0),"T","H","V","N","A","P")&amp;IF($F71="O","R",IF($G71="O","A",IF($H71="O","F",""))),""),"")</f>
        <v>AR</v>
      </c>
      <c r="J71" s="15"/>
      <c r="K71" s="16" t="s">
        <v>71</v>
      </c>
      <c r="L71" s="17"/>
      <c r="M71" s="18"/>
      <c r="N71" s="19"/>
      <c r="O71" s="20"/>
      <c r="P71" s="21" t="str">
        <f t="shared" si="1"/>
        <v>4-AR</v>
      </c>
      <c r="Q71" s="108" t="str">
        <f>HYPERLINK("#'마스터_품목'!A247","→ 마스터 R247")</f>
        <v>→ 마스터 R247</v>
      </c>
      <c r="R71" s="109">
        <v>247</v>
      </c>
      <c r="S71" s="109" t="s">
        <v>72</v>
      </c>
    </row>
    <row r="72" spans="1:19" ht="48" customHeight="1" x14ac:dyDescent="0.3">
      <c r="A72" s="22" t="s">
        <v>354</v>
      </c>
      <c r="B72" s="22" t="s">
        <v>471</v>
      </c>
      <c r="C72" s="23" t="s">
        <v>198</v>
      </c>
      <c r="D72" s="23" t="s">
        <v>481</v>
      </c>
      <c r="E72" s="23" t="s">
        <v>482</v>
      </c>
      <c r="F72" s="24" t="s">
        <v>71</v>
      </c>
      <c r="G72" s="25"/>
      <c r="H72" s="26"/>
      <c r="I72" s="27" t="str">
        <f>IFERROR(IF(OR($F72="O",$G72="O",$H72="O"),CHOOSE(MATCH($A72,{"튜브","고압","진공","튜닝","조립","출하"},0),"T","H","V","N","A","P")&amp;IF($F72="O","R",IF($G72="O","A",IF($H72="O","F",""))),""),"")</f>
        <v>AR</v>
      </c>
      <c r="J72" s="15"/>
      <c r="K72" s="16" t="s">
        <v>71</v>
      </c>
      <c r="L72" s="17"/>
      <c r="M72" s="18"/>
      <c r="N72" s="19"/>
      <c r="O72" s="20"/>
      <c r="P72" s="21" t="str">
        <f t="shared" si="1"/>
        <v>4-AR</v>
      </c>
      <c r="Q72" s="108" t="str">
        <f>HYPERLINK("#'마스터_품목'!A248","→ 마스터 R248")</f>
        <v>→ 마스터 R248</v>
      </c>
      <c r="R72" s="109">
        <v>248</v>
      </c>
      <c r="S72" s="109" t="s">
        <v>72</v>
      </c>
    </row>
    <row r="73" spans="1:19" ht="48" customHeight="1" x14ac:dyDescent="0.3">
      <c r="A73" s="22" t="s">
        <v>354</v>
      </c>
      <c r="B73" s="22" t="s">
        <v>471</v>
      </c>
      <c r="C73" s="23" t="s">
        <v>198</v>
      </c>
      <c r="D73" s="23" t="s">
        <v>483</v>
      </c>
      <c r="E73" s="23" t="s">
        <v>484</v>
      </c>
      <c r="F73" s="24" t="s">
        <v>71</v>
      </c>
      <c r="G73" s="25"/>
      <c r="H73" s="26"/>
      <c r="I73" s="27" t="str">
        <f>IFERROR(IF(OR($F73="O",$G73="O",$H73="O"),CHOOSE(MATCH($A73,{"튜브","고압","진공","튜닝","조립","출하"},0),"T","H","V","N","A","P")&amp;IF($F73="O","R",IF($G73="O","A",IF($H73="O","F",""))),""),"")</f>
        <v>AR</v>
      </c>
      <c r="J73" s="15"/>
      <c r="K73" s="16" t="s">
        <v>71</v>
      </c>
      <c r="L73" s="17"/>
      <c r="M73" s="18"/>
      <c r="N73" s="19"/>
      <c r="O73" s="20"/>
      <c r="P73" s="21" t="str">
        <f t="shared" si="1"/>
        <v>4-AR</v>
      </c>
      <c r="Q73" s="108" t="str">
        <f>HYPERLINK("#'마스터_품목'!A249","→ 마스터 R249")</f>
        <v>→ 마스터 R249</v>
      </c>
      <c r="R73" s="109">
        <v>249</v>
      </c>
      <c r="S73" s="109" t="s">
        <v>72</v>
      </c>
    </row>
    <row r="74" spans="1:19" ht="48" customHeight="1" x14ac:dyDescent="0.3">
      <c r="A74" s="22" t="s">
        <v>354</v>
      </c>
      <c r="B74" s="22" t="s">
        <v>471</v>
      </c>
      <c r="C74" s="23" t="s">
        <v>198</v>
      </c>
      <c r="D74" s="23" t="s">
        <v>485</v>
      </c>
      <c r="E74" s="23" t="s">
        <v>486</v>
      </c>
      <c r="F74" s="24" t="s">
        <v>71</v>
      </c>
      <c r="G74" s="25"/>
      <c r="H74" s="26"/>
      <c r="I74" s="27" t="str">
        <f>IFERROR(IF(OR($F74="O",$G74="O",$H74="O"),CHOOSE(MATCH($A74,{"튜브","고압","진공","튜닝","조립","출하"},0),"T","H","V","N","A","P")&amp;IF($F74="O","R",IF($G74="O","A",IF($H74="O","F",""))),""),"")</f>
        <v>AR</v>
      </c>
      <c r="J74" s="15"/>
      <c r="K74" s="16" t="s">
        <v>71</v>
      </c>
      <c r="L74" s="17"/>
      <c r="M74" s="18"/>
      <c r="N74" s="19"/>
      <c r="O74" s="20"/>
      <c r="P74" s="21" t="str">
        <f t="shared" si="1"/>
        <v>4-AR</v>
      </c>
      <c r="Q74" s="108" t="str">
        <f>HYPERLINK("#'마스터_품목'!A250","→ 마스터 R250")</f>
        <v>→ 마스터 R250</v>
      </c>
      <c r="R74" s="109">
        <v>250</v>
      </c>
      <c r="S74" s="109" t="s">
        <v>72</v>
      </c>
    </row>
    <row r="75" spans="1:19" ht="48" customHeight="1" x14ac:dyDescent="0.3">
      <c r="A75" s="22" t="s">
        <v>354</v>
      </c>
      <c r="B75" s="22" t="s">
        <v>471</v>
      </c>
      <c r="C75" s="23" t="s">
        <v>198</v>
      </c>
      <c r="D75" s="23" t="s">
        <v>487</v>
      </c>
      <c r="E75" s="23" t="s">
        <v>488</v>
      </c>
      <c r="F75" s="24" t="s">
        <v>71</v>
      </c>
      <c r="G75" s="25"/>
      <c r="H75" s="26"/>
      <c r="I75" s="27" t="str">
        <f>IFERROR(IF(OR($F75="O",$G75="O",$H75="O"),CHOOSE(MATCH($A75,{"튜브","고압","진공","튜닝","조립","출하"},0),"T","H","V","N","A","P")&amp;IF($F75="O","R",IF($G75="O","A",IF($H75="O","F",""))),""),"")</f>
        <v>AR</v>
      </c>
      <c r="J75" s="15"/>
      <c r="K75" s="16" t="s">
        <v>71</v>
      </c>
      <c r="L75" s="17"/>
      <c r="M75" s="18"/>
      <c r="N75" s="19"/>
      <c r="O75" s="20"/>
      <c r="P75" s="21" t="str">
        <f t="shared" si="1"/>
        <v>4-AR</v>
      </c>
      <c r="Q75" s="108" t="str">
        <f>HYPERLINK("#'마스터_품목'!A251","→ 마스터 R251")</f>
        <v>→ 마스터 R251</v>
      </c>
      <c r="R75" s="109">
        <v>251</v>
      </c>
      <c r="S75" s="109" t="s">
        <v>72</v>
      </c>
    </row>
    <row r="76" spans="1:19" ht="48" customHeight="1" x14ac:dyDescent="0.3">
      <c r="A76" s="22" t="s">
        <v>354</v>
      </c>
      <c r="B76" s="22" t="s">
        <v>471</v>
      </c>
      <c r="C76" s="23" t="s">
        <v>198</v>
      </c>
      <c r="D76" s="23" t="s">
        <v>489</v>
      </c>
      <c r="E76" s="23" t="s">
        <v>490</v>
      </c>
      <c r="F76" s="24" t="s">
        <v>71</v>
      </c>
      <c r="G76" s="25"/>
      <c r="H76" s="26"/>
      <c r="I76" s="27" t="str">
        <f>IFERROR(IF(OR($F76="O",$G76="O",$H76="O"),CHOOSE(MATCH($A76,{"튜브","고압","진공","튜닝","조립","출하"},0),"T","H","V","N","A","P")&amp;IF($F76="O","R",IF($G76="O","A",IF($H76="O","F",""))),""),"")</f>
        <v>AR</v>
      </c>
      <c r="J76" s="15"/>
      <c r="K76" s="16" t="s">
        <v>71</v>
      </c>
      <c r="L76" s="17"/>
      <c r="M76" s="18"/>
      <c r="N76" s="19"/>
      <c r="O76" s="20"/>
      <c r="P76" s="21" t="str">
        <f t="shared" si="1"/>
        <v>4-AR</v>
      </c>
      <c r="Q76" s="108" t="str">
        <f>HYPERLINK("#'마스터_품목'!A252","→ 마스터 R252")</f>
        <v>→ 마스터 R252</v>
      </c>
      <c r="R76" s="109">
        <v>252</v>
      </c>
      <c r="S76" s="109" t="s">
        <v>72</v>
      </c>
    </row>
    <row r="77" spans="1:19" ht="48" customHeight="1" x14ac:dyDescent="0.3">
      <c r="A77" s="22" t="s">
        <v>354</v>
      </c>
      <c r="B77" s="22" t="s">
        <v>471</v>
      </c>
      <c r="C77" s="23" t="s">
        <v>198</v>
      </c>
      <c r="D77" s="23" t="s">
        <v>491</v>
      </c>
      <c r="E77" s="23" t="s">
        <v>492</v>
      </c>
      <c r="F77" s="24" t="s">
        <v>71</v>
      </c>
      <c r="G77" s="25"/>
      <c r="H77" s="26"/>
      <c r="I77" s="27" t="str">
        <f>IFERROR(IF(OR($F77="O",$G77="O",$H77="O"),CHOOSE(MATCH($A77,{"튜브","고압","진공","튜닝","조립","출하"},0),"T","H","V","N","A","P")&amp;IF($F77="O","R",IF($G77="O","A",IF($H77="O","F",""))),""),"")</f>
        <v>AR</v>
      </c>
      <c r="J77" s="15"/>
      <c r="K77" s="16" t="s">
        <v>71</v>
      </c>
      <c r="L77" s="17"/>
      <c r="M77" s="18"/>
      <c r="N77" s="19"/>
      <c r="O77" s="20"/>
      <c r="P77" s="21" t="str">
        <f t="shared" si="1"/>
        <v>4-AR</v>
      </c>
      <c r="Q77" s="108" t="str">
        <f>HYPERLINK("#'마스터_품목'!A253","→ 마스터 R253")</f>
        <v>→ 마스터 R253</v>
      </c>
      <c r="R77" s="109">
        <v>253</v>
      </c>
      <c r="S77" s="109" t="s">
        <v>72</v>
      </c>
    </row>
    <row r="78" spans="1:19" ht="48" customHeight="1" x14ac:dyDescent="0.3">
      <c r="A78" s="22" t="s">
        <v>354</v>
      </c>
      <c r="B78" s="22" t="s">
        <v>471</v>
      </c>
      <c r="C78" s="23" t="s">
        <v>198</v>
      </c>
      <c r="D78" s="23" t="s">
        <v>361</v>
      </c>
      <c r="E78" s="23" t="s">
        <v>493</v>
      </c>
      <c r="F78" s="24" t="s">
        <v>71</v>
      </c>
      <c r="G78" s="25"/>
      <c r="H78" s="26"/>
      <c r="I78" s="27" t="str">
        <f>IFERROR(IF(OR($F78="O",$G78="O",$H78="O"),CHOOSE(MATCH($A78,{"튜브","고압","진공","튜닝","조립","출하"},0),"T","H","V","N","A","P")&amp;IF($F78="O","R",IF($G78="O","A",IF($H78="O","F",""))),""),"")</f>
        <v>AR</v>
      </c>
      <c r="J78" s="15"/>
      <c r="K78" s="16" t="s">
        <v>71</v>
      </c>
      <c r="L78" s="17"/>
      <c r="M78" s="18"/>
      <c r="N78" s="19"/>
      <c r="O78" s="20"/>
      <c r="P78" s="21" t="str">
        <f t="shared" si="1"/>
        <v>4-AR</v>
      </c>
      <c r="Q78" s="108" t="str">
        <f>HYPERLINK("#'마스터_품목'!A254","→ 마스터 R254")</f>
        <v>→ 마스터 R254</v>
      </c>
      <c r="R78" s="109">
        <v>254</v>
      </c>
      <c r="S78" s="109" t="s">
        <v>72</v>
      </c>
    </row>
    <row r="79" spans="1:19" ht="48" customHeight="1" x14ac:dyDescent="0.3">
      <c r="A79" s="22" t="s">
        <v>354</v>
      </c>
      <c r="B79" s="22" t="s">
        <v>471</v>
      </c>
      <c r="C79" s="23" t="s">
        <v>198</v>
      </c>
      <c r="D79" s="23" t="s">
        <v>494</v>
      </c>
      <c r="E79" s="23" t="s">
        <v>495</v>
      </c>
      <c r="F79" s="24" t="s">
        <v>71</v>
      </c>
      <c r="G79" s="25"/>
      <c r="H79" s="26"/>
      <c r="I79" s="27" t="str">
        <f>IFERROR(IF(OR($F79="O",$G79="O",$H79="O"),CHOOSE(MATCH($A79,{"튜브","고압","진공","튜닝","조립","출하"},0),"T","H","V","N","A","P")&amp;IF($F79="O","R",IF($G79="O","A",IF($H79="O","F",""))),""),"")</f>
        <v>AR</v>
      </c>
      <c r="J79" s="15"/>
      <c r="K79" s="16" t="s">
        <v>71</v>
      </c>
      <c r="L79" s="17"/>
      <c r="M79" s="18"/>
      <c r="N79" s="19"/>
      <c r="O79" s="20"/>
      <c r="P79" s="21" t="str">
        <f t="shared" si="1"/>
        <v>4-AR</v>
      </c>
      <c r="Q79" s="108" t="str">
        <f>HYPERLINK("#'마스터_품목'!A255","→ 마스터 R255")</f>
        <v>→ 마스터 R255</v>
      </c>
      <c r="R79" s="109">
        <v>255</v>
      </c>
      <c r="S79" s="109" t="s">
        <v>72</v>
      </c>
    </row>
    <row r="80" spans="1:19" ht="48" customHeight="1" x14ac:dyDescent="0.3">
      <c r="A80" s="22" t="s">
        <v>354</v>
      </c>
      <c r="B80" s="22" t="s">
        <v>471</v>
      </c>
      <c r="C80" s="23" t="s">
        <v>198</v>
      </c>
      <c r="D80" s="23" t="s">
        <v>496</v>
      </c>
      <c r="E80" s="23" t="s">
        <v>497</v>
      </c>
      <c r="F80" s="24" t="s">
        <v>71</v>
      </c>
      <c r="G80" s="25"/>
      <c r="H80" s="26"/>
      <c r="I80" s="27" t="str">
        <f>IFERROR(IF(OR($F80="O",$G80="O",$H80="O"),CHOOSE(MATCH($A80,{"튜브","고압","진공","튜닝","조립","출하"},0),"T","H","V","N","A","P")&amp;IF($F80="O","R",IF($G80="O","A",IF($H80="O","F",""))),""),"")</f>
        <v>AR</v>
      </c>
      <c r="J80" s="15"/>
      <c r="K80" s="16" t="s">
        <v>71</v>
      </c>
      <c r="L80" s="17"/>
      <c r="M80" s="18"/>
      <c r="N80" s="19"/>
      <c r="O80" s="20"/>
      <c r="P80" s="21" t="str">
        <f t="shared" si="1"/>
        <v>4-AR</v>
      </c>
      <c r="Q80" s="108" t="str">
        <f>HYPERLINK("#'마스터_품목'!A256","→ 마스터 R256")</f>
        <v>→ 마스터 R256</v>
      </c>
      <c r="R80" s="109">
        <v>256</v>
      </c>
      <c r="S80" s="109" t="s">
        <v>72</v>
      </c>
    </row>
    <row r="81" spans="1:19" ht="48" customHeight="1" x14ac:dyDescent="0.3">
      <c r="A81" s="22" t="s">
        <v>354</v>
      </c>
      <c r="B81" s="22" t="s">
        <v>471</v>
      </c>
      <c r="C81" s="23" t="s">
        <v>198</v>
      </c>
      <c r="D81" s="23" t="s">
        <v>498</v>
      </c>
      <c r="E81" s="23" t="s">
        <v>499</v>
      </c>
      <c r="F81" s="24" t="s">
        <v>71</v>
      </c>
      <c r="G81" s="25"/>
      <c r="H81" s="26"/>
      <c r="I81" s="27" t="str">
        <f>IFERROR(IF(OR($F81="O",$G81="O",$H81="O"),CHOOSE(MATCH($A81,{"튜브","고압","진공","튜닝","조립","출하"},0),"T","H","V","N","A","P")&amp;IF($F81="O","R",IF($G81="O","A",IF($H81="O","F",""))),""),"")</f>
        <v>AR</v>
      </c>
      <c r="J81" s="15"/>
      <c r="K81" s="16" t="s">
        <v>71</v>
      </c>
      <c r="L81" s="17"/>
      <c r="M81" s="18"/>
      <c r="N81" s="19"/>
      <c r="O81" s="20"/>
      <c r="P81" s="21" t="str">
        <f t="shared" si="1"/>
        <v>4-AR</v>
      </c>
      <c r="Q81" s="108" t="str">
        <f>HYPERLINK("#'마스터_품목'!A257","→ 마스터 R257")</f>
        <v>→ 마스터 R257</v>
      </c>
      <c r="R81" s="109">
        <v>257</v>
      </c>
      <c r="S81" s="109" t="s">
        <v>72</v>
      </c>
    </row>
    <row r="82" spans="1:19" ht="48" customHeight="1" x14ac:dyDescent="0.3">
      <c r="A82" s="22" t="s">
        <v>354</v>
      </c>
      <c r="B82" s="22" t="s">
        <v>471</v>
      </c>
      <c r="C82" s="23" t="s">
        <v>198</v>
      </c>
      <c r="D82" s="23" t="s">
        <v>500</v>
      </c>
      <c r="E82" s="23" t="s">
        <v>501</v>
      </c>
      <c r="F82" s="24" t="s">
        <v>71</v>
      </c>
      <c r="G82" s="25"/>
      <c r="H82" s="26"/>
      <c r="I82" s="27" t="str">
        <f>IFERROR(IF(OR($F82="O",$G82="O",$H82="O"),CHOOSE(MATCH($A82,{"튜브","고압","진공","튜닝","조립","출하"},0),"T","H","V","N","A","P")&amp;IF($F82="O","R",IF($G82="O","A",IF($H82="O","F",""))),""),"")</f>
        <v>AR</v>
      </c>
      <c r="J82" s="15"/>
      <c r="K82" s="16" t="s">
        <v>71</v>
      </c>
      <c r="L82" s="17"/>
      <c r="M82" s="18"/>
      <c r="N82" s="19"/>
      <c r="O82" s="20"/>
      <c r="P82" s="21" t="str">
        <f t="shared" si="1"/>
        <v>4-AR</v>
      </c>
      <c r="Q82" s="108" t="str">
        <f>HYPERLINK("#'마스터_품목'!A258","→ 마스터 R258")</f>
        <v>→ 마스터 R258</v>
      </c>
      <c r="R82" s="109">
        <v>258</v>
      </c>
      <c r="S82" s="109" t="s">
        <v>72</v>
      </c>
    </row>
    <row r="83" spans="1:19" ht="48" customHeight="1" x14ac:dyDescent="0.3">
      <c r="A83" s="22" t="s">
        <v>354</v>
      </c>
      <c r="B83" s="22" t="s">
        <v>471</v>
      </c>
      <c r="C83" s="23" t="s">
        <v>198</v>
      </c>
      <c r="D83" s="23" t="s">
        <v>390</v>
      </c>
      <c r="E83" s="23" t="s">
        <v>502</v>
      </c>
      <c r="F83" s="24" t="s">
        <v>71</v>
      </c>
      <c r="G83" s="25"/>
      <c r="H83" s="26"/>
      <c r="I83" s="27" t="str">
        <f>IFERROR(IF(OR($F83="O",$G83="O",$H83="O"),CHOOSE(MATCH($A83,{"튜브","고압","진공","튜닝","조립","출하"},0),"T","H","V","N","A","P")&amp;IF($F83="O","R",IF($G83="O","A",IF($H83="O","F",""))),""),"")</f>
        <v>AR</v>
      </c>
      <c r="J83" s="15"/>
      <c r="K83" s="16" t="s">
        <v>71</v>
      </c>
      <c r="L83" s="17"/>
      <c r="M83" s="18"/>
      <c r="N83" s="19"/>
      <c r="O83" s="20"/>
      <c r="P83" s="21" t="str">
        <f t="shared" si="1"/>
        <v>4-AR</v>
      </c>
      <c r="Q83" s="108" t="str">
        <f>HYPERLINK("#'마스터_품목'!A259","→ 마스터 R259")</f>
        <v>→ 마스터 R259</v>
      </c>
      <c r="R83" s="109">
        <v>259</v>
      </c>
      <c r="S83" s="109" t="s">
        <v>72</v>
      </c>
    </row>
    <row r="84" spans="1:19" ht="48" customHeight="1" x14ac:dyDescent="0.3">
      <c r="A84" s="22" t="s">
        <v>354</v>
      </c>
      <c r="B84" s="22" t="s">
        <v>471</v>
      </c>
      <c r="C84" s="23" t="s">
        <v>198</v>
      </c>
      <c r="D84" s="23" t="s">
        <v>393</v>
      </c>
      <c r="E84" s="23" t="s">
        <v>503</v>
      </c>
      <c r="F84" s="24" t="s">
        <v>71</v>
      </c>
      <c r="G84" s="25"/>
      <c r="H84" s="26"/>
      <c r="I84" s="27" t="str">
        <f>IFERROR(IF(OR($F84="O",$G84="O",$H84="O"),CHOOSE(MATCH($A84,{"튜브","고압","진공","튜닝","조립","출하"},0),"T","H","V","N","A","P")&amp;IF($F84="O","R",IF($G84="O","A",IF($H84="O","F",""))),""),"")</f>
        <v>AR</v>
      </c>
      <c r="J84" s="15"/>
      <c r="K84" s="16" t="s">
        <v>71</v>
      </c>
      <c r="L84" s="17"/>
      <c r="M84" s="18"/>
      <c r="N84" s="19"/>
      <c r="O84" s="20"/>
      <c r="P84" s="21" t="str">
        <f t="shared" si="1"/>
        <v>4-AR</v>
      </c>
      <c r="Q84" s="108" t="str">
        <f>HYPERLINK("#'마스터_품목'!A260","→ 마스터 R260")</f>
        <v>→ 마스터 R260</v>
      </c>
      <c r="R84" s="109">
        <v>260</v>
      </c>
      <c r="S84" s="109" t="s">
        <v>72</v>
      </c>
    </row>
    <row r="85" spans="1:19" ht="48" customHeight="1" x14ac:dyDescent="0.3">
      <c r="A85" s="22" t="s">
        <v>354</v>
      </c>
      <c r="B85" s="22" t="s">
        <v>471</v>
      </c>
      <c r="C85" s="23" t="s">
        <v>198</v>
      </c>
      <c r="D85" s="23" t="s">
        <v>504</v>
      </c>
      <c r="E85" s="23" t="s">
        <v>505</v>
      </c>
      <c r="F85" s="24" t="s">
        <v>71</v>
      </c>
      <c r="G85" s="25"/>
      <c r="H85" s="26"/>
      <c r="I85" s="27" t="str">
        <f>IFERROR(IF(OR($F85="O",$G85="O",$H85="O"),CHOOSE(MATCH($A85,{"튜브","고압","진공","튜닝","조립","출하"},0),"T","H","V","N","A","P")&amp;IF($F85="O","R",IF($G85="O","A",IF($H85="O","F",""))),""),"")</f>
        <v>AR</v>
      </c>
      <c r="J85" s="15"/>
      <c r="K85" s="16" t="s">
        <v>71</v>
      </c>
      <c r="L85" s="17"/>
      <c r="M85" s="18"/>
      <c r="N85" s="19"/>
      <c r="O85" s="20"/>
      <c r="P85" s="21" t="str">
        <f t="shared" si="1"/>
        <v>4-AR</v>
      </c>
      <c r="Q85" s="108" t="str">
        <f>HYPERLINK("#'마스터_품목'!A261","→ 마스터 R261")</f>
        <v>→ 마스터 R261</v>
      </c>
      <c r="R85" s="109">
        <v>261</v>
      </c>
      <c r="S85" s="109" t="s">
        <v>72</v>
      </c>
    </row>
    <row r="86" spans="1:19" ht="48" customHeight="1" x14ac:dyDescent="0.3">
      <c r="A86" s="22" t="s">
        <v>354</v>
      </c>
      <c r="B86" s="22" t="s">
        <v>471</v>
      </c>
      <c r="C86" s="23" t="s">
        <v>198</v>
      </c>
      <c r="D86" s="23" t="s">
        <v>506</v>
      </c>
      <c r="E86" s="23" t="s">
        <v>507</v>
      </c>
      <c r="F86" s="24" t="s">
        <v>71</v>
      </c>
      <c r="G86" s="25"/>
      <c r="H86" s="26"/>
      <c r="I86" s="27" t="str">
        <f>IFERROR(IF(OR($F86="O",$G86="O",$H86="O"),CHOOSE(MATCH($A86,{"튜브","고압","진공","튜닝","조립","출하"},0),"T","H","V","N","A","P")&amp;IF($F86="O","R",IF($G86="O","A",IF($H86="O","F",""))),""),"")</f>
        <v>AR</v>
      </c>
      <c r="J86" s="15"/>
      <c r="K86" s="16" t="s">
        <v>71</v>
      </c>
      <c r="L86" s="17"/>
      <c r="M86" s="18"/>
      <c r="N86" s="19"/>
      <c r="O86" s="20"/>
      <c r="P86" s="21" t="str">
        <f t="shared" si="1"/>
        <v>4-AR</v>
      </c>
      <c r="Q86" s="108" t="str">
        <f>HYPERLINK("#'마스터_품목'!A262","→ 마스터 R262")</f>
        <v>→ 마스터 R262</v>
      </c>
      <c r="R86" s="109">
        <v>262</v>
      </c>
      <c r="S86" s="109" t="s">
        <v>72</v>
      </c>
    </row>
    <row r="87" spans="1:19" ht="48" customHeight="1" x14ac:dyDescent="0.3">
      <c r="A87" s="22" t="s">
        <v>354</v>
      </c>
      <c r="B87" s="22" t="s">
        <v>471</v>
      </c>
      <c r="C87" s="23" t="s">
        <v>198</v>
      </c>
      <c r="D87" s="23" t="s">
        <v>508</v>
      </c>
      <c r="E87" s="23" t="s">
        <v>509</v>
      </c>
      <c r="F87" s="24" t="s">
        <v>71</v>
      </c>
      <c r="G87" s="25"/>
      <c r="H87" s="26"/>
      <c r="I87" s="27" t="str">
        <f>IFERROR(IF(OR($F87="O",$G87="O",$H87="O"),CHOOSE(MATCH($A87,{"튜브","고압","진공","튜닝","조립","출하"},0),"T","H","V","N","A","P")&amp;IF($F87="O","R",IF($G87="O","A",IF($H87="O","F",""))),""),"")</f>
        <v>AR</v>
      </c>
      <c r="J87" s="15"/>
      <c r="K87" s="16" t="s">
        <v>71</v>
      </c>
      <c r="L87" s="17"/>
      <c r="M87" s="18"/>
      <c r="N87" s="19"/>
      <c r="O87" s="20"/>
      <c r="P87" s="21" t="str">
        <f t="shared" si="1"/>
        <v>4-AR</v>
      </c>
      <c r="Q87" s="108" t="str">
        <f>HYPERLINK("#'마스터_품목'!A263","→ 마스터 R263")</f>
        <v>→ 마스터 R263</v>
      </c>
      <c r="R87" s="109">
        <v>263</v>
      </c>
      <c r="S87" s="109" t="s">
        <v>72</v>
      </c>
    </row>
    <row r="88" spans="1:19" ht="48" customHeight="1" x14ac:dyDescent="0.3">
      <c r="A88" s="22" t="s">
        <v>354</v>
      </c>
      <c r="B88" s="22" t="s">
        <v>471</v>
      </c>
      <c r="C88" s="23" t="s">
        <v>198</v>
      </c>
      <c r="D88" s="23" t="s">
        <v>510</v>
      </c>
      <c r="E88" s="23" t="s">
        <v>511</v>
      </c>
      <c r="F88" s="24" t="s">
        <v>71</v>
      </c>
      <c r="G88" s="25"/>
      <c r="H88" s="26"/>
      <c r="I88" s="27" t="str">
        <f>IFERROR(IF(OR($F88="O",$G88="O",$H88="O"),CHOOSE(MATCH($A88,{"튜브","고압","진공","튜닝","조립","출하"},0),"T","H","V","N","A","P")&amp;IF($F88="O","R",IF($G88="O","A",IF($H88="O","F",""))),""),"")</f>
        <v>AR</v>
      </c>
      <c r="J88" s="15"/>
      <c r="K88" s="16" t="s">
        <v>71</v>
      </c>
      <c r="L88" s="17"/>
      <c r="M88" s="18"/>
      <c r="N88" s="19"/>
      <c r="O88" s="20"/>
      <c r="P88" s="21" t="str">
        <f t="shared" si="1"/>
        <v>4-AR</v>
      </c>
      <c r="Q88" s="108" t="str">
        <f>HYPERLINK("#'마스터_품목'!A264","→ 마스터 R264")</f>
        <v>→ 마스터 R264</v>
      </c>
      <c r="R88" s="109">
        <v>264</v>
      </c>
      <c r="S88" s="109" t="s">
        <v>72</v>
      </c>
    </row>
    <row r="89" spans="1:19" ht="48" customHeight="1" x14ac:dyDescent="0.3">
      <c r="A89" s="22" t="s">
        <v>354</v>
      </c>
      <c r="B89" s="22" t="s">
        <v>471</v>
      </c>
      <c r="C89" s="23" t="s">
        <v>198</v>
      </c>
      <c r="D89" s="23" t="s">
        <v>512</v>
      </c>
      <c r="E89" s="23" t="s">
        <v>513</v>
      </c>
      <c r="F89" s="24" t="s">
        <v>71</v>
      </c>
      <c r="G89" s="25"/>
      <c r="H89" s="26"/>
      <c r="I89" s="27" t="str">
        <f>IFERROR(IF(OR($F89="O",$G89="O",$H89="O"),CHOOSE(MATCH($A89,{"튜브","고압","진공","튜닝","조립","출하"},0),"T","H","V","N","A","P")&amp;IF($F89="O","R",IF($G89="O","A",IF($H89="O","F",""))),""),"")</f>
        <v>AR</v>
      </c>
      <c r="J89" s="15"/>
      <c r="K89" s="16" t="s">
        <v>71</v>
      </c>
      <c r="L89" s="17"/>
      <c r="M89" s="18"/>
      <c r="N89" s="19"/>
      <c r="O89" s="20"/>
      <c r="P89" s="21" t="str">
        <f t="shared" si="1"/>
        <v>4-AR</v>
      </c>
      <c r="Q89" s="108" t="str">
        <f>HYPERLINK("#'마스터_품목'!A265","→ 마스터 R265")</f>
        <v>→ 마스터 R265</v>
      </c>
      <c r="R89" s="109">
        <v>265</v>
      </c>
      <c r="S89" s="109" t="s">
        <v>72</v>
      </c>
    </row>
    <row r="90" spans="1:19" ht="48" customHeight="1" x14ac:dyDescent="0.3">
      <c r="A90" s="22" t="s">
        <v>354</v>
      </c>
      <c r="B90" s="22" t="s">
        <v>471</v>
      </c>
      <c r="C90" s="23" t="s">
        <v>514</v>
      </c>
      <c r="D90" s="23" t="s">
        <v>515</v>
      </c>
      <c r="E90" s="23" t="s">
        <v>516</v>
      </c>
      <c r="F90" s="24" t="s">
        <v>71</v>
      </c>
      <c r="G90" s="25"/>
      <c r="H90" s="26"/>
      <c r="I90" s="27" t="str">
        <f>IFERROR(IF(OR($F90="O",$G90="O",$H90="O"),CHOOSE(MATCH($A90,{"튜브","고압","진공","튜닝","조립","출하"},0),"T","H","V","N","A","P")&amp;IF($F90="O","R",IF($G90="O","A",IF($H90="O","F",""))),""),"")</f>
        <v>AR</v>
      </c>
      <c r="J90" s="15"/>
      <c r="K90" s="16" t="s">
        <v>71</v>
      </c>
      <c r="L90" s="17" t="s">
        <v>71</v>
      </c>
      <c r="M90" s="18"/>
      <c r="N90" s="19"/>
      <c r="O90" s="20"/>
      <c r="P90" s="21" t="str">
        <f t="shared" si="1"/>
        <v>46-AR</v>
      </c>
      <c r="Q90" s="108" t="str">
        <f>HYPERLINK("#'마스터_품목'!A266","→ 마스터 R266")</f>
        <v>→ 마스터 R266</v>
      </c>
      <c r="R90" s="109">
        <v>266</v>
      </c>
      <c r="S90" s="109" t="s">
        <v>72</v>
      </c>
    </row>
    <row r="91" spans="1:19" ht="48" customHeight="1" x14ac:dyDescent="0.3">
      <c r="A91" s="22" t="s">
        <v>354</v>
      </c>
      <c r="B91" s="22" t="s">
        <v>471</v>
      </c>
      <c r="C91" s="23" t="s">
        <v>514</v>
      </c>
      <c r="D91" s="23" t="s">
        <v>517</v>
      </c>
      <c r="E91" s="23" t="s">
        <v>518</v>
      </c>
      <c r="F91" s="24" t="s">
        <v>71</v>
      </c>
      <c r="G91" s="25"/>
      <c r="H91" s="26"/>
      <c r="I91" s="27" t="str">
        <f>IFERROR(IF(OR($F91="O",$G91="O",$H91="O"),CHOOSE(MATCH($A91,{"튜브","고압","진공","튜닝","조립","출하"},0),"T","H","V","N","A","P")&amp;IF($F91="O","R",IF($G91="O","A",IF($H91="O","F",""))),""),"")</f>
        <v>AR</v>
      </c>
      <c r="J91" s="15"/>
      <c r="K91" s="16" t="s">
        <v>71</v>
      </c>
      <c r="L91" s="17" t="s">
        <v>71</v>
      </c>
      <c r="M91" s="18"/>
      <c r="N91" s="19"/>
      <c r="O91" s="20"/>
      <c r="P91" s="21" t="str">
        <f t="shared" si="1"/>
        <v>46-AR</v>
      </c>
      <c r="Q91" s="108" t="str">
        <f>HYPERLINK("#'마스터_품목'!A267","→ 마스터 R267")</f>
        <v>→ 마스터 R267</v>
      </c>
      <c r="R91" s="109">
        <v>267</v>
      </c>
      <c r="S91" s="109" t="s">
        <v>72</v>
      </c>
    </row>
    <row r="92" spans="1:19" ht="48" customHeight="1" x14ac:dyDescent="0.3">
      <c r="A92" s="22" t="s">
        <v>354</v>
      </c>
      <c r="B92" s="22" t="s">
        <v>471</v>
      </c>
      <c r="C92" s="23" t="s">
        <v>514</v>
      </c>
      <c r="D92" s="23" t="s">
        <v>519</v>
      </c>
      <c r="E92" s="23" t="s">
        <v>520</v>
      </c>
      <c r="F92" s="24" t="s">
        <v>71</v>
      </c>
      <c r="G92" s="25"/>
      <c r="H92" s="26"/>
      <c r="I92" s="27" t="str">
        <f>IFERROR(IF(OR($F92="O",$G92="O",$H92="O"),CHOOSE(MATCH($A92,{"튜브","고압","진공","튜닝","조립","출하"},0),"T","H","V","N","A","P")&amp;IF($F92="O","R",IF($G92="O","A",IF($H92="O","F",""))),""),"")</f>
        <v>AR</v>
      </c>
      <c r="J92" s="15"/>
      <c r="K92" s="16" t="s">
        <v>71</v>
      </c>
      <c r="L92" s="17" t="s">
        <v>71</v>
      </c>
      <c r="M92" s="18"/>
      <c r="N92" s="19"/>
      <c r="O92" s="20"/>
      <c r="P92" s="21" t="str">
        <f t="shared" si="1"/>
        <v>46-AR</v>
      </c>
      <c r="Q92" s="108" t="str">
        <f>HYPERLINK("#'마스터_품목'!A268","→ 마스터 R268")</f>
        <v>→ 마스터 R268</v>
      </c>
      <c r="R92" s="109">
        <v>268</v>
      </c>
      <c r="S92" s="109" t="s">
        <v>72</v>
      </c>
    </row>
    <row r="93" spans="1:19" ht="48" customHeight="1" x14ac:dyDescent="0.3">
      <c r="A93" s="22" t="s">
        <v>354</v>
      </c>
      <c r="B93" s="22" t="s">
        <v>471</v>
      </c>
      <c r="C93" s="23" t="s">
        <v>514</v>
      </c>
      <c r="D93" s="23" t="s">
        <v>521</v>
      </c>
      <c r="E93" s="23" t="s">
        <v>522</v>
      </c>
      <c r="F93" s="24" t="s">
        <v>71</v>
      </c>
      <c r="G93" s="25"/>
      <c r="H93" s="26"/>
      <c r="I93" s="27" t="str">
        <f>IFERROR(IF(OR($F93="O",$G93="O",$H93="O"),CHOOSE(MATCH($A93,{"튜브","고압","진공","튜닝","조립","출하"},0),"T","H","V","N","A","P")&amp;IF($F93="O","R",IF($G93="O","A",IF($H93="O","F",""))),""),"")</f>
        <v>AR</v>
      </c>
      <c r="J93" s="15"/>
      <c r="K93" s="16" t="s">
        <v>71</v>
      </c>
      <c r="L93" s="17" t="s">
        <v>71</v>
      </c>
      <c r="M93" s="18"/>
      <c r="N93" s="19"/>
      <c r="O93" s="20"/>
      <c r="P93" s="21" t="str">
        <f t="shared" si="1"/>
        <v>46-AR</v>
      </c>
      <c r="Q93" s="108" t="str">
        <f>HYPERLINK("#'마스터_품목'!A269","→ 마스터 R269")</f>
        <v>→ 마스터 R269</v>
      </c>
      <c r="R93" s="109">
        <v>269</v>
      </c>
      <c r="S93" s="109" t="s">
        <v>72</v>
      </c>
    </row>
    <row r="94" spans="1:19" ht="48" customHeight="1" x14ac:dyDescent="0.3">
      <c r="A94" s="22" t="s">
        <v>354</v>
      </c>
      <c r="B94" s="22" t="s">
        <v>471</v>
      </c>
      <c r="C94" s="23" t="s">
        <v>198</v>
      </c>
      <c r="D94" s="23" t="s">
        <v>523</v>
      </c>
      <c r="E94" s="23" t="s">
        <v>524</v>
      </c>
      <c r="F94" s="24" t="s">
        <v>71</v>
      </c>
      <c r="G94" s="25"/>
      <c r="H94" s="26"/>
      <c r="I94" s="27" t="str">
        <f>IFERROR(IF(OR($F94="O",$G94="O",$H94="O"),CHOOSE(MATCH($A94,{"튜브","고압","진공","튜닝","조립","출하"},0),"T","H","V","N","A","P")&amp;IF($F94="O","R",IF($G94="O","A",IF($H94="O","F",""))),""),"")</f>
        <v>AR</v>
      </c>
      <c r="J94" s="15"/>
      <c r="K94" s="16" t="s">
        <v>71</v>
      </c>
      <c r="L94" s="17" t="s">
        <v>71</v>
      </c>
      <c r="M94" s="18"/>
      <c r="N94" s="19"/>
      <c r="O94" s="20"/>
      <c r="P94" s="21" t="str">
        <f t="shared" si="1"/>
        <v>46-AR</v>
      </c>
      <c r="Q94" s="108" t="str">
        <f>HYPERLINK("#'마스터_품목'!A270","→ 마스터 R270")</f>
        <v>→ 마스터 R270</v>
      </c>
      <c r="R94" s="109">
        <v>270</v>
      </c>
      <c r="S94" s="109" t="s">
        <v>72</v>
      </c>
    </row>
    <row r="95" spans="1:19" ht="48" customHeight="1" x14ac:dyDescent="0.3">
      <c r="A95" s="22" t="s">
        <v>354</v>
      </c>
      <c r="B95" s="22" t="s">
        <v>471</v>
      </c>
      <c r="C95" s="23" t="s">
        <v>198</v>
      </c>
      <c r="D95" s="23" t="s">
        <v>525</v>
      </c>
      <c r="E95" s="23" t="s">
        <v>526</v>
      </c>
      <c r="F95" s="24" t="s">
        <v>71</v>
      </c>
      <c r="G95" s="25"/>
      <c r="H95" s="26"/>
      <c r="I95" s="27" t="str">
        <f>IFERROR(IF(OR($F95="O",$G95="O",$H95="O"),CHOOSE(MATCH($A95,{"튜브","고압","진공","튜닝","조립","출하"},0),"T","H","V","N","A","P")&amp;IF($F95="O","R",IF($G95="O","A",IF($H95="O","F",""))),""),"")</f>
        <v>AR</v>
      </c>
      <c r="J95" s="15"/>
      <c r="K95" s="16" t="s">
        <v>71</v>
      </c>
      <c r="L95" s="17" t="s">
        <v>71</v>
      </c>
      <c r="M95" s="18"/>
      <c r="N95" s="19"/>
      <c r="O95" s="20"/>
      <c r="P95" s="21" t="str">
        <f t="shared" si="1"/>
        <v>46-AR</v>
      </c>
      <c r="Q95" s="108" t="str">
        <f>HYPERLINK("#'마스터_품목'!A271","→ 마스터 R271")</f>
        <v>→ 마스터 R271</v>
      </c>
      <c r="R95" s="109">
        <v>271</v>
      </c>
      <c r="S95" s="109" t="s">
        <v>72</v>
      </c>
    </row>
    <row r="96" spans="1:19" ht="48" customHeight="1" x14ac:dyDescent="0.3">
      <c r="A96" s="22" t="s">
        <v>354</v>
      </c>
      <c r="B96" s="22" t="s">
        <v>471</v>
      </c>
      <c r="C96" s="23" t="s">
        <v>514</v>
      </c>
      <c r="D96" s="23" t="s">
        <v>527</v>
      </c>
      <c r="E96" s="23" t="s">
        <v>528</v>
      </c>
      <c r="F96" s="24" t="s">
        <v>71</v>
      </c>
      <c r="G96" s="25"/>
      <c r="H96" s="26"/>
      <c r="I96" s="27" t="str">
        <f>IFERROR(IF(OR($F96="O",$G96="O",$H96="O"),CHOOSE(MATCH($A96,{"튜브","고압","진공","튜닝","조립","출하"},0),"T","H","V","N","A","P")&amp;IF($F96="O","R",IF($G96="O","A",IF($H96="O","F",""))),""),"")</f>
        <v>AR</v>
      </c>
      <c r="J96" s="15"/>
      <c r="K96" s="16" t="s">
        <v>71</v>
      </c>
      <c r="L96" s="17" t="s">
        <v>71</v>
      </c>
      <c r="M96" s="18"/>
      <c r="N96" s="19"/>
      <c r="O96" s="20"/>
      <c r="P96" s="21" t="str">
        <f t="shared" si="1"/>
        <v>46-AR</v>
      </c>
      <c r="Q96" s="108" t="str">
        <f>HYPERLINK("#'마스터_품목'!A272","→ 마스터 R272")</f>
        <v>→ 마스터 R272</v>
      </c>
      <c r="R96" s="109">
        <v>272</v>
      </c>
      <c r="S96" s="109" t="s">
        <v>72</v>
      </c>
    </row>
    <row r="97" spans="1:19" ht="48" customHeight="1" x14ac:dyDescent="0.3">
      <c r="A97" s="22" t="s">
        <v>354</v>
      </c>
      <c r="B97" s="22" t="s">
        <v>471</v>
      </c>
      <c r="C97" s="23" t="s">
        <v>514</v>
      </c>
      <c r="D97" s="23" t="s">
        <v>529</v>
      </c>
      <c r="E97" s="23" t="s">
        <v>530</v>
      </c>
      <c r="F97" s="24" t="s">
        <v>71</v>
      </c>
      <c r="G97" s="25"/>
      <c r="H97" s="26"/>
      <c r="I97" s="27" t="str">
        <f>IFERROR(IF(OR($F97="O",$G97="O",$H97="O"),CHOOSE(MATCH($A97,{"튜브","고압","진공","튜닝","조립","출하"},0),"T","H","V","N","A","P")&amp;IF($F97="O","R",IF($G97="O","A",IF($H97="O","F",""))),""),"")</f>
        <v>AR</v>
      </c>
      <c r="J97" s="15"/>
      <c r="K97" s="16" t="s">
        <v>71</v>
      </c>
      <c r="L97" s="17" t="s">
        <v>71</v>
      </c>
      <c r="M97" s="18"/>
      <c r="N97" s="19"/>
      <c r="O97" s="20"/>
      <c r="P97" s="21" t="str">
        <f t="shared" si="1"/>
        <v>46-AR</v>
      </c>
      <c r="Q97" s="108" t="str">
        <f>HYPERLINK("#'마스터_품목'!A273","→ 마스터 R273")</f>
        <v>→ 마스터 R273</v>
      </c>
      <c r="R97" s="109">
        <v>273</v>
      </c>
      <c r="S97" s="109" t="s">
        <v>72</v>
      </c>
    </row>
    <row r="98" spans="1:19" ht="48" customHeight="1" x14ac:dyDescent="0.3">
      <c r="A98" s="22" t="s">
        <v>354</v>
      </c>
      <c r="B98" s="22" t="s">
        <v>471</v>
      </c>
      <c r="C98" s="23" t="s">
        <v>514</v>
      </c>
      <c r="D98" s="23" t="s">
        <v>531</v>
      </c>
      <c r="E98" s="23" t="s">
        <v>532</v>
      </c>
      <c r="F98" s="24" t="s">
        <v>71</v>
      </c>
      <c r="G98" s="25"/>
      <c r="H98" s="26"/>
      <c r="I98" s="27" t="str">
        <f>IFERROR(IF(OR($F98="O",$G98="O",$H98="O"),CHOOSE(MATCH($A98,{"튜브","고압","진공","튜닝","조립","출하"},0),"T","H","V","N","A","P")&amp;IF($F98="O","R",IF($G98="O","A",IF($H98="O","F",""))),""),"")</f>
        <v>AR</v>
      </c>
      <c r="J98" s="15"/>
      <c r="K98" s="16" t="s">
        <v>71</v>
      </c>
      <c r="L98" s="17" t="s">
        <v>71</v>
      </c>
      <c r="M98" s="18"/>
      <c r="N98" s="19"/>
      <c r="O98" s="20"/>
      <c r="P98" s="21" t="str">
        <f t="shared" si="1"/>
        <v>46-AR</v>
      </c>
      <c r="Q98" s="108" t="str">
        <f>HYPERLINK("#'마스터_품목'!A274","→ 마스터 R274")</f>
        <v>→ 마스터 R274</v>
      </c>
      <c r="R98" s="109">
        <v>274</v>
      </c>
      <c r="S98" s="109" t="s">
        <v>72</v>
      </c>
    </row>
    <row r="99" spans="1:19" ht="48" customHeight="1" x14ac:dyDescent="0.3">
      <c r="A99" s="22" t="s">
        <v>354</v>
      </c>
      <c r="B99" s="22" t="s">
        <v>471</v>
      </c>
      <c r="C99" s="23" t="s">
        <v>514</v>
      </c>
      <c r="D99" s="23" t="s">
        <v>533</v>
      </c>
      <c r="E99" s="23" t="s">
        <v>534</v>
      </c>
      <c r="F99" s="24" t="s">
        <v>71</v>
      </c>
      <c r="G99" s="25"/>
      <c r="H99" s="26"/>
      <c r="I99" s="27" t="str">
        <f>IFERROR(IF(OR($F99="O",$G99="O",$H99="O"),CHOOSE(MATCH($A99,{"튜브","고압","진공","튜닝","조립","출하"},0),"T","H","V","N","A","P")&amp;IF($F99="O","R",IF($G99="O","A",IF($H99="O","F",""))),""),"")</f>
        <v>AR</v>
      </c>
      <c r="J99" s="15"/>
      <c r="K99" s="16" t="s">
        <v>71</v>
      </c>
      <c r="L99" s="17" t="s">
        <v>71</v>
      </c>
      <c r="M99" s="18"/>
      <c r="N99" s="19"/>
      <c r="O99" s="20"/>
      <c r="P99" s="21" t="str">
        <f t="shared" si="1"/>
        <v>46-AR</v>
      </c>
      <c r="Q99" s="108" t="str">
        <f>HYPERLINK("#'마스터_품목'!A275","→ 마스터 R275")</f>
        <v>→ 마스터 R275</v>
      </c>
      <c r="R99" s="109">
        <v>275</v>
      </c>
      <c r="S99" s="109" t="s">
        <v>72</v>
      </c>
    </row>
    <row r="100" spans="1:19" ht="48" customHeight="1" x14ac:dyDescent="0.3">
      <c r="A100" s="22" t="s">
        <v>354</v>
      </c>
      <c r="B100" s="22" t="s">
        <v>471</v>
      </c>
      <c r="C100" s="23" t="s">
        <v>514</v>
      </c>
      <c r="D100" s="23" t="s">
        <v>535</v>
      </c>
      <c r="E100" s="23"/>
      <c r="F100" s="24" t="s">
        <v>71</v>
      </c>
      <c r="G100" s="25"/>
      <c r="H100" s="26"/>
      <c r="I100" s="27" t="str">
        <f>IFERROR(IF(OR($F100="O",$G100="O",$H100="O"),CHOOSE(MATCH($A100,{"튜브","고압","진공","튜닝","조립","출하"},0),"T","H","V","N","A","P")&amp;IF($F100="O","R",IF($G100="O","A",IF($H100="O","F",""))),""),"")</f>
        <v>AR</v>
      </c>
      <c r="J100" s="15"/>
      <c r="K100" s="16" t="s">
        <v>71</v>
      </c>
      <c r="L100" s="17" t="s">
        <v>71</v>
      </c>
      <c r="M100" s="18"/>
      <c r="N100" s="19"/>
      <c r="O100" s="20"/>
      <c r="P100" s="21" t="str">
        <f t="shared" si="1"/>
        <v>46-AR</v>
      </c>
      <c r="Q100" s="108" t="str">
        <f>HYPERLINK("#'마스터_품목'!A276","→ 마스터 R276")</f>
        <v>→ 마스터 R276</v>
      </c>
      <c r="R100" s="109">
        <v>276</v>
      </c>
      <c r="S100" s="109" t="s">
        <v>72</v>
      </c>
    </row>
    <row r="101" spans="1:19" ht="48" customHeight="1" x14ac:dyDescent="0.3">
      <c r="A101" s="22" t="s">
        <v>354</v>
      </c>
      <c r="B101" s="22" t="s">
        <v>536</v>
      </c>
      <c r="C101" s="23" t="s">
        <v>198</v>
      </c>
      <c r="D101" s="23" t="s">
        <v>537</v>
      </c>
      <c r="E101" s="23" t="s">
        <v>538</v>
      </c>
      <c r="F101" s="24" t="s">
        <v>71</v>
      </c>
      <c r="G101" s="25"/>
      <c r="H101" s="26"/>
      <c r="I101" s="27" t="str">
        <f>IFERROR(IF(OR($F101="O",$G101="O",$H101="O"),CHOOSE(MATCH($A101,{"튜브","고압","진공","튜닝","조립","출하"},0),"T","H","V","N","A","P")&amp;IF($F101="O","R",IF($G101="O","A",IF($H101="O","F",""))),""),"")</f>
        <v>AR</v>
      </c>
      <c r="J101" s="15"/>
      <c r="K101" s="16" t="s">
        <v>71</v>
      </c>
      <c r="L101" s="17"/>
      <c r="M101" s="18"/>
      <c r="N101" s="19"/>
      <c r="O101" s="20"/>
      <c r="P101" s="21" t="str">
        <f t="shared" si="1"/>
        <v>4-AR</v>
      </c>
      <c r="Q101" s="108" t="str">
        <f>HYPERLINK("#'마스터_품목'!A277","→ 마스터 R277")</f>
        <v>→ 마스터 R277</v>
      </c>
      <c r="R101" s="109">
        <v>277</v>
      </c>
      <c r="S101" s="109" t="s">
        <v>72</v>
      </c>
    </row>
    <row r="102" spans="1:19" ht="48" customHeight="1" x14ac:dyDescent="0.3">
      <c r="A102" s="22" t="s">
        <v>354</v>
      </c>
      <c r="B102" s="22" t="s">
        <v>536</v>
      </c>
      <c r="C102" s="23" t="s">
        <v>198</v>
      </c>
      <c r="D102" s="23" t="s">
        <v>539</v>
      </c>
      <c r="E102" s="23" t="s">
        <v>540</v>
      </c>
      <c r="F102" s="24" t="s">
        <v>71</v>
      </c>
      <c r="G102" s="25"/>
      <c r="H102" s="26"/>
      <c r="I102" s="27" t="str">
        <f>IFERROR(IF(OR($F102="O",$G102="O",$H102="O"),CHOOSE(MATCH($A102,{"튜브","고압","진공","튜닝","조립","출하"},0),"T","H","V","N","A","P")&amp;IF($F102="O","R",IF($G102="O","A",IF($H102="O","F",""))),""),"")</f>
        <v>AR</v>
      </c>
      <c r="J102" s="15"/>
      <c r="K102" s="16" t="s">
        <v>71</v>
      </c>
      <c r="L102" s="17"/>
      <c r="M102" s="18"/>
      <c r="N102" s="19"/>
      <c r="O102" s="20"/>
      <c r="P102" s="21" t="str">
        <f t="shared" si="1"/>
        <v>4-AR</v>
      </c>
      <c r="Q102" s="108" t="str">
        <f>HYPERLINK("#'마스터_품목'!A278","→ 마스터 R278")</f>
        <v>→ 마스터 R278</v>
      </c>
      <c r="R102" s="109">
        <v>278</v>
      </c>
      <c r="S102" s="109" t="s">
        <v>72</v>
      </c>
    </row>
    <row r="103" spans="1:19" ht="48" customHeight="1" x14ac:dyDescent="0.3">
      <c r="A103" s="22" t="s">
        <v>354</v>
      </c>
      <c r="B103" s="22" t="s">
        <v>536</v>
      </c>
      <c r="C103" s="23" t="s">
        <v>198</v>
      </c>
      <c r="D103" s="23" t="s">
        <v>541</v>
      </c>
      <c r="E103" s="23" t="s">
        <v>542</v>
      </c>
      <c r="F103" s="24" t="s">
        <v>71</v>
      </c>
      <c r="G103" s="25"/>
      <c r="H103" s="26"/>
      <c r="I103" s="27" t="str">
        <f>IFERROR(IF(OR($F103="O",$G103="O",$H103="O"),CHOOSE(MATCH($A103,{"튜브","고압","진공","튜닝","조립","출하"},0),"T","H","V","N","A","P")&amp;IF($F103="O","R",IF($G103="O","A",IF($H103="O","F",""))),""),"")</f>
        <v>AR</v>
      </c>
      <c r="J103" s="15"/>
      <c r="K103" s="16" t="s">
        <v>71</v>
      </c>
      <c r="L103" s="17"/>
      <c r="M103" s="18"/>
      <c r="N103" s="19"/>
      <c r="O103" s="20"/>
      <c r="P103" s="21" t="str">
        <f t="shared" si="1"/>
        <v>4-AR</v>
      </c>
      <c r="Q103" s="108" t="str">
        <f>HYPERLINK("#'마스터_품목'!A279","→ 마스터 R279")</f>
        <v>→ 마스터 R279</v>
      </c>
      <c r="R103" s="109">
        <v>279</v>
      </c>
      <c r="S103" s="109" t="s">
        <v>72</v>
      </c>
    </row>
    <row r="104" spans="1:19" ht="48" customHeight="1" x14ac:dyDescent="0.3">
      <c r="A104" s="22" t="s">
        <v>354</v>
      </c>
      <c r="B104" s="22" t="s">
        <v>536</v>
      </c>
      <c r="C104" s="23" t="s">
        <v>198</v>
      </c>
      <c r="D104" s="23" t="s">
        <v>543</v>
      </c>
      <c r="E104" s="23" t="s">
        <v>544</v>
      </c>
      <c r="F104" s="24" t="s">
        <v>71</v>
      </c>
      <c r="G104" s="25"/>
      <c r="H104" s="26"/>
      <c r="I104" s="27" t="str">
        <f>IFERROR(IF(OR($F104="O",$G104="O",$H104="O"),CHOOSE(MATCH($A104,{"튜브","고압","진공","튜닝","조립","출하"},0),"T","H","V","N","A","P")&amp;IF($F104="O","R",IF($G104="O","A",IF($H104="O","F",""))),""),"")</f>
        <v>AR</v>
      </c>
      <c r="J104" s="15"/>
      <c r="K104" s="16" t="s">
        <v>71</v>
      </c>
      <c r="L104" s="17"/>
      <c r="M104" s="18"/>
      <c r="N104" s="19"/>
      <c r="O104" s="20"/>
      <c r="P104" s="21" t="str">
        <f t="shared" si="1"/>
        <v>4-AR</v>
      </c>
      <c r="Q104" s="108" t="str">
        <f>HYPERLINK("#'마스터_품목'!A280","→ 마스터 R280")</f>
        <v>→ 마스터 R280</v>
      </c>
      <c r="R104" s="109">
        <v>280</v>
      </c>
      <c r="S104" s="109" t="s">
        <v>72</v>
      </c>
    </row>
    <row r="105" spans="1:19" ht="48" customHeight="1" x14ac:dyDescent="0.3">
      <c r="A105" s="22" t="s">
        <v>354</v>
      </c>
      <c r="B105" s="22" t="s">
        <v>536</v>
      </c>
      <c r="C105" s="23" t="s">
        <v>198</v>
      </c>
      <c r="D105" s="23" t="s">
        <v>545</v>
      </c>
      <c r="E105" s="23" t="s">
        <v>546</v>
      </c>
      <c r="F105" s="24" t="s">
        <v>71</v>
      </c>
      <c r="G105" s="25"/>
      <c r="H105" s="26"/>
      <c r="I105" s="27" t="str">
        <f>IFERROR(IF(OR($F105="O",$G105="O",$H105="O"),CHOOSE(MATCH($A105,{"튜브","고압","진공","튜닝","조립","출하"},0),"T","H","V","N","A","P")&amp;IF($F105="O","R",IF($G105="O","A",IF($H105="O","F",""))),""),"")</f>
        <v>AR</v>
      </c>
      <c r="J105" s="15"/>
      <c r="K105" s="16" t="s">
        <v>71</v>
      </c>
      <c r="L105" s="17"/>
      <c r="M105" s="18"/>
      <c r="N105" s="19"/>
      <c r="O105" s="20"/>
      <c r="P105" s="21" t="str">
        <f t="shared" si="1"/>
        <v>4-AR</v>
      </c>
      <c r="Q105" s="108" t="str">
        <f>HYPERLINK("#'마스터_품목'!A281","→ 마스터 R281")</f>
        <v>→ 마스터 R281</v>
      </c>
      <c r="R105" s="109">
        <v>281</v>
      </c>
      <c r="S105" s="109" t="s">
        <v>72</v>
      </c>
    </row>
    <row r="106" spans="1:19" ht="48" customHeight="1" x14ac:dyDescent="0.3">
      <c r="A106" s="22" t="s">
        <v>354</v>
      </c>
      <c r="B106" s="22" t="s">
        <v>536</v>
      </c>
      <c r="C106" s="23" t="s">
        <v>198</v>
      </c>
      <c r="D106" s="23" t="s">
        <v>547</v>
      </c>
      <c r="E106" s="23" t="s">
        <v>548</v>
      </c>
      <c r="F106" s="24" t="s">
        <v>71</v>
      </c>
      <c r="G106" s="25"/>
      <c r="H106" s="26"/>
      <c r="I106" s="27" t="str">
        <f>IFERROR(IF(OR($F106="O",$G106="O",$H106="O"),CHOOSE(MATCH($A106,{"튜브","고압","진공","튜닝","조립","출하"},0),"T","H","V","N","A","P")&amp;IF($F106="O","R",IF($G106="O","A",IF($H106="O","F",""))),""),"")</f>
        <v>AR</v>
      </c>
      <c r="J106" s="15"/>
      <c r="K106" s="16" t="s">
        <v>71</v>
      </c>
      <c r="L106" s="17"/>
      <c r="M106" s="18"/>
      <c r="N106" s="19"/>
      <c r="O106" s="20"/>
      <c r="P106" s="21" t="str">
        <f t="shared" si="1"/>
        <v>4-AR</v>
      </c>
      <c r="Q106" s="108" t="str">
        <f>HYPERLINK("#'마스터_품목'!A282","→ 마스터 R282")</f>
        <v>→ 마스터 R282</v>
      </c>
      <c r="R106" s="109">
        <v>282</v>
      </c>
      <c r="S106" s="109" t="s">
        <v>72</v>
      </c>
    </row>
    <row r="107" spans="1:19" ht="48" customHeight="1" x14ac:dyDescent="0.3">
      <c r="A107" s="22" t="s">
        <v>354</v>
      </c>
      <c r="B107" s="22" t="s">
        <v>536</v>
      </c>
      <c r="C107" s="23" t="s">
        <v>514</v>
      </c>
      <c r="D107" s="23" t="s">
        <v>549</v>
      </c>
      <c r="E107" s="23" t="s">
        <v>550</v>
      </c>
      <c r="F107" s="24" t="s">
        <v>71</v>
      </c>
      <c r="G107" s="25"/>
      <c r="H107" s="26"/>
      <c r="I107" s="27" t="str">
        <f>IFERROR(IF(OR($F107="O",$G107="O",$H107="O"),CHOOSE(MATCH($A107,{"튜브","고압","진공","튜닝","조립","출하"},0),"T","H","V","N","A","P")&amp;IF($F107="O","R",IF($G107="O","A",IF($H107="O","F",""))),""),"")</f>
        <v>AR</v>
      </c>
      <c r="J107" s="15"/>
      <c r="K107" s="16" t="s">
        <v>71</v>
      </c>
      <c r="L107" s="17" t="s">
        <v>71</v>
      </c>
      <c r="M107" s="18"/>
      <c r="N107" s="19"/>
      <c r="O107" s="20"/>
      <c r="P107" s="21" t="str">
        <f t="shared" si="1"/>
        <v>46-AR</v>
      </c>
      <c r="Q107" s="108" t="str">
        <f>HYPERLINK("#'마스터_품목'!A283","→ 마스터 R283")</f>
        <v>→ 마스터 R283</v>
      </c>
      <c r="R107" s="109">
        <v>283</v>
      </c>
      <c r="S107" s="109" t="s">
        <v>72</v>
      </c>
    </row>
    <row r="108" spans="1:19" ht="48" customHeight="1" x14ac:dyDescent="0.3">
      <c r="A108" s="22" t="s">
        <v>354</v>
      </c>
      <c r="B108" s="22" t="s">
        <v>536</v>
      </c>
      <c r="C108" s="23" t="s">
        <v>198</v>
      </c>
      <c r="D108" s="23" t="s">
        <v>551</v>
      </c>
      <c r="E108" s="23" t="s">
        <v>552</v>
      </c>
      <c r="F108" s="24" t="s">
        <v>71</v>
      </c>
      <c r="G108" s="25"/>
      <c r="H108" s="26"/>
      <c r="I108" s="27" t="str">
        <f>IFERROR(IF(OR($F108="O",$G108="O",$H108="O"),CHOOSE(MATCH($A108,{"튜브","고압","진공","튜닝","조립","출하"},0),"T","H","V","N","A","P")&amp;IF($F108="O","R",IF($G108="O","A",IF($H108="O","F",""))),""),"")</f>
        <v>AR</v>
      </c>
      <c r="J108" s="15"/>
      <c r="K108" s="16" t="s">
        <v>71</v>
      </c>
      <c r="L108" s="17"/>
      <c r="M108" s="18"/>
      <c r="N108" s="19"/>
      <c r="O108" s="20"/>
      <c r="P108" s="21" t="str">
        <f t="shared" si="1"/>
        <v>4-AR</v>
      </c>
      <c r="Q108" s="108" t="str">
        <f>HYPERLINK("#'마스터_품목'!A284","→ 마스터 R284")</f>
        <v>→ 마스터 R284</v>
      </c>
      <c r="R108" s="109">
        <v>284</v>
      </c>
      <c r="S108" s="109" t="s">
        <v>72</v>
      </c>
    </row>
    <row r="109" spans="1:19" ht="48" customHeight="1" x14ac:dyDescent="0.3">
      <c r="A109" s="22" t="s">
        <v>354</v>
      </c>
      <c r="B109" s="22" t="s">
        <v>536</v>
      </c>
      <c r="C109" s="23" t="s">
        <v>514</v>
      </c>
      <c r="D109" s="23" t="s">
        <v>553</v>
      </c>
      <c r="E109" s="23" t="s">
        <v>554</v>
      </c>
      <c r="F109" s="24" t="s">
        <v>71</v>
      </c>
      <c r="G109" s="25"/>
      <c r="H109" s="26"/>
      <c r="I109" s="27" t="str">
        <f>IFERROR(IF(OR($F109="O",$G109="O",$H109="O"),CHOOSE(MATCH($A109,{"튜브","고압","진공","튜닝","조립","출하"},0),"T","H","V","N","A","P")&amp;IF($F109="O","R",IF($G109="O","A",IF($H109="O","F",""))),""),"")</f>
        <v>AR</v>
      </c>
      <c r="J109" s="15"/>
      <c r="K109" s="16" t="s">
        <v>71</v>
      </c>
      <c r="L109" s="17" t="s">
        <v>71</v>
      </c>
      <c r="M109" s="18"/>
      <c r="N109" s="19"/>
      <c r="O109" s="20"/>
      <c r="P109" s="21" t="str">
        <f t="shared" si="1"/>
        <v>46-AR</v>
      </c>
      <c r="Q109" s="108" t="str">
        <f>HYPERLINK("#'마스터_품목'!A285","→ 마스터 R285")</f>
        <v>→ 마스터 R285</v>
      </c>
      <c r="R109" s="109">
        <v>285</v>
      </c>
      <c r="S109" s="109" t="s">
        <v>72</v>
      </c>
    </row>
    <row r="110" spans="1:19" ht="48" customHeight="1" x14ac:dyDescent="0.3">
      <c r="A110" s="22" t="s">
        <v>354</v>
      </c>
      <c r="B110" s="22" t="s">
        <v>536</v>
      </c>
      <c r="C110" s="23" t="s">
        <v>198</v>
      </c>
      <c r="D110" s="23" t="s">
        <v>555</v>
      </c>
      <c r="E110" s="23" t="s">
        <v>556</v>
      </c>
      <c r="F110" s="24" t="s">
        <v>71</v>
      </c>
      <c r="G110" s="25"/>
      <c r="H110" s="26"/>
      <c r="I110" s="27" t="str">
        <f>IFERROR(IF(OR($F110="O",$G110="O",$H110="O"),CHOOSE(MATCH($A110,{"튜브","고압","진공","튜닝","조립","출하"},0),"T","H","V","N","A","P")&amp;IF($F110="O","R",IF($G110="O","A",IF($H110="O","F",""))),""),"")</f>
        <v>AR</v>
      </c>
      <c r="J110" s="15"/>
      <c r="K110" s="16" t="s">
        <v>71</v>
      </c>
      <c r="L110" s="17"/>
      <c r="M110" s="18"/>
      <c r="N110" s="19"/>
      <c r="O110" s="20"/>
      <c r="P110" s="21" t="str">
        <f t="shared" si="1"/>
        <v>4-AR</v>
      </c>
      <c r="Q110" s="108" t="str">
        <f>HYPERLINK("#'마스터_품목'!A286","→ 마스터 R286")</f>
        <v>→ 마스터 R286</v>
      </c>
      <c r="R110" s="109">
        <v>286</v>
      </c>
      <c r="S110" s="109" t="s">
        <v>72</v>
      </c>
    </row>
    <row r="111" spans="1:19" ht="48" customHeight="1" x14ac:dyDescent="0.3">
      <c r="A111" s="22" t="s">
        <v>354</v>
      </c>
      <c r="B111" s="22" t="s">
        <v>536</v>
      </c>
      <c r="C111" s="23" t="s">
        <v>198</v>
      </c>
      <c r="D111" s="23" t="s">
        <v>557</v>
      </c>
      <c r="E111" s="23" t="s">
        <v>558</v>
      </c>
      <c r="F111" s="24" t="s">
        <v>71</v>
      </c>
      <c r="G111" s="25"/>
      <c r="H111" s="26"/>
      <c r="I111" s="27" t="str">
        <f>IFERROR(IF(OR($F111="O",$G111="O",$H111="O"),CHOOSE(MATCH($A111,{"튜브","고압","진공","튜닝","조립","출하"},0),"T","H","V","N","A","P")&amp;IF($F111="O","R",IF($G111="O","A",IF($H111="O","F",""))),""),"")</f>
        <v>AR</v>
      </c>
      <c r="J111" s="15"/>
      <c r="K111" s="16" t="s">
        <v>71</v>
      </c>
      <c r="L111" s="17"/>
      <c r="M111" s="18"/>
      <c r="N111" s="19"/>
      <c r="O111" s="20"/>
      <c r="P111" s="21" t="str">
        <f t="shared" si="1"/>
        <v>4-AR</v>
      </c>
      <c r="Q111" s="108" t="str">
        <f>HYPERLINK("#'마스터_품목'!A287","→ 마스터 R287")</f>
        <v>→ 마스터 R287</v>
      </c>
      <c r="R111" s="109">
        <v>287</v>
      </c>
      <c r="S111" s="109" t="s">
        <v>72</v>
      </c>
    </row>
    <row r="112" spans="1:19" ht="48" customHeight="1" x14ac:dyDescent="0.3">
      <c r="A112" s="22" t="s">
        <v>354</v>
      </c>
      <c r="B112" s="22" t="s">
        <v>536</v>
      </c>
      <c r="C112" s="23" t="s">
        <v>514</v>
      </c>
      <c r="D112" s="23" t="s">
        <v>559</v>
      </c>
      <c r="E112" s="23" t="s">
        <v>560</v>
      </c>
      <c r="F112" s="24" t="s">
        <v>71</v>
      </c>
      <c r="G112" s="25"/>
      <c r="H112" s="26"/>
      <c r="I112" s="27" t="str">
        <f>IFERROR(IF(OR($F112="O",$G112="O",$H112="O"),CHOOSE(MATCH($A112,{"튜브","고압","진공","튜닝","조립","출하"},0),"T","H","V","N","A","P")&amp;IF($F112="O","R",IF($G112="O","A",IF($H112="O","F",""))),""),"")</f>
        <v>AR</v>
      </c>
      <c r="J112" s="15"/>
      <c r="K112" s="16" t="s">
        <v>71</v>
      </c>
      <c r="L112" s="17"/>
      <c r="M112" s="18"/>
      <c r="N112" s="19"/>
      <c r="O112" s="20"/>
      <c r="P112" s="21" t="str">
        <f t="shared" si="1"/>
        <v>4-AR</v>
      </c>
      <c r="Q112" s="108" t="str">
        <f>HYPERLINK("#'마스터_품목'!A288","→ 마스터 R288")</f>
        <v>→ 마스터 R288</v>
      </c>
      <c r="R112" s="109">
        <v>288</v>
      </c>
      <c r="S112" s="109" t="s">
        <v>72</v>
      </c>
    </row>
    <row r="113" spans="1:19" ht="48" customHeight="1" x14ac:dyDescent="0.3">
      <c r="A113" s="22" t="s">
        <v>354</v>
      </c>
      <c r="B113" s="22" t="s">
        <v>536</v>
      </c>
      <c r="C113" s="23" t="s">
        <v>198</v>
      </c>
      <c r="D113" s="23" t="s">
        <v>561</v>
      </c>
      <c r="E113" s="23" t="s">
        <v>562</v>
      </c>
      <c r="F113" s="24" t="s">
        <v>71</v>
      </c>
      <c r="G113" s="25"/>
      <c r="H113" s="26"/>
      <c r="I113" s="27" t="str">
        <f>IFERROR(IF(OR($F113="O",$G113="O",$H113="O"),CHOOSE(MATCH($A113,{"튜브","고압","진공","튜닝","조립","출하"},0),"T","H","V","N","A","P")&amp;IF($F113="O","R",IF($G113="O","A",IF($H113="O","F",""))),""),"")</f>
        <v>AR</v>
      </c>
      <c r="J113" s="15"/>
      <c r="K113" s="16" t="s">
        <v>71</v>
      </c>
      <c r="L113" s="17" t="s">
        <v>71</v>
      </c>
      <c r="M113" s="18"/>
      <c r="N113" s="19"/>
      <c r="O113" s="20"/>
      <c r="P113" s="21" t="str">
        <f t="shared" si="1"/>
        <v>46-AR</v>
      </c>
      <c r="Q113" s="108" t="str">
        <f>HYPERLINK("#'마스터_품목'!A289","→ 마스터 R289")</f>
        <v>→ 마스터 R289</v>
      </c>
      <c r="R113" s="109">
        <v>289</v>
      </c>
      <c r="S113" s="109" t="s">
        <v>72</v>
      </c>
    </row>
    <row r="114" spans="1:19" ht="48" customHeight="1" x14ac:dyDescent="0.3">
      <c r="A114" s="22" t="s">
        <v>354</v>
      </c>
      <c r="B114" s="22" t="s">
        <v>415</v>
      </c>
      <c r="C114" s="23" t="s">
        <v>514</v>
      </c>
      <c r="D114" s="23" t="s">
        <v>563</v>
      </c>
      <c r="E114" s="23" t="s">
        <v>564</v>
      </c>
      <c r="F114" s="24" t="s">
        <v>71</v>
      </c>
      <c r="G114" s="25"/>
      <c r="H114" s="26"/>
      <c r="I114" s="27" t="str">
        <f>IFERROR(IF(OR($F114="O",$G114="O",$H114="O"),CHOOSE(MATCH($A114,{"튜브","고압","진공","튜닝","조립","출하"},0),"T","H","V","N","A","P")&amp;IF($F114="O","R",IF($G114="O","A",IF($H114="O","F",""))),""),"")</f>
        <v>AR</v>
      </c>
      <c r="J114" s="15"/>
      <c r="K114" s="16" t="s">
        <v>71</v>
      </c>
      <c r="L114" s="17" t="s">
        <v>71</v>
      </c>
      <c r="M114" s="18"/>
      <c r="N114" s="19"/>
      <c r="O114" s="20"/>
      <c r="P114" s="21" t="str">
        <f t="shared" si="1"/>
        <v>46-AR</v>
      </c>
      <c r="Q114" s="108" t="str">
        <f>HYPERLINK("#'마스터_품목'!A290","→ 마스터 R290")</f>
        <v>→ 마스터 R290</v>
      </c>
      <c r="R114" s="109">
        <v>290</v>
      </c>
      <c r="S114" s="109" t="s">
        <v>72</v>
      </c>
    </row>
    <row r="115" spans="1:19" ht="48" customHeight="1" x14ac:dyDescent="0.3">
      <c r="A115" s="22" t="s">
        <v>354</v>
      </c>
      <c r="B115" s="22" t="s">
        <v>415</v>
      </c>
      <c r="C115" s="23" t="s">
        <v>198</v>
      </c>
      <c r="D115" s="23" t="s">
        <v>565</v>
      </c>
      <c r="E115" s="23" t="s">
        <v>566</v>
      </c>
      <c r="F115" s="24" t="s">
        <v>71</v>
      </c>
      <c r="G115" s="25"/>
      <c r="H115" s="26"/>
      <c r="I115" s="27" t="str">
        <f>IFERROR(IF(OR($F115="O",$G115="O",$H115="O"),CHOOSE(MATCH($A115,{"튜브","고압","진공","튜닝","조립","출하"},0),"T","H","V","N","A","P")&amp;IF($F115="O","R",IF($G115="O","A",IF($H115="O","F",""))),""),"")</f>
        <v>AR</v>
      </c>
      <c r="J115" s="15"/>
      <c r="K115" s="16" t="s">
        <v>71</v>
      </c>
      <c r="L115" s="17"/>
      <c r="M115" s="18"/>
      <c r="N115" s="19"/>
      <c r="O115" s="20"/>
      <c r="P115" s="21" t="str">
        <f t="shared" si="1"/>
        <v>4-AR</v>
      </c>
      <c r="Q115" s="108" t="str">
        <f>HYPERLINK("#'마스터_품목'!A291","→ 마스터 R291")</f>
        <v>→ 마스터 R291</v>
      </c>
      <c r="R115" s="109">
        <v>291</v>
      </c>
      <c r="S115" s="109" t="s">
        <v>72</v>
      </c>
    </row>
    <row r="116" spans="1:19" ht="48" customHeight="1" x14ac:dyDescent="0.3">
      <c r="A116" s="22" t="s">
        <v>354</v>
      </c>
      <c r="B116" s="22" t="s">
        <v>415</v>
      </c>
      <c r="C116" s="23" t="s">
        <v>198</v>
      </c>
      <c r="D116" s="23" t="s">
        <v>567</v>
      </c>
      <c r="E116" s="23" t="s">
        <v>568</v>
      </c>
      <c r="F116" s="24" t="s">
        <v>71</v>
      </c>
      <c r="G116" s="25"/>
      <c r="H116" s="26"/>
      <c r="I116" s="27" t="str">
        <f>IFERROR(IF(OR($F116="O",$G116="O",$H116="O"),CHOOSE(MATCH($A116,{"튜브","고압","진공","튜닝","조립","출하"},0),"T","H","V","N","A","P")&amp;IF($F116="O","R",IF($G116="O","A",IF($H116="O","F",""))),""),"")</f>
        <v>AR</v>
      </c>
      <c r="J116" s="15"/>
      <c r="K116" s="16" t="s">
        <v>71</v>
      </c>
      <c r="L116" s="17"/>
      <c r="M116" s="18"/>
      <c r="N116" s="19"/>
      <c r="O116" s="20"/>
      <c r="P116" s="21" t="str">
        <f t="shared" si="1"/>
        <v>4-AR</v>
      </c>
      <c r="Q116" s="108" t="str">
        <f>HYPERLINK("#'마스터_품목'!A292","→ 마스터 R292")</f>
        <v>→ 마스터 R292</v>
      </c>
      <c r="R116" s="109">
        <v>292</v>
      </c>
      <c r="S116" s="109" t="s">
        <v>72</v>
      </c>
    </row>
    <row r="117" spans="1:19" ht="48" customHeight="1" x14ac:dyDescent="0.3">
      <c r="A117" s="22" t="s">
        <v>354</v>
      </c>
      <c r="B117" s="22" t="s">
        <v>415</v>
      </c>
      <c r="C117" s="23" t="s">
        <v>198</v>
      </c>
      <c r="D117" s="23" t="s">
        <v>569</v>
      </c>
      <c r="E117" s="23" t="s">
        <v>570</v>
      </c>
      <c r="F117" s="24" t="s">
        <v>71</v>
      </c>
      <c r="G117" s="25"/>
      <c r="H117" s="26"/>
      <c r="I117" s="27" t="str">
        <f>IFERROR(IF(OR($F117="O",$G117="O",$H117="O"),CHOOSE(MATCH($A117,{"튜브","고압","진공","튜닝","조립","출하"},0),"T","H","V","N","A","P")&amp;IF($F117="O","R",IF($G117="O","A",IF($H117="O","F",""))),""),"")</f>
        <v>AR</v>
      </c>
      <c r="J117" s="15"/>
      <c r="K117" s="16" t="s">
        <v>71</v>
      </c>
      <c r="L117" s="17"/>
      <c r="M117" s="18"/>
      <c r="N117" s="19"/>
      <c r="O117" s="20"/>
      <c r="P117" s="21" t="str">
        <f t="shared" si="1"/>
        <v>4-AR</v>
      </c>
      <c r="Q117" s="108" t="str">
        <f>HYPERLINK("#'마스터_품목'!A293","→ 마스터 R293")</f>
        <v>→ 마스터 R293</v>
      </c>
      <c r="R117" s="109">
        <v>293</v>
      </c>
      <c r="S117" s="109" t="s">
        <v>72</v>
      </c>
    </row>
    <row r="118" spans="1:19" ht="48" customHeight="1" x14ac:dyDescent="0.3">
      <c r="A118" s="22" t="s">
        <v>354</v>
      </c>
      <c r="B118" s="22" t="s">
        <v>415</v>
      </c>
      <c r="C118" s="23" t="s">
        <v>198</v>
      </c>
      <c r="D118" s="23" t="s">
        <v>571</v>
      </c>
      <c r="E118" s="23" t="s">
        <v>572</v>
      </c>
      <c r="F118" s="24" t="s">
        <v>71</v>
      </c>
      <c r="G118" s="25"/>
      <c r="H118" s="26"/>
      <c r="I118" s="27" t="str">
        <f>IFERROR(IF(OR($F118="O",$G118="O",$H118="O"),CHOOSE(MATCH($A118,{"튜브","고압","진공","튜닝","조립","출하"},0),"T","H","V","N","A","P")&amp;IF($F118="O","R",IF($G118="O","A",IF($H118="O","F",""))),""),"")</f>
        <v>AR</v>
      </c>
      <c r="J118" s="15"/>
      <c r="K118" s="16" t="s">
        <v>71</v>
      </c>
      <c r="L118" s="17"/>
      <c r="M118" s="18"/>
      <c r="N118" s="19"/>
      <c r="O118" s="20"/>
      <c r="P118" s="21" t="str">
        <f t="shared" si="1"/>
        <v>4-AR</v>
      </c>
      <c r="Q118" s="108" t="str">
        <f>HYPERLINK("#'마스터_품목'!A294","→ 마스터 R294")</f>
        <v>→ 마스터 R294</v>
      </c>
      <c r="R118" s="109">
        <v>294</v>
      </c>
      <c r="S118" s="109" t="s">
        <v>72</v>
      </c>
    </row>
    <row r="119" spans="1:19" ht="48" customHeight="1" x14ac:dyDescent="0.3">
      <c r="A119" s="22" t="s">
        <v>354</v>
      </c>
      <c r="B119" s="22" t="s">
        <v>415</v>
      </c>
      <c r="C119" s="23" t="s">
        <v>514</v>
      </c>
      <c r="D119" s="23" t="s">
        <v>573</v>
      </c>
      <c r="E119" s="23" t="s">
        <v>574</v>
      </c>
      <c r="F119" s="24" t="s">
        <v>71</v>
      </c>
      <c r="G119" s="25"/>
      <c r="H119" s="26"/>
      <c r="I119" s="27" t="str">
        <f>IFERROR(IF(OR($F119="O",$G119="O",$H119="O"),CHOOSE(MATCH($A119,{"튜브","고압","진공","튜닝","조립","출하"},0),"T","H","V","N","A","P")&amp;IF($F119="O","R",IF($G119="O","A",IF($H119="O","F",""))),""),"")</f>
        <v>AR</v>
      </c>
      <c r="J119" s="15"/>
      <c r="K119" s="16" t="s">
        <v>71</v>
      </c>
      <c r="L119" s="17"/>
      <c r="M119" s="18"/>
      <c r="N119" s="19"/>
      <c r="O119" s="20"/>
      <c r="P119" s="21" t="str">
        <f t="shared" si="1"/>
        <v>4-AR</v>
      </c>
      <c r="Q119" s="108" t="str">
        <f>HYPERLINK("#'마스터_품목'!A295","→ 마스터 R295")</f>
        <v>→ 마스터 R295</v>
      </c>
      <c r="R119" s="109">
        <v>295</v>
      </c>
      <c r="S119" s="109" t="s">
        <v>72</v>
      </c>
    </row>
    <row r="120" spans="1:19" ht="48" customHeight="1" x14ac:dyDescent="0.3">
      <c r="A120" s="22" t="s">
        <v>354</v>
      </c>
      <c r="B120" s="22" t="s">
        <v>415</v>
      </c>
      <c r="C120" s="23" t="s">
        <v>575</v>
      </c>
      <c r="D120" s="23" t="s">
        <v>576</v>
      </c>
      <c r="E120" s="23" t="s">
        <v>577</v>
      </c>
      <c r="F120" s="24" t="s">
        <v>71</v>
      </c>
      <c r="G120" s="25"/>
      <c r="H120" s="26"/>
      <c r="I120" s="27" t="str">
        <f>IFERROR(IF(OR($F120="O",$G120="O",$H120="O"),CHOOSE(MATCH($A120,{"튜브","고압","진공","튜닝","조립","출하"},0),"T","H","V","N","A","P")&amp;IF($F120="O","R",IF($G120="O","A",IF($H120="O","F",""))),""),"")</f>
        <v>AR</v>
      </c>
      <c r="J120" s="15"/>
      <c r="K120" s="16" t="s">
        <v>71</v>
      </c>
      <c r="L120" s="17" t="s">
        <v>71</v>
      </c>
      <c r="M120" s="18"/>
      <c r="N120" s="19"/>
      <c r="O120" s="20"/>
      <c r="P120" s="21" t="str">
        <f t="shared" si="1"/>
        <v>46-AR</v>
      </c>
      <c r="Q120" s="108" t="str">
        <f>HYPERLINK("#'마스터_품목'!A296","→ 마스터 R296")</f>
        <v>→ 마스터 R296</v>
      </c>
      <c r="R120" s="109">
        <v>296</v>
      </c>
      <c r="S120" s="109" t="s">
        <v>72</v>
      </c>
    </row>
    <row r="121" spans="1:19" ht="48" customHeight="1" x14ac:dyDescent="0.3">
      <c r="A121" s="22" t="s">
        <v>354</v>
      </c>
      <c r="B121" s="22" t="s">
        <v>415</v>
      </c>
      <c r="C121" s="23" t="s">
        <v>198</v>
      </c>
      <c r="D121" s="23" t="s">
        <v>578</v>
      </c>
      <c r="E121" s="23"/>
      <c r="F121" s="24" t="s">
        <v>71</v>
      </c>
      <c r="G121" s="25"/>
      <c r="H121" s="26"/>
      <c r="I121" s="27" t="str">
        <f>IFERROR(IF(OR($F121="O",$G121="O",$H121="O"),CHOOSE(MATCH($A121,{"튜브","고압","진공","튜닝","조립","출하"},0),"T","H","V","N","A","P")&amp;IF($F121="O","R",IF($G121="O","A",IF($H121="O","F",""))),""),"")</f>
        <v>AR</v>
      </c>
      <c r="J121" s="15"/>
      <c r="K121" s="16" t="s">
        <v>71</v>
      </c>
      <c r="L121" s="17" t="s">
        <v>71</v>
      </c>
      <c r="M121" s="18"/>
      <c r="N121" s="19"/>
      <c r="O121" s="20"/>
      <c r="P121" s="21" t="str">
        <f t="shared" si="1"/>
        <v>46-AR</v>
      </c>
      <c r="Q121" s="108" t="str">
        <f>HYPERLINK("#'마스터_품목'!A297","→ 마스터 R297")</f>
        <v>→ 마스터 R297</v>
      </c>
      <c r="R121" s="109">
        <v>297</v>
      </c>
      <c r="S121" s="109" t="s">
        <v>72</v>
      </c>
    </row>
    <row r="122" spans="1:19" ht="48" customHeight="1" x14ac:dyDescent="0.3">
      <c r="A122" s="22" t="s">
        <v>354</v>
      </c>
      <c r="B122" s="22" t="s">
        <v>415</v>
      </c>
      <c r="C122" s="23" t="s">
        <v>198</v>
      </c>
      <c r="D122" s="23" t="s">
        <v>579</v>
      </c>
      <c r="E122" s="23" t="s">
        <v>580</v>
      </c>
      <c r="F122" s="24" t="s">
        <v>71</v>
      </c>
      <c r="G122" s="25"/>
      <c r="H122" s="26"/>
      <c r="I122" s="27" t="str">
        <f>IFERROR(IF(OR($F122="O",$G122="O",$H122="O"),CHOOSE(MATCH($A122,{"튜브","고압","진공","튜닝","조립","출하"},0),"T","H","V","N","A","P")&amp;IF($F122="O","R",IF($G122="O","A",IF($H122="O","F",""))),""),"")</f>
        <v>AR</v>
      </c>
      <c r="J122" s="15"/>
      <c r="K122" s="16" t="s">
        <v>71</v>
      </c>
      <c r="L122" s="17"/>
      <c r="M122" s="18"/>
      <c r="N122" s="19"/>
      <c r="O122" s="20"/>
      <c r="P122" s="21" t="str">
        <f t="shared" si="1"/>
        <v>4-AR</v>
      </c>
      <c r="Q122" s="108" t="str">
        <f>HYPERLINK("#'마스터_품목'!A298","→ 마스터 R298")</f>
        <v>→ 마스터 R298</v>
      </c>
      <c r="R122" s="109">
        <v>298</v>
      </c>
      <c r="S122" s="109" t="s">
        <v>72</v>
      </c>
    </row>
    <row r="123" spans="1:19" ht="48" customHeight="1" x14ac:dyDescent="0.3">
      <c r="A123" s="22" t="s">
        <v>354</v>
      </c>
      <c r="B123" s="22" t="s">
        <v>581</v>
      </c>
      <c r="C123" s="23" t="s">
        <v>198</v>
      </c>
      <c r="D123" s="23" t="s">
        <v>582</v>
      </c>
      <c r="E123" s="23"/>
      <c r="F123" s="24"/>
      <c r="G123" s="25" t="s">
        <v>71</v>
      </c>
      <c r="H123" s="26"/>
      <c r="I123" s="27" t="str">
        <f>IFERROR(IF(OR($F123="O",$G123="O",$H123="O"),CHOOSE(MATCH($A123,{"튜브","고압","진공","튜닝","조립","출하"},0),"T","H","V","N","A","P")&amp;IF($F123="O","R",IF($G123="O","A",IF($H123="O","F",""))),""),"")</f>
        <v>AA</v>
      </c>
      <c r="J123" s="15"/>
      <c r="K123" s="16" t="s">
        <v>71</v>
      </c>
      <c r="L123" s="17"/>
      <c r="M123" s="18"/>
      <c r="N123" s="19"/>
      <c r="O123" s="20"/>
      <c r="P123" s="21" t="str">
        <f t="shared" si="1"/>
        <v>4-AA</v>
      </c>
      <c r="Q123" s="108" t="str">
        <f>HYPERLINK("#'마스터_품목'!A299","→ 마스터 R299")</f>
        <v>→ 마스터 R299</v>
      </c>
      <c r="R123" s="109">
        <v>299</v>
      </c>
      <c r="S123" s="109" t="s">
        <v>72</v>
      </c>
    </row>
    <row r="124" spans="1:19" ht="48" customHeight="1" x14ac:dyDescent="0.3">
      <c r="A124" s="22" t="s">
        <v>354</v>
      </c>
      <c r="B124" s="22" t="s">
        <v>581</v>
      </c>
      <c r="C124" s="23" t="s">
        <v>198</v>
      </c>
      <c r="D124" s="23" t="s">
        <v>583</v>
      </c>
      <c r="E124" s="23"/>
      <c r="F124" s="24"/>
      <c r="G124" s="25" t="s">
        <v>71</v>
      </c>
      <c r="H124" s="26"/>
      <c r="I124" s="27" t="str">
        <f>IFERROR(IF(OR($F124="O",$G124="O",$H124="O"),CHOOSE(MATCH($A124,{"튜브","고압","진공","튜닝","조립","출하"},0),"T","H","V","N","A","P")&amp;IF($F124="O","R",IF($G124="O","A",IF($H124="O","F",""))),""),"")</f>
        <v>AA</v>
      </c>
      <c r="J124" s="15"/>
      <c r="K124" s="16" t="s">
        <v>71</v>
      </c>
      <c r="L124" s="17"/>
      <c r="M124" s="18"/>
      <c r="N124" s="19"/>
      <c r="O124" s="20"/>
      <c r="P124" s="21" t="str">
        <f t="shared" si="1"/>
        <v>4-AA</v>
      </c>
      <c r="Q124" s="108" t="str">
        <f>HYPERLINK("#'마스터_품목'!A300","→ 마스터 R300")</f>
        <v>→ 마스터 R300</v>
      </c>
      <c r="R124" s="109">
        <v>300</v>
      </c>
      <c r="S124" s="109" t="s">
        <v>72</v>
      </c>
    </row>
    <row r="125" spans="1:19" ht="48" customHeight="1" x14ac:dyDescent="0.3">
      <c r="A125" s="22" t="s">
        <v>354</v>
      </c>
      <c r="B125" s="22" t="s">
        <v>581</v>
      </c>
      <c r="C125" s="23" t="s">
        <v>198</v>
      </c>
      <c r="D125" s="23" t="s">
        <v>584</v>
      </c>
      <c r="E125" s="23"/>
      <c r="F125" s="24"/>
      <c r="G125" s="25" t="s">
        <v>71</v>
      </c>
      <c r="H125" s="26"/>
      <c r="I125" s="27" t="str">
        <f>IFERROR(IF(OR($F125="O",$G125="O",$H125="O"),CHOOSE(MATCH($A125,{"튜브","고압","진공","튜닝","조립","출하"},0),"T","H","V","N","A","P")&amp;IF($F125="O","R",IF($G125="O","A",IF($H125="O","F",""))),""),"")</f>
        <v>AA</v>
      </c>
      <c r="J125" s="15"/>
      <c r="K125" s="16" t="s">
        <v>71</v>
      </c>
      <c r="L125" s="17"/>
      <c r="M125" s="18"/>
      <c r="N125" s="19"/>
      <c r="O125" s="20"/>
      <c r="P125" s="21" t="str">
        <f t="shared" si="1"/>
        <v>4-AA</v>
      </c>
      <c r="Q125" s="108" t="str">
        <f>HYPERLINK("#'마스터_품목'!A301","→ 마스터 R301")</f>
        <v>→ 마스터 R301</v>
      </c>
      <c r="R125" s="109">
        <v>301</v>
      </c>
      <c r="S125" s="109" t="s">
        <v>72</v>
      </c>
    </row>
    <row r="126" spans="1:19" ht="48" customHeight="1" x14ac:dyDescent="0.3">
      <c r="A126" s="22" t="s">
        <v>354</v>
      </c>
      <c r="B126" s="22" t="s">
        <v>581</v>
      </c>
      <c r="C126" s="23" t="s">
        <v>198</v>
      </c>
      <c r="D126" s="23" t="s">
        <v>585</v>
      </c>
      <c r="E126" s="23"/>
      <c r="F126" s="24"/>
      <c r="G126" s="25" t="s">
        <v>71</v>
      </c>
      <c r="H126" s="26"/>
      <c r="I126" s="27" t="str">
        <f>IFERROR(IF(OR($F126="O",$G126="O",$H126="O"),CHOOSE(MATCH($A126,{"튜브","고압","진공","튜닝","조립","출하"},0),"T","H","V","N","A","P")&amp;IF($F126="O","R",IF($G126="O","A",IF($H126="O","F",""))),""),"")</f>
        <v>AA</v>
      </c>
      <c r="J126" s="15"/>
      <c r="K126" s="16" t="s">
        <v>71</v>
      </c>
      <c r="L126" s="17"/>
      <c r="M126" s="18"/>
      <c r="N126" s="19"/>
      <c r="O126" s="20"/>
      <c r="P126" s="21" t="str">
        <f t="shared" si="1"/>
        <v>4-AA</v>
      </c>
      <c r="Q126" s="108" t="str">
        <f>HYPERLINK("#'마스터_품목'!A302","→ 마스터 R302")</f>
        <v>→ 마스터 R302</v>
      </c>
      <c r="R126" s="109">
        <v>302</v>
      </c>
      <c r="S126" s="109" t="s">
        <v>72</v>
      </c>
    </row>
    <row r="127" spans="1:19" ht="48" customHeight="1" x14ac:dyDescent="0.3">
      <c r="A127" s="22" t="s">
        <v>354</v>
      </c>
      <c r="B127" s="22" t="s">
        <v>581</v>
      </c>
      <c r="C127" s="23" t="s">
        <v>198</v>
      </c>
      <c r="D127" s="23" t="s">
        <v>586</v>
      </c>
      <c r="E127" s="23"/>
      <c r="F127" s="24"/>
      <c r="G127" s="25" t="s">
        <v>71</v>
      </c>
      <c r="H127" s="26"/>
      <c r="I127" s="27" t="str">
        <f>IFERROR(IF(OR($F127="O",$G127="O",$H127="O"),CHOOSE(MATCH($A127,{"튜브","고압","진공","튜닝","조립","출하"},0),"T","H","V","N","A","P")&amp;IF($F127="O","R",IF($G127="O","A",IF($H127="O","F",""))),""),"")</f>
        <v>AA</v>
      </c>
      <c r="J127" s="15"/>
      <c r="K127" s="16" t="s">
        <v>71</v>
      </c>
      <c r="L127" s="17"/>
      <c r="M127" s="18"/>
      <c r="N127" s="19"/>
      <c r="O127" s="20"/>
      <c r="P127" s="21" t="str">
        <f t="shared" si="1"/>
        <v>4-AA</v>
      </c>
      <c r="Q127" s="108" t="str">
        <f>HYPERLINK("#'마스터_품목'!A303","→ 마스터 R303")</f>
        <v>→ 마스터 R303</v>
      </c>
      <c r="R127" s="109">
        <v>303</v>
      </c>
      <c r="S127" s="109" t="s">
        <v>72</v>
      </c>
    </row>
    <row r="128" spans="1:19" ht="48" customHeight="1" x14ac:dyDescent="0.3">
      <c r="A128" s="22" t="s">
        <v>354</v>
      </c>
      <c r="B128" s="22" t="s">
        <v>587</v>
      </c>
      <c r="C128" s="23" t="s">
        <v>198</v>
      </c>
      <c r="D128" s="23" t="s">
        <v>588</v>
      </c>
      <c r="E128" s="23"/>
      <c r="F128" s="24"/>
      <c r="G128" s="25" t="s">
        <v>71</v>
      </c>
      <c r="H128" s="26"/>
      <c r="I128" s="27" t="str">
        <f>IFERROR(IF(OR($F128="O",$G128="O",$H128="O"),CHOOSE(MATCH($A128,{"튜브","고압","진공","튜닝","조립","출하"},0),"T","H","V","N","A","P")&amp;IF($F128="O","R",IF($G128="O","A",IF($H128="O","F",""))),""),"")</f>
        <v>AA</v>
      </c>
      <c r="J128" s="15"/>
      <c r="K128" s="16" t="s">
        <v>71</v>
      </c>
      <c r="L128" s="17"/>
      <c r="M128" s="18"/>
      <c r="N128" s="19"/>
      <c r="O128" s="20"/>
      <c r="P128" s="21" t="str">
        <f t="shared" si="1"/>
        <v>4-AA</v>
      </c>
      <c r="Q128" s="108" t="str">
        <f>HYPERLINK("#'마스터_품목'!A304","→ 마스터 R304")</f>
        <v>→ 마스터 R304</v>
      </c>
      <c r="R128" s="109">
        <v>304</v>
      </c>
      <c r="S128" s="109" t="s">
        <v>72</v>
      </c>
    </row>
    <row r="129" spans="1:19" ht="48" customHeight="1" x14ac:dyDescent="0.3">
      <c r="A129" s="22" t="s">
        <v>354</v>
      </c>
      <c r="B129" s="22" t="s">
        <v>587</v>
      </c>
      <c r="C129" s="23" t="s">
        <v>198</v>
      </c>
      <c r="D129" s="23" t="s">
        <v>589</v>
      </c>
      <c r="E129" s="23"/>
      <c r="F129" s="24"/>
      <c r="G129" s="25" t="s">
        <v>71</v>
      </c>
      <c r="H129" s="26"/>
      <c r="I129" s="27" t="str">
        <f>IFERROR(IF(OR($F129="O",$G129="O",$H129="O"),CHOOSE(MATCH($A129,{"튜브","고압","진공","튜닝","조립","출하"},0),"T","H","V","N","A","P")&amp;IF($F129="O","R",IF($G129="O","A",IF($H129="O","F",""))),""),"")</f>
        <v>AA</v>
      </c>
      <c r="J129" s="15"/>
      <c r="K129" s="16" t="s">
        <v>71</v>
      </c>
      <c r="L129" s="17"/>
      <c r="M129" s="18"/>
      <c r="N129" s="19"/>
      <c r="O129" s="20"/>
      <c r="P129" s="21" t="str">
        <f t="shared" si="1"/>
        <v>4-AA</v>
      </c>
      <c r="Q129" s="108" t="str">
        <f>HYPERLINK("#'마스터_품목'!A305","→ 마스터 R305")</f>
        <v>→ 마스터 R305</v>
      </c>
      <c r="R129" s="109">
        <v>305</v>
      </c>
      <c r="S129" s="109" t="s">
        <v>72</v>
      </c>
    </row>
    <row r="130" spans="1:19" ht="48" customHeight="1" x14ac:dyDescent="0.3">
      <c r="A130" s="22" t="s">
        <v>354</v>
      </c>
      <c r="B130" s="22" t="s">
        <v>587</v>
      </c>
      <c r="C130" s="23" t="s">
        <v>198</v>
      </c>
      <c r="D130" s="23" t="s">
        <v>590</v>
      </c>
      <c r="E130" s="23"/>
      <c r="F130" s="24"/>
      <c r="G130" s="25" t="s">
        <v>71</v>
      </c>
      <c r="H130" s="26"/>
      <c r="I130" s="27" t="str">
        <f>IFERROR(IF(OR($F130="O",$G130="O",$H130="O"),CHOOSE(MATCH($A130,{"튜브","고압","진공","튜닝","조립","출하"},0),"T","H","V","N","A","P")&amp;IF($F130="O","R",IF($G130="O","A",IF($H130="O","F",""))),""),"")</f>
        <v>AA</v>
      </c>
      <c r="J130" s="15"/>
      <c r="K130" s="16" t="s">
        <v>71</v>
      </c>
      <c r="L130" s="17"/>
      <c r="M130" s="18"/>
      <c r="N130" s="19"/>
      <c r="O130" s="20"/>
      <c r="P130" s="21" t="str">
        <f t="shared" ref="P130:P193" si="2">IF($I130="","",IF($J130="O","3","")&amp;IF($K130="O","4","")&amp;IF($L130="O","6","")&amp;IF($M130="O","7","")&amp;IF($N130="O","8","")&amp;IF($O130="O","?","")&amp;IF(OR($J130="O",$K130="O",$L130="O",$M130="O",$N130="O",$O130="O"),"-","")&amp;$I130)</f>
        <v>4-AA</v>
      </c>
      <c r="Q130" s="108" t="str">
        <f>HYPERLINK("#'마스터_품목'!A306","→ 마스터 R306")</f>
        <v>→ 마스터 R306</v>
      </c>
      <c r="R130" s="109">
        <v>306</v>
      </c>
      <c r="S130" s="109" t="s">
        <v>72</v>
      </c>
    </row>
    <row r="131" spans="1:19" ht="48" customHeight="1" x14ac:dyDescent="0.3">
      <c r="A131" s="22" t="s">
        <v>354</v>
      </c>
      <c r="B131" s="22" t="s">
        <v>471</v>
      </c>
      <c r="C131" s="23" t="s">
        <v>591</v>
      </c>
      <c r="D131" s="23" t="s">
        <v>592</v>
      </c>
      <c r="E131" s="23" t="s">
        <v>593</v>
      </c>
      <c r="F131" s="24" t="s">
        <v>71</v>
      </c>
      <c r="G131" s="25"/>
      <c r="H131" s="26"/>
      <c r="I131" s="27" t="str">
        <f>IFERROR(IF(OR($F131="O",$G131="O",$H131="O"),CHOOSE(MATCH($A131,{"튜브","고압","진공","튜닝","조립","출하"},0),"T","H","V","N","A","P")&amp;IF($F131="O","R",IF($G131="O","A",IF($H131="O","F",""))),""),"")</f>
        <v>AR</v>
      </c>
      <c r="J131" s="15"/>
      <c r="K131" s="16"/>
      <c r="L131" s="17" t="s">
        <v>71</v>
      </c>
      <c r="M131" s="18"/>
      <c r="N131" s="19"/>
      <c r="O131" s="20"/>
      <c r="P131" s="21" t="str">
        <f t="shared" si="2"/>
        <v>6-AR</v>
      </c>
      <c r="Q131" s="108" t="str">
        <f>HYPERLINK("#'마스터_품목'!A307","→ 마스터 R307")</f>
        <v>→ 마스터 R307</v>
      </c>
      <c r="R131" s="109">
        <v>307</v>
      </c>
      <c r="S131" s="109" t="s">
        <v>72</v>
      </c>
    </row>
    <row r="132" spans="1:19" ht="48" customHeight="1" x14ac:dyDescent="0.3">
      <c r="A132" s="22" t="s">
        <v>354</v>
      </c>
      <c r="B132" s="22" t="s">
        <v>471</v>
      </c>
      <c r="C132" s="23" t="s">
        <v>591</v>
      </c>
      <c r="D132" s="23" t="s">
        <v>594</v>
      </c>
      <c r="E132" s="23" t="s">
        <v>595</v>
      </c>
      <c r="F132" s="24" t="s">
        <v>71</v>
      </c>
      <c r="G132" s="25"/>
      <c r="H132" s="26"/>
      <c r="I132" s="27" t="str">
        <f>IFERROR(IF(OR($F132="O",$G132="O",$H132="O"),CHOOSE(MATCH($A132,{"튜브","고압","진공","튜닝","조립","출하"},0),"T","H","V","N","A","P")&amp;IF($F132="O","R",IF($G132="O","A",IF($H132="O","F",""))),""),"")</f>
        <v>AR</v>
      </c>
      <c r="J132" s="15"/>
      <c r="K132" s="16"/>
      <c r="L132" s="17" t="s">
        <v>71</v>
      </c>
      <c r="M132" s="18"/>
      <c r="N132" s="19"/>
      <c r="O132" s="20"/>
      <c r="P132" s="21" t="str">
        <f t="shared" si="2"/>
        <v>6-AR</v>
      </c>
      <c r="Q132" s="108" t="str">
        <f>HYPERLINK("#'마스터_품목'!A308","→ 마스터 R308")</f>
        <v>→ 마스터 R308</v>
      </c>
      <c r="R132" s="109">
        <v>308</v>
      </c>
      <c r="S132" s="109" t="s">
        <v>72</v>
      </c>
    </row>
    <row r="133" spans="1:19" ht="48" customHeight="1" x14ac:dyDescent="0.3">
      <c r="A133" s="22" t="s">
        <v>354</v>
      </c>
      <c r="B133" s="22" t="s">
        <v>471</v>
      </c>
      <c r="C133" s="23" t="s">
        <v>591</v>
      </c>
      <c r="D133" s="23" t="s">
        <v>596</v>
      </c>
      <c r="E133" s="23" t="s">
        <v>597</v>
      </c>
      <c r="F133" s="24" t="s">
        <v>71</v>
      </c>
      <c r="G133" s="25"/>
      <c r="H133" s="26"/>
      <c r="I133" s="27" t="str">
        <f>IFERROR(IF(OR($F133="O",$G133="O",$H133="O"),CHOOSE(MATCH($A133,{"튜브","고압","진공","튜닝","조립","출하"},0),"T","H","V","N","A","P")&amp;IF($F133="O","R",IF($G133="O","A",IF($H133="O","F",""))),""),"")</f>
        <v>AR</v>
      </c>
      <c r="J133" s="15"/>
      <c r="K133" s="16"/>
      <c r="L133" s="17" t="s">
        <v>71</v>
      </c>
      <c r="M133" s="18"/>
      <c r="N133" s="19"/>
      <c r="O133" s="20"/>
      <c r="P133" s="21" t="str">
        <f t="shared" si="2"/>
        <v>6-AR</v>
      </c>
      <c r="Q133" s="108" t="str">
        <f>HYPERLINK("#'마스터_품목'!A309","→ 마스터 R309")</f>
        <v>→ 마스터 R309</v>
      </c>
      <c r="R133" s="109">
        <v>309</v>
      </c>
      <c r="S133" s="109" t="s">
        <v>72</v>
      </c>
    </row>
    <row r="134" spans="1:19" ht="48" customHeight="1" x14ac:dyDescent="0.3">
      <c r="A134" s="22" t="s">
        <v>354</v>
      </c>
      <c r="B134" s="22" t="s">
        <v>471</v>
      </c>
      <c r="C134" s="23" t="s">
        <v>591</v>
      </c>
      <c r="D134" s="23" t="s">
        <v>598</v>
      </c>
      <c r="E134" s="23" t="s">
        <v>599</v>
      </c>
      <c r="F134" s="24" t="s">
        <v>71</v>
      </c>
      <c r="G134" s="25"/>
      <c r="H134" s="26"/>
      <c r="I134" s="27" t="str">
        <f>IFERROR(IF(OR($F134="O",$G134="O",$H134="O"),CHOOSE(MATCH($A134,{"튜브","고압","진공","튜닝","조립","출하"},0),"T","H","V","N","A","P")&amp;IF($F134="O","R",IF($G134="O","A",IF($H134="O","F",""))),""),"")</f>
        <v>AR</v>
      </c>
      <c r="J134" s="15"/>
      <c r="K134" s="16"/>
      <c r="L134" s="17" t="s">
        <v>71</v>
      </c>
      <c r="M134" s="18"/>
      <c r="N134" s="19"/>
      <c r="O134" s="20"/>
      <c r="P134" s="21" t="str">
        <f t="shared" si="2"/>
        <v>6-AR</v>
      </c>
      <c r="Q134" s="108" t="str">
        <f>HYPERLINK("#'마스터_품목'!A310","→ 마스터 R310")</f>
        <v>→ 마스터 R310</v>
      </c>
      <c r="R134" s="109">
        <v>310</v>
      </c>
      <c r="S134" s="109" t="s">
        <v>72</v>
      </c>
    </row>
    <row r="135" spans="1:19" ht="48" customHeight="1" x14ac:dyDescent="0.3">
      <c r="A135" s="22" t="s">
        <v>354</v>
      </c>
      <c r="B135" s="22" t="s">
        <v>471</v>
      </c>
      <c r="C135" s="23" t="s">
        <v>591</v>
      </c>
      <c r="D135" s="23" t="s">
        <v>600</v>
      </c>
      <c r="E135" s="23" t="s">
        <v>601</v>
      </c>
      <c r="F135" s="24" t="s">
        <v>71</v>
      </c>
      <c r="G135" s="25"/>
      <c r="H135" s="26"/>
      <c r="I135" s="27" t="str">
        <f>IFERROR(IF(OR($F135="O",$G135="O",$H135="O"),CHOOSE(MATCH($A135,{"튜브","고압","진공","튜닝","조립","출하"},0),"T","H","V","N","A","P")&amp;IF($F135="O","R",IF($G135="O","A",IF($H135="O","F",""))),""),"")</f>
        <v>AR</v>
      </c>
      <c r="J135" s="15"/>
      <c r="K135" s="16"/>
      <c r="L135" s="17" t="s">
        <v>71</v>
      </c>
      <c r="M135" s="18"/>
      <c r="N135" s="19"/>
      <c r="O135" s="20"/>
      <c r="P135" s="21" t="str">
        <f t="shared" si="2"/>
        <v>6-AR</v>
      </c>
      <c r="Q135" s="108" t="str">
        <f>HYPERLINK("#'마스터_품목'!A311","→ 마스터 R311")</f>
        <v>→ 마스터 R311</v>
      </c>
      <c r="R135" s="109">
        <v>311</v>
      </c>
      <c r="S135" s="109" t="s">
        <v>72</v>
      </c>
    </row>
    <row r="136" spans="1:19" ht="48" customHeight="1" x14ac:dyDescent="0.3">
      <c r="A136" s="22" t="s">
        <v>354</v>
      </c>
      <c r="B136" s="22" t="s">
        <v>471</v>
      </c>
      <c r="C136" s="23" t="s">
        <v>591</v>
      </c>
      <c r="D136" s="23" t="s">
        <v>602</v>
      </c>
      <c r="E136" s="23" t="s">
        <v>603</v>
      </c>
      <c r="F136" s="24" t="s">
        <v>71</v>
      </c>
      <c r="G136" s="25"/>
      <c r="H136" s="26"/>
      <c r="I136" s="27" t="str">
        <f>IFERROR(IF(OR($F136="O",$G136="O",$H136="O"),CHOOSE(MATCH($A136,{"튜브","고압","진공","튜닝","조립","출하"},0),"T","H","V","N","A","P")&amp;IF($F136="O","R",IF($G136="O","A",IF($H136="O","F",""))),""),"")</f>
        <v>AR</v>
      </c>
      <c r="J136" s="15"/>
      <c r="K136" s="16"/>
      <c r="L136" s="17" t="s">
        <v>71</v>
      </c>
      <c r="M136" s="18"/>
      <c r="N136" s="19"/>
      <c r="O136" s="20"/>
      <c r="P136" s="21" t="str">
        <f t="shared" si="2"/>
        <v>6-AR</v>
      </c>
      <c r="Q136" s="108" t="str">
        <f>HYPERLINK("#'마스터_품목'!A312","→ 마스터 R312")</f>
        <v>→ 마스터 R312</v>
      </c>
      <c r="R136" s="109">
        <v>312</v>
      </c>
      <c r="S136" s="109" t="s">
        <v>72</v>
      </c>
    </row>
    <row r="137" spans="1:19" ht="48" customHeight="1" x14ac:dyDescent="0.3">
      <c r="A137" s="22" t="s">
        <v>354</v>
      </c>
      <c r="B137" s="22" t="s">
        <v>471</v>
      </c>
      <c r="C137" s="23" t="s">
        <v>591</v>
      </c>
      <c r="D137" s="23" t="s">
        <v>604</v>
      </c>
      <c r="E137" s="23" t="s">
        <v>605</v>
      </c>
      <c r="F137" s="24" t="s">
        <v>71</v>
      </c>
      <c r="G137" s="25"/>
      <c r="H137" s="26"/>
      <c r="I137" s="27" t="str">
        <f>IFERROR(IF(OR($F137="O",$G137="O",$H137="O"),CHOOSE(MATCH($A137,{"튜브","고압","진공","튜닝","조립","출하"},0),"T","H","V","N","A","P")&amp;IF($F137="O","R",IF($G137="O","A",IF($H137="O","F",""))),""),"")</f>
        <v>AR</v>
      </c>
      <c r="J137" s="15"/>
      <c r="K137" s="16"/>
      <c r="L137" s="17" t="s">
        <v>71</v>
      </c>
      <c r="M137" s="18"/>
      <c r="N137" s="19"/>
      <c r="O137" s="20"/>
      <c r="P137" s="21" t="str">
        <f t="shared" si="2"/>
        <v>6-AR</v>
      </c>
      <c r="Q137" s="108" t="str">
        <f>HYPERLINK("#'마스터_품목'!A313","→ 마스터 R313")</f>
        <v>→ 마스터 R313</v>
      </c>
      <c r="R137" s="109">
        <v>313</v>
      </c>
      <c r="S137" s="109" t="s">
        <v>72</v>
      </c>
    </row>
    <row r="138" spans="1:19" ht="48" customHeight="1" x14ac:dyDescent="0.3">
      <c r="A138" s="22" t="s">
        <v>354</v>
      </c>
      <c r="B138" s="22" t="s">
        <v>471</v>
      </c>
      <c r="C138" s="23" t="s">
        <v>591</v>
      </c>
      <c r="D138" s="23" t="s">
        <v>606</v>
      </c>
      <c r="E138" s="23" t="s">
        <v>607</v>
      </c>
      <c r="F138" s="24" t="s">
        <v>71</v>
      </c>
      <c r="G138" s="25"/>
      <c r="H138" s="26"/>
      <c r="I138" s="27" t="str">
        <f>IFERROR(IF(OR($F138="O",$G138="O",$H138="O"),CHOOSE(MATCH($A138,{"튜브","고압","진공","튜닝","조립","출하"},0),"T","H","V","N","A","P")&amp;IF($F138="O","R",IF($G138="O","A",IF($H138="O","F",""))),""),"")</f>
        <v>AR</v>
      </c>
      <c r="J138" s="15"/>
      <c r="K138" s="16"/>
      <c r="L138" s="17" t="s">
        <v>71</v>
      </c>
      <c r="M138" s="18"/>
      <c r="N138" s="19"/>
      <c r="O138" s="20"/>
      <c r="P138" s="21" t="str">
        <f t="shared" si="2"/>
        <v>6-AR</v>
      </c>
      <c r="Q138" s="108" t="str">
        <f>HYPERLINK("#'마스터_품목'!A314","→ 마스터 R314")</f>
        <v>→ 마스터 R314</v>
      </c>
      <c r="R138" s="109">
        <v>314</v>
      </c>
      <c r="S138" s="109" t="s">
        <v>72</v>
      </c>
    </row>
    <row r="139" spans="1:19" ht="48" customHeight="1" x14ac:dyDescent="0.3">
      <c r="A139" s="22" t="s">
        <v>354</v>
      </c>
      <c r="B139" s="22" t="s">
        <v>471</v>
      </c>
      <c r="C139" s="23" t="s">
        <v>591</v>
      </c>
      <c r="D139" s="23" t="s">
        <v>608</v>
      </c>
      <c r="E139" s="23" t="s">
        <v>609</v>
      </c>
      <c r="F139" s="24" t="s">
        <v>71</v>
      </c>
      <c r="G139" s="25"/>
      <c r="H139" s="26"/>
      <c r="I139" s="27" t="str">
        <f>IFERROR(IF(OR($F139="O",$G139="O",$H139="O"),CHOOSE(MATCH($A139,{"튜브","고압","진공","튜닝","조립","출하"},0),"T","H","V","N","A","P")&amp;IF($F139="O","R",IF($G139="O","A",IF($H139="O","F",""))),""),"")</f>
        <v>AR</v>
      </c>
      <c r="J139" s="15"/>
      <c r="K139" s="16"/>
      <c r="L139" s="17" t="s">
        <v>71</v>
      </c>
      <c r="M139" s="18"/>
      <c r="N139" s="19"/>
      <c r="O139" s="20"/>
      <c r="P139" s="21" t="str">
        <f t="shared" si="2"/>
        <v>6-AR</v>
      </c>
      <c r="Q139" s="108" t="str">
        <f>HYPERLINK("#'마스터_품목'!A315","→ 마스터 R315")</f>
        <v>→ 마스터 R315</v>
      </c>
      <c r="R139" s="109">
        <v>315</v>
      </c>
      <c r="S139" s="109" t="s">
        <v>72</v>
      </c>
    </row>
    <row r="140" spans="1:19" ht="48" customHeight="1" x14ac:dyDescent="0.3">
      <c r="A140" s="22" t="s">
        <v>354</v>
      </c>
      <c r="B140" s="22" t="s">
        <v>471</v>
      </c>
      <c r="C140" s="23" t="s">
        <v>591</v>
      </c>
      <c r="D140" s="23" t="s">
        <v>610</v>
      </c>
      <c r="E140" s="23" t="s">
        <v>611</v>
      </c>
      <c r="F140" s="24" t="s">
        <v>71</v>
      </c>
      <c r="G140" s="25"/>
      <c r="H140" s="26"/>
      <c r="I140" s="27" t="str">
        <f>IFERROR(IF(OR($F140="O",$G140="O",$H140="O"),CHOOSE(MATCH($A140,{"튜브","고압","진공","튜닝","조립","출하"},0),"T","H","V","N","A","P")&amp;IF($F140="O","R",IF($G140="O","A",IF($H140="O","F",""))),""),"")</f>
        <v>AR</v>
      </c>
      <c r="J140" s="15"/>
      <c r="K140" s="16"/>
      <c r="L140" s="17" t="s">
        <v>71</v>
      </c>
      <c r="M140" s="18"/>
      <c r="N140" s="19"/>
      <c r="O140" s="20"/>
      <c r="P140" s="21" t="str">
        <f t="shared" si="2"/>
        <v>6-AR</v>
      </c>
      <c r="Q140" s="108" t="str">
        <f>HYPERLINK("#'마스터_품목'!A316","→ 마스터 R316")</f>
        <v>→ 마스터 R316</v>
      </c>
      <c r="R140" s="109">
        <v>316</v>
      </c>
      <c r="S140" s="109" t="s">
        <v>72</v>
      </c>
    </row>
    <row r="141" spans="1:19" ht="48" customHeight="1" x14ac:dyDescent="0.3">
      <c r="A141" s="22" t="s">
        <v>354</v>
      </c>
      <c r="B141" s="22" t="s">
        <v>471</v>
      </c>
      <c r="C141" s="23" t="s">
        <v>591</v>
      </c>
      <c r="D141" s="23" t="s">
        <v>612</v>
      </c>
      <c r="E141" s="23" t="s">
        <v>613</v>
      </c>
      <c r="F141" s="24" t="s">
        <v>71</v>
      </c>
      <c r="G141" s="25"/>
      <c r="H141" s="26"/>
      <c r="I141" s="27" t="str">
        <f>IFERROR(IF(OR($F141="O",$G141="O",$H141="O"),CHOOSE(MATCH($A141,{"튜브","고압","진공","튜닝","조립","출하"},0),"T","H","V","N","A","P")&amp;IF($F141="O","R",IF($G141="O","A",IF($H141="O","F",""))),""),"")</f>
        <v>AR</v>
      </c>
      <c r="J141" s="15"/>
      <c r="K141" s="16"/>
      <c r="L141" s="17" t="s">
        <v>71</v>
      </c>
      <c r="M141" s="18"/>
      <c r="N141" s="19"/>
      <c r="O141" s="20"/>
      <c r="P141" s="21" t="str">
        <f t="shared" si="2"/>
        <v>6-AR</v>
      </c>
      <c r="Q141" s="108" t="str">
        <f>HYPERLINK("#'마스터_품목'!A317","→ 마스터 R317")</f>
        <v>→ 마스터 R317</v>
      </c>
      <c r="R141" s="109">
        <v>317</v>
      </c>
      <c r="S141" s="109" t="s">
        <v>72</v>
      </c>
    </row>
    <row r="142" spans="1:19" ht="48" customHeight="1" x14ac:dyDescent="0.3">
      <c r="A142" s="22" t="s">
        <v>354</v>
      </c>
      <c r="B142" s="22" t="s">
        <v>471</v>
      </c>
      <c r="C142" s="23" t="s">
        <v>591</v>
      </c>
      <c r="D142" s="23" t="s">
        <v>614</v>
      </c>
      <c r="E142" s="23" t="s">
        <v>615</v>
      </c>
      <c r="F142" s="24" t="s">
        <v>71</v>
      </c>
      <c r="G142" s="25"/>
      <c r="H142" s="26"/>
      <c r="I142" s="27" t="str">
        <f>IFERROR(IF(OR($F142="O",$G142="O",$H142="O"),CHOOSE(MATCH($A142,{"튜브","고압","진공","튜닝","조립","출하"},0),"T","H","V","N","A","P")&amp;IF($F142="O","R",IF($G142="O","A",IF($H142="O","F",""))),""),"")</f>
        <v>AR</v>
      </c>
      <c r="J142" s="15"/>
      <c r="K142" s="16"/>
      <c r="L142" s="17" t="s">
        <v>71</v>
      </c>
      <c r="M142" s="18"/>
      <c r="N142" s="19"/>
      <c r="O142" s="20"/>
      <c r="P142" s="21" t="str">
        <f t="shared" si="2"/>
        <v>6-AR</v>
      </c>
      <c r="Q142" s="108" t="str">
        <f>HYPERLINK("#'마스터_품목'!A318","→ 마스터 R318")</f>
        <v>→ 마스터 R318</v>
      </c>
      <c r="R142" s="109">
        <v>318</v>
      </c>
      <c r="S142" s="109" t="s">
        <v>72</v>
      </c>
    </row>
    <row r="143" spans="1:19" ht="48" customHeight="1" x14ac:dyDescent="0.3">
      <c r="A143" s="22" t="s">
        <v>354</v>
      </c>
      <c r="B143" s="22" t="s">
        <v>471</v>
      </c>
      <c r="C143" s="23" t="s">
        <v>591</v>
      </c>
      <c r="D143" s="23" t="s">
        <v>616</v>
      </c>
      <c r="E143" s="23"/>
      <c r="F143" s="24" t="s">
        <v>71</v>
      </c>
      <c r="G143" s="25"/>
      <c r="H143" s="26"/>
      <c r="I143" s="27" t="str">
        <f>IFERROR(IF(OR($F143="O",$G143="O",$H143="O"),CHOOSE(MATCH($A143,{"튜브","고압","진공","튜닝","조립","출하"},0),"T","H","V","N","A","P")&amp;IF($F143="O","R",IF($G143="O","A",IF($H143="O","F",""))),""),"")</f>
        <v>AR</v>
      </c>
      <c r="J143" s="15"/>
      <c r="K143" s="16"/>
      <c r="L143" s="17" t="s">
        <v>71</v>
      </c>
      <c r="M143" s="18"/>
      <c r="N143" s="19"/>
      <c r="O143" s="20"/>
      <c r="P143" s="21" t="str">
        <f t="shared" si="2"/>
        <v>6-AR</v>
      </c>
      <c r="Q143" s="108" t="str">
        <f>HYPERLINK("#'마스터_품목'!A319","→ 마스터 R319")</f>
        <v>→ 마스터 R319</v>
      </c>
      <c r="R143" s="109">
        <v>319</v>
      </c>
      <c r="S143" s="109" t="s">
        <v>72</v>
      </c>
    </row>
    <row r="144" spans="1:19" ht="48" customHeight="1" x14ac:dyDescent="0.3">
      <c r="A144" s="22" t="s">
        <v>354</v>
      </c>
      <c r="B144" s="22" t="s">
        <v>471</v>
      </c>
      <c r="C144" s="23" t="s">
        <v>591</v>
      </c>
      <c r="D144" s="23" t="s">
        <v>617</v>
      </c>
      <c r="E144" s="23" t="s">
        <v>618</v>
      </c>
      <c r="F144" s="24" t="s">
        <v>71</v>
      </c>
      <c r="G144" s="25"/>
      <c r="H144" s="26"/>
      <c r="I144" s="27" t="str">
        <f>IFERROR(IF(OR($F144="O",$G144="O",$H144="O"),CHOOSE(MATCH($A144,{"튜브","고압","진공","튜닝","조립","출하"},0),"T","H","V","N","A","P")&amp;IF($F144="O","R",IF($G144="O","A",IF($H144="O","F",""))),""),"")</f>
        <v>AR</v>
      </c>
      <c r="J144" s="15"/>
      <c r="K144" s="16"/>
      <c r="L144" s="17" t="s">
        <v>71</v>
      </c>
      <c r="M144" s="18"/>
      <c r="N144" s="19"/>
      <c r="O144" s="20"/>
      <c r="P144" s="21" t="str">
        <f t="shared" si="2"/>
        <v>6-AR</v>
      </c>
      <c r="Q144" s="108" t="str">
        <f>HYPERLINK("#'마스터_품목'!A320","→ 마스터 R320")</f>
        <v>→ 마스터 R320</v>
      </c>
      <c r="R144" s="109">
        <v>320</v>
      </c>
      <c r="S144" s="109" t="s">
        <v>72</v>
      </c>
    </row>
    <row r="145" spans="1:19" ht="48" customHeight="1" x14ac:dyDescent="0.3">
      <c r="A145" s="22" t="s">
        <v>354</v>
      </c>
      <c r="B145" s="22" t="s">
        <v>471</v>
      </c>
      <c r="C145" s="23" t="s">
        <v>591</v>
      </c>
      <c r="D145" s="23" t="s">
        <v>619</v>
      </c>
      <c r="E145" s="23" t="s">
        <v>620</v>
      </c>
      <c r="F145" s="24" t="s">
        <v>71</v>
      </c>
      <c r="G145" s="25"/>
      <c r="H145" s="26"/>
      <c r="I145" s="27" t="str">
        <f>IFERROR(IF(OR($F145="O",$G145="O",$H145="O"),CHOOSE(MATCH($A145,{"튜브","고압","진공","튜닝","조립","출하"},0),"T","H","V","N","A","P")&amp;IF($F145="O","R",IF($G145="O","A",IF($H145="O","F",""))),""),"")</f>
        <v>AR</v>
      </c>
      <c r="J145" s="15"/>
      <c r="K145" s="16"/>
      <c r="L145" s="17" t="s">
        <v>71</v>
      </c>
      <c r="M145" s="18"/>
      <c r="N145" s="19"/>
      <c r="O145" s="20"/>
      <c r="P145" s="21" t="str">
        <f t="shared" si="2"/>
        <v>6-AR</v>
      </c>
      <c r="Q145" s="108" t="str">
        <f>HYPERLINK("#'마스터_품목'!A321","→ 마스터 R321")</f>
        <v>→ 마스터 R321</v>
      </c>
      <c r="R145" s="109">
        <v>321</v>
      </c>
      <c r="S145" s="109" t="s">
        <v>72</v>
      </c>
    </row>
    <row r="146" spans="1:19" ht="48" customHeight="1" x14ac:dyDescent="0.3">
      <c r="A146" s="22" t="s">
        <v>354</v>
      </c>
      <c r="B146" s="22" t="s">
        <v>471</v>
      </c>
      <c r="C146" s="23" t="s">
        <v>591</v>
      </c>
      <c r="D146" s="23" t="s">
        <v>621</v>
      </c>
      <c r="E146" s="23" t="s">
        <v>622</v>
      </c>
      <c r="F146" s="24" t="s">
        <v>71</v>
      </c>
      <c r="G146" s="25"/>
      <c r="H146" s="26"/>
      <c r="I146" s="27" t="str">
        <f>IFERROR(IF(OR($F146="O",$G146="O",$H146="O"),CHOOSE(MATCH($A146,{"튜브","고압","진공","튜닝","조립","출하"},0),"T","H","V","N","A","P")&amp;IF($F146="O","R",IF($G146="O","A",IF($H146="O","F",""))),""),"")</f>
        <v>AR</v>
      </c>
      <c r="J146" s="15"/>
      <c r="K146" s="16"/>
      <c r="L146" s="17" t="s">
        <v>71</v>
      </c>
      <c r="M146" s="18"/>
      <c r="N146" s="19"/>
      <c r="O146" s="20"/>
      <c r="P146" s="21" t="str">
        <f t="shared" si="2"/>
        <v>6-AR</v>
      </c>
      <c r="Q146" s="108" t="str">
        <f>HYPERLINK("#'마스터_품목'!A322","→ 마스터 R322")</f>
        <v>→ 마스터 R322</v>
      </c>
      <c r="R146" s="109">
        <v>322</v>
      </c>
      <c r="S146" s="109" t="s">
        <v>72</v>
      </c>
    </row>
    <row r="147" spans="1:19" ht="48" customHeight="1" x14ac:dyDescent="0.3">
      <c r="A147" s="22" t="s">
        <v>354</v>
      </c>
      <c r="B147" s="22" t="s">
        <v>471</v>
      </c>
      <c r="C147" s="23" t="s">
        <v>591</v>
      </c>
      <c r="D147" s="23" t="s">
        <v>623</v>
      </c>
      <c r="E147" s="23" t="s">
        <v>624</v>
      </c>
      <c r="F147" s="24" t="s">
        <v>71</v>
      </c>
      <c r="G147" s="25"/>
      <c r="H147" s="26"/>
      <c r="I147" s="27" t="str">
        <f>IFERROR(IF(OR($F147="O",$G147="O",$H147="O"),CHOOSE(MATCH($A147,{"튜브","고압","진공","튜닝","조립","출하"},0),"T","H","V","N","A","P")&amp;IF($F147="O","R",IF($G147="O","A",IF($H147="O","F",""))),""),"")</f>
        <v>AR</v>
      </c>
      <c r="J147" s="15"/>
      <c r="K147" s="16"/>
      <c r="L147" s="17" t="s">
        <v>71</v>
      </c>
      <c r="M147" s="18"/>
      <c r="N147" s="19"/>
      <c r="O147" s="20"/>
      <c r="P147" s="21" t="str">
        <f t="shared" si="2"/>
        <v>6-AR</v>
      </c>
      <c r="Q147" s="108" t="str">
        <f>HYPERLINK("#'마스터_품목'!A323","→ 마스터 R323")</f>
        <v>→ 마스터 R323</v>
      </c>
      <c r="R147" s="109">
        <v>323</v>
      </c>
      <c r="S147" s="109" t="s">
        <v>72</v>
      </c>
    </row>
    <row r="148" spans="1:19" ht="48" customHeight="1" x14ac:dyDescent="0.3">
      <c r="A148" s="22" t="s">
        <v>354</v>
      </c>
      <c r="B148" s="22" t="s">
        <v>471</v>
      </c>
      <c r="C148" s="23" t="s">
        <v>591</v>
      </c>
      <c r="D148" s="23" t="s">
        <v>625</v>
      </c>
      <c r="E148" s="23" t="s">
        <v>626</v>
      </c>
      <c r="F148" s="24" t="s">
        <v>71</v>
      </c>
      <c r="G148" s="25"/>
      <c r="H148" s="26"/>
      <c r="I148" s="27" t="str">
        <f>IFERROR(IF(OR($F148="O",$G148="O",$H148="O"),CHOOSE(MATCH($A148,{"튜브","고압","진공","튜닝","조립","출하"},0),"T","H","V","N","A","P")&amp;IF($F148="O","R",IF($G148="O","A",IF($H148="O","F",""))),""),"")</f>
        <v>AR</v>
      </c>
      <c r="J148" s="15"/>
      <c r="K148" s="16"/>
      <c r="L148" s="17" t="s">
        <v>71</v>
      </c>
      <c r="M148" s="18"/>
      <c r="N148" s="19"/>
      <c r="O148" s="20"/>
      <c r="P148" s="21" t="str">
        <f t="shared" si="2"/>
        <v>6-AR</v>
      </c>
      <c r="Q148" s="108" t="str">
        <f>HYPERLINK("#'마스터_품목'!A324","→ 마스터 R324")</f>
        <v>→ 마스터 R324</v>
      </c>
      <c r="R148" s="109">
        <v>324</v>
      </c>
      <c r="S148" s="109" t="s">
        <v>72</v>
      </c>
    </row>
    <row r="149" spans="1:19" ht="48" customHeight="1" x14ac:dyDescent="0.3">
      <c r="A149" s="22" t="s">
        <v>354</v>
      </c>
      <c r="B149" s="22" t="s">
        <v>471</v>
      </c>
      <c r="C149" s="23" t="s">
        <v>591</v>
      </c>
      <c r="D149" s="23" t="s">
        <v>627</v>
      </c>
      <c r="E149" s="23" t="s">
        <v>628</v>
      </c>
      <c r="F149" s="24" t="s">
        <v>71</v>
      </c>
      <c r="G149" s="25"/>
      <c r="H149" s="26"/>
      <c r="I149" s="27" t="str">
        <f>IFERROR(IF(OR($F149="O",$G149="O",$H149="O"),CHOOSE(MATCH($A149,{"튜브","고압","진공","튜닝","조립","출하"},0),"T","H","V","N","A","P")&amp;IF($F149="O","R",IF($G149="O","A",IF($H149="O","F",""))),""),"")</f>
        <v>AR</v>
      </c>
      <c r="J149" s="15"/>
      <c r="K149" s="16"/>
      <c r="L149" s="17" t="s">
        <v>71</v>
      </c>
      <c r="M149" s="18"/>
      <c r="N149" s="19"/>
      <c r="O149" s="20"/>
      <c r="P149" s="21" t="str">
        <f t="shared" si="2"/>
        <v>6-AR</v>
      </c>
      <c r="Q149" s="108" t="str">
        <f>HYPERLINK("#'마스터_품목'!A325","→ 마스터 R325")</f>
        <v>→ 마스터 R325</v>
      </c>
      <c r="R149" s="109">
        <v>325</v>
      </c>
      <c r="S149" s="109" t="s">
        <v>72</v>
      </c>
    </row>
    <row r="150" spans="1:19" ht="48" customHeight="1" x14ac:dyDescent="0.3">
      <c r="A150" s="22" t="s">
        <v>354</v>
      </c>
      <c r="B150" s="22" t="s">
        <v>471</v>
      </c>
      <c r="C150" s="23" t="s">
        <v>591</v>
      </c>
      <c r="D150" s="23" t="s">
        <v>629</v>
      </c>
      <c r="E150" s="23" t="s">
        <v>630</v>
      </c>
      <c r="F150" s="24" t="s">
        <v>71</v>
      </c>
      <c r="G150" s="25"/>
      <c r="H150" s="26"/>
      <c r="I150" s="27" t="str">
        <f>IFERROR(IF(OR($F150="O",$G150="O",$H150="O"),CHOOSE(MATCH($A150,{"튜브","고압","진공","튜닝","조립","출하"},0),"T","H","V","N","A","P")&amp;IF($F150="O","R",IF($G150="O","A",IF($H150="O","F",""))),""),"")</f>
        <v>AR</v>
      </c>
      <c r="J150" s="15"/>
      <c r="K150" s="16"/>
      <c r="L150" s="17" t="s">
        <v>71</v>
      </c>
      <c r="M150" s="18"/>
      <c r="N150" s="19"/>
      <c r="O150" s="20"/>
      <c r="P150" s="21" t="str">
        <f t="shared" si="2"/>
        <v>6-AR</v>
      </c>
      <c r="Q150" s="108" t="str">
        <f>HYPERLINK("#'마스터_품목'!A326","→ 마스터 R326")</f>
        <v>→ 마스터 R326</v>
      </c>
      <c r="R150" s="109">
        <v>326</v>
      </c>
      <c r="S150" s="109" t="s">
        <v>72</v>
      </c>
    </row>
    <row r="151" spans="1:19" ht="48" customHeight="1" x14ac:dyDescent="0.3">
      <c r="A151" s="22" t="s">
        <v>354</v>
      </c>
      <c r="B151" s="22" t="s">
        <v>471</v>
      </c>
      <c r="C151" s="23" t="s">
        <v>631</v>
      </c>
      <c r="D151" s="23" t="s">
        <v>632</v>
      </c>
      <c r="E151" s="23" t="s">
        <v>633</v>
      </c>
      <c r="F151" s="24" t="s">
        <v>71</v>
      </c>
      <c r="G151" s="25"/>
      <c r="H151" s="26"/>
      <c r="I151" s="27" t="str">
        <f>IFERROR(IF(OR($F151="O",$G151="O",$H151="O"),CHOOSE(MATCH($A151,{"튜브","고압","진공","튜닝","조립","출하"},0),"T","H","V","N","A","P")&amp;IF($F151="O","R",IF($G151="O","A",IF($H151="O","F",""))),""),"")</f>
        <v>AR</v>
      </c>
      <c r="J151" s="15"/>
      <c r="K151" s="16"/>
      <c r="L151" s="17" t="s">
        <v>71</v>
      </c>
      <c r="M151" s="18"/>
      <c r="N151" s="19"/>
      <c r="O151" s="20"/>
      <c r="P151" s="21" t="str">
        <f t="shared" si="2"/>
        <v>6-AR</v>
      </c>
      <c r="Q151" s="108" t="str">
        <f>HYPERLINK("#'마스터_품목'!A327","→ 마스터 R327")</f>
        <v>→ 마스터 R327</v>
      </c>
      <c r="R151" s="109">
        <v>327</v>
      </c>
      <c r="S151" s="109" t="s">
        <v>72</v>
      </c>
    </row>
    <row r="152" spans="1:19" ht="48" customHeight="1" x14ac:dyDescent="0.3">
      <c r="A152" s="22" t="s">
        <v>354</v>
      </c>
      <c r="B152" s="22" t="s">
        <v>471</v>
      </c>
      <c r="C152" s="23" t="s">
        <v>631</v>
      </c>
      <c r="D152" s="23" t="s">
        <v>634</v>
      </c>
      <c r="E152" s="23" t="s">
        <v>635</v>
      </c>
      <c r="F152" s="24" t="s">
        <v>71</v>
      </c>
      <c r="G152" s="25"/>
      <c r="H152" s="26"/>
      <c r="I152" s="27" t="str">
        <f>IFERROR(IF(OR($F152="O",$G152="O",$H152="O"),CHOOSE(MATCH($A152,{"튜브","고압","진공","튜닝","조립","출하"},0),"T","H","V","N","A","P")&amp;IF($F152="O","R",IF($G152="O","A",IF($H152="O","F",""))),""),"")</f>
        <v>AR</v>
      </c>
      <c r="J152" s="15"/>
      <c r="K152" s="16"/>
      <c r="L152" s="17" t="s">
        <v>71</v>
      </c>
      <c r="M152" s="18"/>
      <c r="N152" s="19"/>
      <c r="O152" s="20"/>
      <c r="P152" s="21" t="str">
        <f t="shared" si="2"/>
        <v>6-AR</v>
      </c>
      <c r="Q152" s="108" t="str">
        <f>HYPERLINK("#'마스터_품목'!A328","→ 마스터 R328")</f>
        <v>→ 마스터 R328</v>
      </c>
      <c r="R152" s="109">
        <v>328</v>
      </c>
      <c r="S152" s="109" t="s">
        <v>72</v>
      </c>
    </row>
    <row r="153" spans="1:19" ht="48" customHeight="1" x14ac:dyDescent="0.3">
      <c r="A153" s="22" t="s">
        <v>354</v>
      </c>
      <c r="B153" s="22" t="s">
        <v>471</v>
      </c>
      <c r="C153" s="23" t="s">
        <v>631</v>
      </c>
      <c r="D153" s="23" t="s">
        <v>636</v>
      </c>
      <c r="E153" s="23"/>
      <c r="F153" s="24" t="s">
        <v>71</v>
      </c>
      <c r="G153" s="25"/>
      <c r="H153" s="26"/>
      <c r="I153" s="27" t="str">
        <f>IFERROR(IF(OR($F153="O",$G153="O",$H153="O"),CHOOSE(MATCH($A153,{"튜브","고압","진공","튜닝","조립","출하"},0),"T","H","V","N","A","P")&amp;IF($F153="O","R",IF($G153="O","A",IF($H153="O","F",""))),""),"")</f>
        <v>AR</v>
      </c>
      <c r="J153" s="15"/>
      <c r="K153" s="16"/>
      <c r="L153" s="17" t="s">
        <v>71</v>
      </c>
      <c r="M153" s="18"/>
      <c r="N153" s="19"/>
      <c r="O153" s="20"/>
      <c r="P153" s="21" t="str">
        <f t="shared" si="2"/>
        <v>6-AR</v>
      </c>
      <c r="Q153" s="108" t="str">
        <f>HYPERLINK("#'마스터_품목'!A329","→ 마스터 R329")</f>
        <v>→ 마스터 R329</v>
      </c>
      <c r="R153" s="109">
        <v>329</v>
      </c>
      <c r="S153" s="109" t="s">
        <v>72</v>
      </c>
    </row>
    <row r="154" spans="1:19" ht="48" customHeight="1" x14ac:dyDescent="0.3">
      <c r="A154" s="22" t="s">
        <v>354</v>
      </c>
      <c r="B154" s="22" t="s">
        <v>471</v>
      </c>
      <c r="C154" s="23" t="s">
        <v>591</v>
      </c>
      <c r="D154" s="23" t="s">
        <v>637</v>
      </c>
      <c r="E154" s="23" t="s">
        <v>638</v>
      </c>
      <c r="F154" s="24" t="s">
        <v>71</v>
      </c>
      <c r="G154" s="25"/>
      <c r="H154" s="26"/>
      <c r="I154" s="27" t="str">
        <f>IFERROR(IF(OR($F154="O",$G154="O",$H154="O"),CHOOSE(MATCH($A154,{"튜브","고압","진공","튜닝","조립","출하"},0),"T","H","V","N","A","P")&amp;IF($F154="O","R",IF($G154="O","A",IF($H154="O","F",""))),""),"")</f>
        <v>AR</v>
      </c>
      <c r="J154" s="15"/>
      <c r="K154" s="16"/>
      <c r="L154" s="17" t="s">
        <v>71</v>
      </c>
      <c r="M154" s="18"/>
      <c r="N154" s="19"/>
      <c r="O154" s="20"/>
      <c r="P154" s="21" t="str">
        <f t="shared" si="2"/>
        <v>6-AR</v>
      </c>
      <c r="Q154" s="108" t="str">
        <f>HYPERLINK("#'마스터_품목'!A330","→ 마스터 R330")</f>
        <v>→ 마스터 R330</v>
      </c>
      <c r="R154" s="109">
        <v>330</v>
      </c>
      <c r="S154" s="109" t="s">
        <v>72</v>
      </c>
    </row>
    <row r="155" spans="1:19" ht="48" customHeight="1" x14ac:dyDescent="0.3">
      <c r="A155" s="22" t="s">
        <v>354</v>
      </c>
      <c r="B155" s="22" t="s">
        <v>471</v>
      </c>
      <c r="C155" s="23" t="s">
        <v>591</v>
      </c>
      <c r="D155" s="23" t="s">
        <v>639</v>
      </c>
      <c r="E155" s="23" t="s">
        <v>640</v>
      </c>
      <c r="F155" s="24" t="s">
        <v>71</v>
      </c>
      <c r="G155" s="25"/>
      <c r="H155" s="26"/>
      <c r="I155" s="27" t="str">
        <f>IFERROR(IF(OR($F155="O",$G155="O",$H155="O"),CHOOSE(MATCH($A155,{"튜브","고압","진공","튜닝","조립","출하"},0),"T","H","V","N","A","P")&amp;IF($F155="O","R",IF($G155="O","A",IF($H155="O","F",""))),""),"")</f>
        <v>AR</v>
      </c>
      <c r="J155" s="15"/>
      <c r="K155" s="16"/>
      <c r="L155" s="17" t="s">
        <v>71</v>
      </c>
      <c r="M155" s="18"/>
      <c r="N155" s="19"/>
      <c r="O155" s="20"/>
      <c r="P155" s="21" t="str">
        <f t="shared" si="2"/>
        <v>6-AR</v>
      </c>
      <c r="Q155" s="108" t="str">
        <f>HYPERLINK("#'마스터_품목'!A331","→ 마스터 R331")</f>
        <v>→ 마스터 R331</v>
      </c>
      <c r="R155" s="109">
        <v>331</v>
      </c>
      <c r="S155" s="109" t="s">
        <v>72</v>
      </c>
    </row>
    <row r="156" spans="1:19" ht="48" customHeight="1" x14ac:dyDescent="0.3">
      <c r="A156" s="22" t="s">
        <v>354</v>
      </c>
      <c r="B156" s="22" t="s">
        <v>471</v>
      </c>
      <c r="C156" s="23" t="s">
        <v>591</v>
      </c>
      <c r="D156" s="23" t="s">
        <v>641</v>
      </c>
      <c r="E156" s="23" t="s">
        <v>642</v>
      </c>
      <c r="F156" s="24" t="s">
        <v>71</v>
      </c>
      <c r="G156" s="25"/>
      <c r="H156" s="26"/>
      <c r="I156" s="27" t="str">
        <f>IFERROR(IF(OR($F156="O",$G156="O",$H156="O"),CHOOSE(MATCH($A156,{"튜브","고압","진공","튜닝","조립","출하"},0),"T","H","V","N","A","P")&amp;IF($F156="O","R",IF($G156="O","A",IF($H156="O","F",""))),""),"")</f>
        <v>AR</v>
      </c>
      <c r="J156" s="15"/>
      <c r="K156" s="16"/>
      <c r="L156" s="17" t="s">
        <v>71</v>
      </c>
      <c r="M156" s="18"/>
      <c r="N156" s="19"/>
      <c r="O156" s="20"/>
      <c r="P156" s="21" t="str">
        <f t="shared" si="2"/>
        <v>6-AR</v>
      </c>
      <c r="Q156" s="108" t="str">
        <f>HYPERLINK("#'마스터_품목'!A332","→ 마스터 R332")</f>
        <v>→ 마스터 R332</v>
      </c>
      <c r="R156" s="109">
        <v>332</v>
      </c>
      <c r="S156" s="109" t="s">
        <v>72</v>
      </c>
    </row>
    <row r="157" spans="1:19" ht="48" customHeight="1" x14ac:dyDescent="0.3">
      <c r="A157" s="22" t="s">
        <v>354</v>
      </c>
      <c r="B157" s="22" t="s">
        <v>471</v>
      </c>
      <c r="C157" s="23" t="s">
        <v>591</v>
      </c>
      <c r="D157" s="23" t="s">
        <v>643</v>
      </c>
      <c r="E157" s="23" t="s">
        <v>644</v>
      </c>
      <c r="F157" s="24" t="s">
        <v>71</v>
      </c>
      <c r="G157" s="25"/>
      <c r="H157" s="26"/>
      <c r="I157" s="27" t="str">
        <f>IFERROR(IF(OR($F157="O",$G157="O",$H157="O"),CHOOSE(MATCH($A157,{"튜브","고압","진공","튜닝","조립","출하"},0),"T","H","V","N","A","P")&amp;IF($F157="O","R",IF($G157="O","A",IF($H157="O","F",""))),""),"")</f>
        <v>AR</v>
      </c>
      <c r="J157" s="15"/>
      <c r="K157" s="16"/>
      <c r="L157" s="17" t="s">
        <v>71</v>
      </c>
      <c r="M157" s="18"/>
      <c r="N157" s="19"/>
      <c r="O157" s="20"/>
      <c r="P157" s="21" t="str">
        <f t="shared" si="2"/>
        <v>6-AR</v>
      </c>
      <c r="Q157" s="108" t="str">
        <f>HYPERLINK("#'마스터_품목'!A333","→ 마스터 R333")</f>
        <v>→ 마스터 R333</v>
      </c>
      <c r="R157" s="109">
        <v>333</v>
      </c>
      <c r="S157" s="109" t="s">
        <v>72</v>
      </c>
    </row>
    <row r="158" spans="1:19" ht="48" customHeight="1" x14ac:dyDescent="0.3">
      <c r="A158" s="22" t="s">
        <v>354</v>
      </c>
      <c r="B158" s="22" t="s">
        <v>471</v>
      </c>
      <c r="C158" s="23" t="s">
        <v>645</v>
      </c>
      <c r="D158" s="23" t="s">
        <v>646</v>
      </c>
      <c r="E158" s="23" t="s">
        <v>647</v>
      </c>
      <c r="F158" s="24" t="s">
        <v>71</v>
      </c>
      <c r="G158" s="25"/>
      <c r="H158" s="26"/>
      <c r="I158" s="27" t="str">
        <f>IFERROR(IF(OR($F158="O",$G158="O",$H158="O"),CHOOSE(MATCH($A158,{"튜브","고압","진공","튜닝","조립","출하"},0),"T","H","V","N","A","P")&amp;IF($F158="O","R",IF($G158="O","A",IF($H158="O","F",""))),""),"")</f>
        <v>AR</v>
      </c>
      <c r="J158" s="15"/>
      <c r="K158" s="16"/>
      <c r="L158" s="17" t="s">
        <v>71</v>
      </c>
      <c r="M158" s="18"/>
      <c r="N158" s="19"/>
      <c r="O158" s="20"/>
      <c r="P158" s="21" t="str">
        <f t="shared" si="2"/>
        <v>6-AR</v>
      </c>
      <c r="Q158" s="108" t="str">
        <f>HYPERLINK("#'마스터_품목'!A334","→ 마스터 R334")</f>
        <v>→ 마스터 R334</v>
      </c>
      <c r="R158" s="109">
        <v>334</v>
      </c>
      <c r="S158" s="109" t="s">
        <v>72</v>
      </c>
    </row>
    <row r="159" spans="1:19" ht="48" customHeight="1" x14ac:dyDescent="0.3">
      <c r="A159" s="22" t="s">
        <v>354</v>
      </c>
      <c r="B159" s="22" t="s">
        <v>471</v>
      </c>
      <c r="C159" s="23" t="s">
        <v>591</v>
      </c>
      <c r="D159" s="23" t="s">
        <v>648</v>
      </c>
      <c r="E159" s="23" t="s">
        <v>649</v>
      </c>
      <c r="F159" s="24" t="s">
        <v>71</v>
      </c>
      <c r="G159" s="25"/>
      <c r="H159" s="26"/>
      <c r="I159" s="27" t="str">
        <f>IFERROR(IF(OR($F159="O",$G159="O",$H159="O"),CHOOSE(MATCH($A159,{"튜브","고압","진공","튜닝","조립","출하"},0),"T","H","V","N","A","P")&amp;IF($F159="O","R",IF($G159="O","A",IF($H159="O","F",""))),""),"")</f>
        <v>AR</v>
      </c>
      <c r="J159" s="15"/>
      <c r="K159" s="16"/>
      <c r="L159" s="17" t="s">
        <v>71</v>
      </c>
      <c r="M159" s="18"/>
      <c r="N159" s="19"/>
      <c r="O159" s="20"/>
      <c r="P159" s="21" t="str">
        <f t="shared" si="2"/>
        <v>6-AR</v>
      </c>
      <c r="Q159" s="108" t="str">
        <f>HYPERLINK("#'마스터_품목'!A335","→ 마스터 R335")</f>
        <v>→ 마스터 R335</v>
      </c>
      <c r="R159" s="109">
        <v>335</v>
      </c>
      <c r="S159" s="109" t="s">
        <v>72</v>
      </c>
    </row>
    <row r="160" spans="1:19" ht="48" customHeight="1" x14ac:dyDescent="0.3">
      <c r="A160" s="22" t="s">
        <v>354</v>
      </c>
      <c r="B160" s="22" t="s">
        <v>471</v>
      </c>
      <c r="C160" s="23" t="s">
        <v>591</v>
      </c>
      <c r="D160" s="23" t="s">
        <v>650</v>
      </c>
      <c r="E160" s="23" t="s">
        <v>651</v>
      </c>
      <c r="F160" s="24" t="s">
        <v>71</v>
      </c>
      <c r="G160" s="25"/>
      <c r="H160" s="26"/>
      <c r="I160" s="27" t="str">
        <f>IFERROR(IF(OR($F160="O",$G160="O",$H160="O"),CHOOSE(MATCH($A160,{"튜브","고압","진공","튜닝","조립","출하"},0),"T","H","V","N","A","P")&amp;IF($F160="O","R",IF($G160="O","A",IF($H160="O","F",""))),""),"")</f>
        <v>AR</v>
      </c>
      <c r="J160" s="15"/>
      <c r="K160" s="16"/>
      <c r="L160" s="17" t="s">
        <v>71</v>
      </c>
      <c r="M160" s="18"/>
      <c r="N160" s="19"/>
      <c r="O160" s="20"/>
      <c r="P160" s="21" t="str">
        <f t="shared" si="2"/>
        <v>6-AR</v>
      </c>
      <c r="Q160" s="108" t="str">
        <f>HYPERLINK("#'마스터_품목'!A336","→ 마스터 R336")</f>
        <v>→ 마스터 R336</v>
      </c>
      <c r="R160" s="109">
        <v>336</v>
      </c>
      <c r="S160" s="109" t="s">
        <v>72</v>
      </c>
    </row>
    <row r="161" spans="1:19" ht="48" customHeight="1" x14ac:dyDescent="0.3">
      <c r="A161" s="22" t="s">
        <v>354</v>
      </c>
      <c r="B161" s="22" t="s">
        <v>471</v>
      </c>
      <c r="C161" s="23" t="s">
        <v>645</v>
      </c>
      <c r="D161" s="23" t="s">
        <v>652</v>
      </c>
      <c r="E161" s="23" t="s">
        <v>653</v>
      </c>
      <c r="F161" s="24" t="s">
        <v>71</v>
      </c>
      <c r="G161" s="25"/>
      <c r="H161" s="26"/>
      <c r="I161" s="27" t="str">
        <f>IFERROR(IF(OR($F161="O",$G161="O",$H161="O"),CHOOSE(MATCH($A161,{"튜브","고압","진공","튜닝","조립","출하"},0),"T","H","V","N","A","P")&amp;IF($F161="O","R",IF($G161="O","A",IF($H161="O","F",""))),""),"")</f>
        <v>AR</v>
      </c>
      <c r="J161" s="15"/>
      <c r="K161" s="16"/>
      <c r="L161" s="17" t="s">
        <v>71</v>
      </c>
      <c r="M161" s="18"/>
      <c r="N161" s="19"/>
      <c r="O161" s="20"/>
      <c r="P161" s="21" t="str">
        <f t="shared" si="2"/>
        <v>6-AR</v>
      </c>
      <c r="Q161" s="108" t="str">
        <f>HYPERLINK("#'마스터_품목'!A337","→ 마스터 R337")</f>
        <v>→ 마스터 R337</v>
      </c>
      <c r="R161" s="109">
        <v>337</v>
      </c>
      <c r="S161" s="109" t="s">
        <v>72</v>
      </c>
    </row>
    <row r="162" spans="1:19" ht="48" customHeight="1" x14ac:dyDescent="0.3">
      <c r="A162" s="22" t="s">
        <v>354</v>
      </c>
      <c r="B162" s="22" t="s">
        <v>471</v>
      </c>
      <c r="C162" s="23" t="s">
        <v>631</v>
      </c>
      <c r="D162" s="23" t="s">
        <v>654</v>
      </c>
      <c r="E162" s="1" t="s">
        <v>655</v>
      </c>
      <c r="F162" s="24" t="s">
        <v>71</v>
      </c>
      <c r="G162" s="25"/>
      <c r="H162" s="26"/>
      <c r="I162" s="27" t="str">
        <f>IFERROR(IF(OR($F162="O",$G162="O",$H162="O"),CHOOSE(MATCH($A162,{"튜브","고압","진공","튜닝","조립","출하"},0),"T","H","V","N","A","P")&amp;IF($F162="O","R",IF($G162="O","A",IF($H162="O","F",""))),""),"")</f>
        <v>AR</v>
      </c>
      <c r="J162" s="15"/>
      <c r="K162" s="16"/>
      <c r="L162" s="17" t="s">
        <v>71</v>
      </c>
      <c r="M162" s="18"/>
      <c r="N162" s="19"/>
      <c r="O162" s="20"/>
      <c r="P162" s="21" t="str">
        <f t="shared" si="2"/>
        <v>6-AR</v>
      </c>
      <c r="Q162" s="108" t="str">
        <f>HYPERLINK("#'마스터_품목'!A338","→ 마스터 R338")</f>
        <v>→ 마스터 R338</v>
      </c>
      <c r="R162" s="109">
        <v>338</v>
      </c>
      <c r="S162" s="109" t="s">
        <v>72</v>
      </c>
    </row>
    <row r="163" spans="1:19" ht="48" customHeight="1" x14ac:dyDescent="0.3">
      <c r="A163" s="22" t="s">
        <v>354</v>
      </c>
      <c r="B163" s="22" t="s">
        <v>471</v>
      </c>
      <c r="C163" s="23" t="s">
        <v>631</v>
      </c>
      <c r="D163" s="23" t="s">
        <v>656</v>
      </c>
      <c r="E163" s="23" t="s">
        <v>657</v>
      </c>
      <c r="F163" s="24" t="s">
        <v>71</v>
      </c>
      <c r="G163" s="25"/>
      <c r="H163" s="26"/>
      <c r="I163" s="27" t="str">
        <f>IFERROR(IF(OR($F163="O",$G163="O",$H163="O"),CHOOSE(MATCH($A163,{"튜브","고압","진공","튜닝","조립","출하"},0),"T","H","V","N","A","P")&amp;IF($F163="O","R",IF($G163="O","A",IF($H163="O","F",""))),""),"")</f>
        <v>AR</v>
      </c>
      <c r="J163" s="15"/>
      <c r="K163" s="16"/>
      <c r="L163" s="17" t="s">
        <v>71</v>
      </c>
      <c r="M163" s="18"/>
      <c r="N163" s="19"/>
      <c r="O163" s="20"/>
      <c r="P163" s="21" t="str">
        <f t="shared" si="2"/>
        <v>6-AR</v>
      </c>
      <c r="Q163" s="108" t="str">
        <f>HYPERLINK("#'마스터_품목'!A339","→ 마스터 R339")</f>
        <v>→ 마스터 R339</v>
      </c>
      <c r="R163" s="109">
        <v>339</v>
      </c>
      <c r="S163" s="109" t="s">
        <v>72</v>
      </c>
    </row>
    <row r="164" spans="1:19" ht="48" customHeight="1" x14ac:dyDescent="0.3">
      <c r="A164" s="22" t="s">
        <v>354</v>
      </c>
      <c r="B164" s="22" t="s">
        <v>471</v>
      </c>
      <c r="C164" s="23" t="s">
        <v>631</v>
      </c>
      <c r="D164" s="23" t="s">
        <v>658</v>
      </c>
      <c r="E164" s="23" t="s">
        <v>659</v>
      </c>
      <c r="F164" s="24" t="s">
        <v>71</v>
      </c>
      <c r="G164" s="25"/>
      <c r="H164" s="26"/>
      <c r="I164" s="27" t="str">
        <f>IFERROR(IF(OR($F164="O",$G164="O",$H164="O"),CHOOSE(MATCH($A164,{"튜브","고압","진공","튜닝","조립","출하"},0),"T","H","V","N","A","P")&amp;IF($F164="O","R",IF($G164="O","A",IF($H164="O","F",""))),""),"")</f>
        <v>AR</v>
      </c>
      <c r="J164" s="15"/>
      <c r="K164" s="16"/>
      <c r="L164" s="17" t="s">
        <v>71</v>
      </c>
      <c r="M164" s="18"/>
      <c r="N164" s="19"/>
      <c r="O164" s="20"/>
      <c r="P164" s="21" t="str">
        <f t="shared" si="2"/>
        <v>6-AR</v>
      </c>
      <c r="Q164" s="108" t="str">
        <f>HYPERLINK("#'마스터_품목'!A340","→ 마스터 R340")</f>
        <v>→ 마스터 R340</v>
      </c>
      <c r="R164" s="109">
        <v>340</v>
      </c>
      <c r="S164" s="109" t="s">
        <v>72</v>
      </c>
    </row>
    <row r="165" spans="1:19" ht="48" customHeight="1" x14ac:dyDescent="0.3">
      <c r="A165" s="22" t="s">
        <v>354</v>
      </c>
      <c r="B165" s="22" t="s">
        <v>471</v>
      </c>
      <c r="C165" s="23" t="s">
        <v>631</v>
      </c>
      <c r="D165" s="23" t="s">
        <v>660</v>
      </c>
      <c r="E165" s="23" t="s">
        <v>661</v>
      </c>
      <c r="F165" s="24" t="s">
        <v>71</v>
      </c>
      <c r="G165" s="25"/>
      <c r="H165" s="26"/>
      <c r="I165" s="27" t="str">
        <f>IFERROR(IF(OR($F165="O",$G165="O",$H165="O"),CHOOSE(MATCH($A165,{"튜브","고압","진공","튜닝","조립","출하"},0),"T","H","V","N","A","P")&amp;IF($F165="O","R",IF($G165="O","A",IF($H165="O","F",""))),""),"")</f>
        <v>AR</v>
      </c>
      <c r="J165" s="15"/>
      <c r="K165" s="16"/>
      <c r="L165" s="17" t="s">
        <v>71</v>
      </c>
      <c r="M165" s="18"/>
      <c r="N165" s="19"/>
      <c r="O165" s="20"/>
      <c r="P165" s="21" t="str">
        <f t="shared" si="2"/>
        <v>6-AR</v>
      </c>
      <c r="Q165" s="108" t="str">
        <f>HYPERLINK("#'마스터_품목'!A341","→ 마스터 R341")</f>
        <v>→ 마스터 R341</v>
      </c>
      <c r="R165" s="109">
        <v>341</v>
      </c>
      <c r="S165" s="109" t="s">
        <v>72</v>
      </c>
    </row>
    <row r="166" spans="1:19" ht="48" customHeight="1" x14ac:dyDescent="0.3">
      <c r="A166" s="22" t="s">
        <v>354</v>
      </c>
      <c r="B166" s="22" t="s">
        <v>471</v>
      </c>
      <c r="C166" s="23" t="s">
        <v>591</v>
      </c>
      <c r="D166" s="23" t="s">
        <v>662</v>
      </c>
      <c r="E166" s="23" t="s">
        <v>663</v>
      </c>
      <c r="F166" s="24" t="s">
        <v>71</v>
      </c>
      <c r="G166" s="25"/>
      <c r="H166" s="26"/>
      <c r="I166" s="27" t="str">
        <f>IFERROR(IF(OR($F166="O",$G166="O",$H166="O"),CHOOSE(MATCH($A166,{"튜브","고압","진공","튜닝","조립","출하"},0),"T","H","V","N","A","P")&amp;IF($F166="O","R",IF($G166="O","A",IF($H166="O","F",""))),""),"")</f>
        <v>AR</v>
      </c>
      <c r="J166" s="15"/>
      <c r="K166" s="16"/>
      <c r="L166" s="17" t="s">
        <v>71</v>
      </c>
      <c r="M166" s="18"/>
      <c r="N166" s="19"/>
      <c r="O166" s="20"/>
      <c r="P166" s="21" t="str">
        <f t="shared" si="2"/>
        <v>6-AR</v>
      </c>
      <c r="Q166" s="108" t="str">
        <f>HYPERLINK("#'마스터_품목'!A342","→ 마스터 R342")</f>
        <v>→ 마스터 R342</v>
      </c>
      <c r="R166" s="109">
        <v>342</v>
      </c>
      <c r="S166" s="109" t="s">
        <v>72</v>
      </c>
    </row>
    <row r="167" spans="1:19" ht="48" customHeight="1" x14ac:dyDescent="0.3">
      <c r="A167" s="22" t="s">
        <v>354</v>
      </c>
      <c r="B167" s="22" t="s">
        <v>471</v>
      </c>
      <c r="C167" s="23" t="s">
        <v>591</v>
      </c>
      <c r="D167" s="23" t="s">
        <v>664</v>
      </c>
      <c r="E167" s="23" t="s">
        <v>665</v>
      </c>
      <c r="F167" s="24" t="s">
        <v>71</v>
      </c>
      <c r="G167" s="25"/>
      <c r="H167" s="26"/>
      <c r="I167" s="27" t="str">
        <f>IFERROR(IF(OR($F167="O",$G167="O",$H167="O"),CHOOSE(MATCH($A167,{"튜브","고압","진공","튜닝","조립","출하"},0),"T","H","V","N","A","P")&amp;IF($F167="O","R",IF($G167="O","A",IF($H167="O","F",""))),""),"")</f>
        <v>AR</v>
      </c>
      <c r="J167" s="15"/>
      <c r="K167" s="16"/>
      <c r="L167" s="17" t="s">
        <v>71</v>
      </c>
      <c r="M167" s="18"/>
      <c r="N167" s="19"/>
      <c r="O167" s="20"/>
      <c r="P167" s="21" t="str">
        <f t="shared" si="2"/>
        <v>6-AR</v>
      </c>
      <c r="Q167" s="108" t="str">
        <f>HYPERLINK("#'마스터_품목'!A343","→ 마스터 R343")</f>
        <v>→ 마스터 R343</v>
      </c>
      <c r="R167" s="109">
        <v>343</v>
      </c>
      <c r="S167" s="109" t="s">
        <v>72</v>
      </c>
    </row>
    <row r="168" spans="1:19" ht="48" customHeight="1" x14ac:dyDescent="0.3">
      <c r="A168" s="22" t="s">
        <v>354</v>
      </c>
      <c r="B168" s="22" t="s">
        <v>471</v>
      </c>
      <c r="C168" s="23" t="s">
        <v>591</v>
      </c>
      <c r="D168" s="23" t="s">
        <v>666</v>
      </c>
      <c r="E168" s="23" t="s">
        <v>667</v>
      </c>
      <c r="F168" s="24" t="s">
        <v>71</v>
      </c>
      <c r="G168" s="25"/>
      <c r="H168" s="26"/>
      <c r="I168" s="27" t="str">
        <f>IFERROR(IF(OR($F168="O",$G168="O",$H168="O"),CHOOSE(MATCH($A168,{"튜브","고압","진공","튜닝","조립","출하"},0),"T","H","V","N","A","P")&amp;IF($F168="O","R",IF($G168="O","A",IF($H168="O","F",""))),""),"")</f>
        <v>AR</v>
      </c>
      <c r="J168" s="15"/>
      <c r="K168" s="16"/>
      <c r="L168" s="17" t="s">
        <v>71</v>
      </c>
      <c r="M168" s="18"/>
      <c r="N168" s="19"/>
      <c r="O168" s="20"/>
      <c r="P168" s="21" t="str">
        <f t="shared" si="2"/>
        <v>6-AR</v>
      </c>
      <c r="Q168" s="108" t="str">
        <f>HYPERLINK("#'마스터_품목'!A344","→ 마스터 R344")</f>
        <v>→ 마스터 R344</v>
      </c>
      <c r="R168" s="109">
        <v>344</v>
      </c>
      <c r="S168" s="109" t="s">
        <v>72</v>
      </c>
    </row>
    <row r="169" spans="1:19" ht="48" customHeight="1" x14ac:dyDescent="0.3">
      <c r="A169" s="22" t="s">
        <v>354</v>
      </c>
      <c r="B169" s="22" t="s">
        <v>471</v>
      </c>
      <c r="C169" s="23" t="s">
        <v>591</v>
      </c>
      <c r="D169" s="23" t="s">
        <v>668</v>
      </c>
      <c r="E169" s="23" t="s">
        <v>669</v>
      </c>
      <c r="F169" s="24" t="s">
        <v>71</v>
      </c>
      <c r="G169" s="25"/>
      <c r="H169" s="26"/>
      <c r="I169" s="27" t="str">
        <f>IFERROR(IF(OR($F169="O",$G169="O",$H169="O"),CHOOSE(MATCH($A169,{"튜브","고압","진공","튜닝","조립","출하"},0),"T","H","V","N","A","P")&amp;IF($F169="O","R",IF($G169="O","A",IF($H169="O","F",""))),""),"")</f>
        <v>AR</v>
      </c>
      <c r="J169" s="15"/>
      <c r="K169" s="16"/>
      <c r="L169" s="17" t="s">
        <v>71</v>
      </c>
      <c r="M169" s="18"/>
      <c r="N169" s="19"/>
      <c r="O169" s="20"/>
      <c r="P169" s="21" t="str">
        <f t="shared" si="2"/>
        <v>6-AR</v>
      </c>
      <c r="Q169" s="108" t="str">
        <f>HYPERLINK("#'마스터_품목'!A345","→ 마스터 R345")</f>
        <v>→ 마스터 R345</v>
      </c>
      <c r="R169" s="109">
        <v>345</v>
      </c>
      <c r="S169" s="109" t="s">
        <v>72</v>
      </c>
    </row>
    <row r="170" spans="1:19" ht="48" customHeight="1" x14ac:dyDescent="0.3">
      <c r="A170" s="22" t="s">
        <v>354</v>
      </c>
      <c r="B170" s="22" t="s">
        <v>471</v>
      </c>
      <c r="C170" s="23" t="s">
        <v>591</v>
      </c>
      <c r="D170" s="23" t="s">
        <v>670</v>
      </c>
      <c r="E170" s="23" t="s">
        <v>671</v>
      </c>
      <c r="F170" s="24" t="s">
        <v>71</v>
      </c>
      <c r="G170" s="25"/>
      <c r="H170" s="26"/>
      <c r="I170" s="27" t="str">
        <f>IFERROR(IF(OR($F170="O",$G170="O",$H170="O"),CHOOSE(MATCH($A170,{"튜브","고압","진공","튜닝","조립","출하"},0),"T","H","V","N","A","P")&amp;IF($F170="O","R",IF($G170="O","A",IF($H170="O","F",""))),""),"")</f>
        <v>AR</v>
      </c>
      <c r="J170" s="15"/>
      <c r="K170" s="16"/>
      <c r="L170" s="17" t="s">
        <v>71</v>
      </c>
      <c r="M170" s="18"/>
      <c r="N170" s="19"/>
      <c r="O170" s="20"/>
      <c r="P170" s="21" t="str">
        <f t="shared" si="2"/>
        <v>6-AR</v>
      </c>
      <c r="Q170" s="108" t="str">
        <f>HYPERLINK("#'마스터_품목'!A346","→ 마스터 R346")</f>
        <v>→ 마스터 R346</v>
      </c>
      <c r="R170" s="109">
        <v>346</v>
      </c>
      <c r="S170" s="109" t="s">
        <v>72</v>
      </c>
    </row>
    <row r="171" spans="1:19" ht="48" customHeight="1" x14ac:dyDescent="0.3">
      <c r="A171" s="22" t="s">
        <v>354</v>
      </c>
      <c r="B171" s="22" t="s">
        <v>471</v>
      </c>
      <c r="C171" s="23" t="s">
        <v>591</v>
      </c>
      <c r="D171" s="23" t="s">
        <v>672</v>
      </c>
      <c r="E171" s="23" t="s">
        <v>673</v>
      </c>
      <c r="F171" s="24" t="s">
        <v>71</v>
      </c>
      <c r="G171" s="25"/>
      <c r="H171" s="26"/>
      <c r="I171" s="27" t="str">
        <f>IFERROR(IF(OR($F171="O",$G171="O",$H171="O"),CHOOSE(MATCH($A171,{"튜브","고압","진공","튜닝","조립","출하"},0),"T","H","V","N","A","P")&amp;IF($F171="O","R",IF($G171="O","A",IF($H171="O","F",""))),""),"")</f>
        <v>AR</v>
      </c>
      <c r="J171" s="15"/>
      <c r="K171" s="16"/>
      <c r="L171" s="17" t="s">
        <v>71</v>
      </c>
      <c r="M171" s="18"/>
      <c r="N171" s="19"/>
      <c r="O171" s="20"/>
      <c r="P171" s="21" t="str">
        <f t="shared" si="2"/>
        <v>6-AR</v>
      </c>
      <c r="Q171" s="108" t="str">
        <f>HYPERLINK("#'마스터_품목'!A347","→ 마스터 R347")</f>
        <v>→ 마스터 R347</v>
      </c>
      <c r="R171" s="109">
        <v>347</v>
      </c>
      <c r="S171" s="109" t="s">
        <v>72</v>
      </c>
    </row>
    <row r="172" spans="1:19" ht="48" customHeight="1" x14ac:dyDescent="0.3">
      <c r="A172" s="22" t="s">
        <v>354</v>
      </c>
      <c r="B172" s="22" t="s">
        <v>471</v>
      </c>
      <c r="C172" s="23" t="s">
        <v>591</v>
      </c>
      <c r="D172" s="23" t="s">
        <v>674</v>
      </c>
      <c r="E172" s="23" t="s">
        <v>675</v>
      </c>
      <c r="F172" s="24" t="s">
        <v>71</v>
      </c>
      <c r="G172" s="25"/>
      <c r="H172" s="26"/>
      <c r="I172" s="27" t="str">
        <f>IFERROR(IF(OR($F172="O",$G172="O",$H172="O"),CHOOSE(MATCH($A172,{"튜브","고압","진공","튜닝","조립","출하"},0),"T","H","V","N","A","P")&amp;IF($F172="O","R",IF($G172="O","A",IF($H172="O","F",""))),""),"")</f>
        <v>AR</v>
      </c>
      <c r="J172" s="15"/>
      <c r="K172" s="16"/>
      <c r="L172" s="17" t="s">
        <v>71</v>
      </c>
      <c r="M172" s="18"/>
      <c r="N172" s="19"/>
      <c r="O172" s="20"/>
      <c r="P172" s="21" t="str">
        <f t="shared" si="2"/>
        <v>6-AR</v>
      </c>
      <c r="Q172" s="108" t="str">
        <f>HYPERLINK("#'마스터_품목'!A348","→ 마스터 R348")</f>
        <v>→ 마스터 R348</v>
      </c>
      <c r="R172" s="109">
        <v>348</v>
      </c>
      <c r="S172" s="109" t="s">
        <v>72</v>
      </c>
    </row>
    <row r="173" spans="1:19" ht="48" customHeight="1" x14ac:dyDescent="0.3">
      <c r="A173" s="22" t="s">
        <v>354</v>
      </c>
      <c r="B173" s="22" t="s">
        <v>471</v>
      </c>
      <c r="C173" s="23" t="s">
        <v>591</v>
      </c>
      <c r="D173" s="23" t="s">
        <v>676</v>
      </c>
      <c r="E173" s="23" t="s">
        <v>677</v>
      </c>
      <c r="F173" s="24" t="s">
        <v>71</v>
      </c>
      <c r="G173" s="25"/>
      <c r="H173" s="26"/>
      <c r="I173" s="27" t="str">
        <f>IFERROR(IF(OR($F173="O",$G173="O",$H173="O"),CHOOSE(MATCH($A173,{"튜브","고압","진공","튜닝","조립","출하"},0),"T","H","V","N","A","P")&amp;IF($F173="O","R",IF($G173="O","A",IF($H173="O","F",""))),""),"")</f>
        <v>AR</v>
      </c>
      <c r="J173" s="15"/>
      <c r="K173" s="16"/>
      <c r="L173" s="17" t="s">
        <v>71</v>
      </c>
      <c r="M173" s="18"/>
      <c r="N173" s="19"/>
      <c r="O173" s="20"/>
      <c r="P173" s="21" t="str">
        <f t="shared" si="2"/>
        <v>6-AR</v>
      </c>
      <c r="Q173" s="108" t="str">
        <f>HYPERLINK("#'마스터_품목'!A349","→ 마스터 R349")</f>
        <v>→ 마스터 R349</v>
      </c>
      <c r="R173" s="109">
        <v>349</v>
      </c>
      <c r="S173" s="109" t="s">
        <v>72</v>
      </c>
    </row>
    <row r="174" spans="1:19" ht="48" customHeight="1" x14ac:dyDescent="0.3">
      <c r="A174" s="22" t="s">
        <v>354</v>
      </c>
      <c r="B174" s="22" t="s">
        <v>471</v>
      </c>
      <c r="C174" s="23" t="s">
        <v>591</v>
      </c>
      <c r="D174" s="23" t="s">
        <v>678</v>
      </c>
      <c r="E174" s="23" t="s">
        <v>679</v>
      </c>
      <c r="F174" s="24" t="s">
        <v>71</v>
      </c>
      <c r="G174" s="25"/>
      <c r="H174" s="26"/>
      <c r="I174" s="27" t="str">
        <f>IFERROR(IF(OR($F174="O",$G174="O",$H174="O"),CHOOSE(MATCH($A174,{"튜브","고압","진공","튜닝","조립","출하"},0),"T","H","V","N","A","P")&amp;IF($F174="O","R",IF($G174="O","A",IF($H174="O","F",""))),""),"")</f>
        <v>AR</v>
      </c>
      <c r="J174" s="15"/>
      <c r="K174" s="16"/>
      <c r="L174" s="17" t="s">
        <v>71</v>
      </c>
      <c r="M174" s="18"/>
      <c r="N174" s="19"/>
      <c r="O174" s="20"/>
      <c r="P174" s="21" t="str">
        <f t="shared" si="2"/>
        <v>6-AR</v>
      </c>
      <c r="Q174" s="108" t="str">
        <f>HYPERLINK("#'마스터_품목'!A350","→ 마스터 R350")</f>
        <v>→ 마스터 R350</v>
      </c>
      <c r="R174" s="109">
        <v>350</v>
      </c>
      <c r="S174" s="109" t="s">
        <v>72</v>
      </c>
    </row>
    <row r="175" spans="1:19" ht="48" customHeight="1" x14ac:dyDescent="0.3">
      <c r="A175" s="22" t="s">
        <v>354</v>
      </c>
      <c r="B175" s="22" t="s">
        <v>471</v>
      </c>
      <c r="C175" s="23" t="s">
        <v>591</v>
      </c>
      <c r="D175" s="23" t="s">
        <v>680</v>
      </c>
      <c r="E175" s="23" t="s">
        <v>681</v>
      </c>
      <c r="F175" s="24" t="s">
        <v>71</v>
      </c>
      <c r="G175" s="25"/>
      <c r="H175" s="26"/>
      <c r="I175" s="27" t="str">
        <f>IFERROR(IF(OR($F175="O",$G175="O",$H175="O"),CHOOSE(MATCH($A175,{"튜브","고압","진공","튜닝","조립","출하"},0),"T","H","V","N","A","P")&amp;IF($F175="O","R",IF($G175="O","A",IF($H175="O","F",""))),""),"")</f>
        <v>AR</v>
      </c>
      <c r="J175" s="15"/>
      <c r="K175" s="16"/>
      <c r="L175" s="17" t="s">
        <v>71</v>
      </c>
      <c r="M175" s="18"/>
      <c r="N175" s="19"/>
      <c r="O175" s="20"/>
      <c r="P175" s="21" t="str">
        <f t="shared" si="2"/>
        <v>6-AR</v>
      </c>
      <c r="Q175" s="108" t="str">
        <f>HYPERLINK("#'마스터_품목'!A351","→ 마스터 R351")</f>
        <v>→ 마스터 R351</v>
      </c>
      <c r="R175" s="109">
        <v>351</v>
      </c>
      <c r="S175" s="109" t="s">
        <v>72</v>
      </c>
    </row>
    <row r="176" spans="1:19" ht="48" customHeight="1" x14ac:dyDescent="0.3">
      <c r="A176" s="22" t="s">
        <v>354</v>
      </c>
      <c r="B176" s="22" t="s">
        <v>471</v>
      </c>
      <c r="C176" s="23" t="s">
        <v>645</v>
      </c>
      <c r="D176" s="23" t="s">
        <v>682</v>
      </c>
      <c r="E176" s="23" t="s">
        <v>683</v>
      </c>
      <c r="F176" s="24" t="s">
        <v>71</v>
      </c>
      <c r="G176" s="25"/>
      <c r="H176" s="26"/>
      <c r="I176" s="27" t="str">
        <f>IFERROR(IF(OR($F176="O",$G176="O",$H176="O"),CHOOSE(MATCH($A176,{"튜브","고압","진공","튜닝","조립","출하"},0),"T","H","V","N","A","P")&amp;IF($F176="O","R",IF($G176="O","A",IF($H176="O","F",""))),""),"")</f>
        <v>AR</v>
      </c>
      <c r="J176" s="15"/>
      <c r="K176" s="16"/>
      <c r="L176" s="17" t="s">
        <v>71</v>
      </c>
      <c r="M176" s="18"/>
      <c r="N176" s="19"/>
      <c r="O176" s="20"/>
      <c r="P176" s="21" t="str">
        <f t="shared" si="2"/>
        <v>6-AR</v>
      </c>
      <c r="Q176" s="108" t="str">
        <f>HYPERLINK("#'마스터_품목'!A352","→ 마스터 R352")</f>
        <v>→ 마스터 R352</v>
      </c>
      <c r="R176" s="109">
        <v>352</v>
      </c>
      <c r="S176" s="109" t="s">
        <v>72</v>
      </c>
    </row>
    <row r="177" spans="1:19" ht="48" customHeight="1" x14ac:dyDescent="0.3">
      <c r="A177" s="22" t="s">
        <v>354</v>
      </c>
      <c r="B177" s="22" t="s">
        <v>471</v>
      </c>
      <c r="C177" s="23" t="s">
        <v>684</v>
      </c>
      <c r="D177" s="23" t="s">
        <v>685</v>
      </c>
      <c r="E177" s="23" t="s">
        <v>686</v>
      </c>
      <c r="F177" s="24" t="s">
        <v>71</v>
      </c>
      <c r="G177" s="25"/>
      <c r="H177" s="26"/>
      <c r="I177" s="27" t="str">
        <f>IFERROR(IF(OR($F177="O",$G177="O",$H177="O"),CHOOSE(MATCH($A177,{"튜브","고압","진공","튜닝","조립","출하"},0),"T","H","V","N","A","P")&amp;IF($F177="O","R",IF($G177="O","A",IF($H177="O","F",""))),""),"")</f>
        <v>AR</v>
      </c>
      <c r="J177" s="15"/>
      <c r="K177" s="16"/>
      <c r="L177" s="17" t="s">
        <v>71</v>
      </c>
      <c r="M177" s="18"/>
      <c r="N177" s="19"/>
      <c r="O177" s="20"/>
      <c r="P177" s="21" t="str">
        <f t="shared" si="2"/>
        <v>6-AR</v>
      </c>
      <c r="Q177" s="108" t="str">
        <f>HYPERLINK("#'마스터_품목'!A353","→ 마스터 R353")</f>
        <v>→ 마스터 R353</v>
      </c>
      <c r="R177" s="109">
        <v>353</v>
      </c>
      <c r="S177" s="109" t="s">
        <v>72</v>
      </c>
    </row>
    <row r="178" spans="1:19" ht="48" customHeight="1" x14ac:dyDescent="0.3">
      <c r="A178" s="22" t="s">
        <v>354</v>
      </c>
      <c r="B178" s="22" t="s">
        <v>471</v>
      </c>
      <c r="C178" s="23" t="s">
        <v>631</v>
      </c>
      <c r="D178" s="23" t="s">
        <v>687</v>
      </c>
      <c r="E178" s="23" t="s">
        <v>688</v>
      </c>
      <c r="F178" s="24" t="s">
        <v>71</v>
      </c>
      <c r="G178" s="25"/>
      <c r="H178" s="26"/>
      <c r="I178" s="27" t="str">
        <f>IFERROR(IF(OR($F178="O",$G178="O",$H178="O"),CHOOSE(MATCH($A178,{"튜브","고압","진공","튜닝","조립","출하"},0),"T","H","V","N","A","P")&amp;IF($F178="O","R",IF($G178="O","A",IF($H178="O","F",""))),""),"")</f>
        <v>AR</v>
      </c>
      <c r="J178" s="15"/>
      <c r="K178" s="16"/>
      <c r="L178" s="17" t="s">
        <v>71</v>
      </c>
      <c r="M178" s="18"/>
      <c r="N178" s="19"/>
      <c r="O178" s="20"/>
      <c r="P178" s="21" t="str">
        <f t="shared" si="2"/>
        <v>6-AR</v>
      </c>
      <c r="Q178" s="108" t="str">
        <f>HYPERLINK("#'마스터_품목'!A354","→ 마스터 R354")</f>
        <v>→ 마스터 R354</v>
      </c>
      <c r="R178" s="109">
        <v>354</v>
      </c>
      <c r="S178" s="109" t="s">
        <v>72</v>
      </c>
    </row>
    <row r="179" spans="1:19" ht="48" customHeight="1" x14ac:dyDescent="0.3">
      <c r="A179" s="22" t="s">
        <v>354</v>
      </c>
      <c r="B179" s="22" t="s">
        <v>536</v>
      </c>
      <c r="C179" s="23" t="s">
        <v>631</v>
      </c>
      <c r="D179" s="23" t="s">
        <v>689</v>
      </c>
      <c r="E179" s="23" t="s">
        <v>690</v>
      </c>
      <c r="F179" s="24" t="s">
        <v>71</v>
      </c>
      <c r="G179" s="25"/>
      <c r="H179" s="26"/>
      <c r="I179" s="27" t="str">
        <f>IFERROR(IF(OR($F179="O",$G179="O",$H179="O"),CHOOSE(MATCH($A179,{"튜브","고압","진공","튜닝","조립","출하"},0),"T","H","V","N","A","P")&amp;IF($F179="O","R",IF($G179="O","A",IF($H179="O","F",""))),""),"")</f>
        <v>AR</v>
      </c>
      <c r="J179" s="15"/>
      <c r="K179" s="16"/>
      <c r="L179" s="17" t="s">
        <v>71</v>
      </c>
      <c r="M179" s="18"/>
      <c r="N179" s="19"/>
      <c r="O179" s="20"/>
      <c r="P179" s="21" t="str">
        <f t="shared" si="2"/>
        <v>6-AR</v>
      </c>
      <c r="Q179" s="108" t="str">
        <f>HYPERLINK("#'마스터_품목'!A355","→ 마스터 R355")</f>
        <v>→ 마스터 R355</v>
      </c>
      <c r="R179" s="109">
        <v>355</v>
      </c>
      <c r="S179" s="109" t="s">
        <v>72</v>
      </c>
    </row>
    <row r="180" spans="1:19" ht="48" customHeight="1" x14ac:dyDescent="0.3">
      <c r="A180" s="22" t="s">
        <v>354</v>
      </c>
      <c r="B180" s="22" t="s">
        <v>536</v>
      </c>
      <c r="C180" s="23" t="s">
        <v>631</v>
      </c>
      <c r="D180" s="23" t="s">
        <v>691</v>
      </c>
      <c r="E180" s="23" t="s">
        <v>692</v>
      </c>
      <c r="F180" s="24" t="s">
        <v>71</v>
      </c>
      <c r="G180" s="25"/>
      <c r="H180" s="26"/>
      <c r="I180" s="27" t="str">
        <f>IFERROR(IF(OR($F180="O",$G180="O",$H180="O"),CHOOSE(MATCH($A180,{"튜브","고압","진공","튜닝","조립","출하"},0),"T","H","V","N","A","P")&amp;IF($F180="O","R",IF($G180="O","A",IF($H180="O","F",""))),""),"")</f>
        <v>AR</v>
      </c>
      <c r="J180" s="15"/>
      <c r="K180" s="16"/>
      <c r="L180" s="17" t="s">
        <v>71</v>
      </c>
      <c r="M180" s="18"/>
      <c r="N180" s="19"/>
      <c r="O180" s="20"/>
      <c r="P180" s="21" t="str">
        <f t="shared" si="2"/>
        <v>6-AR</v>
      </c>
      <c r="Q180" s="108" t="str">
        <f>HYPERLINK("#'마스터_품목'!A356","→ 마스터 R356")</f>
        <v>→ 마스터 R356</v>
      </c>
      <c r="R180" s="109">
        <v>356</v>
      </c>
      <c r="S180" s="109" t="s">
        <v>72</v>
      </c>
    </row>
    <row r="181" spans="1:19" ht="48" customHeight="1" x14ac:dyDescent="0.3">
      <c r="A181" s="22" t="s">
        <v>354</v>
      </c>
      <c r="B181" s="22" t="s">
        <v>536</v>
      </c>
      <c r="C181" s="23" t="s">
        <v>631</v>
      </c>
      <c r="D181" s="23" t="s">
        <v>693</v>
      </c>
      <c r="E181" s="23" t="s">
        <v>694</v>
      </c>
      <c r="F181" s="24" t="s">
        <v>71</v>
      </c>
      <c r="G181" s="25"/>
      <c r="H181" s="26"/>
      <c r="I181" s="27" t="str">
        <f>IFERROR(IF(OR($F181="O",$G181="O",$H181="O"),CHOOSE(MATCH($A181,{"튜브","고압","진공","튜닝","조립","출하"},0),"T","H","V","N","A","P")&amp;IF($F181="O","R",IF($G181="O","A",IF($H181="O","F",""))),""),"")</f>
        <v>AR</v>
      </c>
      <c r="J181" s="15"/>
      <c r="K181" s="16"/>
      <c r="L181" s="17" t="s">
        <v>71</v>
      </c>
      <c r="M181" s="18"/>
      <c r="N181" s="19"/>
      <c r="O181" s="20"/>
      <c r="P181" s="21" t="str">
        <f t="shared" si="2"/>
        <v>6-AR</v>
      </c>
      <c r="Q181" s="108" t="str">
        <f>HYPERLINK("#'마스터_품목'!A357","→ 마스터 R357")</f>
        <v>→ 마스터 R357</v>
      </c>
      <c r="R181" s="109">
        <v>357</v>
      </c>
      <c r="S181" s="109" t="s">
        <v>72</v>
      </c>
    </row>
    <row r="182" spans="1:19" ht="48" customHeight="1" x14ac:dyDescent="0.3">
      <c r="A182" s="22" t="s">
        <v>354</v>
      </c>
      <c r="B182" s="22" t="s">
        <v>536</v>
      </c>
      <c r="C182" s="23" t="s">
        <v>645</v>
      </c>
      <c r="D182" s="23" t="s">
        <v>693</v>
      </c>
      <c r="E182" s="23" t="s">
        <v>695</v>
      </c>
      <c r="F182" s="24" t="s">
        <v>71</v>
      </c>
      <c r="G182" s="25"/>
      <c r="H182" s="26"/>
      <c r="I182" s="27" t="str">
        <f>IFERROR(IF(OR($F182="O",$G182="O",$H182="O"),CHOOSE(MATCH($A182,{"튜브","고압","진공","튜닝","조립","출하"},0),"T","H","V","N","A","P")&amp;IF($F182="O","R",IF($G182="O","A",IF($H182="O","F",""))),""),"")</f>
        <v>AR</v>
      </c>
      <c r="J182" s="15"/>
      <c r="K182" s="16"/>
      <c r="L182" s="17" t="s">
        <v>71</v>
      </c>
      <c r="M182" s="18"/>
      <c r="N182" s="19"/>
      <c r="O182" s="20"/>
      <c r="P182" s="21" t="str">
        <f t="shared" si="2"/>
        <v>6-AR</v>
      </c>
      <c r="Q182" s="108" t="str">
        <f>HYPERLINK("#'마스터_품목'!A358","→ 마스터 R358")</f>
        <v>→ 마스터 R358</v>
      </c>
      <c r="R182" s="109">
        <v>358</v>
      </c>
      <c r="S182" s="109" t="s">
        <v>72</v>
      </c>
    </row>
    <row r="183" spans="1:19" ht="48" customHeight="1" x14ac:dyDescent="0.3">
      <c r="A183" s="22" t="s">
        <v>354</v>
      </c>
      <c r="B183" s="22" t="s">
        <v>536</v>
      </c>
      <c r="C183" s="23" t="s">
        <v>631</v>
      </c>
      <c r="D183" s="23" t="s">
        <v>696</v>
      </c>
      <c r="E183" s="23" t="s">
        <v>697</v>
      </c>
      <c r="F183" s="24" t="s">
        <v>71</v>
      </c>
      <c r="G183" s="25"/>
      <c r="H183" s="26"/>
      <c r="I183" s="27" t="str">
        <f>IFERROR(IF(OR($F183="O",$G183="O",$H183="O"),CHOOSE(MATCH($A183,{"튜브","고압","진공","튜닝","조립","출하"},0),"T","H","V","N","A","P")&amp;IF($F183="O","R",IF($G183="O","A",IF($H183="O","F",""))),""),"")</f>
        <v>AR</v>
      </c>
      <c r="J183" s="15"/>
      <c r="K183" s="16"/>
      <c r="L183" s="17" t="s">
        <v>71</v>
      </c>
      <c r="M183" s="18"/>
      <c r="N183" s="19"/>
      <c r="O183" s="20"/>
      <c r="P183" s="21" t="str">
        <f t="shared" si="2"/>
        <v>6-AR</v>
      </c>
      <c r="Q183" s="108" t="str">
        <f>HYPERLINK("#'마스터_품목'!A359","→ 마스터 R359")</f>
        <v>→ 마스터 R359</v>
      </c>
      <c r="R183" s="109">
        <v>359</v>
      </c>
      <c r="S183" s="109" t="s">
        <v>72</v>
      </c>
    </row>
    <row r="184" spans="1:19" ht="48" customHeight="1" x14ac:dyDescent="0.3">
      <c r="A184" s="22" t="s">
        <v>354</v>
      </c>
      <c r="B184" s="22" t="s">
        <v>536</v>
      </c>
      <c r="C184" s="23" t="s">
        <v>631</v>
      </c>
      <c r="D184" s="23" t="s">
        <v>698</v>
      </c>
      <c r="E184" s="23" t="s">
        <v>699</v>
      </c>
      <c r="F184" s="24" t="s">
        <v>71</v>
      </c>
      <c r="G184" s="25"/>
      <c r="H184" s="26"/>
      <c r="I184" s="27" t="str">
        <f>IFERROR(IF(OR($F184="O",$G184="O",$H184="O"),CHOOSE(MATCH($A184,{"튜브","고압","진공","튜닝","조립","출하"},0),"T","H","V","N","A","P")&amp;IF($F184="O","R",IF($G184="O","A",IF($H184="O","F",""))),""),"")</f>
        <v>AR</v>
      </c>
      <c r="J184" s="15"/>
      <c r="K184" s="16"/>
      <c r="L184" s="17" t="s">
        <v>71</v>
      </c>
      <c r="M184" s="18"/>
      <c r="N184" s="19"/>
      <c r="O184" s="20"/>
      <c r="P184" s="21" t="str">
        <f t="shared" si="2"/>
        <v>6-AR</v>
      </c>
      <c r="Q184" s="108" t="str">
        <f>HYPERLINK("#'마스터_품목'!A360","→ 마스터 R360")</f>
        <v>→ 마스터 R360</v>
      </c>
      <c r="R184" s="109">
        <v>360</v>
      </c>
      <c r="S184" s="109" t="s">
        <v>72</v>
      </c>
    </row>
    <row r="185" spans="1:19" ht="48" customHeight="1" x14ac:dyDescent="0.3">
      <c r="A185" s="22" t="s">
        <v>354</v>
      </c>
      <c r="B185" s="22" t="s">
        <v>536</v>
      </c>
      <c r="C185" s="23" t="s">
        <v>631</v>
      </c>
      <c r="D185" s="23" t="s">
        <v>700</v>
      </c>
      <c r="E185" s="23" t="s">
        <v>701</v>
      </c>
      <c r="F185" s="24" t="s">
        <v>71</v>
      </c>
      <c r="G185" s="25"/>
      <c r="H185" s="26"/>
      <c r="I185" s="27" t="str">
        <f>IFERROR(IF(OR($F185="O",$G185="O",$H185="O"),CHOOSE(MATCH($A185,{"튜브","고압","진공","튜닝","조립","출하"},0),"T","H","V","N","A","P")&amp;IF($F185="O","R",IF($G185="O","A",IF($H185="O","F",""))),""),"")</f>
        <v>AR</v>
      </c>
      <c r="J185" s="15"/>
      <c r="K185" s="16"/>
      <c r="L185" s="17" t="s">
        <v>71</v>
      </c>
      <c r="M185" s="18"/>
      <c r="N185" s="19"/>
      <c r="O185" s="20"/>
      <c r="P185" s="21" t="str">
        <f t="shared" si="2"/>
        <v>6-AR</v>
      </c>
      <c r="Q185" s="108" t="str">
        <f>HYPERLINK("#'마스터_품목'!A361","→ 마스터 R361")</f>
        <v>→ 마스터 R361</v>
      </c>
      <c r="R185" s="109">
        <v>361</v>
      </c>
      <c r="S185" s="109" t="s">
        <v>72</v>
      </c>
    </row>
    <row r="186" spans="1:19" ht="48" customHeight="1" x14ac:dyDescent="0.3">
      <c r="A186" s="22" t="s">
        <v>354</v>
      </c>
      <c r="B186" s="22" t="s">
        <v>536</v>
      </c>
      <c r="C186" s="23" t="s">
        <v>645</v>
      </c>
      <c r="D186" s="23" t="s">
        <v>702</v>
      </c>
      <c r="E186" s="23" t="s">
        <v>703</v>
      </c>
      <c r="F186" s="24" t="s">
        <v>71</v>
      </c>
      <c r="G186" s="25"/>
      <c r="H186" s="26"/>
      <c r="I186" s="27" t="str">
        <f>IFERROR(IF(OR($F186="O",$G186="O",$H186="O"),CHOOSE(MATCH($A186,{"튜브","고압","진공","튜닝","조립","출하"},0),"T","H","V","N","A","P")&amp;IF($F186="O","R",IF($G186="O","A",IF($H186="O","F",""))),""),"")</f>
        <v>AR</v>
      </c>
      <c r="J186" s="15"/>
      <c r="K186" s="16"/>
      <c r="L186" s="17" t="s">
        <v>71</v>
      </c>
      <c r="M186" s="18"/>
      <c r="N186" s="19"/>
      <c r="O186" s="20"/>
      <c r="P186" s="21" t="str">
        <f t="shared" si="2"/>
        <v>6-AR</v>
      </c>
      <c r="Q186" s="108" t="str">
        <f>HYPERLINK("#'마스터_품목'!A362","→ 마스터 R362")</f>
        <v>→ 마스터 R362</v>
      </c>
      <c r="R186" s="109">
        <v>362</v>
      </c>
      <c r="S186" s="109" t="s">
        <v>72</v>
      </c>
    </row>
    <row r="187" spans="1:19" ht="48" customHeight="1" x14ac:dyDescent="0.3">
      <c r="A187" s="22" t="s">
        <v>354</v>
      </c>
      <c r="B187" s="22" t="s">
        <v>536</v>
      </c>
      <c r="C187" s="23" t="s">
        <v>645</v>
      </c>
      <c r="D187" s="23" t="s">
        <v>704</v>
      </c>
      <c r="E187" s="23" t="s">
        <v>705</v>
      </c>
      <c r="F187" s="24" t="s">
        <v>71</v>
      </c>
      <c r="G187" s="25"/>
      <c r="H187" s="26"/>
      <c r="I187" s="27" t="str">
        <f>IFERROR(IF(OR($F187="O",$G187="O",$H187="O"),CHOOSE(MATCH($A187,{"튜브","고압","진공","튜닝","조립","출하"},0),"T","H","V","N","A","P")&amp;IF($F187="O","R",IF($G187="O","A",IF($H187="O","F",""))),""),"")</f>
        <v>AR</v>
      </c>
      <c r="J187" s="15"/>
      <c r="K187" s="16"/>
      <c r="L187" s="17" t="s">
        <v>71</v>
      </c>
      <c r="M187" s="18"/>
      <c r="N187" s="19"/>
      <c r="O187" s="20"/>
      <c r="P187" s="21" t="str">
        <f t="shared" si="2"/>
        <v>6-AR</v>
      </c>
      <c r="Q187" s="108" t="str">
        <f>HYPERLINK("#'마스터_품목'!A363","→ 마스터 R363")</f>
        <v>→ 마스터 R363</v>
      </c>
      <c r="R187" s="109">
        <v>363</v>
      </c>
      <c r="S187" s="109" t="s">
        <v>72</v>
      </c>
    </row>
    <row r="188" spans="1:19" ht="48" customHeight="1" x14ac:dyDescent="0.3">
      <c r="A188" s="22" t="s">
        <v>354</v>
      </c>
      <c r="B188" s="22" t="s">
        <v>536</v>
      </c>
      <c r="C188" s="23" t="s">
        <v>591</v>
      </c>
      <c r="D188" s="23" t="s">
        <v>706</v>
      </c>
      <c r="E188" s="23" t="s">
        <v>707</v>
      </c>
      <c r="F188" s="24" t="s">
        <v>71</v>
      </c>
      <c r="G188" s="25"/>
      <c r="H188" s="26"/>
      <c r="I188" s="27" t="str">
        <f>IFERROR(IF(OR($F188="O",$G188="O",$H188="O"),CHOOSE(MATCH($A188,{"튜브","고압","진공","튜닝","조립","출하"},0),"T","H","V","N","A","P")&amp;IF($F188="O","R",IF($G188="O","A",IF($H188="O","F",""))),""),"")</f>
        <v>AR</v>
      </c>
      <c r="J188" s="15"/>
      <c r="K188" s="16"/>
      <c r="L188" s="17" t="s">
        <v>71</v>
      </c>
      <c r="M188" s="18"/>
      <c r="N188" s="19"/>
      <c r="O188" s="20"/>
      <c r="P188" s="21" t="str">
        <f t="shared" si="2"/>
        <v>6-AR</v>
      </c>
      <c r="Q188" s="108" t="str">
        <f>HYPERLINK("#'마스터_품목'!A364","→ 마스터 R364")</f>
        <v>→ 마스터 R364</v>
      </c>
      <c r="R188" s="109">
        <v>364</v>
      </c>
      <c r="S188" s="109" t="s">
        <v>72</v>
      </c>
    </row>
    <row r="189" spans="1:19" ht="48" customHeight="1" x14ac:dyDescent="0.3">
      <c r="A189" s="22" t="s">
        <v>354</v>
      </c>
      <c r="B189" s="22" t="s">
        <v>536</v>
      </c>
      <c r="C189" s="23" t="s">
        <v>645</v>
      </c>
      <c r="D189" s="23" t="s">
        <v>708</v>
      </c>
      <c r="E189" s="1" t="s">
        <v>655</v>
      </c>
      <c r="F189" s="24" t="s">
        <v>71</v>
      </c>
      <c r="G189" s="25"/>
      <c r="H189" s="26"/>
      <c r="I189" s="27" t="str">
        <f>IFERROR(IF(OR($F189="O",$G189="O",$H189="O"),CHOOSE(MATCH($A189,{"튜브","고압","진공","튜닝","조립","출하"},0),"T","H","V","N","A","P")&amp;IF($F189="O","R",IF($G189="O","A",IF($H189="O","F",""))),""),"")</f>
        <v>AR</v>
      </c>
      <c r="J189" s="15"/>
      <c r="K189" s="16"/>
      <c r="L189" s="17" t="s">
        <v>71</v>
      </c>
      <c r="M189" s="18"/>
      <c r="N189" s="19"/>
      <c r="O189" s="20"/>
      <c r="P189" s="21" t="str">
        <f t="shared" si="2"/>
        <v>6-AR</v>
      </c>
      <c r="Q189" s="108" t="str">
        <f>HYPERLINK("#'마스터_품목'!A365","→ 마스터 R365")</f>
        <v>→ 마스터 R365</v>
      </c>
      <c r="R189" s="109">
        <v>365</v>
      </c>
      <c r="S189" s="109" t="s">
        <v>72</v>
      </c>
    </row>
    <row r="190" spans="1:19" ht="48" customHeight="1" x14ac:dyDescent="0.3">
      <c r="A190" s="22" t="s">
        <v>354</v>
      </c>
      <c r="B190" s="22" t="s">
        <v>536</v>
      </c>
      <c r="C190" s="23" t="s">
        <v>645</v>
      </c>
      <c r="D190" s="23" t="s">
        <v>709</v>
      </c>
      <c r="E190" s="23" t="s">
        <v>710</v>
      </c>
      <c r="F190" s="24" t="s">
        <v>71</v>
      </c>
      <c r="G190" s="25"/>
      <c r="H190" s="26"/>
      <c r="I190" s="27" t="str">
        <f>IFERROR(IF(OR($F190="O",$G190="O",$H190="O"),CHOOSE(MATCH($A190,{"튜브","고압","진공","튜닝","조립","출하"},0),"T","H","V","N","A","P")&amp;IF($F190="O","R",IF($G190="O","A",IF($H190="O","F",""))),""),"")</f>
        <v>AR</v>
      </c>
      <c r="J190" s="15"/>
      <c r="K190" s="16"/>
      <c r="L190" s="17" t="s">
        <v>71</v>
      </c>
      <c r="M190" s="18"/>
      <c r="N190" s="19"/>
      <c r="O190" s="20"/>
      <c r="P190" s="21" t="str">
        <f t="shared" si="2"/>
        <v>6-AR</v>
      </c>
      <c r="Q190" s="108" t="str">
        <f>HYPERLINK("#'마스터_품목'!A366","→ 마스터 R366")</f>
        <v>→ 마스터 R366</v>
      </c>
      <c r="R190" s="109">
        <v>366</v>
      </c>
      <c r="S190" s="109" t="s">
        <v>72</v>
      </c>
    </row>
    <row r="191" spans="1:19" ht="48" customHeight="1" x14ac:dyDescent="0.3">
      <c r="A191" s="22" t="s">
        <v>354</v>
      </c>
      <c r="B191" s="22" t="s">
        <v>536</v>
      </c>
      <c r="C191" s="23" t="s">
        <v>591</v>
      </c>
      <c r="D191" s="23" t="s">
        <v>711</v>
      </c>
      <c r="E191" s="23" t="s">
        <v>712</v>
      </c>
      <c r="F191" s="24" t="s">
        <v>71</v>
      </c>
      <c r="G191" s="25"/>
      <c r="H191" s="26"/>
      <c r="I191" s="27" t="str">
        <f>IFERROR(IF(OR($F191="O",$G191="O",$H191="O"),CHOOSE(MATCH($A191,{"튜브","고압","진공","튜닝","조립","출하"},0),"T","H","V","N","A","P")&amp;IF($F191="O","R",IF($G191="O","A",IF($H191="O","F",""))),""),"")</f>
        <v>AR</v>
      </c>
      <c r="J191" s="15"/>
      <c r="K191" s="16"/>
      <c r="L191" s="17" t="s">
        <v>71</v>
      </c>
      <c r="M191" s="18"/>
      <c r="N191" s="19"/>
      <c r="O191" s="20"/>
      <c r="P191" s="21" t="str">
        <f t="shared" si="2"/>
        <v>6-AR</v>
      </c>
      <c r="Q191" s="108" t="str">
        <f>HYPERLINK("#'마스터_품목'!A367","→ 마스터 R367")</f>
        <v>→ 마스터 R367</v>
      </c>
      <c r="R191" s="109">
        <v>367</v>
      </c>
      <c r="S191" s="109" t="s">
        <v>72</v>
      </c>
    </row>
    <row r="192" spans="1:19" ht="48" customHeight="1" x14ac:dyDescent="0.3">
      <c r="A192" s="22" t="s">
        <v>354</v>
      </c>
      <c r="B192" s="22" t="s">
        <v>536</v>
      </c>
      <c r="C192" s="23" t="s">
        <v>591</v>
      </c>
      <c r="D192" s="23" t="s">
        <v>713</v>
      </c>
      <c r="E192" s="23" t="s">
        <v>714</v>
      </c>
      <c r="F192" s="24" t="s">
        <v>71</v>
      </c>
      <c r="G192" s="25"/>
      <c r="H192" s="26"/>
      <c r="I192" s="27" t="str">
        <f>IFERROR(IF(OR($F192="O",$G192="O",$H192="O"),CHOOSE(MATCH($A192,{"튜브","고압","진공","튜닝","조립","출하"},0),"T","H","V","N","A","P")&amp;IF($F192="O","R",IF($G192="O","A",IF($H192="O","F",""))),""),"")</f>
        <v>AR</v>
      </c>
      <c r="J192" s="15"/>
      <c r="K192" s="16"/>
      <c r="L192" s="17" t="s">
        <v>71</v>
      </c>
      <c r="M192" s="18"/>
      <c r="N192" s="19"/>
      <c r="O192" s="20"/>
      <c r="P192" s="21" t="str">
        <f t="shared" si="2"/>
        <v>6-AR</v>
      </c>
      <c r="Q192" s="108" t="str">
        <f>HYPERLINK("#'마스터_품목'!A368","→ 마스터 R368")</f>
        <v>→ 마스터 R368</v>
      </c>
      <c r="R192" s="109">
        <v>368</v>
      </c>
      <c r="S192" s="109" t="s">
        <v>72</v>
      </c>
    </row>
    <row r="193" spans="1:19" ht="48" customHeight="1" x14ac:dyDescent="0.3">
      <c r="A193" s="22" t="s">
        <v>354</v>
      </c>
      <c r="B193" s="22" t="s">
        <v>536</v>
      </c>
      <c r="C193" s="23" t="s">
        <v>591</v>
      </c>
      <c r="D193" s="23" t="s">
        <v>715</v>
      </c>
      <c r="E193" s="23" t="s">
        <v>716</v>
      </c>
      <c r="F193" s="24" t="s">
        <v>71</v>
      </c>
      <c r="G193" s="25"/>
      <c r="H193" s="26"/>
      <c r="I193" s="27" t="str">
        <f>IFERROR(IF(OR($F193="O",$G193="O",$H193="O"),CHOOSE(MATCH($A193,{"튜브","고압","진공","튜닝","조립","출하"},0),"T","H","V","N","A","P")&amp;IF($F193="O","R",IF($G193="O","A",IF($H193="O","F",""))),""),"")</f>
        <v>AR</v>
      </c>
      <c r="J193" s="15"/>
      <c r="K193" s="16"/>
      <c r="L193" s="17" t="s">
        <v>71</v>
      </c>
      <c r="M193" s="18"/>
      <c r="N193" s="19"/>
      <c r="O193" s="20"/>
      <c r="P193" s="21" t="str">
        <f t="shared" si="2"/>
        <v>6-AR</v>
      </c>
      <c r="Q193" s="108" t="str">
        <f>HYPERLINK("#'마스터_품목'!A369","→ 마스터 R369")</f>
        <v>→ 마스터 R369</v>
      </c>
      <c r="R193" s="109">
        <v>369</v>
      </c>
      <c r="S193" s="109" t="s">
        <v>72</v>
      </c>
    </row>
    <row r="194" spans="1:19" ht="48" customHeight="1" x14ac:dyDescent="0.3">
      <c r="A194" s="22" t="s">
        <v>354</v>
      </c>
      <c r="B194" s="22" t="s">
        <v>536</v>
      </c>
      <c r="C194" s="23" t="s">
        <v>591</v>
      </c>
      <c r="D194" s="23" t="s">
        <v>545</v>
      </c>
      <c r="E194" s="23" t="s">
        <v>717</v>
      </c>
      <c r="F194" s="24" t="s">
        <v>71</v>
      </c>
      <c r="G194" s="25"/>
      <c r="H194" s="26"/>
      <c r="I194" s="27" t="str">
        <f>IFERROR(IF(OR($F194="O",$G194="O",$H194="O"),CHOOSE(MATCH($A194,{"튜브","고압","진공","튜닝","조립","출하"},0),"T","H","V","N","A","P")&amp;IF($F194="O","R",IF($G194="O","A",IF($H194="O","F",""))),""),"")</f>
        <v>AR</v>
      </c>
      <c r="J194" s="15"/>
      <c r="K194" s="16"/>
      <c r="L194" s="17" t="s">
        <v>71</v>
      </c>
      <c r="M194" s="18"/>
      <c r="N194" s="19"/>
      <c r="O194" s="20"/>
      <c r="P194" s="21" t="str">
        <f t="shared" ref="P194:P257" si="3">IF($I194="","",IF($J194="O","3","")&amp;IF($K194="O","4","")&amp;IF($L194="O","6","")&amp;IF($M194="O","7","")&amp;IF($N194="O","8","")&amp;IF($O194="O","?","")&amp;IF(OR($J194="O",$K194="O",$L194="O",$M194="O",$N194="O",$O194="O"),"-","")&amp;$I194)</f>
        <v>6-AR</v>
      </c>
      <c r="Q194" s="108" t="str">
        <f>HYPERLINK("#'마스터_품목'!A370","→ 마스터 R370")</f>
        <v>→ 마스터 R370</v>
      </c>
      <c r="R194" s="109">
        <v>370</v>
      </c>
      <c r="S194" s="109" t="s">
        <v>72</v>
      </c>
    </row>
    <row r="195" spans="1:19" ht="48" customHeight="1" x14ac:dyDescent="0.3">
      <c r="A195" s="22" t="s">
        <v>354</v>
      </c>
      <c r="B195" s="22" t="s">
        <v>536</v>
      </c>
      <c r="C195" s="23" t="s">
        <v>591</v>
      </c>
      <c r="D195" s="23" t="s">
        <v>718</v>
      </c>
      <c r="E195" s="23" t="s">
        <v>719</v>
      </c>
      <c r="F195" s="24" t="s">
        <v>71</v>
      </c>
      <c r="G195" s="25"/>
      <c r="H195" s="26"/>
      <c r="I195" s="27" t="str">
        <f>IFERROR(IF(OR($F195="O",$G195="O",$H195="O"),CHOOSE(MATCH($A195,{"튜브","고압","진공","튜닝","조립","출하"},0),"T","H","V","N","A","P")&amp;IF($F195="O","R",IF($G195="O","A",IF($H195="O","F",""))),""),"")</f>
        <v>AR</v>
      </c>
      <c r="J195" s="15"/>
      <c r="K195" s="16"/>
      <c r="L195" s="17" t="s">
        <v>71</v>
      </c>
      <c r="M195" s="18"/>
      <c r="N195" s="19"/>
      <c r="O195" s="20"/>
      <c r="P195" s="21" t="str">
        <f t="shared" si="3"/>
        <v>6-AR</v>
      </c>
      <c r="Q195" s="108" t="str">
        <f>HYPERLINK("#'마스터_품목'!A371","→ 마스터 R371")</f>
        <v>→ 마스터 R371</v>
      </c>
      <c r="R195" s="109">
        <v>371</v>
      </c>
      <c r="S195" s="109" t="s">
        <v>72</v>
      </c>
    </row>
    <row r="196" spans="1:19" ht="48" customHeight="1" x14ac:dyDescent="0.3">
      <c r="A196" s="22" t="s">
        <v>354</v>
      </c>
      <c r="B196" s="22" t="s">
        <v>415</v>
      </c>
      <c r="C196" s="23" t="s">
        <v>591</v>
      </c>
      <c r="D196" s="23" t="s">
        <v>720</v>
      </c>
      <c r="E196" s="23" t="s">
        <v>721</v>
      </c>
      <c r="F196" s="24" t="s">
        <v>71</v>
      </c>
      <c r="G196" s="25"/>
      <c r="H196" s="26"/>
      <c r="I196" s="27" t="str">
        <f>IFERROR(IF(OR($F196="O",$G196="O",$H196="O"),CHOOSE(MATCH($A196,{"튜브","고압","진공","튜닝","조립","출하"},0),"T","H","V","N","A","P")&amp;IF($F196="O","R",IF($G196="O","A",IF($H196="O","F",""))),""),"")</f>
        <v>AR</v>
      </c>
      <c r="J196" s="15"/>
      <c r="K196" s="16"/>
      <c r="L196" s="17" t="s">
        <v>71</v>
      </c>
      <c r="M196" s="18"/>
      <c r="N196" s="19"/>
      <c r="O196" s="20"/>
      <c r="P196" s="21" t="str">
        <f t="shared" si="3"/>
        <v>6-AR</v>
      </c>
      <c r="Q196" s="108" t="str">
        <f>HYPERLINK("#'마스터_품목'!A372","→ 마스터 R372")</f>
        <v>→ 마스터 R372</v>
      </c>
      <c r="R196" s="109">
        <v>372</v>
      </c>
      <c r="S196" s="109" t="s">
        <v>72</v>
      </c>
    </row>
    <row r="197" spans="1:19" ht="48" customHeight="1" x14ac:dyDescent="0.3">
      <c r="A197" s="22" t="s">
        <v>354</v>
      </c>
      <c r="B197" s="22" t="s">
        <v>415</v>
      </c>
      <c r="C197" s="23" t="s">
        <v>631</v>
      </c>
      <c r="D197" s="23" t="s">
        <v>722</v>
      </c>
      <c r="E197" s="23" t="s">
        <v>723</v>
      </c>
      <c r="F197" s="24" t="s">
        <v>71</v>
      </c>
      <c r="G197" s="25"/>
      <c r="H197" s="26"/>
      <c r="I197" s="27" t="str">
        <f>IFERROR(IF(OR($F197="O",$G197="O",$H197="O"),CHOOSE(MATCH($A197,{"튜브","고압","진공","튜닝","조립","출하"},0),"T","H","V","N","A","P")&amp;IF($F197="O","R",IF($G197="O","A",IF($H197="O","F",""))),""),"")</f>
        <v>AR</v>
      </c>
      <c r="J197" s="15"/>
      <c r="K197" s="16"/>
      <c r="L197" s="17" t="s">
        <v>71</v>
      </c>
      <c r="M197" s="18"/>
      <c r="N197" s="19"/>
      <c r="O197" s="20"/>
      <c r="P197" s="21" t="str">
        <f t="shared" si="3"/>
        <v>6-AR</v>
      </c>
      <c r="Q197" s="108" t="str">
        <f>HYPERLINK("#'마스터_품목'!A373","→ 마스터 R373")</f>
        <v>→ 마스터 R373</v>
      </c>
      <c r="R197" s="109">
        <v>373</v>
      </c>
      <c r="S197" s="109" t="s">
        <v>72</v>
      </c>
    </row>
    <row r="198" spans="1:19" ht="48" customHeight="1" x14ac:dyDescent="0.3">
      <c r="A198" s="22" t="s">
        <v>354</v>
      </c>
      <c r="B198" s="22" t="s">
        <v>415</v>
      </c>
      <c r="C198" s="23" t="s">
        <v>631</v>
      </c>
      <c r="D198" s="23" t="s">
        <v>724</v>
      </c>
      <c r="E198" s="23"/>
      <c r="F198" s="24" t="s">
        <v>71</v>
      </c>
      <c r="G198" s="25"/>
      <c r="H198" s="26"/>
      <c r="I198" s="27" t="str">
        <f>IFERROR(IF(OR($F198="O",$G198="O",$H198="O"),CHOOSE(MATCH($A198,{"튜브","고압","진공","튜닝","조립","출하"},0),"T","H","V","N","A","P")&amp;IF($F198="O","R",IF($G198="O","A",IF($H198="O","F",""))),""),"")</f>
        <v>AR</v>
      </c>
      <c r="J198" s="15"/>
      <c r="K198" s="16"/>
      <c r="L198" s="17" t="s">
        <v>71</v>
      </c>
      <c r="M198" s="18"/>
      <c r="N198" s="19"/>
      <c r="O198" s="20"/>
      <c r="P198" s="21" t="str">
        <f t="shared" si="3"/>
        <v>6-AR</v>
      </c>
      <c r="Q198" s="108" t="str">
        <f>HYPERLINK("#'마스터_품목'!A374","→ 마스터 R374")</f>
        <v>→ 마스터 R374</v>
      </c>
      <c r="R198" s="109">
        <v>374</v>
      </c>
      <c r="S198" s="109" t="s">
        <v>72</v>
      </c>
    </row>
    <row r="199" spans="1:19" ht="48" customHeight="1" x14ac:dyDescent="0.3">
      <c r="A199" s="22" t="s">
        <v>354</v>
      </c>
      <c r="B199" s="22" t="s">
        <v>415</v>
      </c>
      <c r="C199" s="23" t="s">
        <v>631</v>
      </c>
      <c r="D199" s="23" t="s">
        <v>725</v>
      </c>
      <c r="E199" s="23" t="s">
        <v>726</v>
      </c>
      <c r="F199" s="24" t="s">
        <v>71</v>
      </c>
      <c r="G199" s="25"/>
      <c r="H199" s="26"/>
      <c r="I199" s="27" t="str">
        <f>IFERROR(IF(OR($F199="O",$G199="O",$H199="O"),CHOOSE(MATCH($A199,{"튜브","고압","진공","튜닝","조립","출하"},0),"T","H","V","N","A","P")&amp;IF($F199="O","R",IF($G199="O","A",IF($H199="O","F",""))),""),"")</f>
        <v>AR</v>
      </c>
      <c r="J199" s="15"/>
      <c r="K199" s="16"/>
      <c r="L199" s="17" t="s">
        <v>71</v>
      </c>
      <c r="M199" s="18"/>
      <c r="N199" s="19"/>
      <c r="O199" s="20"/>
      <c r="P199" s="21" t="str">
        <f t="shared" si="3"/>
        <v>6-AR</v>
      </c>
      <c r="Q199" s="108" t="str">
        <f>HYPERLINK("#'마스터_품목'!A375","→ 마스터 R375")</f>
        <v>→ 마스터 R375</v>
      </c>
      <c r="R199" s="109">
        <v>375</v>
      </c>
      <c r="S199" s="109" t="s">
        <v>72</v>
      </c>
    </row>
    <row r="200" spans="1:19" ht="48" customHeight="1" x14ac:dyDescent="0.3">
      <c r="A200" s="22" t="s">
        <v>354</v>
      </c>
      <c r="B200" s="22" t="s">
        <v>415</v>
      </c>
      <c r="C200" s="23" t="s">
        <v>591</v>
      </c>
      <c r="D200" s="23" t="s">
        <v>727</v>
      </c>
      <c r="E200" s="23" t="s">
        <v>728</v>
      </c>
      <c r="F200" s="24" t="s">
        <v>71</v>
      </c>
      <c r="G200" s="25"/>
      <c r="H200" s="26"/>
      <c r="I200" s="27" t="str">
        <f>IFERROR(IF(OR($F200="O",$G200="O",$H200="O"),CHOOSE(MATCH($A200,{"튜브","고압","진공","튜닝","조립","출하"},0),"T","H","V","N","A","P")&amp;IF($F200="O","R",IF($G200="O","A",IF($H200="O","F",""))),""),"")</f>
        <v>AR</v>
      </c>
      <c r="J200" s="15"/>
      <c r="K200" s="16"/>
      <c r="L200" s="17" t="s">
        <v>71</v>
      </c>
      <c r="M200" s="18"/>
      <c r="N200" s="19"/>
      <c r="O200" s="20"/>
      <c r="P200" s="21" t="str">
        <f t="shared" si="3"/>
        <v>6-AR</v>
      </c>
      <c r="Q200" s="108" t="str">
        <f>HYPERLINK("#'마스터_품목'!A376","→ 마스터 R376")</f>
        <v>→ 마스터 R376</v>
      </c>
      <c r="R200" s="109">
        <v>376</v>
      </c>
      <c r="S200" s="109" t="s">
        <v>72</v>
      </c>
    </row>
    <row r="201" spans="1:19" ht="48" customHeight="1" x14ac:dyDescent="0.3">
      <c r="A201" s="22" t="s">
        <v>354</v>
      </c>
      <c r="B201" s="22" t="s">
        <v>415</v>
      </c>
      <c r="C201" s="23" t="s">
        <v>591</v>
      </c>
      <c r="D201" s="23" t="s">
        <v>729</v>
      </c>
      <c r="E201" s="23" t="s">
        <v>730</v>
      </c>
      <c r="F201" s="24" t="s">
        <v>71</v>
      </c>
      <c r="G201" s="25"/>
      <c r="H201" s="26"/>
      <c r="I201" s="27" t="str">
        <f>IFERROR(IF(OR($F201="O",$G201="O",$H201="O"),CHOOSE(MATCH($A201,{"튜브","고압","진공","튜닝","조립","출하"},0),"T","H","V","N","A","P")&amp;IF($F201="O","R",IF($G201="O","A",IF($H201="O","F",""))),""),"")</f>
        <v>AR</v>
      </c>
      <c r="J201" s="15"/>
      <c r="K201" s="16"/>
      <c r="L201" s="17" t="s">
        <v>71</v>
      </c>
      <c r="M201" s="18"/>
      <c r="N201" s="19"/>
      <c r="O201" s="20"/>
      <c r="P201" s="21" t="str">
        <f t="shared" si="3"/>
        <v>6-AR</v>
      </c>
      <c r="Q201" s="108" t="str">
        <f>HYPERLINK("#'마스터_품목'!A377","→ 마스터 R377")</f>
        <v>→ 마스터 R377</v>
      </c>
      <c r="R201" s="109">
        <v>377</v>
      </c>
      <c r="S201" s="109" t="s">
        <v>72</v>
      </c>
    </row>
    <row r="202" spans="1:19" ht="48" customHeight="1" x14ac:dyDescent="0.3">
      <c r="A202" s="22" t="s">
        <v>354</v>
      </c>
      <c r="B202" s="22" t="s">
        <v>415</v>
      </c>
      <c r="C202" s="23" t="s">
        <v>631</v>
      </c>
      <c r="D202" s="23" t="s">
        <v>731</v>
      </c>
      <c r="E202" s="23" t="s">
        <v>732</v>
      </c>
      <c r="F202" s="24" t="s">
        <v>71</v>
      </c>
      <c r="G202" s="25"/>
      <c r="H202" s="26"/>
      <c r="I202" s="27" t="str">
        <f>IFERROR(IF(OR($F202="O",$G202="O",$H202="O"),CHOOSE(MATCH($A202,{"튜브","고압","진공","튜닝","조립","출하"},0),"T","H","V","N","A","P")&amp;IF($F202="O","R",IF($G202="O","A",IF($H202="O","F",""))),""),"")</f>
        <v>AR</v>
      </c>
      <c r="J202" s="15"/>
      <c r="K202" s="16"/>
      <c r="L202" s="17" t="s">
        <v>71</v>
      </c>
      <c r="M202" s="18"/>
      <c r="N202" s="19"/>
      <c r="O202" s="20"/>
      <c r="P202" s="21" t="str">
        <f t="shared" si="3"/>
        <v>6-AR</v>
      </c>
      <c r="Q202" s="108" t="str">
        <f>HYPERLINK("#'마스터_품목'!A378","→ 마스터 R378")</f>
        <v>→ 마스터 R378</v>
      </c>
      <c r="R202" s="109">
        <v>378</v>
      </c>
      <c r="S202" s="109" t="s">
        <v>72</v>
      </c>
    </row>
    <row r="203" spans="1:19" ht="48" customHeight="1" x14ac:dyDescent="0.3">
      <c r="A203" s="22" t="s">
        <v>354</v>
      </c>
      <c r="B203" s="22" t="s">
        <v>415</v>
      </c>
      <c r="C203" s="23" t="s">
        <v>631</v>
      </c>
      <c r="D203" s="23" t="s">
        <v>733</v>
      </c>
      <c r="E203" s="23" t="s">
        <v>734</v>
      </c>
      <c r="F203" s="24" t="s">
        <v>71</v>
      </c>
      <c r="G203" s="25"/>
      <c r="H203" s="26"/>
      <c r="I203" s="27" t="str">
        <f>IFERROR(IF(OR($F203="O",$G203="O",$H203="O"),CHOOSE(MATCH($A203,{"튜브","고압","진공","튜닝","조립","출하"},0),"T","H","V","N","A","P")&amp;IF($F203="O","R",IF($G203="O","A",IF($H203="O","F",""))),""),"")</f>
        <v>AR</v>
      </c>
      <c r="J203" s="15"/>
      <c r="K203" s="16"/>
      <c r="L203" s="17" t="s">
        <v>71</v>
      </c>
      <c r="M203" s="18"/>
      <c r="N203" s="19"/>
      <c r="O203" s="20"/>
      <c r="P203" s="21" t="str">
        <f t="shared" si="3"/>
        <v>6-AR</v>
      </c>
      <c r="Q203" s="108" t="str">
        <f>HYPERLINK("#'마스터_품목'!A379","→ 마스터 R379")</f>
        <v>→ 마스터 R379</v>
      </c>
      <c r="R203" s="109">
        <v>379</v>
      </c>
      <c r="S203" s="109" t="s">
        <v>72</v>
      </c>
    </row>
    <row r="204" spans="1:19" ht="48" customHeight="1" x14ac:dyDescent="0.3">
      <c r="A204" s="22" t="s">
        <v>354</v>
      </c>
      <c r="B204" s="22" t="s">
        <v>415</v>
      </c>
      <c r="C204" s="23" t="s">
        <v>631</v>
      </c>
      <c r="D204" s="23" t="s">
        <v>735</v>
      </c>
      <c r="E204" s="23" t="s">
        <v>736</v>
      </c>
      <c r="F204" s="24" t="s">
        <v>71</v>
      </c>
      <c r="G204" s="25"/>
      <c r="H204" s="26"/>
      <c r="I204" s="27" t="str">
        <f>IFERROR(IF(OR($F204="O",$G204="O",$H204="O"),CHOOSE(MATCH($A204,{"튜브","고압","진공","튜닝","조립","출하"},0),"T","H","V","N","A","P")&amp;IF($F204="O","R",IF($G204="O","A",IF($H204="O","F",""))),""),"")</f>
        <v>AR</v>
      </c>
      <c r="J204" s="15"/>
      <c r="K204" s="16"/>
      <c r="L204" s="17" t="s">
        <v>71</v>
      </c>
      <c r="M204" s="18"/>
      <c r="N204" s="19"/>
      <c r="O204" s="20"/>
      <c r="P204" s="21" t="str">
        <f t="shared" si="3"/>
        <v>6-AR</v>
      </c>
      <c r="Q204" s="108" t="str">
        <f>HYPERLINK("#'마스터_품목'!A380","→ 마스터 R380")</f>
        <v>→ 마스터 R380</v>
      </c>
      <c r="R204" s="109">
        <v>380</v>
      </c>
      <c r="S204" s="109" t="s">
        <v>72</v>
      </c>
    </row>
    <row r="205" spans="1:19" ht="48" customHeight="1" x14ac:dyDescent="0.3">
      <c r="A205" s="22" t="s">
        <v>354</v>
      </c>
      <c r="B205" s="22" t="s">
        <v>415</v>
      </c>
      <c r="C205" s="23" t="s">
        <v>631</v>
      </c>
      <c r="D205" s="23" t="s">
        <v>737</v>
      </c>
      <c r="E205" s="23" t="s">
        <v>738</v>
      </c>
      <c r="F205" s="24" t="s">
        <v>71</v>
      </c>
      <c r="G205" s="25"/>
      <c r="H205" s="26"/>
      <c r="I205" s="27" t="str">
        <f>IFERROR(IF(OR($F205="O",$G205="O",$H205="O"),CHOOSE(MATCH($A205,{"튜브","고압","진공","튜닝","조립","출하"},0),"T","H","V","N","A","P")&amp;IF($F205="O","R",IF($G205="O","A",IF($H205="O","F",""))),""),"")</f>
        <v>AR</v>
      </c>
      <c r="J205" s="15"/>
      <c r="K205" s="16"/>
      <c r="L205" s="17" t="s">
        <v>71</v>
      </c>
      <c r="M205" s="18"/>
      <c r="N205" s="19"/>
      <c r="O205" s="20"/>
      <c r="P205" s="21" t="str">
        <f t="shared" si="3"/>
        <v>6-AR</v>
      </c>
      <c r="Q205" s="108" t="str">
        <f>HYPERLINK("#'마스터_품목'!A381","→ 마스터 R381")</f>
        <v>→ 마스터 R381</v>
      </c>
      <c r="R205" s="109">
        <v>381</v>
      </c>
      <c r="S205" s="109" t="s">
        <v>72</v>
      </c>
    </row>
    <row r="206" spans="1:19" ht="48" customHeight="1" x14ac:dyDescent="0.3">
      <c r="A206" s="22" t="s">
        <v>354</v>
      </c>
      <c r="B206" s="22" t="s">
        <v>415</v>
      </c>
      <c r="C206" s="23" t="s">
        <v>631</v>
      </c>
      <c r="D206" s="23" t="s">
        <v>739</v>
      </c>
      <c r="E206" s="23" t="s">
        <v>740</v>
      </c>
      <c r="F206" s="24" t="s">
        <v>71</v>
      </c>
      <c r="G206" s="25"/>
      <c r="H206" s="26"/>
      <c r="I206" s="27" t="str">
        <f>IFERROR(IF(OR($F206="O",$G206="O",$H206="O"),CHOOSE(MATCH($A206,{"튜브","고압","진공","튜닝","조립","출하"},0),"T","H","V","N","A","P")&amp;IF($F206="O","R",IF($G206="O","A",IF($H206="O","F",""))),""),"")</f>
        <v>AR</v>
      </c>
      <c r="J206" s="15"/>
      <c r="K206" s="16"/>
      <c r="L206" s="17" t="s">
        <v>71</v>
      </c>
      <c r="M206" s="18"/>
      <c r="N206" s="19"/>
      <c r="O206" s="20"/>
      <c r="P206" s="21" t="str">
        <f t="shared" si="3"/>
        <v>6-AR</v>
      </c>
      <c r="Q206" s="108" t="str">
        <f>HYPERLINK("#'마스터_품목'!A382","→ 마스터 R382")</f>
        <v>→ 마스터 R382</v>
      </c>
      <c r="R206" s="109">
        <v>382</v>
      </c>
      <c r="S206" s="109" t="s">
        <v>72</v>
      </c>
    </row>
    <row r="207" spans="1:19" ht="48" customHeight="1" x14ac:dyDescent="0.3">
      <c r="A207" s="22" t="s">
        <v>354</v>
      </c>
      <c r="B207" s="22" t="s">
        <v>415</v>
      </c>
      <c r="C207" s="23" t="s">
        <v>591</v>
      </c>
      <c r="D207" s="23" t="s">
        <v>741</v>
      </c>
      <c r="E207" s="23" t="s">
        <v>742</v>
      </c>
      <c r="F207" s="24" t="s">
        <v>71</v>
      </c>
      <c r="G207" s="25"/>
      <c r="H207" s="26"/>
      <c r="I207" s="27" t="str">
        <f>IFERROR(IF(OR($F207="O",$G207="O",$H207="O"),CHOOSE(MATCH($A207,{"튜브","고압","진공","튜닝","조립","출하"},0),"T","H","V","N","A","P")&amp;IF($F207="O","R",IF($G207="O","A",IF($H207="O","F",""))),""),"")</f>
        <v>AR</v>
      </c>
      <c r="J207" s="15"/>
      <c r="K207" s="16"/>
      <c r="L207" s="17" t="s">
        <v>71</v>
      </c>
      <c r="M207" s="18"/>
      <c r="N207" s="19"/>
      <c r="O207" s="20"/>
      <c r="P207" s="21" t="str">
        <f t="shared" si="3"/>
        <v>6-AR</v>
      </c>
      <c r="Q207" s="108" t="str">
        <f>HYPERLINK("#'마스터_품목'!A383","→ 마스터 R383")</f>
        <v>→ 마스터 R383</v>
      </c>
      <c r="R207" s="109">
        <v>383</v>
      </c>
      <c r="S207" s="109" t="s">
        <v>72</v>
      </c>
    </row>
    <row r="208" spans="1:19" ht="48" customHeight="1" x14ac:dyDescent="0.3">
      <c r="A208" s="22" t="s">
        <v>354</v>
      </c>
      <c r="B208" s="22" t="s">
        <v>415</v>
      </c>
      <c r="C208" s="23" t="s">
        <v>591</v>
      </c>
      <c r="D208" s="23" t="s">
        <v>743</v>
      </c>
      <c r="E208" s="23" t="s">
        <v>744</v>
      </c>
      <c r="F208" s="24" t="s">
        <v>71</v>
      </c>
      <c r="G208" s="25"/>
      <c r="H208" s="26"/>
      <c r="I208" s="27" t="str">
        <f>IFERROR(IF(OR($F208="O",$G208="O",$H208="O"),CHOOSE(MATCH($A208,{"튜브","고압","진공","튜닝","조립","출하"},0),"T","H","V","N","A","P")&amp;IF($F208="O","R",IF($G208="O","A",IF($H208="O","F",""))),""),"")</f>
        <v>AR</v>
      </c>
      <c r="J208" s="15"/>
      <c r="K208" s="16"/>
      <c r="L208" s="17" t="s">
        <v>71</v>
      </c>
      <c r="M208" s="18"/>
      <c r="N208" s="19"/>
      <c r="O208" s="20"/>
      <c r="P208" s="21" t="str">
        <f t="shared" si="3"/>
        <v>6-AR</v>
      </c>
      <c r="Q208" s="108" t="str">
        <f>HYPERLINK("#'마스터_품목'!A384","→ 마스터 R384")</f>
        <v>→ 마스터 R384</v>
      </c>
      <c r="R208" s="109">
        <v>384</v>
      </c>
      <c r="S208" s="109" t="s">
        <v>72</v>
      </c>
    </row>
    <row r="209" spans="1:19" ht="48" customHeight="1" x14ac:dyDescent="0.3">
      <c r="A209" s="22" t="s">
        <v>354</v>
      </c>
      <c r="B209" s="22" t="s">
        <v>415</v>
      </c>
      <c r="C209" s="23" t="s">
        <v>631</v>
      </c>
      <c r="D209" s="23" t="s">
        <v>745</v>
      </c>
      <c r="E209" s="23" t="s">
        <v>746</v>
      </c>
      <c r="F209" s="24" t="s">
        <v>71</v>
      </c>
      <c r="G209" s="25"/>
      <c r="H209" s="26"/>
      <c r="I209" s="27" t="str">
        <f>IFERROR(IF(OR($F209="O",$G209="O",$H209="O"),CHOOSE(MATCH($A209,{"튜브","고압","진공","튜닝","조립","출하"},0),"T","H","V","N","A","P")&amp;IF($F209="O","R",IF($G209="O","A",IF($H209="O","F",""))),""),"")</f>
        <v>AR</v>
      </c>
      <c r="J209" s="15"/>
      <c r="K209" s="16"/>
      <c r="L209" s="17" t="s">
        <v>71</v>
      </c>
      <c r="M209" s="18"/>
      <c r="N209" s="19"/>
      <c r="O209" s="20"/>
      <c r="P209" s="21" t="str">
        <f t="shared" si="3"/>
        <v>6-AR</v>
      </c>
      <c r="Q209" s="108" t="str">
        <f>HYPERLINK("#'마스터_품목'!A385","→ 마스터 R385")</f>
        <v>→ 마스터 R385</v>
      </c>
      <c r="R209" s="109">
        <v>385</v>
      </c>
      <c r="S209" s="109" t="s">
        <v>72</v>
      </c>
    </row>
    <row r="210" spans="1:19" ht="48" customHeight="1" x14ac:dyDescent="0.3">
      <c r="A210" s="22" t="s">
        <v>354</v>
      </c>
      <c r="B210" s="22" t="s">
        <v>415</v>
      </c>
      <c r="C210" s="23" t="s">
        <v>591</v>
      </c>
      <c r="D210" s="23" t="s">
        <v>747</v>
      </c>
      <c r="E210" s="23"/>
      <c r="F210" s="24" t="s">
        <v>71</v>
      </c>
      <c r="G210" s="25"/>
      <c r="H210" s="26"/>
      <c r="I210" s="27" t="str">
        <f>IFERROR(IF(OR($F210="O",$G210="O",$H210="O"),CHOOSE(MATCH($A210,{"튜브","고압","진공","튜닝","조립","출하"},0),"T","H","V","N","A","P")&amp;IF($F210="O","R",IF($G210="O","A",IF($H210="O","F",""))),""),"")</f>
        <v>AR</v>
      </c>
      <c r="J210" s="15"/>
      <c r="K210" s="16"/>
      <c r="L210" s="17" t="s">
        <v>71</v>
      </c>
      <c r="M210" s="18"/>
      <c r="N210" s="19"/>
      <c r="O210" s="20"/>
      <c r="P210" s="21" t="str">
        <f t="shared" si="3"/>
        <v>6-AR</v>
      </c>
      <c r="Q210" s="108" t="str">
        <f>HYPERLINK("#'마스터_품목'!A386","→ 마스터 R386")</f>
        <v>→ 마스터 R386</v>
      </c>
      <c r="R210" s="109">
        <v>386</v>
      </c>
      <c r="S210" s="109" t="s">
        <v>72</v>
      </c>
    </row>
    <row r="211" spans="1:19" ht="48" customHeight="1" x14ac:dyDescent="0.3">
      <c r="A211" s="22" t="s">
        <v>354</v>
      </c>
      <c r="B211" s="22" t="s">
        <v>415</v>
      </c>
      <c r="C211" s="23" t="s">
        <v>645</v>
      </c>
      <c r="D211" s="23" t="s">
        <v>748</v>
      </c>
      <c r="E211" s="23" t="s">
        <v>749</v>
      </c>
      <c r="F211" s="24" t="s">
        <v>71</v>
      </c>
      <c r="G211" s="25"/>
      <c r="H211" s="26"/>
      <c r="I211" s="27" t="str">
        <f>IFERROR(IF(OR($F211="O",$G211="O",$H211="O"),CHOOSE(MATCH($A211,{"튜브","고압","진공","튜닝","조립","출하"},0),"T","H","V","N","A","P")&amp;IF($F211="O","R",IF($G211="O","A",IF($H211="O","F",""))),""),"")</f>
        <v>AR</v>
      </c>
      <c r="J211" s="15"/>
      <c r="K211" s="16"/>
      <c r="L211" s="17" t="s">
        <v>71</v>
      </c>
      <c r="M211" s="18"/>
      <c r="N211" s="19"/>
      <c r="O211" s="20"/>
      <c r="P211" s="21" t="str">
        <f t="shared" si="3"/>
        <v>6-AR</v>
      </c>
      <c r="Q211" s="108" t="str">
        <f>HYPERLINK("#'마스터_품목'!A387","→ 마스터 R387")</f>
        <v>→ 마스터 R387</v>
      </c>
      <c r="R211" s="109">
        <v>387</v>
      </c>
      <c r="S211" s="109" t="s">
        <v>72</v>
      </c>
    </row>
    <row r="212" spans="1:19" ht="48" customHeight="1" x14ac:dyDescent="0.3">
      <c r="A212" s="22" t="s">
        <v>354</v>
      </c>
      <c r="B212" s="22" t="s">
        <v>415</v>
      </c>
      <c r="C212" s="23" t="s">
        <v>645</v>
      </c>
      <c r="D212" s="23" t="s">
        <v>750</v>
      </c>
      <c r="E212" s="23" t="s">
        <v>751</v>
      </c>
      <c r="F212" s="24" t="s">
        <v>71</v>
      </c>
      <c r="G212" s="25"/>
      <c r="H212" s="26"/>
      <c r="I212" s="27" t="str">
        <f>IFERROR(IF(OR($F212="O",$G212="O",$H212="O"),CHOOSE(MATCH($A212,{"튜브","고압","진공","튜닝","조립","출하"},0),"T","H","V","N","A","P")&amp;IF($F212="O","R",IF($G212="O","A",IF($H212="O","F",""))),""),"")</f>
        <v>AR</v>
      </c>
      <c r="J212" s="15"/>
      <c r="K212" s="16"/>
      <c r="L212" s="17" t="s">
        <v>71</v>
      </c>
      <c r="M212" s="18"/>
      <c r="N212" s="19"/>
      <c r="O212" s="20"/>
      <c r="P212" s="21" t="str">
        <f t="shared" si="3"/>
        <v>6-AR</v>
      </c>
      <c r="Q212" s="108" t="str">
        <f>HYPERLINK("#'마스터_품목'!A388","→ 마스터 R388")</f>
        <v>→ 마스터 R388</v>
      </c>
      <c r="R212" s="109">
        <v>388</v>
      </c>
      <c r="S212" s="109" t="s">
        <v>72</v>
      </c>
    </row>
    <row r="213" spans="1:19" ht="48" customHeight="1" x14ac:dyDescent="0.3">
      <c r="A213" s="22" t="s">
        <v>354</v>
      </c>
      <c r="B213" s="22" t="s">
        <v>415</v>
      </c>
      <c r="C213" s="23" t="s">
        <v>645</v>
      </c>
      <c r="D213" s="23" t="s">
        <v>752</v>
      </c>
      <c r="E213" s="23" t="s">
        <v>753</v>
      </c>
      <c r="F213" s="24" t="s">
        <v>71</v>
      </c>
      <c r="G213" s="25"/>
      <c r="H213" s="26"/>
      <c r="I213" s="27" t="str">
        <f>IFERROR(IF(OR($F213="O",$G213="O",$H213="O"),CHOOSE(MATCH($A213,{"튜브","고압","진공","튜닝","조립","출하"},0),"T","H","V","N","A","P")&amp;IF($F213="O","R",IF($G213="O","A",IF($H213="O","F",""))),""),"")</f>
        <v>AR</v>
      </c>
      <c r="J213" s="15"/>
      <c r="K213" s="16"/>
      <c r="L213" s="17" t="s">
        <v>71</v>
      </c>
      <c r="M213" s="18"/>
      <c r="N213" s="19"/>
      <c r="O213" s="20"/>
      <c r="P213" s="21" t="str">
        <f t="shared" si="3"/>
        <v>6-AR</v>
      </c>
      <c r="Q213" s="108" t="str">
        <f>HYPERLINK("#'마스터_품목'!A389","→ 마스터 R389")</f>
        <v>→ 마스터 R389</v>
      </c>
      <c r="R213" s="109">
        <v>389</v>
      </c>
      <c r="S213" s="109" t="s">
        <v>72</v>
      </c>
    </row>
    <row r="214" spans="1:19" ht="48" customHeight="1" x14ac:dyDescent="0.3">
      <c r="A214" s="22" t="s">
        <v>354</v>
      </c>
      <c r="B214" s="22" t="s">
        <v>415</v>
      </c>
      <c r="C214" s="23" t="s">
        <v>645</v>
      </c>
      <c r="D214" s="23" t="s">
        <v>754</v>
      </c>
      <c r="E214" s="23" t="s">
        <v>755</v>
      </c>
      <c r="F214" s="24" t="s">
        <v>71</v>
      </c>
      <c r="G214" s="25"/>
      <c r="H214" s="26"/>
      <c r="I214" s="27" t="str">
        <f>IFERROR(IF(OR($F214="O",$G214="O",$H214="O"),CHOOSE(MATCH($A214,{"튜브","고압","진공","튜닝","조립","출하"},0),"T","H","V","N","A","P")&amp;IF($F214="O","R",IF($G214="O","A",IF($H214="O","F",""))),""),"")</f>
        <v>AR</v>
      </c>
      <c r="J214" s="15"/>
      <c r="K214" s="16"/>
      <c r="L214" s="17" t="s">
        <v>71</v>
      </c>
      <c r="M214" s="18"/>
      <c r="N214" s="19"/>
      <c r="O214" s="20"/>
      <c r="P214" s="21" t="str">
        <f t="shared" si="3"/>
        <v>6-AR</v>
      </c>
      <c r="Q214" s="108" t="str">
        <f>HYPERLINK("#'마스터_품목'!A390","→ 마스터 R390")</f>
        <v>→ 마스터 R390</v>
      </c>
      <c r="R214" s="109">
        <v>390</v>
      </c>
      <c r="S214" s="109" t="s">
        <v>72</v>
      </c>
    </row>
    <row r="215" spans="1:19" ht="48" customHeight="1" x14ac:dyDescent="0.3">
      <c r="A215" s="22" t="s">
        <v>354</v>
      </c>
      <c r="B215" s="22" t="s">
        <v>415</v>
      </c>
      <c r="C215" s="23" t="s">
        <v>591</v>
      </c>
      <c r="D215" s="23" t="s">
        <v>756</v>
      </c>
      <c r="E215" s="23"/>
      <c r="F215" s="24"/>
      <c r="G215" s="25" t="s">
        <v>71</v>
      </c>
      <c r="H215" s="26"/>
      <c r="I215" s="27" t="str">
        <f>IFERROR(IF(OR($F215="O",$G215="O",$H215="O"),CHOOSE(MATCH($A215,{"튜브","고압","진공","튜닝","조립","출하"},0),"T","H","V","N","A","P")&amp;IF($F215="O","R",IF($G215="O","A",IF($H215="O","F",""))),""),"")</f>
        <v>AA</v>
      </c>
      <c r="J215" s="15"/>
      <c r="K215" s="16"/>
      <c r="L215" s="17" t="s">
        <v>71</v>
      </c>
      <c r="M215" s="18"/>
      <c r="N215" s="19"/>
      <c r="O215" s="20"/>
      <c r="P215" s="21" t="str">
        <f t="shared" si="3"/>
        <v>6-AA</v>
      </c>
      <c r="Q215" s="108" t="str">
        <f>HYPERLINK("#'마스터_품목'!A391","→ 마스터 R391")</f>
        <v>→ 마스터 R391</v>
      </c>
      <c r="R215" s="109">
        <v>391</v>
      </c>
      <c r="S215" s="109" t="s">
        <v>72</v>
      </c>
    </row>
    <row r="216" spans="1:19" ht="48" customHeight="1" x14ac:dyDescent="0.3">
      <c r="A216" s="22" t="s">
        <v>354</v>
      </c>
      <c r="B216" s="22" t="s">
        <v>415</v>
      </c>
      <c r="C216" s="23" t="s">
        <v>591</v>
      </c>
      <c r="D216" s="23" t="s">
        <v>757</v>
      </c>
      <c r="E216" s="23"/>
      <c r="F216" s="24"/>
      <c r="G216" s="25" t="s">
        <v>71</v>
      </c>
      <c r="H216" s="26"/>
      <c r="I216" s="27" t="str">
        <f>IFERROR(IF(OR($F216="O",$G216="O",$H216="O"),CHOOSE(MATCH($A216,{"튜브","고압","진공","튜닝","조립","출하"},0),"T","H","V","N","A","P")&amp;IF($F216="O","R",IF($G216="O","A",IF($H216="O","F",""))),""),"")</f>
        <v>AA</v>
      </c>
      <c r="J216" s="15"/>
      <c r="K216" s="16"/>
      <c r="L216" s="17" t="s">
        <v>71</v>
      </c>
      <c r="M216" s="18"/>
      <c r="N216" s="19"/>
      <c r="O216" s="20"/>
      <c r="P216" s="21" t="str">
        <f t="shared" si="3"/>
        <v>6-AA</v>
      </c>
      <c r="Q216" s="108" t="str">
        <f>HYPERLINK("#'마스터_품목'!A392","→ 마스터 R392")</f>
        <v>→ 마스터 R392</v>
      </c>
      <c r="R216" s="109">
        <v>392</v>
      </c>
      <c r="S216" s="109" t="s">
        <v>72</v>
      </c>
    </row>
    <row r="217" spans="1:19" ht="48" customHeight="1" x14ac:dyDescent="0.3">
      <c r="A217" s="22" t="s">
        <v>354</v>
      </c>
      <c r="B217" s="22" t="s">
        <v>415</v>
      </c>
      <c r="C217" s="23" t="s">
        <v>591</v>
      </c>
      <c r="D217" s="23" t="s">
        <v>758</v>
      </c>
      <c r="E217" s="23"/>
      <c r="F217" s="24"/>
      <c r="G217" s="25" t="s">
        <v>71</v>
      </c>
      <c r="H217" s="26"/>
      <c r="I217" s="27" t="str">
        <f>IFERROR(IF(OR($F217="O",$G217="O",$H217="O"),CHOOSE(MATCH($A217,{"튜브","고압","진공","튜닝","조립","출하"},0),"T","H","V","N","A","P")&amp;IF($F217="O","R",IF($G217="O","A",IF($H217="O","F",""))),""),"")</f>
        <v>AA</v>
      </c>
      <c r="J217" s="15"/>
      <c r="K217" s="16"/>
      <c r="L217" s="17" t="s">
        <v>71</v>
      </c>
      <c r="M217" s="18"/>
      <c r="N217" s="19"/>
      <c r="O217" s="20"/>
      <c r="P217" s="21" t="str">
        <f t="shared" si="3"/>
        <v>6-AA</v>
      </c>
      <c r="Q217" s="108" t="str">
        <f>HYPERLINK("#'마스터_품목'!A393","→ 마스터 R393")</f>
        <v>→ 마스터 R393</v>
      </c>
      <c r="R217" s="109">
        <v>393</v>
      </c>
      <c r="S217" s="109" t="s">
        <v>72</v>
      </c>
    </row>
    <row r="218" spans="1:19" ht="48" customHeight="1" x14ac:dyDescent="0.3">
      <c r="A218" s="22" t="s">
        <v>354</v>
      </c>
      <c r="B218" s="22" t="s">
        <v>415</v>
      </c>
      <c r="C218" s="23" t="s">
        <v>591</v>
      </c>
      <c r="D218" s="23" t="s">
        <v>759</v>
      </c>
      <c r="E218" s="23"/>
      <c r="F218" s="24"/>
      <c r="G218" s="25" t="s">
        <v>71</v>
      </c>
      <c r="H218" s="26"/>
      <c r="I218" s="27" t="str">
        <f>IFERROR(IF(OR($F218="O",$G218="O",$H218="O"),CHOOSE(MATCH($A218,{"튜브","고압","진공","튜닝","조립","출하"},0),"T","H","V","N","A","P")&amp;IF($F218="O","R",IF($G218="O","A",IF($H218="O","F",""))),""),"")</f>
        <v>AA</v>
      </c>
      <c r="J218" s="15"/>
      <c r="K218" s="16"/>
      <c r="L218" s="17" t="s">
        <v>71</v>
      </c>
      <c r="M218" s="18"/>
      <c r="N218" s="19"/>
      <c r="O218" s="20"/>
      <c r="P218" s="21" t="str">
        <f t="shared" si="3"/>
        <v>6-AA</v>
      </c>
      <c r="Q218" s="108" t="str">
        <f>HYPERLINK("#'마스터_품목'!A394","→ 마스터 R394")</f>
        <v>→ 마스터 R394</v>
      </c>
      <c r="R218" s="109">
        <v>394</v>
      </c>
      <c r="S218" s="109" t="s">
        <v>72</v>
      </c>
    </row>
    <row r="219" spans="1:19" ht="48" customHeight="1" x14ac:dyDescent="0.3">
      <c r="A219" s="22" t="s">
        <v>354</v>
      </c>
      <c r="B219" s="22" t="s">
        <v>415</v>
      </c>
      <c r="C219" s="23" t="s">
        <v>591</v>
      </c>
      <c r="D219" s="23" t="s">
        <v>760</v>
      </c>
      <c r="E219" s="23"/>
      <c r="F219" s="24"/>
      <c r="G219" s="25" t="s">
        <v>71</v>
      </c>
      <c r="H219" s="26"/>
      <c r="I219" s="27" t="str">
        <f>IFERROR(IF(OR($F219="O",$G219="O",$H219="O"),CHOOSE(MATCH($A219,{"튜브","고압","진공","튜닝","조립","출하"},0),"T","H","V","N","A","P")&amp;IF($F219="O","R",IF($G219="O","A",IF($H219="O","F",""))),""),"")</f>
        <v>AA</v>
      </c>
      <c r="J219" s="15"/>
      <c r="K219" s="16"/>
      <c r="L219" s="17" t="s">
        <v>71</v>
      </c>
      <c r="M219" s="18"/>
      <c r="N219" s="19"/>
      <c r="O219" s="20"/>
      <c r="P219" s="21" t="str">
        <f t="shared" si="3"/>
        <v>6-AA</v>
      </c>
      <c r="Q219" s="108" t="str">
        <f>HYPERLINK("#'마스터_품목'!A395","→ 마스터 R395")</f>
        <v>→ 마스터 R395</v>
      </c>
      <c r="R219" s="109">
        <v>395</v>
      </c>
      <c r="S219" s="109" t="s">
        <v>72</v>
      </c>
    </row>
    <row r="220" spans="1:19" ht="48" customHeight="1" x14ac:dyDescent="0.3">
      <c r="A220" s="22" t="s">
        <v>354</v>
      </c>
      <c r="B220" s="22" t="s">
        <v>415</v>
      </c>
      <c r="C220" s="23" t="s">
        <v>591</v>
      </c>
      <c r="D220" s="23" t="s">
        <v>761</v>
      </c>
      <c r="E220" s="23"/>
      <c r="F220" s="24"/>
      <c r="G220" s="25" t="s">
        <v>71</v>
      </c>
      <c r="H220" s="26"/>
      <c r="I220" s="27" t="str">
        <f>IFERROR(IF(OR($F220="O",$G220="O",$H220="O"),CHOOSE(MATCH($A220,{"튜브","고압","진공","튜닝","조립","출하"},0),"T","H","V","N","A","P")&amp;IF($F220="O","R",IF($G220="O","A",IF($H220="O","F",""))),""),"")</f>
        <v>AA</v>
      </c>
      <c r="J220" s="15"/>
      <c r="K220" s="16"/>
      <c r="L220" s="17" t="s">
        <v>71</v>
      </c>
      <c r="M220" s="18"/>
      <c r="N220" s="19"/>
      <c r="O220" s="20"/>
      <c r="P220" s="21" t="str">
        <f t="shared" si="3"/>
        <v>6-AA</v>
      </c>
      <c r="Q220" s="108" t="str">
        <f>HYPERLINK("#'마스터_품목'!A396","→ 마스터 R396")</f>
        <v>→ 마스터 R396</v>
      </c>
      <c r="R220" s="109">
        <v>396</v>
      </c>
      <c r="S220" s="109" t="s">
        <v>72</v>
      </c>
    </row>
    <row r="221" spans="1:19" ht="48" customHeight="1" x14ac:dyDescent="0.3">
      <c r="A221" s="22" t="s">
        <v>354</v>
      </c>
      <c r="B221" s="22" t="s">
        <v>415</v>
      </c>
      <c r="C221" s="23" t="s">
        <v>591</v>
      </c>
      <c r="D221" s="23" t="s">
        <v>762</v>
      </c>
      <c r="E221" s="23"/>
      <c r="F221" s="24"/>
      <c r="G221" s="25" t="s">
        <v>71</v>
      </c>
      <c r="H221" s="26"/>
      <c r="I221" s="27" t="str">
        <f>IFERROR(IF(OR($F221="O",$G221="O",$H221="O"),CHOOSE(MATCH($A221,{"튜브","고압","진공","튜닝","조립","출하"},0),"T","H","V","N","A","P")&amp;IF($F221="O","R",IF($G221="O","A",IF($H221="O","F",""))),""),"")</f>
        <v>AA</v>
      </c>
      <c r="J221" s="15"/>
      <c r="K221" s="16"/>
      <c r="L221" s="17" t="s">
        <v>71</v>
      </c>
      <c r="M221" s="18"/>
      <c r="N221" s="19"/>
      <c r="O221" s="20"/>
      <c r="P221" s="21" t="str">
        <f t="shared" si="3"/>
        <v>6-AA</v>
      </c>
      <c r="Q221" s="108" t="str">
        <f>HYPERLINK("#'마스터_품목'!A397","→ 마스터 R397")</f>
        <v>→ 마스터 R397</v>
      </c>
      <c r="R221" s="109">
        <v>397</v>
      </c>
      <c r="S221" s="109" t="s">
        <v>72</v>
      </c>
    </row>
    <row r="222" spans="1:19" ht="48" customHeight="1" x14ac:dyDescent="0.3">
      <c r="A222" s="22" t="s">
        <v>354</v>
      </c>
      <c r="B222" s="22" t="s">
        <v>415</v>
      </c>
      <c r="C222" s="23" t="s">
        <v>591</v>
      </c>
      <c r="D222" s="23" t="s">
        <v>763</v>
      </c>
      <c r="E222" s="23"/>
      <c r="F222" s="24"/>
      <c r="G222" s="25" t="s">
        <v>71</v>
      </c>
      <c r="H222" s="26"/>
      <c r="I222" s="27" t="str">
        <f>IFERROR(IF(OR($F222="O",$G222="O",$H222="O"),CHOOSE(MATCH($A222,{"튜브","고압","진공","튜닝","조립","출하"},0),"T","H","V","N","A","P")&amp;IF($F222="O","R",IF($G222="O","A",IF($H222="O","F",""))),""),"")</f>
        <v>AA</v>
      </c>
      <c r="J222" s="15"/>
      <c r="K222" s="16"/>
      <c r="L222" s="17" t="s">
        <v>71</v>
      </c>
      <c r="M222" s="18"/>
      <c r="N222" s="19"/>
      <c r="O222" s="20"/>
      <c r="P222" s="21" t="str">
        <f t="shared" si="3"/>
        <v>6-AA</v>
      </c>
      <c r="Q222" s="108" t="str">
        <f>HYPERLINK("#'마스터_품목'!A398","→ 마스터 R398")</f>
        <v>→ 마스터 R398</v>
      </c>
      <c r="R222" s="109">
        <v>398</v>
      </c>
      <c r="S222" s="109" t="s">
        <v>72</v>
      </c>
    </row>
    <row r="223" spans="1:19" ht="48" customHeight="1" x14ac:dyDescent="0.3">
      <c r="A223" s="22" t="s">
        <v>354</v>
      </c>
      <c r="B223" s="22" t="s">
        <v>415</v>
      </c>
      <c r="C223" s="23" t="s">
        <v>645</v>
      </c>
      <c r="D223" s="23" t="s">
        <v>764</v>
      </c>
      <c r="E223" s="23"/>
      <c r="F223" s="24"/>
      <c r="G223" s="25" t="s">
        <v>71</v>
      </c>
      <c r="H223" s="26"/>
      <c r="I223" s="27" t="str">
        <f>IFERROR(IF(OR($F223="O",$G223="O",$H223="O"),CHOOSE(MATCH($A223,{"튜브","고압","진공","튜닝","조립","출하"},0),"T","H","V","N","A","P")&amp;IF($F223="O","R",IF($G223="O","A",IF($H223="O","F",""))),""),"")</f>
        <v>AA</v>
      </c>
      <c r="J223" s="15"/>
      <c r="K223" s="16"/>
      <c r="L223" s="17" t="s">
        <v>71</v>
      </c>
      <c r="M223" s="18"/>
      <c r="N223" s="19"/>
      <c r="O223" s="20"/>
      <c r="P223" s="21" t="str">
        <f t="shared" si="3"/>
        <v>6-AA</v>
      </c>
      <c r="Q223" s="108" t="str">
        <f>HYPERLINK("#'마스터_품목'!A399","→ 마스터 R399")</f>
        <v>→ 마스터 R399</v>
      </c>
      <c r="R223" s="109">
        <v>399</v>
      </c>
      <c r="S223" s="109" t="s">
        <v>72</v>
      </c>
    </row>
    <row r="224" spans="1:19" ht="48" customHeight="1" x14ac:dyDescent="0.3">
      <c r="A224" s="22" t="s">
        <v>354</v>
      </c>
      <c r="B224" s="22" t="s">
        <v>415</v>
      </c>
      <c r="C224" s="23" t="s">
        <v>645</v>
      </c>
      <c r="D224" s="23" t="s">
        <v>765</v>
      </c>
      <c r="E224" s="23"/>
      <c r="F224" s="24"/>
      <c r="G224" s="25" t="s">
        <v>71</v>
      </c>
      <c r="H224" s="26"/>
      <c r="I224" s="27" t="str">
        <f>IFERROR(IF(OR($F224="O",$G224="O",$H224="O"),CHOOSE(MATCH($A224,{"튜브","고압","진공","튜닝","조립","출하"},0),"T","H","V","N","A","P")&amp;IF($F224="O","R",IF($G224="O","A",IF($H224="O","F",""))),""),"")</f>
        <v>AA</v>
      </c>
      <c r="J224" s="15"/>
      <c r="K224" s="16"/>
      <c r="L224" s="17" t="s">
        <v>71</v>
      </c>
      <c r="M224" s="18"/>
      <c r="N224" s="19"/>
      <c r="O224" s="20"/>
      <c r="P224" s="21" t="str">
        <f t="shared" si="3"/>
        <v>6-AA</v>
      </c>
      <c r="Q224" s="108" t="str">
        <f>HYPERLINK("#'마스터_품목'!A400","→ 마스터 R400")</f>
        <v>→ 마스터 R400</v>
      </c>
      <c r="R224" s="109">
        <v>400</v>
      </c>
      <c r="S224" s="109" t="s">
        <v>72</v>
      </c>
    </row>
    <row r="225" spans="1:19" ht="48" customHeight="1" x14ac:dyDescent="0.3">
      <c r="A225" s="22" t="s">
        <v>354</v>
      </c>
      <c r="B225" s="22" t="s">
        <v>415</v>
      </c>
      <c r="C225" s="23" t="s">
        <v>645</v>
      </c>
      <c r="D225" s="23" t="s">
        <v>766</v>
      </c>
      <c r="E225" s="23"/>
      <c r="F225" s="24"/>
      <c r="G225" s="25" t="s">
        <v>71</v>
      </c>
      <c r="H225" s="26"/>
      <c r="I225" s="27" t="str">
        <f>IFERROR(IF(OR($F225="O",$G225="O",$H225="O"),CHOOSE(MATCH($A225,{"튜브","고압","진공","튜닝","조립","출하"},0),"T","H","V","N","A","P")&amp;IF($F225="O","R",IF($G225="O","A",IF($H225="O","F",""))),""),"")</f>
        <v>AA</v>
      </c>
      <c r="J225" s="15"/>
      <c r="K225" s="16"/>
      <c r="L225" s="17" t="s">
        <v>71</v>
      </c>
      <c r="M225" s="18"/>
      <c r="N225" s="19"/>
      <c r="O225" s="20"/>
      <c r="P225" s="21" t="str">
        <f t="shared" si="3"/>
        <v>6-AA</v>
      </c>
      <c r="Q225" s="108" t="str">
        <f>HYPERLINK("#'마스터_품목'!A401","→ 마스터 R401")</f>
        <v>→ 마스터 R401</v>
      </c>
      <c r="R225" s="109">
        <v>401</v>
      </c>
      <c r="S225" s="109" t="s">
        <v>72</v>
      </c>
    </row>
    <row r="226" spans="1:19" ht="48" customHeight="1" x14ac:dyDescent="0.3">
      <c r="A226" s="22" t="s">
        <v>354</v>
      </c>
      <c r="B226" s="22" t="s">
        <v>415</v>
      </c>
      <c r="C226" s="23" t="s">
        <v>631</v>
      </c>
      <c r="D226" s="23" t="s">
        <v>764</v>
      </c>
      <c r="E226" s="23"/>
      <c r="F226" s="24"/>
      <c r="G226" s="25" t="s">
        <v>71</v>
      </c>
      <c r="H226" s="26"/>
      <c r="I226" s="27" t="str">
        <f>IFERROR(IF(OR($F226="O",$G226="O",$H226="O"),CHOOSE(MATCH($A226,{"튜브","고압","진공","튜닝","조립","출하"},0),"T","H","V","N","A","P")&amp;IF($F226="O","R",IF($G226="O","A",IF($H226="O","F",""))),""),"")</f>
        <v>AA</v>
      </c>
      <c r="J226" s="15"/>
      <c r="K226" s="16"/>
      <c r="L226" s="17" t="s">
        <v>71</v>
      </c>
      <c r="M226" s="18"/>
      <c r="N226" s="19"/>
      <c r="O226" s="20"/>
      <c r="P226" s="21" t="str">
        <f t="shared" si="3"/>
        <v>6-AA</v>
      </c>
      <c r="Q226" s="108" t="str">
        <f>HYPERLINK("#'마스터_품목'!A402","→ 마스터 R402")</f>
        <v>→ 마스터 R402</v>
      </c>
      <c r="R226" s="109">
        <v>402</v>
      </c>
      <c r="S226" s="109" t="s">
        <v>72</v>
      </c>
    </row>
    <row r="227" spans="1:19" ht="48" customHeight="1" x14ac:dyDescent="0.3">
      <c r="A227" s="22" t="s">
        <v>354</v>
      </c>
      <c r="B227" s="22" t="s">
        <v>415</v>
      </c>
      <c r="C227" s="23" t="s">
        <v>631</v>
      </c>
      <c r="D227" s="23" t="s">
        <v>767</v>
      </c>
      <c r="E227" s="23"/>
      <c r="F227" s="24"/>
      <c r="G227" s="25" t="s">
        <v>71</v>
      </c>
      <c r="H227" s="26"/>
      <c r="I227" s="27" t="str">
        <f>IFERROR(IF(OR($F227="O",$G227="O",$H227="O"),CHOOSE(MATCH($A227,{"튜브","고압","진공","튜닝","조립","출하"},0),"T","H","V","N","A","P")&amp;IF($F227="O","R",IF($G227="O","A",IF($H227="O","F",""))),""),"")</f>
        <v>AA</v>
      </c>
      <c r="J227" s="15"/>
      <c r="K227" s="16"/>
      <c r="L227" s="17" t="s">
        <v>71</v>
      </c>
      <c r="M227" s="18"/>
      <c r="N227" s="19"/>
      <c r="O227" s="20"/>
      <c r="P227" s="21" t="str">
        <f t="shared" si="3"/>
        <v>6-AA</v>
      </c>
      <c r="Q227" s="108" t="str">
        <f>HYPERLINK("#'마스터_품목'!A403","→ 마스터 R403")</f>
        <v>→ 마스터 R403</v>
      </c>
      <c r="R227" s="109">
        <v>403</v>
      </c>
      <c r="S227" s="109" t="s">
        <v>72</v>
      </c>
    </row>
    <row r="228" spans="1:19" ht="48" customHeight="1" x14ac:dyDescent="0.3">
      <c r="A228" s="22" t="s">
        <v>354</v>
      </c>
      <c r="B228" s="22" t="s">
        <v>415</v>
      </c>
      <c r="C228" s="23" t="s">
        <v>631</v>
      </c>
      <c r="D228" s="23" t="s">
        <v>768</v>
      </c>
      <c r="E228" s="23"/>
      <c r="F228" s="24"/>
      <c r="G228" s="25" t="s">
        <v>71</v>
      </c>
      <c r="H228" s="26"/>
      <c r="I228" s="27" t="str">
        <f>IFERROR(IF(OR($F228="O",$G228="O",$H228="O"),CHOOSE(MATCH($A228,{"튜브","고압","진공","튜닝","조립","출하"},0),"T","H","V","N","A","P")&amp;IF($F228="O","R",IF($G228="O","A",IF($H228="O","F",""))),""),"")</f>
        <v>AA</v>
      </c>
      <c r="J228" s="15"/>
      <c r="K228" s="16"/>
      <c r="L228" s="17" t="s">
        <v>71</v>
      </c>
      <c r="M228" s="18"/>
      <c r="N228" s="19"/>
      <c r="O228" s="20"/>
      <c r="P228" s="21" t="str">
        <f t="shared" si="3"/>
        <v>6-AA</v>
      </c>
      <c r="Q228" s="108" t="str">
        <f>HYPERLINK("#'마스터_품목'!A404","→ 마스터 R404")</f>
        <v>→ 마스터 R404</v>
      </c>
      <c r="R228" s="109">
        <v>404</v>
      </c>
      <c r="S228" s="109" t="s">
        <v>72</v>
      </c>
    </row>
    <row r="229" spans="1:19" ht="48" customHeight="1" x14ac:dyDescent="0.3">
      <c r="A229" s="22" t="s">
        <v>354</v>
      </c>
      <c r="B229" s="22" t="s">
        <v>415</v>
      </c>
      <c r="C229" s="23" t="s">
        <v>631</v>
      </c>
      <c r="D229" s="23" t="s">
        <v>765</v>
      </c>
      <c r="E229" s="23"/>
      <c r="F229" s="24"/>
      <c r="G229" s="25" t="s">
        <v>71</v>
      </c>
      <c r="H229" s="26"/>
      <c r="I229" s="27" t="str">
        <f>IFERROR(IF(OR($F229="O",$G229="O",$H229="O"),CHOOSE(MATCH($A229,{"튜브","고압","진공","튜닝","조립","출하"},0),"T","H","V","N","A","P")&amp;IF($F229="O","R",IF($G229="O","A",IF($H229="O","F",""))),""),"")</f>
        <v>AA</v>
      </c>
      <c r="J229" s="15"/>
      <c r="K229" s="16"/>
      <c r="L229" s="17" t="s">
        <v>71</v>
      </c>
      <c r="M229" s="18"/>
      <c r="N229" s="19"/>
      <c r="O229" s="20"/>
      <c r="P229" s="21" t="str">
        <f t="shared" si="3"/>
        <v>6-AA</v>
      </c>
      <c r="Q229" s="108" t="str">
        <f>HYPERLINK("#'마스터_품목'!A405","→ 마스터 R405")</f>
        <v>→ 마스터 R405</v>
      </c>
      <c r="R229" s="109">
        <v>405</v>
      </c>
      <c r="S229" s="109" t="s">
        <v>72</v>
      </c>
    </row>
    <row r="230" spans="1:19" ht="48" customHeight="1" x14ac:dyDescent="0.3">
      <c r="A230" s="22" t="s">
        <v>354</v>
      </c>
      <c r="B230" s="22" t="s">
        <v>415</v>
      </c>
      <c r="C230" s="23" t="s">
        <v>631</v>
      </c>
      <c r="D230" s="23" t="s">
        <v>766</v>
      </c>
      <c r="E230" s="23"/>
      <c r="F230" s="24"/>
      <c r="G230" s="25" t="s">
        <v>71</v>
      </c>
      <c r="H230" s="26"/>
      <c r="I230" s="27" t="str">
        <f>IFERROR(IF(OR($F230="O",$G230="O",$H230="O"),CHOOSE(MATCH($A230,{"튜브","고압","진공","튜닝","조립","출하"},0),"T","H","V","N","A","P")&amp;IF($F230="O","R",IF($G230="O","A",IF($H230="O","F",""))),""),"")</f>
        <v>AA</v>
      </c>
      <c r="J230" s="15"/>
      <c r="K230" s="16"/>
      <c r="L230" s="17" t="s">
        <v>71</v>
      </c>
      <c r="M230" s="18"/>
      <c r="N230" s="19"/>
      <c r="O230" s="20"/>
      <c r="P230" s="21" t="str">
        <f t="shared" si="3"/>
        <v>6-AA</v>
      </c>
      <c r="Q230" s="108" t="str">
        <f>HYPERLINK("#'마스터_품목'!A406","→ 마스터 R406")</f>
        <v>→ 마스터 R406</v>
      </c>
      <c r="R230" s="109">
        <v>406</v>
      </c>
      <c r="S230" s="109" t="s">
        <v>72</v>
      </c>
    </row>
    <row r="231" spans="1:19" ht="48" customHeight="1" x14ac:dyDescent="0.3">
      <c r="A231" s="22" t="s">
        <v>354</v>
      </c>
      <c r="B231" s="22" t="s">
        <v>415</v>
      </c>
      <c r="C231" s="23" t="s">
        <v>591</v>
      </c>
      <c r="D231" s="23" t="s">
        <v>769</v>
      </c>
      <c r="E231" s="23"/>
      <c r="F231" s="24"/>
      <c r="G231" s="25" t="s">
        <v>71</v>
      </c>
      <c r="H231" s="26"/>
      <c r="I231" s="27" t="str">
        <f>IFERROR(IF(OR($F231="O",$G231="O",$H231="O"),CHOOSE(MATCH($A231,{"튜브","고압","진공","튜닝","조립","출하"},0),"T","H","V","N","A","P")&amp;IF($F231="O","R",IF($G231="O","A",IF($H231="O","F",""))),""),"")</f>
        <v>AA</v>
      </c>
      <c r="J231" s="15"/>
      <c r="K231" s="16"/>
      <c r="L231" s="17" t="s">
        <v>71</v>
      </c>
      <c r="M231" s="18"/>
      <c r="N231" s="19"/>
      <c r="O231" s="20"/>
      <c r="P231" s="21" t="str">
        <f t="shared" si="3"/>
        <v>6-AA</v>
      </c>
      <c r="Q231" s="108" t="str">
        <f>HYPERLINK("#'마스터_품목'!A407","→ 마스터 R407")</f>
        <v>→ 마스터 R407</v>
      </c>
      <c r="R231" s="109">
        <v>407</v>
      </c>
      <c r="S231" s="109" t="s">
        <v>72</v>
      </c>
    </row>
    <row r="232" spans="1:19" ht="48" customHeight="1" x14ac:dyDescent="0.3">
      <c r="A232" s="22" t="s">
        <v>354</v>
      </c>
      <c r="B232" s="22" t="s">
        <v>415</v>
      </c>
      <c r="C232" s="23" t="s">
        <v>591</v>
      </c>
      <c r="D232" s="23" t="s">
        <v>770</v>
      </c>
      <c r="E232" s="23"/>
      <c r="F232" s="24"/>
      <c r="G232" s="25" t="s">
        <v>71</v>
      </c>
      <c r="H232" s="26"/>
      <c r="I232" s="27" t="str">
        <f>IFERROR(IF(OR($F232="O",$G232="O",$H232="O"),CHOOSE(MATCH($A232,{"튜브","고압","진공","튜닝","조립","출하"},0),"T","H","V","N","A","P")&amp;IF($F232="O","R",IF($G232="O","A",IF($H232="O","F",""))),""),"")</f>
        <v>AA</v>
      </c>
      <c r="J232" s="15"/>
      <c r="K232" s="16"/>
      <c r="L232" s="17" t="s">
        <v>71</v>
      </c>
      <c r="M232" s="18"/>
      <c r="N232" s="19"/>
      <c r="O232" s="20"/>
      <c r="P232" s="21" t="str">
        <f t="shared" si="3"/>
        <v>6-AA</v>
      </c>
      <c r="Q232" s="108" t="str">
        <f>HYPERLINK("#'마스터_품목'!A408","→ 마스터 R408")</f>
        <v>→ 마스터 R408</v>
      </c>
      <c r="R232" s="109">
        <v>408</v>
      </c>
      <c r="S232" s="109" t="s">
        <v>72</v>
      </c>
    </row>
    <row r="233" spans="1:19" ht="48" customHeight="1" x14ac:dyDescent="0.3">
      <c r="A233" s="22" t="s">
        <v>354</v>
      </c>
      <c r="B233" s="22" t="s">
        <v>415</v>
      </c>
      <c r="C233" s="23" t="s">
        <v>631</v>
      </c>
      <c r="D233" s="23" t="s">
        <v>765</v>
      </c>
      <c r="E233" s="23"/>
      <c r="F233" s="24"/>
      <c r="G233" s="25" t="s">
        <v>71</v>
      </c>
      <c r="H233" s="26"/>
      <c r="I233" s="27" t="str">
        <f>IFERROR(IF(OR($F233="O",$G233="O",$H233="O"),CHOOSE(MATCH($A233,{"튜브","고압","진공","튜닝","조립","출하"},0),"T","H","V","N","A","P")&amp;IF($F233="O","R",IF($G233="O","A",IF($H233="O","F",""))),""),"")</f>
        <v>AA</v>
      </c>
      <c r="J233" s="15"/>
      <c r="K233" s="16"/>
      <c r="L233" s="17" t="s">
        <v>71</v>
      </c>
      <c r="M233" s="18"/>
      <c r="N233" s="19"/>
      <c r="O233" s="20"/>
      <c r="P233" s="21" t="str">
        <f t="shared" si="3"/>
        <v>6-AA</v>
      </c>
    </row>
    <row r="234" spans="1:19" ht="48" customHeight="1" x14ac:dyDescent="0.3">
      <c r="A234" s="29" t="s">
        <v>771</v>
      </c>
      <c r="B234" s="22" t="s">
        <v>772</v>
      </c>
      <c r="C234" s="23" t="s">
        <v>591</v>
      </c>
      <c r="D234" s="23" t="s">
        <v>773</v>
      </c>
      <c r="E234" s="23" t="s">
        <v>774</v>
      </c>
      <c r="F234" s="24" t="s">
        <v>71</v>
      </c>
      <c r="G234" s="25"/>
      <c r="H234" s="26"/>
      <c r="I234" s="27" t="str">
        <f>IFERROR(IF(OR($F234="O",$G234="O",$H234="O"),CHOOSE(MATCH($A234,{"튜브","고압","진공","튜닝","조립","출하"},0),"T","H","V","N","A","P")&amp;IF($F234="O","R",IF($G234="O","A",IF($H234="O","F",""))),""),"")</f>
        <v>PR</v>
      </c>
      <c r="J234" s="15"/>
      <c r="K234" s="16"/>
      <c r="L234" s="17" t="s">
        <v>71</v>
      </c>
      <c r="M234" s="18"/>
      <c r="N234" s="19"/>
      <c r="O234" s="20"/>
      <c r="P234" s="21" t="str">
        <f t="shared" si="3"/>
        <v>6-PR</v>
      </c>
      <c r="Q234" s="108" t="str">
        <f>HYPERLINK("#'마스터_품목'!A559","→ 마스터 R559")</f>
        <v>→ 마스터 R559</v>
      </c>
      <c r="R234" s="109">
        <v>559</v>
      </c>
      <c r="S234" s="109" t="s">
        <v>72</v>
      </c>
    </row>
    <row r="235" spans="1:19" ht="48" customHeight="1" x14ac:dyDescent="0.3">
      <c r="A235" s="29" t="s">
        <v>771</v>
      </c>
      <c r="B235" s="22" t="s">
        <v>772</v>
      </c>
      <c r="C235" s="23" t="s">
        <v>591</v>
      </c>
      <c r="D235" s="23" t="s">
        <v>775</v>
      </c>
      <c r="E235" s="23" t="s">
        <v>776</v>
      </c>
      <c r="F235" s="24" t="s">
        <v>71</v>
      </c>
      <c r="G235" s="25"/>
      <c r="H235" s="26"/>
      <c r="I235" s="27" t="str">
        <f>IFERROR(IF(OR($F235="O",$G235="O",$H235="O"),CHOOSE(MATCH($A235,{"튜브","고압","진공","튜닝","조립","출하"},0),"T","H","V","N","A","P")&amp;IF($F235="O","R",IF($G235="O","A",IF($H235="O","F",""))),""),"")</f>
        <v>PR</v>
      </c>
      <c r="J235" s="15"/>
      <c r="K235" s="16"/>
      <c r="L235" s="17" t="s">
        <v>71</v>
      </c>
      <c r="M235" s="18"/>
      <c r="N235" s="19"/>
      <c r="O235" s="20"/>
      <c r="P235" s="21" t="str">
        <f t="shared" si="3"/>
        <v>6-PR</v>
      </c>
      <c r="Q235" s="108" t="str">
        <f>HYPERLINK("#'마스터_품목'!A560","→ 마스터 R560")</f>
        <v>→ 마스터 R560</v>
      </c>
      <c r="R235" s="109">
        <v>560</v>
      </c>
      <c r="S235" s="109" t="s">
        <v>72</v>
      </c>
    </row>
    <row r="236" spans="1:19" ht="48" customHeight="1" x14ac:dyDescent="0.3">
      <c r="A236" s="29" t="s">
        <v>771</v>
      </c>
      <c r="B236" s="22" t="s">
        <v>772</v>
      </c>
      <c r="C236" s="23" t="s">
        <v>591</v>
      </c>
      <c r="D236" s="23" t="s">
        <v>777</v>
      </c>
      <c r="E236" s="23" t="s">
        <v>778</v>
      </c>
      <c r="F236" s="24" t="s">
        <v>71</v>
      </c>
      <c r="G236" s="25"/>
      <c r="H236" s="26"/>
      <c r="I236" s="27" t="str">
        <f>IFERROR(IF(OR($F236="O",$G236="O",$H236="O"),CHOOSE(MATCH($A236,{"튜브","고압","진공","튜닝","조립","출하"},0),"T","H","V","N","A","P")&amp;IF($F236="O","R",IF($G236="O","A",IF($H236="O","F",""))),""),"")</f>
        <v>PR</v>
      </c>
      <c r="J236" s="15"/>
      <c r="K236" s="16"/>
      <c r="L236" s="17" t="s">
        <v>71</v>
      </c>
      <c r="M236" s="18"/>
      <c r="N236" s="19"/>
      <c r="O236" s="20"/>
      <c r="P236" s="21" t="str">
        <f t="shared" si="3"/>
        <v>6-PR</v>
      </c>
      <c r="Q236" s="108" t="str">
        <f>HYPERLINK("#'마스터_품목'!A561","→ 마스터 R561")</f>
        <v>→ 마스터 R561</v>
      </c>
      <c r="R236" s="109">
        <v>561</v>
      </c>
      <c r="S236" s="109" t="s">
        <v>72</v>
      </c>
    </row>
    <row r="237" spans="1:19" ht="48" customHeight="1" x14ac:dyDescent="0.3">
      <c r="A237" s="29" t="s">
        <v>771</v>
      </c>
      <c r="B237" s="22" t="s">
        <v>772</v>
      </c>
      <c r="C237" s="23" t="s">
        <v>591</v>
      </c>
      <c r="D237" s="23" t="s">
        <v>779</v>
      </c>
      <c r="E237" s="23" t="s">
        <v>780</v>
      </c>
      <c r="F237" s="24" t="s">
        <v>71</v>
      </c>
      <c r="G237" s="25"/>
      <c r="H237" s="26"/>
      <c r="I237" s="27" t="str">
        <f>IFERROR(IF(OR($F237="O",$G237="O",$H237="O"),CHOOSE(MATCH($A237,{"튜브","고압","진공","튜닝","조립","출하"},0),"T","H","V","N","A","P")&amp;IF($F237="O","R",IF($G237="O","A",IF($H237="O","F",""))),""),"")</f>
        <v>PR</v>
      </c>
      <c r="J237" s="15"/>
      <c r="K237" s="16"/>
      <c r="L237" s="17" t="s">
        <v>71</v>
      </c>
      <c r="M237" s="18"/>
      <c r="N237" s="19"/>
      <c r="O237" s="20"/>
      <c r="P237" s="21" t="str">
        <f t="shared" si="3"/>
        <v>6-PR</v>
      </c>
      <c r="Q237" s="108" t="str">
        <f>HYPERLINK("#'마스터_품목'!A562","→ 마스터 R562")</f>
        <v>→ 마스터 R562</v>
      </c>
      <c r="R237" s="109">
        <v>562</v>
      </c>
      <c r="S237" s="109" t="s">
        <v>72</v>
      </c>
    </row>
    <row r="238" spans="1:19" ht="48" customHeight="1" x14ac:dyDescent="0.3">
      <c r="A238" s="29" t="s">
        <v>771</v>
      </c>
      <c r="B238" s="22" t="s">
        <v>772</v>
      </c>
      <c r="C238" s="23" t="s">
        <v>591</v>
      </c>
      <c r="D238" s="23" t="s">
        <v>781</v>
      </c>
      <c r="E238" s="23" t="s">
        <v>782</v>
      </c>
      <c r="F238" s="24" t="s">
        <v>71</v>
      </c>
      <c r="G238" s="25"/>
      <c r="H238" s="26"/>
      <c r="I238" s="27" t="str">
        <f>IFERROR(IF(OR($F238="O",$G238="O",$H238="O"),CHOOSE(MATCH($A238,{"튜브","고압","진공","튜닝","조립","출하"},0),"T","H","V","N","A","P")&amp;IF($F238="O","R",IF($G238="O","A",IF($H238="O","F",""))),""),"")</f>
        <v>PR</v>
      </c>
      <c r="J238" s="15"/>
      <c r="K238" s="16"/>
      <c r="L238" s="17" t="s">
        <v>71</v>
      </c>
      <c r="M238" s="18"/>
      <c r="N238" s="19"/>
      <c r="O238" s="20"/>
      <c r="P238" s="21" t="str">
        <f t="shared" si="3"/>
        <v>6-PR</v>
      </c>
      <c r="Q238" s="108" t="str">
        <f>HYPERLINK("#'마스터_품목'!A563","→ 마스터 R563")</f>
        <v>→ 마스터 R563</v>
      </c>
      <c r="R238" s="109">
        <v>563</v>
      </c>
      <c r="S238" s="109" t="s">
        <v>72</v>
      </c>
    </row>
    <row r="239" spans="1:19" ht="48" customHeight="1" x14ac:dyDescent="0.3">
      <c r="A239" s="29" t="s">
        <v>771</v>
      </c>
      <c r="B239" s="22" t="s">
        <v>772</v>
      </c>
      <c r="C239" s="23" t="s">
        <v>591</v>
      </c>
      <c r="D239" s="23" t="s">
        <v>783</v>
      </c>
      <c r="E239" s="23" t="s">
        <v>784</v>
      </c>
      <c r="F239" s="24" t="s">
        <v>71</v>
      </c>
      <c r="G239" s="25"/>
      <c r="H239" s="26"/>
      <c r="I239" s="27" t="str">
        <f>IFERROR(IF(OR($F239="O",$G239="O",$H239="O"),CHOOSE(MATCH($A239,{"튜브","고압","진공","튜닝","조립","출하"},0),"T","H","V","N","A","P")&amp;IF($F239="O","R",IF($G239="O","A",IF($H239="O","F",""))),""),"")</f>
        <v>PR</v>
      </c>
      <c r="J239" s="15"/>
      <c r="K239" s="16"/>
      <c r="L239" s="17" t="s">
        <v>71</v>
      </c>
      <c r="M239" s="18"/>
      <c r="N239" s="19"/>
      <c r="O239" s="20"/>
      <c r="P239" s="21" t="str">
        <f t="shared" si="3"/>
        <v>6-PR</v>
      </c>
      <c r="Q239" s="108" t="str">
        <f>HYPERLINK("#'마스터_품목'!A564","→ 마스터 R564")</f>
        <v>→ 마스터 R564</v>
      </c>
      <c r="R239" s="109">
        <v>564</v>
      </c>
      <c r="S239" s="109" t="s">
        <v>72</v>
      </c>
    </row>
    <row r="240" spans="1:19" ht="48" customHeight="1" x14ac:dyDescent="0.3">
      <c r="A240" s="29" t="s">
        <v>771</v>
      </c>
      <c r="B240" s="22" t="s">
        <v>772</v>
      </c>
      <c r="C240" s="23" t="s">
        <v>591</v>
      </c>
      <c r="D240" s="23" t="s">
        <v>785</v>
      </c>
      <c r="E240" s="23" t="s">
        <v>786</v>
      </c>
      <c r="F240" s="24" t="s">
        <v>71</v>
      </c>
      <c r="G240" s="25"/>
      <c r="H240" s="26"/>
      <c r="I240" s="27" t="str">
        <f>IFERROR(IF(OR($F240="O",$G240="O",$H240="O"),CHOOSE(MATCH($A240,{"튜브","고압","진공","튜닝","조립","출하"},0),"T","H","V","N","A","P")&amp;IF($F240="O","R",IF($G240="O","A",IF($H240="O","F",""))),""),"")</f>
        <v>PR</v>
      </c>
      <c r="J240" s="15"/>
      <c r="K240" s="16"/>
      <c r="L240" s="17" t="s">
        <v>71</v>
      </c>
      <c r="M240" s="18"/>
      <c r="N240" s="19"/>
      <c r="O240" s="20"/>
      <c r="P240" s="21" t="str">
        <f t="shared" si="3"/>
        <v>6-PR</v>
      </c>
      <c r="Q240" s="108" t="str">
        <f>HYPERLINK("#'마스터_품목'!A565","→ 마스터 R565")</f>
        <v>→ 마스터 R565</v>
      </c>
      <c r="R240" s="109">
        <v>565</v>
      </c>
      <c r="S240" s="109" t="s">
        <v>72</v>
      </c>
    </row>
    <row r="241" spans="1:19" ht="48" customHeight="1" x14ac:dyDescent="0.3">
      <c r="A241" s="29" t="s">
        <v>771</v>
      </c>
      <c r="B241" s="22" t="s">
        <v>772</v>
      </c>
      <c r="C241" s="23" t="s">
        <v>591</v>
      </c>
      <c r="D241" s="23" t="s">
        <v>787</v>
      </c>
      <c r="E241" s="23" t="s">
        <v>788</v>
      </c>
      <c r="F241" s="24" t="s">
        <v>71</v>
      </c>
      <c r="G241" s="25"/>
      <c r="H241" s="26"/>
      <c r="I241" s="27" t="str">
        <f>IFERROR(IF(OR($F241="O",$G241="O",$H241="O"),CHOOSE(MATCH($A241,{"튜브","고압","진공","튜닝","조립","출하"},0),"T","H","V","N","A","P")&amp;IF($F241="O","R",IF($G241="O","A",IF($H241="O","F",""))),""),"")</f>
        <v>PR</v>
      </c>
      <c r="J241" s="15"/>
      <c r="K241" s="16"/>
      <c r="L241" s="17" t="s">
        <v>71</v>
      </c>
      <c r="M241" s="18"/>
      <c r="N241" s="19"/>
      <c r="O241" s="20"/>
      <c r="P241" s="21" t="str">
        <f t="shared" si="3"/>
        <v>6-PR</v>
      </c>
      <c r="Q241" s="108" t="str">
        <f>HYPERLINK("#'마스터_품목'!A566","→ 마스터 R566")</f>
        <v>→ 마스터 R566</v>
      </c>
      <c r="R241" s="109">
        <v>566</v>
      </c>
      <c r="S241" s="109" t="s">
        <v>72</v>
      </c>
    </row>
    <row r="242" spans="1:19" ht="48" customHeight="1" x14ac:dyDescent="0.3">
      <c r="A242" s="29" t="s">
        <v>771</v>
      </c>
      <c r="B242" s="22" t="s">
        <v>772</v>
      </c>
      <c r="C242" s="23" t="s">
        <v>591</v>
      </c>
      <c r="D242" s="23" t="s">
        <v>789</v>
      </c>
      <c r="E242" s="23" t="s">
        <v>790</v>
      </c>
      <c r="F242" s="24" t="s">
        <v>71</v>
      </c>
      <c r="G242" s="25"/>
      <c r="H242" s="26"/>
      <c r="I242" s="27" t="str">
        <f>IFERROR(IF(OR($F242="O",$G242="O",$H242="O"),CHOOSE(MATCH($A242,{"튜브","고압","진공","튜닝","조립","출하"},0),"T","H","V","N","A","P")&amp;IF($F242="O","R",IF($G242="O","A",IF($H242="O","F",""))),""),"")</f>
        <v>PR</v>
      </c>
      <c r="J242" s="15"/>
      <c r="K242" s="16"/>
      <c r="L242" s="17" t="s">
        <v>71</v>
      </c>
      <c r="M242" s="18"/>
      <c r="N242" s="19"/>
      <c r="O242" s="20"/>
      <c r="P242" s="21" t="str">
        <f t="shared" si="3"/>
        <v>6-PR</v>
      </c>
      <c r="Q242" s="108" t="str">
        <f>HYPERLINK("#'마스터_품목'!A567","→ 마스터 R567")</f>
        <v>→ 마스터 R567</v>
      </c>
      <c r="R242" s="109">
        <v>567</v>
      </c>
      <c r="S242" s="109" t="s">
        <v>72</v>
      </c>
    </row>
    <row r="243" spans="1:19" ht="48" customHeight="1" x14ac:dyDescent="0.3">
      <c r="A243" s="29" t="s">
        <v>771</v>
      </c>
      <c r="B243" s="22" t="s">
        <v>772</v>
      </c>
      <c r="C243" s="23" t="s">
        <v>591</v>
      </c>
      <c r="D243" s="23" t="s">
        <v>791</v>
      </c>
      <c r="E243" s="23"/>
      <c r="F243" s="24"/>
      <c r="G243" s="25" t="s">
        <v>71</v>
      </c>
      <c r="H243" s="26"/>
      <c r="I243" s="27" t="str">
        <f>IFERROR(IF(OR($F243="O",$G243="O",$H243="O"),CHOOSE(MATCH($A243,{"튜브","고압","진공","튜닝","조립","출하"},0),"T","H","V","N","A","P")&amp;IF($F243="O","R",IF($G243="O","A",IF($H243="O","F",""))),""),"")</f>
        <v>PA</v>
      </c>
      <c r="J243" s="15"/>
      <c r="K243" s="16"/>
      <c r="L243" s="17" t="s">
        <v>71</v>
      </c>
      <c r="M243" s="18"/>
      <c r="N243" s="19"/>
      <c r="O243" s="20"/>
      <c r="P243" s="21" t="str">
        <f t="shared" si="3"/>
        <v>6-PA</v>
      </c>
      <c r="Q243" s="108" t="str">
        <f>HYPERLINK("#'마스터_품목'!A568","→ 마스터 R568")</f>
        <v>→ 마스터 R568</v>
      </c>
      <c r="R243" s="109">
        <v>568</v>
      </c>
      <c r="S243" s="109" t="s">
        <v>72</v>
      </c>
    </row>
    <row r="244" spans="1:19" ht="48" customHeight="1" x14ac:dyDescent="0.3">
      <c r="A244" s="29" t="s">
        <v>771</v>
      </c>
      <c r="B244" s="22" t="s">
        <v>772</v>
      </c>
      <c r="C244" s="23" t="s">
        <v>68</v>
      </c>
      <c r="D244" s="23" t="s">
        <v>792</v>
      </c>
      <c r="E244" s="23" t="s">
        <v>793</v>
      </c>
      <c r="F244" s="24" t="s">
        <v>71</v>
      </c>
      <c r="G244" s="25"/>
      <c r="H244" s="26"/>
      <c r="I244" s="27" t="str">
        <f>IFERROR(IF(OR($F244="O",$G244="O",$H244="O"),CHOOSE(MATCH($A244,{"튜브","고압","진공","튜닝","조립","출하"},0),"T","H","V","N","A","P")&amp;IF($F244="O","R",IF($G244="O","A",IF($H244="O","F",""))),""),"")</f>
        <v>PR</v>
      </c>
      <c r="J244" s="15" t="s">
        <v>71</v>
      </c>
      <c r="K244" s="16" t="s">
        <v>71</v>
      </c>
      <c r="L244" s="17" t="s">
        <v>71</v>
      </c>
      <c r="M244" s="18"/>
      <c r="N244" s="19"/>
      <c r="O244" s="20"/>
      <c r="P244" s="21" t="str">
        <f t="shared" si="3"/>
        <v>346-PR</v>
      </c>
      <c r="Q244" s="108" t="str">
        <f>HYPERLINK("#'마스터_품목'!A569","→ 마스터 R569")</f>
        <v>→ 마스터 R569</v>
      </c>
      <c r="R244" s="109">
        <v>569</v>
      </c>
      <c r="S244" s="109" t="s">
        <v>72</v>
      </c>
    </row>
    <row r="245" spans="1:19" ht="48" customHeight="1" x14ac:dyDescent="0.3">
      <c r="A245" s="29" t="s">
        <v>771</v>
      </c>
      <c r="B245" s="22" t="s">
        <v>772</v>
      </c>
      <c r="C245" s="23" t="s">
        <v>68</v>
      </c>
      <c r="D245" s="23" t="s">
        <v>794</v>
      </c>
      <c r="E245" s="23" t="s">
        <v>795</v>
      </c>
      <c r="F245" s="24" t="s">
        <v>71</v>
      </c>
      <c r="G245" s="25"/>
      <c r="H245" s="26"/>
      <c r="I245" s="27" t="str">
        <f>IFERROR(IF(OR($F245="O",$G245="O",$H245="O"),CHOOSE(MATCH($A245,{"튜브","고압","진공","튜닝","조립","출하"},0),"T","H","V","N","A","P")&amp;IF($F245="O","R",IF($G245="O","A",IF($H245="O","F",""))),""),"")</f>
        <v>PR</v>
      </c>
      <c r="J245" s="15" t="s">
        <v>71</v>
      </c>
      <c r="K245" s="16" t="s">
        <v>71</v>
      </c>
      <c r="L245" s="17" t="s">
        <v>71</v>
      </c>
      <c r="M245" s="18"/>
      <c r="N245" s="19"/>
      <c r="O245" s="20"/>
      <c r="P245" s="21" t="str">
        <f t="shared" si="3"/>
        <v>346-PR</v>
      </c>
      <c r="Q245" s="108" t="str">
        <f>HYPERLINK("#'마스터_품목'!A570","→ 마스터 R570")</f>
        <v>→ 마스터 R570</v>
      </c>
      <c r="R245" s="109">
        <v>570</v>
      </c>
      <c r="S245" s="109" t="s">
        <v>72</v>
      </c>
    </row>
    <row r="246" spans="1:19" ht="48" customHeight="1" x14ac:dyDescent="0.3">
      <c r="A246" s="29" t="s">
        <v>771</v>
      </c>
      <c r="B246" s="22" t="s">
        <v>772</v>
      </c>
      <c r="C246" s="23" t="s">
        <v>591</v>
      </c>
      <c r="D246" s="23" t="s">
        <v>796</v>
      </c>
      <c r="E246" s="23" t="s">
        <v>797</v>
      </c>
      <c r="F246" s="24" t="s">
        <v>71</v>
      </c>
      <c r="G246" s="25"/>
      <c r="H246" s="26"/>
      <c r="I246" s="27" t="str">
        <f>IFERROR(IF(OR($F246="O",$G246="O",$H246="O"),CHOOSE(MATCH($A246,{"튜브","고압","진공","튜닝","조립","출하"},0),"T","H","V","N","A","P")&amp;IF($F246="O","R",IF($G246="O","A",IF($H246="O","F",""))),""),"")</f>
        <v>PR</v>
      </c>
      <c r="J246" s="15"/>
      <c r="K246" s="16"/>
      <c r="L246" s="17" t="s">
        <v>71</v>
      </c>
      <c r="M246" s="18"/>
      <c r="N246" s="19"/>
      <c r="O246" s="20"/>
      <c r="P246" s="21" t="str">
        <f t="shared" si="3"/>
        <v>6-PR</v>
      </c>
      <c r="Q246" s="108" t="str">
        <f>HYPERLINK("#'마스터_품목'!A571","→ 마스터 R571")</f>
        <v>→ 마스터 R571</v>
      </c>
      <c r="R246" s="109">
        <v>571</v>
      </c>
      <c r="S246" s="109" t="s">
        <v>72</v>
      </c>
    </row>
    <row r="247" spans="1:19" ht="48" customHeight="1" x14ac:dyDescent="0.3">
      <c r="A247" s="29" t="s">
        <v>771</v>
      </c>
      <c r="B247" s="22" t="s">
        <v>772</v>
      </c>
      <c r="C247" s="23" t="s">
        <v>591</v>
      </c>
      <c r="D247" s="23" t="s">
        <v>798</v>
      </c>
      <c r="E247" s="23" t="s">
        <v>799</v>
      </c>
      <c r="F247" s="24" t="s">
        <v>71</v>
      </c>
      <c r="G247" s="25"/>
      <c r="H247" s="26"/>
      <c r="I247" s="27" t="str">
        <f>IFERROR(IF(OR($F247="O",$G247="O",$H247="O"),CHOOSE(MATCH($A247,{"튜브","고압","진공","튜닝","조립","출하"},0),"T","H","V","N","A","P")&amp;IF($F247="O","R",IF($G247="O","A",IF($H247="O","F",""))),""),"")</f>
        <v>PR</v>
      </c>
      <c r="J247" s="15"/>
      <c r="K247" s="16"/>
      <c r="L247" s="17" t="s">
        <v>71</v>
      </c>
      <c r="M247" s="18"/>
      <c r="N247" s="19"/>
      <c r="O247" s="20"/>
      <c r="P247" s="21" t="str">
        <f t="shared" si="3"/>
        <v>6-PR</v>
      </c>
      <c r="Q247" s="108" t="str">
        <f>HYPERLINK("#'마스터_품목'!A572","→ 마스터 R572")</f>
        <v>→ 마스터 R572</v>
      </c>
      <c r="R247" s="109">
        <v>572</v>
      </c>
      <c r="S247" s="109" t="s">
        <v>72</v>
      </c>
    </row>
    <row r="248" spans="1:19" ht="48" customHeight="1" x14ac:dyDescent="0.3">
      <c r="A248" s="29" t="s">
        <v>771</v>
      </c>
      <c r="B248" s="22" t="s">
        <v>772</v>
      </c>
      <c r="C248" s="23" t="s">
        <v>591</v>
      </c>
      <c r="D248" s="23" t="s">
        <v>800</v>
      </c>
      <c r="E248" s="23" t="s">
        <v>801</v>
      </c>
      <c r="F248" s="24" t="s">
        <v>71</v>
      </c>
      <c r="G248" s="25"/>
      <c r="H248" s="26"/>
      <c r="I248" s="27" t="str">
        <f>IFERROR(IF(OR($F248="O",$G248="O",$H248="O"),CHOOSE(MATCH($A248,{"튜브","고압","진공","튜닝","조립","출하"},0),"T","H","V","N","A","P")&amp;IF($F248="O","R",IF($G248="O","A",IF($H248="O","F",""))),""),"")</f>
        <v>PR</v>
      </c>
      <c r="J248" s="15"/>
      <c r="K248" s="16"/>
      <c r="L248" s="17" t="s">
        <v>71</v>
      </c>
      <c r="M248" s="18"/>
      <c r="N248" s="19"/>
      <c r="O248" s="20"/>
      <c r="P248" s="21" t="str">
        <f t="shared" si="3"/>
        <v>6-PR</v>
      </c>
      <c r="Q248" s="108" t="str">
        <f>HYPERLINK("#'마스터_품목'!A573","→ 마스터 R573")</f>
        <v>→ 마스터 R573</v>
      </c>
      <c r="R248" s="109">
        <v>573</v>
      </c>
      <c r="S248" s="109" t="s">
        <v>72</v>
      </c>
    </row>
    <row r="249" spans="1:19" ht="48" customHeight="1" x14ac:dyDescent="0.3">
      <c r="A249" s="29" t="s">
        <v>771</v>
      </c>
      <c r="B249" s="22" t="s">
        <v>772</v>
      </c>
      <c r="C249" s="23" t="s">
        <v>591</v>
      </c>
      <c r="D249" s="23" t="s">
        <v>802</v>
      </c>
      <c r="E249" s="23" t="s">
        <v>803</v>
      </c>
      <c r="F249" s="24" t="s">
        <v>71</v>
      </c>
      <c r="G249" s="25"/>
      <c r="H249" s="26"/>
      <c r="I249" s="27" t="str">
        <f>IFERROR(IF(OR($F249="O",$G249="O",$H249="O"),CHOOSE(MATCH($A249,{"튜브","고압","진공","튜닝","조립","출하"},0),"T","H","V","N","A","P")&amp;IF($F249="O","R",IF($G249="O","A",IF($H249="O","F",""))),""),"")</f>
        <v>PR</v>
      </c>
      <c r="J249" s="15"/>
      <c r="K249" s="16"/>
      <c r="L249" s="17" t="s">
        <v>71</v>
      </c>
      <c r="M249" s="18"/>
      <c r="N249" s="19"/>
      <c r="O249" s="20"/>
      <c r="P249" s="21" t="str">
        <f t="shared" si="3"/>
        <v>6-PR</v>
      </c>
      <c r="Q249" s="108" t="str">
        <f>HYPERLINK("#'마스터_품목'!A574","→ 마스터 R574")</f>
        <v>→ 마스터 R574</v>
      </c>
      <c r="R249" s="109">
        <v>574</v>
      </c>
      <c r="S249" s="109" t="s">
        <v>72</v>
      </c>
    </row>
    <row r="250" spans="1:19" ht="48" customHeight="1" x14ac:dyDescent="0.3">
      <c r="A250" s="29" t="s">
        <v>771</v>
      </c>
      <c r="B250" s="22" t="s">
        <v>772</v>
      </c>
      <c r="C250" s="23" t="s">
        <v>591</v>
      </c>
      <c r="D250" s="23" t="s">
        <v>804</v>
      </c>
      <c r="E250" s="23" t="s">
        <v>805</v>
      </c>
      <c r="F250" s="24" t="s">
        <v>71</v>
      </c>
      <c r="G250" s="25"/>
      <c r="H250" s="26"/>
      <c r="I250" s="27" t="str">
        <f>IFERROR(IF(OR($F250="O",$G250="O",$H250="O"),CHOOSE(MATCH($A250,{"튜브","고압","진공","튜닝","조립","출하"},0),"T","H","V","N","A","P")&amp;IF($F250="O","R",IF($G250="O","A",IF($H250="O","F",""))),""),"")</f>
        <v>PR</v>
      </c>
      <c r="J250" s="15"/>
      <c r="K250" s="16"/>
      <c r="L250" s="17" t="s">
        <v>71</v>
      </c>
      <c r="M250" s="18"/>
      <c r="N250" s="19"/>
      <c r="O250" s="20"/>
      <c r="P250" s="21" t="str">
        <f t="shared" si="3"/>
        <v>6-PR</v>
      </c>
      <c r="Q250" s="108" t="str">
        <f>HYPERLINK("#'마스터_품목'!A575","→ 마스터 R575")</f>
        <v>→ 마스터 R575</v>
      </c>
      <c r="R250" s="109">
        <v>575</v>
      </c>
      <c r="S250" s="109" t="s">
        <v>72</v>
      </c>
    </row>
    <row r="251" spans="1:19" ht="48" customHeight="1" x14ac:dyDescent="0.3">
      <c r="A251" s="29" t="s">
        <v>771</v>
      </c>
      <c r="B251" s="22" t="s">
        <v>772</v>
      </c>
      <c r="C251" s="23" t="s">
        <v>591</v>
      </c>
      <c r="D251" s="23" t="s">
        <v>806</v>
      </c>
      <c r="E251" s="23" t="s">
        <v>807</v>
      </c>
      <c r="F251" s="24" t="s">
        <v>71</v>
      </c>
      <c r="G251" s="25"/>
      <c r="H251" s="26"/>
      <c r="I251" s="27" t="str">
        <f>IFERROR(IF(OR($F251="O",$G251="O",$H251="O"),CHOOSE(MATCH($A251,{"튜브","고압","진공","튜닝","조립","출하"},0),"T","H","V","N","A","P")&amp;IF($F251="O","R",IF($G251="O","A",IF($H251="O","F",""))),""),"")</f>
        <v>PR</v>
      </c>
      <c r="J251" s="15"/>
      <c r="K251" s="16"/>
      <c r="L251" s="17" t="s">
        <v>71</v>
      </c>
      <c r="M251" s="18"/>
      <c r="N251" s="19"/>
      <c r="O251" s="20"/>
      <c r="P251" s="21" t="str">
        <f t="shared" si="3"/>
        <v>6-PR</v>
      </c>
      <c r="Q251" s="108" t="str">
        <f>HYPERLINK("#'마스터_품목'!A576","→ 마스터 R576")</f>
        <v>→ 마스터 R576</v>
      </c>
      <c r="R251" s="109">
        <v>576</v>
      </c>
      <c r="S251" s="109" t="s">
        <v>72</v>
      </c>
    </row>
    <row r="252" spans="1:19" ht="48" customHeight="1" x14ac:dyDescent="0.3">
      <c r="A252" s="29" t="s">
        <v>771</v>
      </c>
      <c r="B252" s="22" t="s">
        <v>772</v>
      </c>
      <c r="C252" s="23" t="s">
        <v>591</v>
      </c>
      <c r="D252" s="23" t="s">
        <v>808</v>
      </c>
      <c r="E252" s="23" t="s">
        <v>809</v>
      </c>
      <c r="F252" s="24" t="s">
        <v>71</v>
      </c>
      <c r="G252" s="25"/>
      <c r="H252" s="26"/>
      <c r="I252" s="27" t="str">
        <f>IFERROR(IF(OR($F252="O",$G252="O",$H252="O"),CHOOSE(MATCH($A252,{"튜브","고압","진공","튜닝","조립","출하"},0),"T","H","V","N","A","P")&amp;IF($F252="O","R",IF($G252="O","A",IF($H252="O","F",""))),""),"")</f>
        <v>PR</v>
      </c>
      <c r="J252" s="15"/>
      <c r="K252" s="16"/>
      <c r="L252" s="17" t="s">
        <v>71</v>
      </c>
      <c r="M252" s="18"/>
      <c r="N252" s="19"/>
      <c r="O252" s="20"/>
      <c r="P252" s="21" t="str">
        <f t="shared" si="3"/>
        <v>6-PR</v>
      </c>
      <c r="Q252" s="108" t="str">
        <f>HYPERLINK("#'마스터_품목'!A577","→ 마스터 R577")</f>
        <v>→ 마스터 R577</v>
      </c>
      <c r="R252" s="109">
        <v>577</v>
      </c>
      <c r="S252" s="109" t="s">
        <v>72</v>
      </c>
    </row>
    <row r="253" spans="1:19" ht="48" customHeight="1" x14ac:dyDescent="0.3">
      <c r="A253" s="29" t="s">
        <v>771</v>
      </c>
      <c r="B253" s="22" t="s">
        <v>772</v>
      </c>
      <c r="C253" s="23" t="s">
        <v>591</v>
      </c>
      <c r="D253" s="23" t="s">
        <v>810</v>
      </c>
      <c r="E253" s="23" t="s">
        <v>811</v>
      </c>
      <c r="F253" s="24" t="s">
        <v>71</v>
      </c>
      <c r="G253" s="25"/>
      <c r="H253" s="26"/>
      <c r="I253" s="27" t="str">
        <f>IFERROR(IF(OR($F253="O",$G253="O",$H253="O"),CHOOSE(MATCH($A253,{"튜브","고압","진공","튜닝","조립","출하"},0),"T","H","V","N","A","P")&amp;IF($F253="O","R",IF($G253="O","A",IF($H253="O","F",""))),""),"")</f>
        <v>PR</v>
      </c>
      <c r="J253" s="15"/>
      <c r="K253" s="16"/>
      <c r="L253" s="17" t="s">
        <v>71</v>
      </c>
      <c r="M253" s="18"/>
      <c r="N253" s="19"/>
      <c r="O253" s="20"/>
      <c r="P253" s="21" t="str">
        <f t="shared" si="3"/>
        <v>6-PR</v>
      </c>
      <c r="Q253" s="108" t="str">
        <f>HYPERLINK("#'마스터_품목'!A578","→ 마스터 R578")</f>
        <v>→ 마스터 R578</v>
      </c>
      <c r="R253" s="109">
        <v>578</v>
      </c>
      <c r="S253" s="109" t="s">
        <v>72</v>
      </c>
    </row>
    <row r="254" spans="1:19" ht="48" customHeight="1" x14ac:dyDescent="0.3">
      <c r="A254" s="29" t="s">
        <v>771</v>
      </c>
      <c r="B254" s="22" t="s">
        <v>772</v>
      </c>
      <c r="C254" s="23" t="s">
        <v>591</v>
      </c>
      <c r="D254" s="23" t="s">
        <v>812</v>
      </c>
      <c r="E254" s="23" t="s">
        <v>813</v>
      </c>
      <c r="F254" s="24" t="s">
        <v>71</v>
      </c>
      <c r="G254" s="25"/>
      <c r="H254" s="26"/>
      <c r="I254" s="27" t="str">
        <f>IFERROR(IF(OR($F254="O",$G254="O",$H254="O"),CHOOSE(MATCH($A254,{"튜브","고압","진공","튜닝","조립","출하"},0),"T","H","V","N","A","P")&amp;IF($F254="O","R",IF($G254="O","A",IF($H254="O","F",""))),""),"")</f>
        <v>PR</v>
      </c>
      <c r="J254" s="15"/>
      <c r="K254" s="16"/>
      <c r="L254" s="17" t="s">
        <v>71</v>
      </c>
      <c r="M254" s="18"/>
      <c r="N254" s="19"/>
      <c r="O254" s="20"/>
      <c r="P254" s="21" t="str">
        <f t="shared" si="3"/>
        <v>6-PR</v>
      </c>
      <c r="Q254" s="108" t="str">
        <f>HYPERLINK("#'마스터_품목'!A579","→ 마스터 R579")</f>
        <v>→ 마스터 R579</v>
      </c>
      <c r="R254" s="109">
        <v>579</v>
      </c>
      <c r="S254" s="109" t="s">
        <v>72</v>
      </c>
    </row>
    <row r="255" spans="1:19" ht="48" customHeight="1" x14ac:dyDescent="0.3">
      <c r="A255" s="29" t="s">
        <v>771</v>
      </c>
      <c r="B255" s="22" t="s">
        <v>814</v>
      </c>
      <c r="C255" s="23" t="s">
        <v>195</v>
      </c>
      <c r="D255" s="23" t="s">
        <v>815</v>
      </c>
      <c r="E255" s="23" t="s">
        <v>816</v>
      </c>
      <c r="F255" s="24" t="s">
        <v>71</v>
      </c>
      <c r="G255" s="25"/>
      <c r="H255" s="26"/>
      <c r="I255" s="27" t="str">
        <f>IFERROR(IF(OR($F255="O",$G255="O",$H255="O"),CHOOSE(MATCH($A255,{"튜브","고압","진공","튜닝","조립","출하"},0),"T","H","V","N","A","P")&amp;IF($F255="O","R",IF($G255="O","A",IF($H255="O","F",""))),""),"")</f>
        <v>PR</v>
      </c>
      <c r="J255" s="15" t="s">
        <v>71</v>
      </c>
      <c r="K255" s="16"/>
      <c r="L255" s="17"/>
      <c r="M255" s="18"/>
      <c r="N255" s="19"/>
      <c r="O255" s="20"/>
      <c r="P255" s="21" t="str">
        <f t="shared" si="3"/>
        <v>3-PR</v>
      </c>
      <c r="Q255" s="108" t="str">
        <f>HYPERLINK("#'마스터_품목'!A580","→ 마스터 R580")</f>
        <v>→ 마스터 R580</v>
      </c>
      <c r="R255" s="109">
        <v>580</v>
      </c>
      <c r="S255" s="109" t="s">
        <v>72</v>
      </c>
    </row>
    <row r="256" spans="1:19" ht="48" customHeight="1" x14ac:dyDescent="0.3">
      <c r="A256" s="29" t="s">
        <v>771</v>
      </c>
      <c r="B256" s="22" t="s">
        <v>814</v>
      </c>
      <c r="C256" s="23" t="s">
        <v>198</v>
      </c>
      <c r="D256" s="23" t="s">
        <v>815</v>
      </c>
      <c r="E256" s="23" t="s">
        <v>817</v>
      </c>
      <c r="F256" s="24" t="s">
        <v>71</v>
      </c>
      <c r="G256" s="25"/>
      <c r="H256" s="26"/>
      <c r="I256" s="27" t="str">
        <f>IFERROR(IF(OR($F256="O",$G256="O",$H256="O"),CHOOSE(MATCH($A256,{"튜브","고압","진공","튜닝","조립","출하"},0),"T","H","V","N","A","P")&amp;IF($F256="O","R",IF($G256="O","A",IF($H256="O","F",""))),""),"")</f>
        <v>PR</v>
      </c>
      <c r="J256" s="15"/>
      <c r="K256" s="16" t="s">
        <v>71</v>
      </c>
      <c r="L256" s="17"/>
      <c r="M256" s="18"/>
      <c r="N256" s="19"/>
      <c r="O256" s="20"/>
      <c r="P256" s="21" t="str">
        <f t="shared" si="3"/>
        <v>4-PR</v>
      </c>
      <c r="Q256" s="108" t="str">
        <f>HYPERLINK("#'마스터_품목'!A581","→ 마스터 R581")</f>
        <v>→ 마스터 R581</v>
      </c>
      <c r="R256" s="109">
        <v>581</v>
      </c>
      <c r="S256" s="109" t="s">
        <v>72</v>
      </c>
    </row>
    <row r="257" spans="1:19" ht="48" customHeight="1" x14ac:dyDescent="0.3">
      <c r="A257" s="29" t="s">
        <v>771</v>
      </c>
      <c r="B257" s="22" t="s">
        <v>814</v>
      </c>
      <c r="C257" s="23" t="s">
        <v>198</v>
      </c>
      <c r="D257" s="23" t="s">
        <v>818</v>
      </c>
      <c r="E257" s="23" t="s">
        <v>819</v>
      </c>
      <c r="F257" s="24" t="s">
        <v>71</v>
      </c>
      <c r="G257" s="25"/>
      <c r="H257" s="26"/>
      <c r="I257" s="27" t="str">
        <f>IFERROR(IF(OR($F257="O",$G257="O",$H257="O"),CHOOSE(MATCH($A257,{"튜브","고압","진공","튜닝","조립","출하"},0),"T","H","V","N","A","P")&amp;IF($F257="O","R",IF($G257="O","A",IF($H257="O","F",""))),""),"")</f>
        <v>PR</v>
      </c>
      <c r="J257" s="15"/>
      <c r="K257" s="16" t="s">
        <v>71</v>
      </c>
      <c r="L257" s="17"/>
      <c r="M257" s="18"/>
      <c r="N257" s="19"/>
      <c r="O257" s="20"/>
      <c r="P257" s="21" t="str">
        <f t="shared" si="3"/>
        <v>4-PR</v>
      </c>
      <c r="Q257" s="108" t="str">
        <f>HYPERLINK("#'마스터_품목'!A582","→ 마스터 R582")</f>
        <v>→ 마스터 R582</v>
      </c>
      <c r="R257" s="109">
        <v>582</v>
      </c>
      <c r="S257" s="109" t="s">
        <v>72</v>
      </c>
    </row>
    <row r="258" spans="1:19" ht="48" customHeight="1" x14ac:dyDescent="0.3">
      <c r="A258" s="22" t="s">
        <v>354</v>
      </c>
      <c r="B258" s="22" t="s">
        <v>355</v>
      </c>
      <c r="C258" s="23" t="s">
        <v>153</v>
      </c>
      <c r="D258" s="23" t="s">
        <v>820</v>
      </c>
      <c r="E258" s="23" t="s">
        <v>821</v>
      </c>
      <c r="F258" s="24" t="s">
        <v>71</v>
      </c>
      <c r="G258" s="25"/>
      <c r="H258" s="26"/>
      <c r="I258" s="27" t="str">
        <f>IFERROR(IF(OR($F258="O",$G258="O",$H258="O"),CHOOSE(MATCH($A258,{"튜브","고압","진공","튜닝","조립","출하"},0),"T","H","V","N","A","P")&amp;IF($F258="O","R",IF($G258="O","A",IF($H258="O","F",""))),""),"")</f>
        <v>AR</v>
      </c>
      <c r="J258" s="15"/>
      <c r="K258" s="16"/>
      <c r="L258" s="17"/>
      <c r="M258" s="18" t="s">
        <v>71</v>
      </c>
      <c r="N258" s="19"/>
      <c r="O258" s="20"/>
      <c r="P258" s="21" t="str">
        <f t="shared" ref="P258:P321" si="4">IF($I258="","",IF($J258="O","3","")&amp;IF($K258="O","4","")&amp;IF($L258="O","6","")&amp;IF($M258="O","7","")&amp;IF($N258="O","8","")&amp;IF($O258="O","?","")&amp;IF(OR($J258="O",$K258="O",$L258="O",$M258="O",$N258="O",$O258="O"),"-","")&amp;$I258)</f>
        <v>7-AR</v>
      </c>
      <c r="Q258" s="108" t="str">
        <f>HYPERLINK("#'마스터_품목'!A409","→ 마스터 R409")</f>
        <v>→ 마스터 R409</v>
      </c>
      <c r="R258" s="109">
        <v>409</v>
      </c>
      <c r="S258" s="109" t="s">
        <v>72</v>
      </c>
    </row>
    <row r="259" spans="1:19" ht="48" customHeight="1" x14ac:dyDescent="0.3">
      <c r="A259" s="22" t="s">
        <v>354</v>
      </c>
      <c r="B259" s="22" t="s">
        <v>355</v>
      </c>
      <c r="C259" s="23" t="s">
        <v>153</v>
      </c>
      <c r="D259" s="23" t="s">
        <v>822</v>
      </c>
      <c r="E259" s="23" t="s">
        <v>823</v>
      </c>
      <c r="F259" s="24" t="s">
        <v>71</v>
      </c>
      <c r="G259" s="25"/>
      <c r="H259" s="26"/>
      <c r="I259" s="27" t="str">
        <f>IFERROR(IF(OR($F259="O",$G259="O",$H259="O"),CHOOSE(MATCH($A259,{"튜브","고압","진공","튜닝","조립","출하"},0),"T","H","V","N","A","P")&amp;IF($F259="O","R",IF($G259="O","A",IF($H259="O","F",""))),""),"")</f>
        <v>AR</v>
      </c>
      <c r="J259" s="15"/>
      <c r="K259" s="16"/>
      <c r="L259" s="17"/>
      <c r="M259" s="18" t="s">
        <v>71</v>
      </c>
      <c r="N259" s="19"/>
      <c r="O259" s="20"/>
      <c r="P259" s="21" t="str">
        <f t="shared" si="4"/>
        <v>7-AR</v>
      </c>
      <c r="Q259" s="108" t="str">
        <f>HYPERLINK("#'마스터_품목'!A410","→ 마스터 R410")</f>
        <v>→ 마스터 R410</v>
      </c>
      <c r="R259" s="109">
        <v>410</v>
      </c>
      <c r="S259" s="109" t="s">
        <v>72</v>
      </c>
    </row>
    <row r="260" spans="1:19" ht="48" customHeight="1" x14ac:dyDescent="0.3">
      <c r="A260" s="22" t="s">
        <v>354</v>
      </c>
      <c r="B260" s="22" t="s">
        <v>824</v>
      </c>
      <c r="C260" s="23" t="s">
        <v>825</v>
      </c>
      <c r="D260" s="23" t="s">
        <v>826</v>
      </c>
      <c r="E260" s="23" t="s">
        <v>827</v>
      </c>
      <c r="F260" s="24" t="s">
        <v>71</v>
      </c>
      <c r="G260" s="25"/>
      <c r="H260" s="26"/>
      <c r="I260" s="27" t="str">
        <f>IFERROR(IF(OR($F260="O",$G260="O",$H260="O"),CHOOSE(MATCH($A260,{"튜브","고압","진공","튜닝","조립","출하"},0),"T","H","V","N","A","P")&amp;IF($F260="O","R",IF($G260="O","A",IF($H260="O","F",""))),""),"")</f>
        <v>AR</v>
      </c>
      <c r="J260" s="15"/>
      <c r="K260" s="16"/>
      <c r="L260" s="17"/>
      <c r="M260" s="18" t="s">
        <v>71</v>
      </c>
      <c r="N260" s="19"/>
      <c r="O260" s="20"/>
      <c r="P260" s="21" t="str">
        <f t="shared" si="4"/>
        <v>7-AR</v>
      </c>
      <c r="Q260" s="108" t="str">
        <f>HYPERLINK("#'마스터_품목'!A411","→ 마스터 R411")</f>
        <v>→ 마스터 R411</v>
      </c>
      <c r="R260" s="109">
        <v>411</v>
      </c>
      <c r="S260" s="109" t="s">
        <v>72</v>
      </c>
    </row>
    <row r="261" spans="1:19" ht="48" customHeight="1" x14ac:dyDescent="0.3">
      <c r="A261" s="22" t="s">
        <v>354</v>
      </c>
      <c r="B261" s="22" t="s">
        <v>824</v>
      </c>
      <c r="C261" s="23" t="s">
        <v>825</v>
      </c>
      <c r="D261" s="23" t="s">
        <v>828</v>
      </c>
      <c r="E261" s="23"/>
      <c r="F261" s="24" t="s">
        <v>71</v>
      </c>
      <c r="G261" s="25"/>
      <c r="H261" s="26"/>
      <c r="I261" s="27" t="str">
        <f>IFERROR(IF(OR($F261="O",$G261="O",$H261="O"),CHOOSE(MATCH($A261,{"튜브","고압","진공","튜닝","조립","출하"},0),"T","H","V","N","A","P")&amp;IF($F261="O","R",IF($G261="O","A",IF($H261="O","F",""))),""),"")</f>
        <v>AR</v>
      </c>
      <c r="J261" s="15"/>
      <c r="K261" s="16"/>
      <c r="L261" s="17"/>
      <c r="M261" s="18" t="s">
        <v>71</v>
      </c>
      <c r="N261" s="19"/>
      <c r="O261" s="20"/>
      <c r="P261" s="21" t="str">
        <f t="shared" si="4"/>
        <v>7-AR</v>
      </c>
      <c r="Q261" s="108" t="str">
        <f>HYPERLINK("#'마스터_품목'!A412","→ 마스터 R412")</f>
        <v>→ 마스터 R412</v>
      </c>
      <c r="R261" s="109">
        <v>412</v>
      </c>
      <c r="S261" s="109" t="s">
        <v>72</v>
      </c>
    </row>
    <row r="262" spans="1:19" ht="48" customHeight="1" x14ac:dyDescent="0.3">
      <c r="A262" s="22" t="s">
        <v>354</v>
      </c>
      <c r="B262" s="22" t="s">
        <v>824</v>
      </c>
      <c r="C262" s="23" t="s">
        <v>829</v>
      </c>
      <c r="D262" s="23" t="s">
        <v>830</v>
      </c>
      <c r="E262" s="23" t="s">
        <v>831</v>
      </c>
      <c r="F262" s="24" t="s">
        <v>71</v>
      </c>
      <c r="G262" s="25"/>
      <c r="H262" s="26"/>
      <c r="I262" s="27" t="str">
        <f>IFERROR(IF(OR($F262="O",$G262="O",$H262="O"),CHOOSE(MATCH($A262,{"튜브","고압","진공","튜닝","조립","출하"},0),"T","H","V","N","A","P")&amp;IF($F262="O","R",IF($G262="O","A",IF($H262="O","F",""))),""),"")</f>
        <v>AR</v>
      </c>
      <c r="J262" s="15"/>
      <c r="K262" s="16"/>
      <c r="L262" s="17"/>
      <c r="M262" s="18" t="s">
        <v>71</v>
      </c>
      <c r="N262" s="19"/>
      <c r="O262" s="20"/>
      <c r="P262" s="21" t="str">
        <f t="shared" si="4"/>
        <v>7-AR</v>
      </c>
      <c r="Q262" s="108" t="str">
        <f>HYPERLINK("#'마스터_품목'!A413","→ 마스터 R413")</f>
        <v>→ 마스터 R413</v>
      </c>
      <c r="R262" s="109">
        <v>413</v>
      </c>
      <c r="S262" s="109" t="s">
        <v>72</v>
      </c>
    </row>
    <row r="263" spans="1:19" ht="48" customHeight="1" x14ac:dyDescent="0.3">
      <c r="A263" s="22" t="s">
        <v>354</v>
      </c>
      <c r="B263" s="22" t="s">
        <v>824</v>
      </c>
      <c r="C263" s="23" t="s">
        <v>825</v>
      </c>
      <c r="D263" s="23" t="s">
        <v>832</v>
      </c>
      <c r="E263" s="23" t="s">
        <v>833</v>
      </c>
      <c r="F263" s="24" t="s">
        <v>71</v>
      </c>
      <c r="G263" s="25"/>
      <c r="H263" s="26"/>
      <c r="I263" s="27" t="str">
        <f>IFERROR(IF(OR($F263="O",$G263="O",$H263="O"),CHOOSE(MATCH($A263,{"튜브","고압","진공","튜닝","조립","출하"},0),"T","H","V","N","A","P")&amp;IF($F263="O","R",IF($G263="O","A",IF($H263="O","F",""))),""),"")</f>
        <v>AR</v>
      </c>
      <c r="J263" s="15"/>
      <c r="K263" s="16"/>
      <c r="L263" s="17"/>
      <c r="M263" s="18" t="s">
        <v>71</v>
      </c>
      <c r="N263" s="19"/>
      <c r="O263" s="20"/>
      <c r="P263" s="21" t="str">
        <f t="shared" si="4"/>
        <v>7-AR</v>
      </c>
      <c r="Q263" s="108" t="str">
        <f>HYPERLINK("#'마스터_품목'!A414","→ 마스터 R414")</f>
        <v>→ 마스터 R414</v>
      </c>
      <c r="R263" s="109">
        <v>414</v>
      </c>
      <c r="S263" s="109" t="s">
        <v>72</v>
      </c>
    </row>
    <row r="264" spans="1:19" ht="48" customHeight="1" x14ac:dyDescent="0.3">
      <c r="A264" s="22" t="s">
        <v>354</v>
      </c>
      <c r="B264" s="22" t="s">
        <v>824</v>
      </c>
      <c r="C264" s="23" t="s">
        <v>153</v>
      </c>
      <c r="D264" s="23" t="s">
        <v>834</v>
      </c>
      <c r="E264" s="23" t="s">
        <v>835</v>
      </c>
      <c r="F264" s="24" t="s">
        <v>71</v>
      </c>
      <c r="G264" s="25"/>
      <c r="H264" s="26"/>
      <c r="I264" s="27" t="str">
        <f>IFERROR(IF(OR($F264="O",$G264="O",$H264="O"),CHOOSE(MATCH($A264,{"튜브","고압","진공","튜닝","조립","출하"},0),"T","H","V","N","A","P")&amp;IF($F264="O","R",IF($G264="O","A",IF($H264="O","F",""))),""),"")</f>
        <v>AR</v>
      </c>
      <c r="J264" s="15"/>
      <c r="K264" s="16"/>
      <c r="L264" s="17"/>
      <c r="M264" s="18" t="s">
        <v>71</v>
      </c>
      <c r="N264" s="19"/>
      <c r="O264" s="20"/>
      <c r="P264" s="21" t="str">
        <f t="shared" si="4"/>
        <v>7-AR</v>
      </c>
      <c r="Q264" s="108" t="str">
        <f>HYPERLINK("#'마스터_품목'!A415","→ 마스터 R415")</f>
        <v>→ 마스터 R415</v>
      </c>
      <c r="R264" s="109">
        <v>415</v>
      </c>
      <c r="S264" s="109" t="s">
        <v>72</v>
      </c>
    </row>
    <row r="265" spans="1:19" ht="48" customHeight="1" x14ac:dyDescent="0.3">
      <c r="A265" s="22" t="s">
        <v>354</v>
      </c>
      <c r="B265" s="22" t="s">
        <v>824</v>
      </c>
      <c r="C265" s="23" t="s">
        <v>153</v>
      </c>
      <c r="D265" s="23" t="s">
        <v>836</v>
      </c>
      <c r="E265" s="23" t="s">
        <v>837</v>
      </c>
      <c r="F265" s="24" t="s">
        <v>71</v>
      </c>
      <c r="G265" s="25"/>
      <c r="H265" s="26"/>
      <c r="I265" s="27" t="str">
        <f>IFERROR(IF(OR($F265="O",$G265="O",$H265="O"),CHOOSE(MATCH($A265,{"튜브","고압","진공","튜닝","조립","출하"},0),"T","H","V","N","A","P")&amp;IF($F265="O","R",IF($G265="O","A",IF($H265="O","F",""))),""),"")</f>
        <v>AR</v>
      </c>
      <c r="J265" s="15"/>
      <c r="K265" s="16"/>
      <c r="L265" s="17"/>
      <c r="M265" s="18" t="s">
        <v>71</v>
      </c>
      <c r="N265" s="19"/>
      <c r="O265" s="20"/>
      <c r="P265" s="21" t="str">
        <f t="shared" si="4"/>
        <v>7-AR</v>
      </c>
      <c r="Q265" s="108" t="str">
        <f>HYPERLINK("#'마스터_품목'!A416","→ 마스터 R416")</f>
        <v>→ 마스터 R416</v>
      </c>
      <c r="R265" s="109">
        <v>416</v>
      </c>
      <c r="S265" s="109" t="s">
        <v>72</v>
      </c>
    </row>
    <row r="266" spans="1:19" ht="48" customHeight="1" x14ac:dyDescent="0.3">
      <c r="A266" s="22" t="s">
        <v>354</v>
      </c>
      <c r="B266" s="22" t="s">
        <v>824</v>
      </c>
      <c r="C266" s="23" t="s">
        <v>153</v>
      </c>
      <c r="D266" s="23" t="s">
        <v>838</v>
      </c>
      <c r="E266" s="23" t="s">
        <v>839</v>
      </c>
      <c r="F266" s="24" t="s">
        <v>71</v>
      </c>
      <c r="G266" s="25"/>
      <c r="H266" s="26"/>
      <c r="I266" s="27" t="str">
        <f>IFERROR(IF(OR($F266="O",$G266="O",$H266="O"),CHOOSE(MATCH($A266,{"튜브","고압","진공","튜닝","조립","출하"},0),"T","H","V","N","A","P")&amp;IF($F266="O","R",IF($G266="O","A",IF($H266="O","F",""))),""),"")</f>
        <v>AR</v>
      </c>
      <c r="J266" s="15"/>
      <c r="K266" s="16"/>
      <c r="L266" s="17"/>
      <c r="M266" s="18" t="s">
        <v>71</v>
      </c>
      <c r="N266" s="19"/>
      <c r="O266" s="20"/>
      <c r="P266" s="21" t="str">
        <f t="shared" si="4"/>
        <v>7-AR</v>
      </c>
      <c r="Q266" s="108" t="str">
        <f>HYPERLINK("#'마스터_품목'!A417","→ 마스터 R417")</f>
        <v>→ 마스터 R417</v>
      </c>
      <c r="R266" s="109">
        <v>417</v>
      </c>
      <c r="S266" s="109" t="s">
        <v>72</v>
      </c>
    </row>
    <row r="267" spans="1:19" ht="48" customHeight="1" x14ac:dyDescent="0.3">
      <c r="A267" s="22" t="s">
        <v>354</v>
      </c>
      <c r="B267" s="22" t="s">
        <v>824</v>
      </c>
      <c r="C267" s="23" t="s">
        <v>840</v>
      </c>
      <c r="D267" s="23" t="s">
        <v>841</v>
      </c>
      <c r="E267" s="23" t="s">
        <v>842</v>
      </c>
      <c r="F267" s="24" t="s">
        <v>71</v>
      </c>
      <c r="G267" s="25"/>
      <c r="H267" s="26"/>
      <c r="I267" s="27" t="str">
        <f>IFERROR(IF(OR($F267="O",$G267="O",$H267="O"),CHOOSE(MATCH($A267,{"튜브","고압","진공","튜닝","조립","출하"},0),"T","H","V","N","A","P")&amp;IF($F267="O","R",IF($G267="O","A",IF($H267="O","F",""))),""),"")</f>
        <v>AR</v>
      </c>
      <c r="J267" s="15"/>
      <c r="K267" s="16"/>
      <c r="L267" s="17"/>
      <c r="M267" s="18" t="s">
        <v>71</v>
      </c>
      <c r="N267" s="19"/>
      <c r="O267" s="20"/>
      <c r="P267" s="21" t="str">
        <f t="shared" si="4"/>
        <v>7-AR</v>
      </c>
      <c r="Q267" s="108" t="str">
        <f>HYPERLINK("#'마스터_품목'!A418","→ 마스터 R418")</f>
        <v>→ 마스터 R418</v>
      </c>
      <c r="R267" s="109">
        <v>418</v>
      </c>
      <c r="S267" s="109" t="s">
        <v>72</v>
      </c>
    </row>
    <row r="268" spans="1:19" ht="48" customHeight="1" x14ac:dyDescent="0.3">
      <c r="A268" s="22" t="s">
        <v>354</v>
      </c>
      <c r="B268" s="22" t="s">
        <v>824</v>
      </c>
      <c r="C268" s="23" t="s">
        <v>840</v>
      </c>
      <c r="D268" s="23" t="s">
        <v>843</v>
      </c>
      <c r="E268" s="23" t="s">
        <v>844</v>
      </c>
      <c r="F268" s="24" t="s">
        <v>71</v>
      </c>
      <c r="G268" s="25"/>
      <c r="H268" s="26"/>
      <c r="I268" s="27" t="str">
        <f>IFERROR(IF(OR($F268="O",$G268="O",$H268="O"),CHOOSE(MATCH($A268,{"튜브","고압","진공","튜닝","조립","출하"},0),"T","H","V","N","A","P")&amp;IF($F268="O","R",IF($G268="O","A",IF($H268="O","F",""))),""),"")</f>
        <v>AR</v>
      </c>
      <c r="J268" s="15"/>
      <c r="K268" s="16"/>
      <c r="L268" s="17"/>
      <c r="M268" s="18" t="s">
        <v>71</v>
      </c>
      <c r="N268" s="19"/>
      <c r="O268" s="20"/>
      <c r="P268" s="21" t="str">
        <f t="shared" si="4"/>
        <v>7-AR</v>
      </c>
      <c r="Q268" s="108" t="str">
        <f>HYPERLINK("#'마스터_품목'!A419","→ 마스터 R419")</f>
        <v>→ 마스터 R419</v>
      </c>
      <c r="R268" s="109">
        <v>419</v>
      </c>
      <c r="S268" s="109" t="s">
        <v>72</v>
      </c>
    </row>
    <row r="269" spans="1:19" ht="48" customHeight="1" x14ac:dyDescent="0.3">
      <c r="A269" s="22" t="s">
        <v>354</v>
      </c>
      <c r="B269" s="22" t="s">
        <v>845</v>
      </c>
      <c r="C269" s="23" t="s">
        <v>825</v>
      </c>
      <c r="D269" s="23" t="s">
        <v>846</v>
      </c>
      <c r="E269" s="23" t="s">
        <v>847</v>
      </c>
      <c r="F269" s="24" t="s">
        <v>71</v>
      </c>
      <c r="G269" s="25"/>
      <c r="H269" s="26"/>
      <c r="I269" s="27" t="str">
        <f>IFERROR(IF(OR($F269="O",$G269="O",$H269="O"),CHOOSE(MATCH($A269,{"튜브","고압","진공","튜닝","조립","출하"},0),"T","H","V","N","A","P")&amp;IF($F269="O","R",IF($G269="O","A",IF($H269="O","F",""))),""),"")</f>
        <v>AR</v>
      </c>
      <c r="J269" s="15"/>
      <c r="K269" s="16"/>
      <c r="L269" s="17"/>
      <c r="M269" s="18" t="s">
        <v>71</v>
      </c>
      <c r="N269" s="19"/>
      <c r="O269" s="20"/>
      <c r="P269" s="21" t="str">
        <f t="shared" si="4"/>
        <v>7-AR</v>
      </c>
      <c r="Q269" s="108" t="str">
        <f>HYPERLINK("#'마스터_품목'!A420","→ 마스터 R420")</f>
        <v>→ 마스터 R420</v>
      </c>
      <c r="R269" s="109">
        <v>420</v>
      </c>
      <c r="S269" s="109" t="s">
        <v>72</v>
      </c>
    </row>
    <row r="270" spans="1:19" ht="48" customHeight="1" x14ac:dyDescent="0.3">
      <c r="A270" s="22" t="s">
        <v>354</v>
      </c>
      <c r="B270" s="22" t="s">
        <v>845</v>
      </c>
      <c r="C270" s="23" t="s">
        <v>840</v>
      </c>
      <c r="D270" s="23" t="s">
        <v>848</v>
      </c>
      <c r="E270" s="23" t="s">
        <v>849</v>
      </c>
      <c r="F270" s="24" t="s">
        <v>71</v>
      </c>
      <c r="G270" s="25"/>
      <c r="H270" s="26"/>
      <c r="I270" s="27" t="str">
        <f>IFERROR(IF(OR($F270="O",$G270="O",$H270="O"),CHOOSE(MATCH($A270,{"튜브","고압","진공","튜닝","조립","출하"},0),"T","H","V","N","A","P")&amp;IF($F270="O","R",IF($G270="O","A",IF($H270="O","F",""))),""),"")</f>
        <v>AR</v>
      </c>
      <c r="J270" s="15"/>
      <c r="K270" s="16"/>
      <c r="L270" s="17"/>
      <c r="M270" s="18" t="s">
        <v>71</v>
      </c>
      <c r="N270" s="19"/>
      <c r="O270" s="20"/>
      <c r="P270" s="21" t="str">
        <f t="shared" si="4"/>
        <v>7-AR</v>
      </c>
      <c r="Q270" s="108" t="str">
        <f>HYPERLINK("#'마스터_품목'!A421","→ 마스터 R421")</f>
        <v>→ 마스터 R421</v>
      </c>
      <c r="R270" s="109">
        <v>421</v>
      </c>
      <c r="S270" s="109" t="s">
        <v>72</v>
      </c>
    </row>
    <row r="271" spans="1:19" ht="48" customHeight="1" x14ac:dyDescent="0.3">
      <c r="A271" s="22" t="s">
        <v>354</v>
      </c>
      <c r="B271" s="22" t="s">
        <v>845</v>
      </c>
      <c r="C271" s="23" t="s">
        <v>153</v>
      </c>
      <c r="D271" s="23" t="s">
        <v>850</v>
      </c>
      <c r="E271" s="23" t="s">
        <v>851</v>
      </c>
      <c r="F271" s="24" t="s">
        <v>71</v>
      </c>
      <c r="G271" s="25"/>
      <c r="H271" s="26"/>
      <c r="I271" s="27" t="str">
        <f>IFERROR(IF(OR($F271="O",$G271="O",$H271="O"),CHOOSE(MATCH($A271,{"튜브","고압","진공","튜닝","조립","출하"},0),"T","H","V","N","A","P")&amp;IF($F271="O","R",IF($G271="O","A",IF($H271="O","F",""))),""),"")</f>
        <v>AR</v>
      </c>
      <c r="J271" s="15"/>
      <c r="K271" s="16"/>
      <c r="L271" s="17"/>
      <c r="M271" s="18" t="s">
        <v>71</v>
      </c>
      <c r="N271" s="19"/>
      <c r="O271" s="20"/>
      <c r="P271" s="21" t="str">
        <f t="shared" si="4"/>
        <v>7-AR</v>
      </c>
      <c r="Q271" s="108" t="str">
        <f>HYPERLINK("#'마스터_품목'!A422","→ 마스터 R422")</f>
        <v>→ 마스터 R422</v>
      </c>
      <c r="R271" s="109">
        <v>422</v>
      </c>
      <c r="S271" s="109" t="s">
        <v>72</v>
      </c>
    </row>
    <row r="272" spans="1:19" ht="48" customHeight="1" x14ac:dyDescent="0.3">
      <c r="A272" s="22" t="s">
        <v>354</v>
      </c>
      <c r="B272" s="22" t="s">
        <v>845</v>
      </c>
      <c r="C272" s="23" t="s">
        <v>153</v>
      </c>
      <c r="D272" s="23" t="s">
        <v>852</v>
      </c>
      <c r="E272" s="23" t="s">
        <v>853</v>
      </c>
      <c r="F272" s="24" t="s">
        <v>71</v>
      </c>
      <c r="G272" s="25"/>
      <c r="H272" s="26"/>
      <c r="I272" s="27" t="str">
        <f>IFERROR(IF(OR($F272="O",$G272="O",$H272="O"),CHOOSE(MATCH($A272,{"튜브","고압","진공","튜닝","조립","출하"},0),"T","H","V","N","A","P")&amp;IF($F272="O","R",IF($G272="O","A",IF($H272="O","F",""))),""),"")</f>
        <v>AR</v>
      </c>
      <c r="J272" s="15"/>
      <c r="K272" s="16"/>
      <c r="L272" s="17"/>
      <c r="M272" s="18" t="s">
        <v>71</v>
      </c>
      <c r="N272" s="19"/>
      <c r="O272" s="20"/>
      <c r="P272" s="21" t="str">
        <f t="shared" si="4"/>
        <v>7-AR</v>
      </c>
      <c r="Q272" s="108" t="str">
        <f>HYPERLINK("#'마스터_품목'!A423","→ 마스터 R423")</f>
        <v>→ 마스터 R423</v>
      </c>
      <c r="R272" s="109">
        <v>423</v>
      </c>
      <c r="S272" s="109" t="s">
        <v>72</v>
      </c>
    </row>
    <row r="273" spans="1:19" ht="48" customHeight="1" x14ac:dyDescent="0.3">
      <c r="A273" s="22" t="s">
        <v>354</v>
      </c>
      <c r="B273" s="22" t="s">
        <v>845</v>
      </c>
      <c r="C273" s="23" t="s">
        <v>854</v>
      </c>
      <c r="D273" s="23" t="s">
        <v>855</v>
      </c>
      <c r="E273" s="23" t="s">
        <v>856</v>
      </c>
      <c r="F273" s="24" t="s">
        <v>71</v>
      </c>
      <c r="G273" s="25"/>
      <c r="H273" s="26"/>
      <c r="I273" s="27" t="str">
        <f>IFERROR(IF(OR($F273="O",$G273="O",$H273="O"),CHOOSE(MATCH($A273,{"튜브","고압","진공","튜닝","조립","출하"},0),"T","H","V","N","A","P")&amp;IF($F273="O","R",IF($G273="O","A",IF($H273="O","F",""))),""),"")</f>
        <v>AR</v>
      </c>
      <c r="J273" s="15"/>
      <c r="K273" s="16"/>
      <c r="L273" s="17"/>
      <c r="M273" s="18" t="s">
        <v>71</v>
      </c>
      <c r="N273" s="19"/>
      <c r="O273" s="20"/>
      <c r="P273" s="21" t="str">
        <f t="shared" si="4"/>
        <v>7-AR</v>
      </c>
      <c r="Q273" s="108" t="str">
        <f>HYPERLINK("#'마스터_품목'!A424","→ 마스터 R424")</f>
        <v>→ 마스터 R424</v>
      </c>
      <c r="R273" s="109">
        <v>424</v>
      </c>
      <c r="S273" s="109" t="s">
        <v>72</v>
      </c>
    </row>
    <row r="274" spans="1:19" ht="48" customHeight="1" x14ac:dyDescent="0.3">
      <c r="A274" s="22" t="s">
        <v>354</v>
      </c>
      <c r="B274" s="22" t="s">
        <v>845</v>
      </c>
      <c r="C274" s="23" t="s">
        <v>854</v>
      </c>
      <c r="D274" s="23" t="s">
        <v>857</v>
      </c>
      <c r="E274" s="23" t="s">
        <v>858</v>
      </c>
      <c r="F274" s="24" t="s">
        <v>71</v>
      </c>
      <c r="G274" s="25"/>
      <c r="H274" s="26"/>
      <c r="I274" s="27" t="str">
        <f>IFERROR(IF(OR($F274="O",$G274="O",$H274="O"),CHOOSE(MATCH($A274,{"튜브","고압","진공","튜닝","조립","출하"},0),"T","H","V","N","A","P")&amp;IF($F274="O","R",IF($G274="O","A",IF($H274="O","F",""))),""),"")</f>
        <v>AR</v>
      </c>
      <c r="J274" s="15"/>
      <c r="K274" s="16"/>
      <c r="L274" s="17"/>
      <c r="M274" s="18" t="s">
        <v>71</v>
      </c>
      <c r="N274" s="19"/>
      <c r="O274" s="20"/>
      <c r="P274" s="21" t="str">
        <f t="shared" si="4"/>
        <v>7-AR</v>
      </c>
      <c r="Q274" s="108" t="str">
        <f>HYPERLINK("#'마스터_품목'!A425","→ 마스터 R425")</f>
        <v>→ 마스터 R425</v>
      </c>
      <c r="R274" s="109">
        <v>425</v>
      </c>
      <c r="S274" s="109" t="s">
        <v>72</v>
      </c>
    </row>
    <row r="275" spans="1:19" ht="48" customHeight="1" x14ac:dyDescent="0.3">
      <c r="A275" s="22" t="s">
        <v>354</v>
      </c>
      <c r="B275" s="22" t="s">
        <v>845</v>
      </c>
      <c r="C275" s="23" t="s">
        <v>859</v>
      </c>
      <c r="D275" s="23" t="s">
        <v>860</v>
      </c>
      <c r="E275" s="23" t="s">
        <v>861</v>
      </c>
      <c r="F275" s="24" t="s">
        <v>71</v>
      </c>
      <c r="G275" s="25"/>
      <c r="H275" s="26"/>
      <c r="I275" s="27" t="str">
        <f>IFERROR(IF(OR($F275="O",$G275="O",$H275="O"),CHOOSE(MATCH($A275,{"튜브","고압","진공","튜닝","조립","출하"},0),"T","H","V","N","A","P")&amp;IF($F275="O","R",IF($G275="O","A",IF($H275="O","F",""))),""),"")</f>
        <v>AR</v>
      </c>
      <c r="J275" s="15"/>
      <c r="K275" s="16"/>
      <c r="L275" s="17"/>
      <c r="M275" s="18" t="s">
        <v>71</v>
      </c>
      <c r="N275" s="19"/>
      <c r="O275" s="20"/>
      <c r="P275" s="21" t="str">
        <f t="shared" si="4"/>
        <v>7-AR</v>
      </c>
      <c r="Q275" s="108" t="str">
        <f>HYPERLINK("#'마스터_품목'!A426","→ 마스터 R426")</f>
        <v>→ 마스터 R426</v>
      </c>
      <c r="R275" s="109">
        <v>426</v>
      </c>
      <c r="S275" s="109" t="s">
        <v>72</v>
      </c>
    </row>
    <row r="276" spans="1:19" ht="48" customHeight="1" x14ac:dyDescent="0.3">
      <c r="A276" s="22" t="s">
        <v>354</v>
      </c>
      <c r="B276" s="22" t="s">
        <v>845</v>
      </c>
      <c r="C276" s="23" t="s">
        <v>153</v>
      </c>
      <c r="D276" s="23" t="s">
        <v>862</v>
      </c>
      <c r="E276" s="23" t="s">
        <v>863</v>
      </c>
      <c r="F276" s="24" t="s">
        <v>71</v>
      </c>
      <c r="G276" s="25"/>
      <c r="H276" s="26"/>
      <c r="I276" s="27" t="str">
        <f>IFERROR(IF(OR($F276="O",$G276="O",$H276="O"),CHOOSE(MATCH($A276,{"튜브","고압","진공","튜닝","조립","출하"},0),"T","H","V","N","A","P")&amp;IF($F276="O","R",IF($G276="O","A",IF($H276="O","F",""))),""),"")</f>
        <v>AR</v>
      </c>
      <c r="J276" s="15"/>
      <c r="K276" s="16"/>
      <c r="L276" s="17"/>
      <c r="M276" s="18" t="s">
        <v>71</v>
      </c>
      <c r="N276" s="19"/>
      <c r="O276" s="20"/>
      <c r="P276" s="21" t="str">
        <f t="shared" si="4"/>
        <v>7-AR</v>
      </c>
      <c r="Q276" s="108" t="str">
        <f>HYPERLINK("#'마스터_품목'!A427","→ 마스터 R427")</f>
        <v>→ 마스터 R427</v>
      </c>
      <c r="R276" s="109">
        <v>427</v>
      </c>
      <c r="S276" s="109" t="s">
        <v>72</v>
      </c>
    </row>
    <row r="277" spans="1:19" ht="48" customHeight="1" x14ac:dyDescent="0.3">
      <c r="A277" s="22" t="s">
        <v>354</v>
      </c>
      <c r="B277" s="22" t="s">
        <v>845</v>
      </c>
      <c r="C277" s="23" t="s">
        <v>153</v>
      </c>
      <c r="D277" s="23" t="s">
        <v>864</v>
      </c>
      <c r="E277" s="23" t="s">
        <v>865</v>
      </c>
      <c r="F277" s="24" t="s">
        <v>71</v>
      </c>
      <c r="G277" s="25"/>
      <c r="H277" s="26"/>
      <c r="I277" s="27" t="str">
        <f>IFERROR(IF(OR($F277="O",$G277="O",$H277="O"),CHOOSE(MATCH($A277,{"튜브","고압","진공","튜닝","조립","출하"},0),"T","H","V","N","A","P")&amp;IF($F277="O","R",IF($G277="O","A",IF($H277="O","F",""))),""),"")</f>
        <v>AR</v>
      </c>
      <c r="J277" s="15"/>
      <c r="K277" s="16"/>
      <c r="L277" s="17"/>
      <c r="M277" s="18" t="s">
        <v>71</v>
      </c>
      <c r="N277" s="19"/>
      <c r="O277" s="20"/>
      <c r="P277" s="21" t="str">
        <f t="shared" si="4"/>
        <v>7-AR</v>
      </c>
      <c r="Q277" s="108" t="str">
        <f>HYPERLINK("#'마스터_품목'!A428","→ 마스터 R428")</f>
        <v>→ 마스터 R428</v>
      </c>
      <c r="R277" s="109">
        <v>428</v>
      </c>
      <c r="S277" s="109" t="s">
        <v>72</v>
      </c>
    </row>
    <row r="278" spans="1:19" ht="48" customHeight="1" x14ac:dyDescent="0.3">
      <c r="A278" s="22" t="s">
        <v>354</v>
      </c>
      <c r="B278" s="22" t="s">
        <v>845</v>
      </c>
      <c r="C278" s="23" t="s">
        <v>153</v>
      </c>
      <c r="D278" s="23" t="s">
        <v>866</v>
      </c>
      <c r="E278" s="23" t="s">
        <v>867</v>
      </c>
      <c r="F278" s="24" t="s">
        <v>71</v>
      </c>
      <c r="G278" s="25"/>
      <c r="H278" s="26"/>
      <c r="I278" s="27" t="str">
        <f>IFERROR(IF(OR($F278="O",$G278="O",$H278="O"),CHOOSE(MATCH($A278,{"튜브","고압","진공","튜닝","조립","출하"},0),"T","H","V","N","A","P")&amp;IF($F278="O","R",IF($G278="O","A",IF($H278="O","F",""))),""),"")</f>
        <v>AR</v>
      </c>
      <c r="J278" s="15"/>
      <c r="K278" s="16"/>
      <c r="L278" s="17"/>
      <c r="M278" s="18" t="s">
        <v>71</v>
      </c>
      <c r="N278" s="19"/>
      <c r="O278" s="20"/>
      <c r="P278" s="21" t="str">
        <f t="shared" si="4"/>
        <v>7-AR</v>
      </c>
      <c r="Q278" s="108" t="str">
        <f>HYPERLINK("#'마스터_품목'!A429","→ 마스터 R429")</f>
        <v>→ 마스터 R429</v>
      </c>
      <c r="R278" s="109">
        <v>429</v>
      </c>
      <c r="S278" s="109" t="s">
        <v>72</v>
      </c>
    </row>
    <row r="279" spans="1:19" ht="48" customHeight="1" x14ac:dyDescent="0.3">
      <c r="A279" s="22" t="s">
        <v>354</v>
      </c>
      <c r="B279" s="22" t="s">
        <v>868</v>
      </c>
      <c r="C279" s="23" t="s">
        <v>869</v>
      </c>
      <c r="D279" s="23" t="s">
        <v>870</v>
      </c>
      <c r="E279" s="23" t="s">
        <v>871</v>
      </c>
      <c r="F279" s="24" t="s">
        <v>71</v>
      </c>
      <c r="G279" s="25"/>
      <c r="H279" s="26"/>
      <c r="I279" s="27" t="str">
        <f>IFERROR(IF(OR($F279="O",$G279="O",$H279="O"),CHOOSE(MATCH($A279,{"튜브","고압","진공","튜닝","조립","출하"},0),"T","H","V","N","A","P")&amp;IF($F279="O","R",IF($G279="O","A",IF($H279="O","F",""))),""),"")</f>
        <v>AR</v>
      </c>
      <c r="J279" s="15"/>
      <c r="K279" s="16"/>
      <c r="L279" s="17"/>
      <c r="M279" s="18" t="s">
        <v>71</v>
      </c>
      <c r="N279" s="19"/>
      <c r="O279" s="20"/>
      <c r="P279" s="21" t="str">
        <f t="shared" si="4"/>
        <v>7-AR</v>
      </c>
      <c r="Q279" s="108" t="str">
        <f>HYPERLINK("#'마스터_품목'!A430","→ 마스터 R430")</f>
        <v>→ 마스터 R430</v>
      </c>
      <c r="R279" s="109">
        <v>430</v>
      </c>
      <c r="S279" s="109" t="s">
        <v>72</v>
      </c>
    </row>
    <row r="280" spans="1:19" ht="48" customHeight="1" x14ac:dyDescent="0.3">
      <c r="A280" s="22" t="s">
        <v>354</v>
      </c>
      <c r="B280" s="22" t="s">
        <v>868</v>
      </c>
      <c r="C280" s="23" t="s">
        <v>869</v>
      </c>
      <c r="D280" s="23" t="s">
        <v>872</v>
      </c>
      <c r="E280" s="23" t="s">
        <v>873</v>
      </c>
      <c r="F280" s="24" t="s">
        <v>71</v>
      </c>
      <c r="G280" s="25"/>
      <c r="H280" s="26"/>
      <c r="I280" s="27" t="str">
        <f>IFERROR(IF(OR($F280="O",$G280="O",$H280="O"),CHOOSE(MATCH($A280,{"튜브","고압","진공","튜닝","조립","출하"},0),"T","H","V","N","A","P")&amp;IF($F280="O","R",IF($G280="O","A",IF($H280="O","F",""))),""),"")</f>
        <v>AR</v>
      </c>
      <c r="J280" s="15"/>
      <c r="K280" s="16"/>
      <c r="L280" s="17"/>
      <c r="M280" s="18" t="s">
        <v>71</v>
      </c>
      <c r="N280" s="19"/>
      <c r="O280" s="20"/>
      <c r="P280" s="21" t="str">
        <f t="shared" si="4"/>
        <v>7-AR</v>
      </c>
      <c r="Q280" s="108" t="str">
        <f>HYPERLINK("#'마스터_품목'!A431","→ 마스터 R431")</f>
        <v>→ 마스터 R431</v>
      </c>
      <c r="R280" s="109">
        <v>431</v>
      </c>
      <c r="S280" s="109" t="s">
        <v>72</v>
      </c>
    </row>
    <row r="281" spans="1:19" ht="48" customHeight="1" x14ac:dyDescent="0.3">
      <c r="A281" s="22" t="s">
        <v>354</v>
      </c>
      <c r="B281" s="22" t="s">
        <v>868</v>
      </c>
      <c r="C281" s="23" t="s">
        <v>153</v>
      </c>
      <c r="D281" s="23" t="s">
        <v>874</v>
      </c>
      <c r="E281" s="23" t="s">
        <v>875</v>
      </c>
      <c r="F281" s="24" t="s">
        <v>71</v>
      </c>
      <c r="G281" s="25"/>
      <c r="H281" s="26"/>
      <c r="I281" s="27" t="str">
        <f>IFERROR(IF(OR($F281="O",$G281="O",$H281="O"),CHOOSE(MATCH($A281,{"튜브","고압","진공","튜닝","조립","출하"},0),"T","H","V","N","A","P")&amp;IF($F281="O","R",IF($G281="O","A",IF($H281="O","F",""))),""),"")</f>
        <v>AR</v>
      </c>
      <c r="J281" s="15"/>
      <c r="K281" s="16"/>
      <c r="L281" s="17"/>
      <c r="M281" s="18" t="s">
        <v>71</v>
      </c>
      <c r="N281" s="19"/>
      <c r="O281" s="20"/>
      <c r="P281" s="21" t="str">
        <f t="shared" si="4"/>
        <v>7-AR</v>
      </c>
      <c r="Q281" s="108" t="str">
        <f>HYPERLINK("#'마스터_품목'!A432","→ 마스터 R432")</f>
        <v>→ 마스터 R432</v>
      </c>
      <c r="R281" s="109">
        <v>432</v>
      </c>
      <c r="S281" s="109" t="s">
        <v>72</v>
      </c>
    </row>
    <row r="282" spans="1:19" ht="48" customHeight="1" x14ac:dyDescent="0.3">
      <c r="A282" s="22" t="s">
        <v>354</v>
      </c>
      <c r="B282" s="22" t="s">
        <v>868</v>
      </c>
      <c r="C282" s="23" t="s">
        <v>153</v>
      </c>
      <c r="D282" s="23" t="s">
        <v>876</v>
      </c>
      <c r="E282" s="23" t="s">
        <v>877</v>
      </c>
      <c r="F282" s="24" t="s">
        <v>71</v>
      </c>
      <c r="G282" s="25"/>
      <c r="H282" s="26"/>
      <c r="I282" s="27" t="str">
        <f>IFERROR(IF(OR($F282="O",$G282="O",$H282="O"),CHOOSE(MATCH($A282,{"튜브","고압","진공","튜닝","조립","출하"},0),"T","H","V","N","A","P")&amp;IF($F282="O","R",IF($G282="O","A",IF($H282="O","F",""))),""),"")</f>
        <v>AR</v>
      </c>
      <c r="J282" s="15"/>
      <c r="K282" s="16"/>
      <c r="L282" s="17"/>
      <c r="M282" s="18" t="s">
        <v>71</v>
      </c>
      <c r="N282" s="19"/>
      <c r="O282" s="20"/>
      <c r="P282" s="21" t="str">
        <f t="shared" si="4"/>
        <v>7-AR</v>
      </c>
      <c r="Q282" s="108" t="str">
        <f>HYPERLINK("#'마스터_품목'!A433","→ 마스터 R433")</f>
        <v>→ 마스터 R433</v>
      </c>
      <c r="R282" s="109">
        <v>433</v>
      </c>
      <c r="S282" s="109" t="s">
        <v>72</v>
      </c>
    </row>
    <row r="283" spans="1:19" ht="48" customHeight="1" x14ac:dyDescent="0.3">
      <c r="A283" s="22" t="s">
        <v>354</v>
      </c>
      <c r="B283" s="22" t="s">
        <v>868</v>
      </c>
      <c r="C283" s="23" t="s">
        <v>153</v>
      </c>
      <c r="D283" s="23" t="s">
        <v>878</v>
      </c>
      <c r="E283" s="23" t="s">
        <v>879</v>
      </c>
      <c r="F283" s="24" t="s">
        <v>71</v>
      </c>
      <c r="G283" s="25"/>
      <c r="H283" s="26"/>
      <c r="I283" s="27" t="str">
        <f>IFERROR(IF(OR($F283="O",$G283="O",$H283="O"),CHOOSE(MATCH($A283,{"튜브","고압","진공","튜닝","조립","출하"},0),"T","H","V","N","A","P")&amp;IF($F283="O","R",IF($G283="O","A",IF($H283="O","F",""))),""),"")</f>
        <v>AR</v>
      </c>
      <c r="J283" s="15"/>
      <c r="K283" s="16"/>
      <c r="L283" s="17"/>
      <c r="M283" s="18" t="s">
        <v>71</v>
      </c>
      <c r="N283" s="19"/>
      <c r="O283" s="20"/>
      <c r="P283" s="21" t="str">
        <f t="shared" si="4"/>
        <v>7-AR</v>
      </c>
      <c r="Q283" s="108" t="str">
        <f>HYPERLINK("#'마스터_품목'!A434","→ 마스터 R434")</f>
        <v>→ 마스터 R434</v>
      </c>
      <c r="R283" s="109">
        <v>434</v>
      </c>
      <c r="S283" s="109" t="s">
        <v>72</v>
      </c>
    </row>
    <row r="284" spans="1:19" ht="48" customHeight="1" x14ac:dyDescent="0.3">
      <c r="A284" s="22" t="s">
        <v>354</v>
      </c>
      <c r="B284" s="22" t="s">
        <v>868</v>
      </c>
      <c r="C284" s="23" t="s">
        <v>153</v>
      </c>
      <c r="D284" s="23" t="s">
        <v>880</v>
      </c>
      <c r="E284" s="23" t="s">
        <v>881</v>
      </c>
      <c r="F284" s="24" t="s">
        <v>71</v>
      </c>
      <c r="G284" s="25"/>
      <c r="H284" s="26"/>
      <c r="I284" s="27" t="str">
        <f>IFERROR(IF(OR($F284="O",$G284="O",$H284="O"),CHOOSE(MATCH($A284,{"튜브","고압","진공","튜닝","조립","출하"},0),"T","H","V","N","A","P")&amp;IF($F284="O","R",IF($G284="O","A",IF($H284="O","F",""))),""),"")</f>
        <v>AR</v>
      </c>
      <c r="J284" s="15"/>
      <c r="K284" s="16"/>
      <c r="L284" s="17"/>
      <c r="M284" s="18" t="s">
        <v>71</v>
      </c>
      <c r="N284" s="19"/>
      <c r="O284" s="20"/>
      <c r="P284" s="21" t="str">
        <f t="shared" si="4"/>
        <v>7-AR</v>
      </c>
      <c r="Q284" s="108" t="str">
        <f>HYPERLINK("#'마스터_품목'!A435","→ 마스터 R435")</f>
        <v>→ 마스터 R435</v>
      </c>
      <c r="R284" s="109">
        <v>435</v>
      </c>
      <c r="S284" s="109" t="s">
        <v>72</v>
      </c>
    </row>
    <row r="285" spans="1:19" ht="48" customHeight="1" x14ac:dyDescent="0.3">
      <c r="A285" s="22" t="s">
        <v>354</v>
      </c>
      <c r="B285" s="22" t="s">
        <v>882</v>
      </c>
      <c r="C285" s="23" t="s">
        <v>883</v>
      </c>
      <c r="D285" s="23" t="s">
        <v>884</v>
      </c>
      <c r="E285" s="23"/>
      <c r="F285" s="24" t="s">
        <v>71</v>
      </c>
      <c r="G285" s="25"/>
      <c r="H285" s="26"/>
      <c r="I285" s="27" t="str">
        <f>IFERROR(IF(OR($F285="O",$G285="O",$H285="O"),CHOOSE(MATCH($A285,{"튜브","고압","진공","튜닝","조립","출하"},0),"T","H","V","N","A","P")&amp;IF($F285="O","R",IF($G285="O","A",IF($H285="O","F",""))),""),"")</f>
        <v>AR</v>
      </c>
      <c r="J285" s="15"/>
      <c r="K285" s="16"/>
      <c r="L285" s="17"/>
      <c r="M285" s="18" t="s">
        <v>71</v>
      </c>
      <c r="N285" s="19"/>
      <c r="O285" s="20"/>
      <c r="P285" s="21" t="str">
        <f t="shared" si="4"/>
        <v>7-AR</v>
      </c>
      <c r="Q285" s="108" t="str">
        <f>HYPERLINK("#'마스터_품목'!A436","→ 마스터 R436")</f>
        <v>→ 마스터 R436</v>
      </c>
      <c r="R285" s="109">
        <v>436</v>
      </c>
      <c r="S285" s="109" t="s">
        <v>72</v>
      </c>
    </row>
    <row r="286" spans="1:19" ht="48" customHeight="1" x14ac:dyDescent="0.3">
      <c r="A286" s="22" t="s">
        <v>354</v>
      </c>
      <c r="B286" s="22" t="s">
        <v>882</v>
      </c>
      <c r="C286" s="23" t="s">
        <v>885</v>
      </c>
      <c r="D286" s="23" t="s">
        <v>832</v>
      </c>
      <c r="E286" s="23"/>
      <c r="F286" s="24" t="s">
        <v>71</v>
      </c>
      <c r="G286" s="25"/>
      <c r="H286" s="26"/>
      <c r="I286" s="27" t="str">
        <f>IFERROR(IF(OR($F286="O",$G286="O",$H286="O"),CHOOSE(MATCH($A286,{"튜브","고압","진공","튜닝","조립","출하"},0),"T","H","V","N","A","P")&amp;IF($F286="O","R",IF($G286="O","A",IF($H286="O","F",""))),""),"")</f>
        <v>AR</v>
      </c>
      <c r="J286" s="15"/>
      <c r="K286" s="16"/>
      <c r="L286" s="17"/>
      <c r="M286" s="18" t="s">
        <v>71</v>
      </c>
      <c r="N286" s="19"/>
      <c r="O286" s="20"/>
      <c r="P286" s="21" t="str">
        <f t="shared" si="4"/>
        <v>7-AR</v>
      </c>
      <c r="Q286" s="108" t="str">
        <f>HYPERLINK("#'마스터_품목'!A437","→ 마스터 R437")</f>
        <v>→ 마스터 R437</v>
      </c>
      <c r="R286" s="109">
        <v>437</v>
      </c>
      <c r="S286" s="109" t="s">
        <v>72</v>
      </c>
    </row>
    <row r="287" spans="1:19" ht="48" customHeight="1" x14ac:dyDescent="0.3">
      <c r="A287" s="22" t="s">
        <v>354</v>
      </c>
      <c r="B287" s="22" t="s">
        <v>882</v>
      </c>
      <c r="C287" s="23" t="s">
        <v>885</v>
      </c>
      <c r="D287" s="23" t="s">
        <v>830</v>
      </c>
      <c r="E287" s="23"/>
      <c r="F287" s="24" t="s">
        <v>71</v>
      </c>
      <c r="G287" s="25"/>
      <c r="H287" s="26"/>
      <c r="I287" s="27" t="str">
        <f>IFERROR(IF(OR($F287="O",$G287="O",$H287="O"),CHOOSE(MATCH($A287,{"튜브","고압","진공","튜닝","조립","출하"},0),"T","H","V","N","A","P")&amp;IF($F287="O","R",IF($G287="O","A",IF($H287="O","F",""))),""),"")</f>
        <v>AR</v>
      </c>
      <c r="J287" s="15"/>
      <c r="K287" s="16"/>
      <c r="L287" s="17"/>
      <c r="M287" s="18" t="s">
        <v>71</v>
      </c>
      <c r="N287" s="19"/>
      <c r="O287" s="20"/>
      <c r="P287" s="21" t="str">
        <f t="shared" si="4"/>
        <v>7-AR</v>
      </c>
      <c r="Q287" s="108" t="str">
        <f>HYPERLINK("#'마스터_품목'!A438","→ 마스터 R438")</f>
        <v>→ 마스터 R438</v>
      </c>
      <c r="R287" s="109">
        <v>438</v>
      </c>
      <c r="S287" s="109" t="s">
        <v>72</v>
      </c>
    </row>
    <row r="288" spans="1:19" ht="48" customHeight="1" x14ac:dyDescent="0.3">
      <c r="A288" s="22" t="s">
        <v>354</v>
      </c>
      <c r="B288" s="22" t="s">
        <v>882</v>
      </c>
      <c r="C288" s="23" t="s">
        <v>885</v>
      </c>
      <c r="D288" s="23" t="s">
        <v>841</v>
      </c>
      <c r="E288" s="23"/>
      <c r="F288" s="24" t="s">
        <v>71</v>
      </c>
      <c r="G288" s="25"/>
      <c r="H288" s="26"/>
      <c r="I288" s="27" t="str">
        <f>IFERROR(IF(OR($F288="O",$G288="O",$H288="O"),CHOOSE(MATCH($A288,{"튜브","고압","진공","튜닝","조립","출하"},0),"T","H","V","N","A","P")&amp;IF($F288="O","R",IF($G288="O","A",IF($H288="O","F",""))),""),"")</f>
        <v>AR</v>
      </c>
      <c r="J288" s="15"/>
      <c r="K288" s="16"/>
      <c r="L288" s="17"/>
      <c r="M288" s="18" t="s">
        <v>71</v>
      </c>
      <c r="N288" s="19"/>
      <c r="O288" s="20"/>
      <c r="P288" s="21" t="str">
        <f t="shared" si="4"/>
        <v>7-AR</v>
      </c>
      <c r="Q288" s="108" t="str">
        <f>HYPERLINK("#'마스터_품목'!A439","→ 마스터 R439")</f>
        <v>→ 마스터 R439</v>
      </c>
      <c r="R288" s="109">
        <v>439</v>
      </c>
      <c r="S288" s="109" t="s">
        <v>72</v>
      </c>
    </row>
    <row r="289" spans="1:19" ht="48" customHeight="1" x14ac:dyDescent="0.3">
      <c r="A289" s="22" t="s">
        <v>354</v>
      </c>
      <c r="B289" s="22" t="s">
        <v>882</v>
      </c>
      <c r="C289" s="23" t="s">
        <v>885</v>
      </c>
      <c r="D289" s="23" t="s">
        <v>843</v>
      </c>
      <c r="E289" s="23"/>
      <c r="F289" s="24" t="s">
        <v>71</v>
      </c>
      <c r="G289" s="25"/>
      <c r="H289" s="26"/>
      <c r="I289" s="27" t="str">
        <f>IFERROR(IF(OR($F289="O",$G289="O",$H289="O"),CHOOSE(MATCH($A289,{"튜브","고압","진공","튜닝","조립","출하"},0),"T","H","V","N","A","P")&amp;IF($F289="O","R",IF($G289="O","A",IF($H289="O","F",""))),""),"")</f>
        <v>AR</v>
      </c>
      <c r="J289" s="15"/>
      <c r="K289" s="16"/>
      <c r="L289" s="17"/>
      <c r="M289" s="18" t="s">
        <v>71</v>
      </c>
      <c r="N289" s="19"/>
      <c r="O289" s="20"/>
      <c r="P289" s="21" t="str">
        <f t="shared" si="4"/>
        <v>7-AR</v>
      </c>
      <c r="Q289" s="108" t="str">
        <f>HYPERLINK("#'마스터_품목'!A440","→ 마스터 R440")</f>
        <v>→ 마스터 R440</v>
      </c>
      <c r="R289" s="109">
        <v>440</v>
      </c>
      <c r="S289" s="109" t="s">
        <v>72</v>
      </c>
    </row>
    <row r="290" spans="1:19" ht="48" customHeight="1" x14ac:dyDescent="0.3">
      <c r="A290" s="22" t="s">
        <v>354</v>
      </c>
      <c r="B290" s="22" t="s">
        <v>882</v>
      </c>
      <c r="C290" s="23" t="s">
        <v>885</v>
      </c>
      <c r="D290" s="23" t="s">
        <v>846</v>
      </c>
      <c r="E290" s="23"/>
      <c r="F290" s="24" t="s">
        <v>71</v>
      </c>
      <c r="G290" s="25"/>
      <c r="H290" s="26"/>
      <c r="I290" s="27" t="str">
        <f>IFERROR(IF(OR($F290="O",$G290="O",$H290="O"),CHOOSE(MATCH($A290,{"튜브","고압","진공","튜닝","조립","출하"},0),"T","H","V","N","A","P")&amp;IF($F290="O","R",IF($G290="O","A",IF($H290="O","F",""))),""),"")</f>
        <v>AR</v>
      </c>
      <c r="J290" s="15"/>
      <c r="K290" s="16"/>
      <c r="L290" s="17"/>
      <c r="M290" s="18" t="s">
        <v>71</v>
      </c>
      <c r="N290" s="19"/>
      <c r="O290" s="20"/>
      <c r="P290" s="21" t="str">
        <f t="shared" si="4"/>
        <v>7-AR</v>
      </c>
      <c r="Q290" s="108" t="str">
        <f>HYPERLINK("#'마스터_품목'!A441","→ 마스터 R441")</f>
        <v>→ 마스터 R441</v>
      </c>
      <c r="R290" s="109">
        <v>441</v>
      </c>
      <c r="S290" s="109" t="s">
        <v>72</v>
      </c>
    </row>
    <row r="291" spans="1:19" ht="48" customHeight="1" x14ac:dyDescent="0.3">
      <c r="A291" s="22" t="s">
        <v>354</v>
      </c>
      <c r="B291" s="22" t="s">
        <v>882</v>
      </c>
      <c r="C291" s="23" t="s">
        <v>885</v>
      </c>
      <c r="D291" s="23" t="s">
        <v>848</v>
      </c>
      <c r="E291" s="23"/>
      <c r="F291" s="24" t="s">
        <v>71</v>
      </c>
      <c r="G291" s="25"/>
      <c r="H291" s="26"/>
      <c r="I291" s="27" t="str">
        <f>IFERROR(IF(OR($F291="O",$G291="O",$H291="O"),CHOOSE(MATCH($A291,{"튜브","고압","진공","튜닝","조립","출하"},0),"T","H","V","N","A","P")&amp;IF($F291="O","R",IF($G291="O","A",IF($H291="O","F",""))),""),"")</f>
        <v>AR</v>
      </c>
      <c r="J291" s="15"/>
      <c r="K291" s="16"/>
      <c r="L291" s="17"/>
      <c r="M291" s="18" t="s">
        <v>71</v>
      </c>
      <c r="N291" s="19"/>
      <c r="O291" s="20"/>
      <c r="P291" s="21" t="str">
        <f t="shared" si="4"/>
        <v>7-AR</v>
      </c>
      <c r="Q291" s="108" t="str">
        <f>HYPERLINK("#'마스터_품목'!A442","→ 마스터 R442")</f>
        <v>→ 마스터 R442</v>
      </c>
      <c r="R291" s="109">
        <v>442</v>
      </c>
      <c r="S291" s="109" t="s">
        <v>72</v>
      </c>
    </row>
    <row r="292" spans="1:19" ht="48" customHeight="1" x14ac:dyDescent="0.3">
      <c r="A292" s="22" t="s">
        <v>354</v>
      </c>
      <c r="B292" s="22" t="s">
        <v>882</v>
      </c>
      <c r="C292" s="23" t="s">
        <v>885</v>
      </c>
      <c r="D292" s="23" t="s">
        <v>874</v>
      </c>
      <c r="E292" s="23"/>
      <c r="F292" s="24" t="s">
        <v>71</v>
      </c>
      <c r="G292" s="25"/>
      <c r="H292" s="26"/>
      <c r="I292" s="27" t="str">
        <f>IFERROR(IF(OR($F292="O",$G292="O",$H292="O"),CHOOSE(MATCH($A292,{"튜브","고압","진공","튜닝","조립","출하"},0),"T","H","V","N","A","P")&amp;IF($F292="O","R",IF($G292="O","A",IF($H292="O","F",""))),""),"")</f>
        <v>AR</v>
      </c>
      <c r="J292" s="15"/>
      <c r="K292" s="16"/>
      <c r="L292" s="17"/>
      <c r="M292" s="18" t="s">
        <v>71</v>
      </c>
      <c r="N292" s="19"/>
      <c r="O292" s="20"/>
      <c r="P292" s="21" t="str">
        <f t="shared" si="4"/>
        <v>7-AR</v>
      </c>
      <c r="Q292" s="108" t="str">
        <f>HYPERLINK("#'마스터_품목'!A443","→ 마스터 R443")</f>
        <v>→ 마스터 R443</v>
      </c>
      <c r="R292" s="109">
        <v>443</v>
      </c>
      <c r="S292" s="109" t="s">
        <v>72</v>
      </c>
    </row>
    <row r="293" spans="1:19" ht="48" customHeight="1" x14ac:dyDescent="0.3">
      <c r="A293" s="22" t="s">
        <v>354</v>
      </c>
      <c r="B293" s="22" t="s">
        <v>882</v>
      </c>
      <c r="C293" s="23" t="s">
        <v>885</v>
      </c>
      <c r="D293" s="23" t="s">
        <v>886</v>
      </c>
      <c r="E293" s="23"/>
      <c r="F293" s="24" t="s">
        <v>71</v>
      </c>
      <c r="G293" s="25"/>
      <c r="H293" s="26"/>
      <c r="I293" s="27" t="str">
        <f>IFERROR(IF(OR($F293="O",$G293="O",$H293="O"),CHOOSE(MATCH($A293,{"튜브","고압","진공","튜닝","조립","출하"},0),"T","H","V","N","A","P")&amp;IF($F293="O","R",IF($G293="O","A",IF($H293="O","F",""))),""),"")</f>
        <v>AR</v>
      </c>
      <c r="J293" s="15"/>
      <c r="K293" s="16"/>
      <c r="L293" s="17"/>
      <c r="M293" s="18" t="s">
        <v>71</v>
      </c>
      <c r="N293" s="19"/>
      <c r="O293" s="20"/>
      <c r="P293" s="21" t="str">
        <f t="shared" si="4"/>
        <v>7-AR</v>
      </c>
      <c r="Q293" s="108" t="str">
        <f>HYPERLINK("#'마스터_품목'!A444","→ 마스터 R444")</f>
        <v>→ 마스터 R444</v>
      </c>
      <c r="R293" s="109">
        <v>444</v>
      </c>
      <c r="S293" s="109" t="s">
        <v>72</v>
      </c>
    </row>
    <row r="294" spans="1:19" ht="48" customHeight="1" x14ac:dyDescent="0.3">
      <c r="A294" s="22" t="s">
        <v>354</v>
      </c>
      <c r="B294" s="22" t="s">
        <v>354</v>
      </c>
      <c r="C294" s="23" t="s">
        <v>153</v>
      </c>
      <c r="D294" s="23" t="s">
        <v>887</v>
      </c>
      <c r="E294" s="23" t="s">
        <v>888</v>
      </c>
      <c r="F294" s="24" t="s">
        <v>71</v>
      </c>
      <c r="G294" s="25"/>
      <c r="H294" s="26"/>
      <c r="I294" s="27" t="str">
        <f>IFERROR(IF(OR($F294="O",$G294="O",$H294="O"),CHOOSE(MATCH($A294,{"튜브","고압","진공","튜닝","조립","출하"},0),"T","H","V","N","A","P")&amp;IF($F294="O","R",IF($G294="O","A",IF($H294="O","F",""))),""),"")</f>
        <v>AR</v>
      </c>
      <c r="J294" s="15"/>
      <c r="K294" s="16"/>
      <c r="L294" s="17"/>
      <c r="M294" s="18" t="s">
        <v>71</v>
      </c>
      <c r="N294" s="19"/>
      <c r="O294" s="20"/>
      <c r="P294" s="21" t="str">
        <f t="shared" si="4"/>
        <v>7-AR</v>
      </c>
      <c r="Q294" s="108" t="str">
        <f>HYPERLINK("#'마스터_품목'!A445","→ 마스터 R445")</f>
        <v>→ 마스터 R445</v>
      </c>
      <c r="R294" s="109">
        <v>445</v>
      </c>
      <c r="S294" s="109" t="s">
        <v>72</v>
      </c>
    </row>
    <row r="295" spans="1:19" ht="48" customHeight="1" x14ac:dyDescent="0.3">
      <c r="A295" s="22" t="s">
        <v>354</v>
      </c>
      <c r="B295" s="22" t="s">
        <v>354</v>
      </c>
      <c r="C295" s="23" t="s">
        <v>889</v>
      </c>
      <c r="D295" s="23" t="s">
        <v>890</v>
      </c>
      <c r="E295" s="23" t="s">
        <v>891</v>
      </c>
      <c r="F295" s="24" t="s">
        <v>71</v>
      </c>
      <c r="G295" s="25"/>
      <c r="H295" s="26"/>
      <c r="I295" s="27" t="str">
        <f>IFERROR(IF(OR($F295="O",$G295="O",$H295="O"),CHOOSE(MATCH($A295,{"튜브","고압","진공","튜닝","조립","출하"},0),"T","H","V","N","A","P")&amp;IF($F295="O","R",IF($G295="O","A",IF($H295="O","F",""))),""),"")</f>
        <v>AR</v>
      </c>
      <c r="J295" s="15"/>
      <c r="K295" s="16"/>
      <c r="L295" s="17"/>
      <c r="M295" s="18" t="s">
        <v>71</v>
      </c>
      <c r="N295" s="19"/>
      <c r="O295" s="20"/>
      <c r="P295" s="21" t="str">
        <f t="shared" si="4"/>
        <v>7-AR</v>
      </c>
      <c r="Q295" s="108" t="str">
        <f>HYPERLINK("#'마스터_품목'!A446","→ 마스터 R446")</f>
        <v>→ 마스터 R446</v>
      </c>
      <c r="R295" s="109">
        <v>446</v>
      </c>
      <c r="S295" s="109" t="s">
        <v>72</v>
      </c>
    </row>
    <row r="296" spans="1:19" ht="48" customHeight="1" x14ac:dyDescent="0.3">
      <c r="A296" s="22" t="s">
        <v>354</v>
      </c>
      <c r="B296" s="22" t="s">
        <v>354</v>
      </c>
      <c r="C296" s="23" t="s">
        <v>153</v>
      </c>
      <c r="D296" s="23" t="s">
        <v>892</v>
      </c>
      <c r="E296" s="23" t="s">
        <v>893</v>
      </c>
      <c r="F296" s="24" t="s">
        <v>71</v>
      </c>
      <c r="G296" s="25"/>
      <c r="H296" s="26"/>
      <c r="I296" s="27" t="str">
        <f>IFERROR(IF(OR($F296="O",$G296="O",$H296="O"),CHOOSE(MATCH($A296,{"튜브","고압","진공","튜닝","조립","출하"},0),"T","H","V","N","A","P")&amp;IF($F296="O","R",IF($G296="O","A",IF($H296="O","F",""))),""),"")</f>
        <v>AR</v>
      </c>
      <c r="J296" s="15"/>
      <c r="K296" s="16"/>
      <c r="L296" s="17"/>
      <c r="M296" s="18" t="s">
        <v>71</v>
      </c>
      <c r="N296" s="19"/>
      <c r="O296" s="20"/>
      <c r="P296" s="21" t="str">
        <f t="shared" si="4"/>
        <v>7-AR</v>
      </c>
      <c r="Q296" s="108" t="str">
        <f>HYPERLINK("#'마스터_품목'!A447","→ 마스터 R447")</f>
        <v>→ 마스터 R447</v>
      </c>
      <c r="R296" s="109">
        <v>447</v>
      </c>
      <c r="S296" s="109" t="s">
        <v>72</v>
      </c>
    </row>
    <row r="297" spans="1:19" ht="48" customHeight="1" x14ac:dyDescent="0.3">
      <c r="A297" s="22" t="s">
        <v>354</v>
      </c>
      <c r="B297" s="22" t="s">
        <v>354</v>
      </c>
      <c r="C297" s="23" t="s">
        <v>153</v>
      </c>
      <c r="D297" s="23" t="s">
        <v>894</v>
      </c>
      <c r="E297" s="23" t="s">
        <v>895</v>
      </c>
      <c r="F297" s="24" t="s">
        <v>71</v>
      </c>
      <c r="G297" s="25"/>
      <c r="H297" s="26"/>
      <c r="I297" s="27" t="str">
        <f>IFERROR(IF(OR($F297="O",$G297="O",$H297="O"),CHOOSE(MATCH($A297,{"튜브","고압","진공","튜닝","조립","출하"},0),"T","H","V","N","A","P")&amp;IF($F297="O","R",IF($G297="O","A",IF($H297="O","F",""))),""),"")</f>
        <v>AR</v>
      </c>
      <c r="J297" s="15"/>
      <c r="K297" s="16"/>
      <c r="L297" s="17"/>
      <c r="M297" s="18" t="s">
        <v>71</v>
      </c>
      <c r="N297" s="19"/>
      <c r="O297" s="20"/>
      <c r="P297" s="21" t="str">
        <f t="shared" si="4"/>
        <v>7-AR</v>
      </c>
      <c r="Q297" s="108" t="str">
        <f>HYPERLINK("#'마스터_품목'!A448","→ 마스터 R448")</f>
        <v>→ 마스터 R448</v>
      </c>
      <c r="R297" s="109">
        <v>448</v>
      </c>
      <c r="S297" s="109" t="s">
        <v>72</v>
      </c>
    </row>
    <row r="298" spans="1:19" ht="48" customHeight="1" x14ac:dyDescent="0.3">
      <c r="A298" s="22" t="s">
        <v>354</v>
      </c>
      <c r="B298" s="22" t="s">
        <v>354</v>
      </c>
      <c r="C298" s="23" t="s">
        <v>889</v>
      </c>
      <c r="D298" s="23" t="s">
        <v>896</v>
      </c>
      <c r="E298" s="23" t="s">
        <v>897</v>
      </c>
      <c r="F298" s="24" t="s">
        <v>71</v>
      </c>
      <c r="G298" s="25"/>
      <c r="H298" s="26"/>
      <c r="I298" s="27" t="str">
        <f>IFERROR(IF(OR($F298="O",$G298="O",$H298="O"),CHOOSE(MATCH($A298,{"튜브","고압","진공","튜닝","조립","출하"},0),"T","H","V","N","A","P")&amp;IF($F298="O","R",IF($G298="O","A",IF($H298="O","F",""))),""),"")</f>
        <v>AR</v>
      </c>
      <c r="J298" s="15"/>
      <c r="K298" s="16"/>
      <c r="L298" s="17"/>
      <c r="M298" s="18" t="s">
        <v>71</v>
      </c>
      <c r="N298" s="19"/>
      <c r="O298" s="20"/>
      <c r="P298" s="21" t="str">
        <f t="shared" si="4"/>
        <v>7-AR</v>
      </c>
      <c r="Q298" s="108" t="str">
        <f>HYPERLINK("#'마스터_품목'!A449","→ 마스터 R449")</f>
        <v>→ 마스터 R449</v>
      </c>
      <c r="R298" s="109">
        <v>449</v>
      </c>
      <c r="S298" s="109" t="s">
        <v>72</v>
      </c>
    </row>
    <row r="299" spans="1:19" ht="48" customHeight="1" x14ac:dyDescent="0.3">
      <c r="A299" s="22" t="s">
        <v>354</v>
      </c>
      <c r="B299" s="22" t="s">
        <v>354</v>
      </c>
      <c r="C299" s="23" t="s">
        <v>889</v>
      </c>
      <c r="D299" s="23" t="s">
        <v>898</v>
      </c>
      <c r="E299" s="23" t="s">
        <v>899</v>
      </c>
      <c r="F299" s="24" t="s">
        <v>71</v>
      </c>
      <c r="G299" s="25"/>
      <c r="H299" s="26"/>
      <c r="I299" s="27" t="str">
        <f>IFERROR(IF(OR($F299="O",$G299="O",$H299="O"),CHOOSE(MATCH($A299,{"튜브","고압","진공","튜닝","조립","출하"},0),"T","H","V","N","A","P")&amp;IF($F299="O","R",IF($G299="O","A",IF($H299="O","F",""))),""),"")</f>
        <v>AR</v>
      </c>
      <c r="J299" s="15"/>
      <c r="K299" s="16"/>
      <c r="L299" s="17"/>
      <c r="M299" s="18" t="s">
        <v>71</v>
      </c>
      <c r="N299" s="19"/>
      <c r="O299" s="20"/>
      <c r="P299" s="21" t="str">
        <f t="shared" si="4"/>
        <v>7-AR</v>
      </c>
      <c r="Q299" s="108" t="str">
        <f>HYPERLINK("#'마스터_품목'!A450","→ 마스터 R450")</f>
        <v>→ 마스터 R450</v>
      </c>
      <c r="R299" s="109">
        <v>450</v>
      </c>
      <c r="S299" s="109" t="s">
        <v>72</v>
      </c>
    </row>
    <row r="300" spans="1:19" ht="48" customHeight="1" x14ac:dyDescent="0.3">
      <c r="A300" s="22" t="s">
        <v>354</v>
      </c>
      <c r="B300" s="22" t="s">
        <v>354</v>
      </c>
      <c r="C300" s="23" t="s">
        <v>153</v>
      </c>
      <c r="D300" s="23" t="s">
        <v>900</v>
      </c>
      <c r="E300" s="23" t="s">
        <v>901</v>
      </c>
      <c r="F300" s="24" t="s">
        <v>71</v>
      </c>
      <c r="G300" s="25"/>
      <c r="H300" s="26"/>
      <c r="I300" s="27" t="str">
        <f>IFERROR(IF(OR($F300="O",$G300="O",$H300="O"),CHOOSE(MATCH($A300,{"튜브","고압","진공","튜닝","조립","출하"},0),"T","H","V","N","A","P")&amp;IF($F300="O","R",IF($G300="O","A",IF($H300="O","F",""))),""),"")</f>
        <v>AR</v>
      </c>
      <c r="J300" s="15"/>
      <c r="K300" s="16"/>
      <c r="L300" s="17"/>
      <c r="M300" s="18" t="s">
        <v>71</v>
      </c>
      <c r="N300" s="19"/>
      <c r="O300" s="20"/>
      <c r="P300" s="21" t="str">
        <f t="shared" si="4"/>
        <v>7-AR</v>
      </c>
      <c r="Q300" s="108" t="str">
        <f>HYPERLINK("#'마스터_품목'!A451","→ 마스터 R451")</f>
        <v>→ 마스터 R451</v>
      </c>
      <c r="R300" s="109">
        <v>451</v>
      </c>
      <c r="S300" s="109" t="s">
        <v>72</v>
      </c>
    </row>
    <row r="301" spans="1:19" ht="48" customHeight="1" x14ac:dyDescent="0.3">
      <c r="A301" s="22" t="s">
        <v>354</v>
      </c>
      <c r="B301" s="22" t="s">
        <v>354</v>
      </c>
      <c r="C301" s="23" t="s">
        <v>153</v>
      </c>
      <c r="D301" s="23" t="s">
        <v>902</v>
      </c>
      <c r="E301" s="23" t="s">
        <v>903</v>
      </c>
      <c r="F301" s="24" t="s">
        <v>71</v>
      </c>
      <c r="G301" s="25"/>
      <c r="H301" s="26"/>
      <c r="I301" s="27" t="str">
        <f>IFERROR(IF(OR($F301="O",$G301="O",$H301="O"),CHOOSE(MATCH($A301,{"튜브","고압","진공","튜닝","조립","출하"},0),"T","H","V","N","A","P")&amp;IF($F301="O","R",IF($G301="O","A",IF($H301="O","F",""))),""),"")</f>
        <v>AR</v>
      </c>
      <c r="J301" s="15"/>
      <c r="K301" s="16"/>
      <c r="L301" s="17"/>
      <c r="M301" s="18" t="s">
        <v>71</v>
      </c>
      <c r="N301" s="19"/>
      <c r="O301" s="20"/>
      <c r="P301" s="21" t="str">
        <f t="shared" si="4"/>
        <v>7-AR</v>
      </c>
      <c r="Q301" s="108" t="str">
        <f>HYPERLINK("#'마스터_품목'!A452","→ 마스터 R452")</f>
        <v>→ 마스터 R452</v>
      </c>
      <c r="R301" s="109">
        <v>452</v>
      </c>
      <c r="S301" s="109" t="s">
        <v>72</v>
      </c>
    </row>
    <row r="302" spans="1:19" ht="48" customHeight="1" x14ac:dyDescent="0.3">
      <c r="A302" s="22" t="s">
        <v>354</v>
      </c>
      <c r="B302" s="22" t="s">
        <v>354</v>
      </c>
      <c r="C302" s="23" t="s">
        <v>153</v>
      </c>
      <c r="D302" s="23" t="s">
        <v>904</v>
      </c>
      <c r="E302" s="23" t="s">
        <v>905</v>
      </c>
      <c r="F302" s="24" t="s">
        <v>71</v>
      </c>
      <c r="G302" s="25"/>
      <c r="H302" s="26"/>
      <c r="I302" s="27" t="str">
        <f>IFERROR(IF(OR($F302="O",$G302="O",$H302="O"),CHOOSE(MATCH($A302,{"튜브","고압","진공","튜닝","조립","출하"},0),"T","H","V","N","A","P")&amp;IF($F302="O","R",IF($G302="O","A",IF($H302="O","F",""))),""),"")</f>
        <v>AR</v>
      </c>
      <c r="J302" s="15"/>
      <c r="K302" s="16"/>
      <c r="L302" s="17" t="s">
        <v>71</v>
      </c>
      <c r="M302" s="18" t="s">
        <v>71</v>
      </c>
      <c r="N302" s="19"/>
      <c r="O302" s="20"/>
      <c r="P302" s="21" t="str">
        <f t="shared" si="4"/>
        <v>67-AR</v>
      </c>
      <c r="Q302" s="108" t="str">
        <f>HYPERLINK("#'마스터_품목'!A453","→ 마스터 R453")</f>
        <v>→ 마스터 R453</v>
      </c>
      <c r="R302" s="109">
        <v>453</v>
      </c>
      <c r="S302" s="109" t="s">
        <v>72</v>
      </c>
    </row>
    <row r="303" spans="1:19" ht="48" customHeight="1" x14ac:dyDescent="0.3">
      <c r="A303" s="22" t="s">
        <v>354</v>
      </c>
      <c r="B303" s="22" t="s">
        <v>354</v>
      </c>
      <c r="C303" s="23" t="s">
        <v>153</v>
      </c>
      <c r="D303" s="23" t="s">
        <v>906</v>
      </c>
      <c r="E303" s="23" t="s">
        <v>907</v>
      </c>
      <c r="F303" s="24" t="s">
        <v>71</v>
      </c>
      <c r="G303" s="25"/>
      <c r="H303" s="26"/>
      <c r="I303" s="27" t="str">
        <f>IFERROR(IF(OR($F303="O",$G303="O",$H303="O"),CHOOSE(MATCH($A303,{"튜브","고압","진공","튜닝","조립","출하"},0),"T","H","V","N","A","P")&amp;IF($F303="O","R",IF($G303="O","A",IF($H303="O","F",""))),""),"")</f>
        <v>AR</v>
      </c>
      <c r="J303" s="15" t="s">
        <v>71</v>
      </c>
      <c r="K303" s="16"/>
      <c r="L303" s="17"/>
      <c r="M303" s="18" t="s">
        <v>71</v>
      </c>
      <c r="N303" s="19"/>
      <c r="O303" s="20"/>
      <c r="P303" s="21" t="str">
        <f t="shared" si="4"/>
        <v>37-AR</v>
      </c>
      <c r="Q303" s="108" t="str">
        <f>HYPERLINK("#'마스터_품목'!A454","→ 마스터 R454")</f>
        <v>→ 마스터 R454</v>
      </c>
      <c r="R303" s="109">
        <v>454</v>
      </c>
      <c r="S303" s="109" t="s">
        <v>72</v>
      </c>
    </row>
    <row r="304" spans="1:19" ht="48" customHeight="1" x14ac:dyDescent="0.3">
      <c r="A304" s="22" t="s">
        <v>354</v>
      </c>
      <c r="B304" s="22" t="s">
        <v>415</v>
      </c>
      <c r="C304" s="23" t="s">
        <v>153</v>
      </c>
      <c r="D304" s="23" t="s">
        <v>908</v>
      </c>
      <c r="E304" s="23" t="s">
        <v>909</v>
      </c>
      <c r="F304" s="24" t="s">
        <v>71</v>
      </c>
      <c r="G304" s="25"/>
      <c r="H304" s="26"/>
      <c r="I304" s="27" t="str">
        <f>IFERROR(IF(OR($F304="O",$G304="O",$H304="O"),CHOOSE(MATCH($A304,{"튜브","고압","진공","튜닝","조립","출하"},0),"T","H","V","N","A","P")&amp;IF($F304="O","R",IF($G304="O","A",IF($H304="O","F",""))),""),"")</f>
        <v>AR</v>
      </c>
      <c r="J304" s="15"/>
      <c r="K304" s="16"/>
      <c r="L304" s="17"/>
      <c r="M304" s="18" t="s">
        <v>71</v>
      </c>
      <c r="N304" s="19"/>
      <c r="O304" s="20"/>
      <c r="P304" s="21" t="str">
        <f t="shared" si="4"/>
        <v>7-AR</v>
      </c>
      <c r="Q304" s="108" t="str">
        <f>HYPERLINK("#'마스터_품목'!A455","→ 마스터 R455")</f>
        <v>→ 마스터 R455</v>
      </c>
      <c r="R304" s="109">
        <v>455</v>
      </c>
      <c r="S304" s="109" t="s">
        <v>72</v>
      </c>
    </row>
    <row r="305" spans="1:19" ht="48" customHeight="1" x14ac:dyDescent="0.3">
      <c r="A305" s="22" t="s">
        <v>354</v>
      </c>
      <c r="B305" s="22" t="s">
        <v>415</v>
      </c>
      <c r="C305" s="23" t="s">
        <v>153</v>
      </c>
      <c r="D305" s="23" t="s">
        <v>910</v>
      </c>
      <c r="E305" s="23" t="s">
        <v>911</v>
      </c>
      <c r="F305" s="24" t="s">
        <v>71</v>
      </c>
      <c r="G305" s="25"/>
      <c r="H305" s="26"/>
      <c r="I305" s="27" t="str">
        <f>IFERROR(IF(OR($F305="O",$G305="O",$H305="O"),CHOOSE(MATCH($A305,{"튜브","고압","진공","튜닝","조립","출하"},0),"T","H","V","N","A","P")&amp;IF($F305="O","R",IF($G305="O","A",IF($H305="O","F",""))),""),"")</f>
        <v>AR</v>
      </c>
      <c r="J305" s="15"/>
      <c r="K305" s="16"/>
      <c r="L305" s="17"/>
      <c r="M305" s="18" t="s">
        <v>71</v>
      </c>
      <c r="N305" s="19"/>
      <c r="O305" s="20"/>
      <c r="P305" s="21" t="str">
        <f t="shared" si="4"/>
        <v>7-AR</v>
      </c>
      <c r="Q305" s="108" t="str">
        <f>HYPERLINK("#'마스터_품목'!A456","→ 마스터 R456")</f>
        <v>→ 마스터 R456</v>
      </c>
      <c r="R305" s="109">
        <v>456</v>
      </c>
      <c r="S305" s="109" t="s">
        <v>72</v>
      </c>
    </row>
    <row r="306" spans="1:19" ht="48" customHeight="1" x14ac:dyDescent="0.3">
      <c r="A306" s="22" t="s">
        <v>354</v>
      </c>
      <c r="B306" s="22" t="s">
        <v>415</v>
      </c>
      <c r="C306" s="23" t="s">
        <v>153</v>
      </c>
      <c r="D306" s="23" t="s">
        <v>912</v>
      </c>
      <c r="E306" s="23" t="s">
        <v>913</v>
      </c>
      <c r="F306" s="24" t="s">
        <v>71</v>
      </c>
      <c r="G306" s="25"/>
      <c r="H306" s="26"/>
      <c r="I306" s="27" t="str">
        <f>IFERROR(IF(OR($F306="O",$G306="O",$H306="O"),CHOOSE(MATCH($A306,{"튜브","고압","진공","튜닝","조립","출하"},0),"T","H","V","N","A","P")&amp;IF($F306="O","R",IF($G306="O","A",IF($H306="O","F",""))),""),"")</f>
        <v>AR</v>
      </c>
      <c r="J306" s="15"/>
      <c r="K306" s="16"/>
      <c r="L306" s="17"/>
      <c r="M306" s="18" t="s">
        <v>71</v>
      </c>
      <c r="N306" s="19"/>
      <c r="O306" s="20"/>
      <c r="P306" s="21" t="str">
        <f t="shared" si="4"/>
        <v>7-AR</v>
      </c>
      <c r="Q306" s="108" t="str">
        <f>HYPERLINK("#'마스터_품목'!A457","→ 마스터 R457")</f>
        <v>→ 마스터 R457</v>
      </c>
      <c r="R306" s="109">
        <v>457</v>
      </c>
      <c r="S306" s="109" t="s">
        <v>72</v>
      </c>
    </row>
    <row r="307" spans="1:19" ht="48" customHeight="1" x14ac:dyDescent="0.3">
      <c r="A307" s="22" t="s">
        <v>354</v>
      </c>
      <c r="B307" s="22" t="s">
        <v>415</v>
      </c>
      <c r="C307" s="23" t="s">
        <v>153</v>
      </c>
      <c r="D307" s="23" t="s">
        <v>914</v>
      </c>
      <c r="E307" s="23" t="s">
        <v>915</v>
      </c>
      <c r="F307" s="24" t="s">
        <v>71</v>
      </c>
      <c r="G307" s="25"/>
      <c r="H307" s="26"/>
      <c r="I307" s="27" t="str">
        <f>IFERROR(IF(OR($F307="O",$G307="O",$H307="O"),CHOOSE(MATCH($A307,{"튜브","고압","진공","튜닝","조립","출하"},0),"T","H","V","N","A","P")&amp;IF($F307="O","R",IF($G307="O","A",IF($H307="O","F",""))),""),"")</f>
        <v>AR</v>
      </c>
      <c r="J307" s="15"/>
      <c r="K307" s="16"/>
      <c r="L307" s="17"/>
      <c r="M307" s="18" t="s">
        <v>71</v>
      </c>
      <c r="N307" s="19"/>
      <c r="O307" s="20"/>
      <c r="P307" s="21" t="str">
        <f t="shared" si="4"/>
        <v>7-AR</v>
      </c>
      <c r="Q307" s="108" t="str">
        <f>HYPERLINK("#'마스터_품목'!A458","→ 마스터 R458")</f>
        <v>→ 마스터 R458</v>
      </c>
      <c r="R307" s="109">
        <v>458</v>
      </c>
      <c r="S307" s="109" t="s">
        <v>72</v>
      </c>
    </row>
    <row r="308" spans="1:19" ht="48" customHeight="1" x14ac:dyDescent="0.3">
      <c r="A308" s="22" t="s">
        <v>354</v>
      </c>
      <c r="B308" s="22" t="s">
        <v>415</v>
      </c>
      <c r="C308" s="23" t="s">
        <v>153</v>
      </c>
      <c r="D308" s="23" t="s">
        <v>916</v>
      </c>
      <c r="E308" s="23" t="s">
        <v>917</v>
      </c>
      <c r="F308" s="24" t="s">
        <v>71</v>
      </c>
      <c r="G308" s="25"/>
      <c r="H308" s="26"/>
      <c r="I308" s="27" t="str">
        <f>IFERROR(IF(OR($F308="O",$G308="O",$H308="O"),CHOOSE(MATCH($A308,{"튜브","고압","진공","튜닝","조립","출하"},0),"T","H","V","N","A","P")&amp;IF($F308="O","R",IF($G308="O","A",IF($H308="O","F",""))),""),"")</f>
        <v>AR</v>
      </c>
      <c r="J308" s="15"/>
      <c r="K308" s="16"/>
      <c r="L308" s="17"/>
      <c r="M308" s="18" t="s">
        <v>71</v>
      </c>
      <c r="N308" s="19"/>
      <c r="O308" s="20"/>
      <c r="P308" s="21" t="str">
        <f t="shared" si="4"/>
        <v>7-AR</v>
      </c>
      <c r="Q308" s="108" t="str">
        <f>HYPERLINK("#'마스터_품목'!A459","→ 마스터 R459")</f>
        <v>→ 마스터 R459</v>
      </c>
      <c r="R308" s="109">
        <v>459</v>
      </c>
      <c r="S308" s="109" t="s">
        <v>72</v>
      </c>
    </row>
    <row r="309" spans="1:19" ht="48" customHeight="1" x14ac:dyDescent="0.3">
      <c r="A309" s="22" t="s">
        <v>354</v>
      </c>
      <c r="B309" s="22" t="s">
        <v>415</v>
      </c>
      <c r="C309" s="23" t="s">
        <v>153</v>
      </c>
      <c r="D309" s="23" t="s">
        <v>918</v>
      </c>
      <c r="E309" s="23" t="s">
        <v>919</v>
      </c>
      <c r="F309" s="24" t="s">
        <v>71</v>
      </c>
      <c r="G309" s="25"/>
      <c r="H309" s="26"/>
      <c r="I309" s="27" t="str">
        <f>IFERROR(IF(OR($F309="O",$G309="O",$H309="O"),CHOOSE(MATCH($A309,{"튜브","고압","진공","튜닝","조립","출하"},0),"T","H","V","N","A","P")&amp;IF($F309="O","R",IF($G309="O","A",IF($H309="O","F",""))),""),"")</f>
        <v>AR</v>
      </c>
      <c r="J309" s="15"/>
      <c r="K309" s="16"/>
      <c r="L309" s="17"/>
      <c r="M309" s="18" t="s">
        <v>71</v>
      </c>
      <c r="N309" s="19"/>
      <c r="O309" s="20"/>
      <c r="P309" s="21" t="str">
        <f t="shared" si="4"/>
        <v>7-AR</v>
      </c>
      <c r="Q309" s="108" t="str">
        <f>HYPERLINK("#'마스터_품목'!A460","→ 마스터 R460")</f>
        <v>→ 마스터 R460</v>
      </c>
      <c r="R309" s="109">
        <v>460</v>
      </c>
      <c r="S309" s="109" t="s">
        <v>72</v>
      </c>
    </row>
    <row r="310" spans="1:19" ht="48" customHeight="1" x14ac:dyDescent="0.3">
      <c r="A310" s="22" t="s">
        <v>354</v>
      </c>
      <c r="B310" s="22" t="s">
        <v>415</v>
      </c>
      <c r="C310" s="23" t="s">
        <v>153</v>
      </c>
      <c r="D310" s="23" t="s">
        <v>920</v>
      </c>
      <c r="E310" s="23" t="s">
        <v>921</v>
      </c>
      <c r="F310" s="24" t="s">
        <v>71</v>
      </c>
      <c r="G310" s="25"/>
      <c r="H310" s="26"/>
      <c r="I310" s="27" t="str">
        <f>IFERROR(IF(OR($F310="O",$G310="O",$H310="O"),CHOOSE(MATCH($A310,{"튜브","고압","진공","튜닝","조립","출하"},0),"T","H","V","N","A","P")&amp;IF($F310="O","R",IF($G310="O","A",IF($H310="O","F",""))),""),"")</f>
        <v>AR</v>
      </c>
      <c r="J310" s="15"/>
      <c r="K310" s="16"/>
      <c r="L310" s="17"/>
      <c r="M310" s="18" t="s">
        <v>71</v>
      </c>
      <c r="N310" s="19"/>
      <c r="O310" s="20"/>
      <c r="P310" s="21" t="str">
        <f t="shared" si="4"/>
        <v>7-AR</v>
      </c>
      <c r="Q310" s="108" t="str">
        <f>HYPERLINK("#'마스터_품목'!A461","→ 마스터 R461")</f>
        <v>→ 마스터 R461</v>
      </c>
      <c r="R310" s="109">
        <v>461</v>
      </c>
      <c r="S310" s="109" t="s">
        <v>72</v>
      </c>
    </row>
    <row r="311" spans="1:19" ht="48" customHeight="1" x14ac:dyDescent="0.3">
      <c r="A311" s="22" t="s">
        <v>354</v>
      </c>
      <c r="B311" s="22" t="s">
        <v>536</v>
      </c>
      <c r="C311" s="23" t="s">
        <v>153</v>
      </c>
      <c r="D311" s="23" t="s">
        <v>922</v>
      </c>
      <c r="E311" s="23" t="s">
        <v>923</v>
      </c>
      <c r="F311" s="24" t="s">
        <v>71</v>
      </c>
      <c r="G311" s="25"/>
      <c r="H311" s="26"/>
      <c r="I311" s="27" t="str">
        <f>IFERROR(IF(OR($F311="O",$G311="O",$H311="O"),CHOOSE(MATCH($A311,{"튜브","고압","진공","튜닝","조립","출하"},0),"T","H","V","N","A","P")&amp;IF($F311="O","R",IF($G311="O","A",IF($H311="O","F",""))),""),"")</f>
        <v>AR</v>
      </c>
      <c r="J311" s="15"/>
      <c r="K311" s="16"/>
      <c r="L311" s="17"/>
      <c r="M311" s="18" t="s">
        <v>71</v>
      </c>
      <c r="N311" s="19"/>
      <c r="O311" s="20"/>
      <c r="P311" s="21" t="str">
        <f t="shared" si="4"/>
        <v>7-AR</v>
      </c>
      <c r="Q311" s="108" t="str">
        <f>HYPERLINK("#'마스터_품목'!A462","→ 마스터 R462")</f>
        <v>→ 마스터 R462</v>
      </c>
      <c r="R311" s="109">
        <v>462</v>
      </c>
      <c r="S311" s="109" t="s">
        <v>72</v>
      </c>
    </row>
    <row r="312" spans="1:19" ht="48" customHeight="1" x14ac:dyDescent="0.3">
      <c r="A312" s="22" t="s">
        <v>354</v>
      </c>
      <c r="B312" s="22" t="s">
        <v>536</v>
      </c>
      <c r="C312" s="23" t="s">
        <v>153</v>
      </c>
      <c r="D312" s="23" t="s">
        <v>924</v>
      </c>
      <c r="E312" s="23" t="s">
        <v>925</v>
      </c>
      <c r="F312" s="24" t="s">
        <v>71</v>
      </c>
      <c r="G312" s="25"/>
      <c r="H312" s="26"/>
      <c r="I312" s="27" t="str">
        <f>IFERROR(IF(OR($F312="O",$G312="O",$H312="O"),CHOOSE(MATCH($A312,{"튜브","고압","진공","튜닝","조립","출하"},0),"T","H","V","N","A","P")&amp;IF($F312="O","R",IF($G312="O","A",IF($H312="O","F",""))),""),"")</f>
        <v>AR</v>
      </c>
      <c r="J312" s="15"/>
      <c r="K312" s="16"/>
      <c r="L312" s="17"/>
      <c r="M312" s="18" t="s">
        <v>71</v>
      </c>
      <c r="N312" s="19"/>
      <c r="O312" s="20"/>
      <c r="P312" s="21" t="str">
        <f t="shared" si="4"/>
        <v>7-AR</v>
      </c>
      <c r="Q312" s="108" t="str">
        <f>HYPERLINK("#'마스터_품목'!A463","→ 마스터 R463")</f>
        <v>→ 마스터 R463</v>
      </c>
      <c r="R312" s="109">
        <v>463</v>
      </c>
      <c r="S312" s="109" t="s">
        <v>72</v>
      </c>
    </row>
    <row r="313" spans="1:19" ht="48" customHeight="1" x14ac:dyDescent="0.3">
      <c r="A313" s="22" t="s">
        <v>354</v>
      </c>
      <c r="B313" s="22" t="s">
        <v>536</v>
      </c>
      <c r="C313" s="23" t="s">
        <v>153</v>
      </c>
      <c r="D313" s="23" t="s">
        <v>926</v>
      </c>
      <c r="E313" s="23" t="s">
        <v>927</v>
      </c>
      <c r="F313" s="24" t="s">
        <v>71</v>
      </c>
      <c r="G313" s="25"/>
      <c r="H313" s="26"/>
      <c r="I313" s="27" t="str">
        <f>IFERROR(IF(OR($F313="O",$G313="O",$H313="O"),CHOOSE(MATCH($A313,{"튜브","고압","진공","튜닝","조립","출하"},0),"T","H","V","N","A","P")&amp;IF($F313="O","R",IF($G313="O","A",IF($H313="O","F",""))),""),"")</f>
        <v>AR</v>
      </c>
      <c r="J313" s="15"/>
      <c r="K313" s="16"/>
      <c r="L313" s="17"/>
      <c r="M313" s="18" t="s">
        <v>71</v>
      </c>
      <c r="N313" s="19"/>
      <c r="O313" s="20"/>
      <c r="P313" s="21" t="str">
        <f t="shared" si="4"/>
        <v>7-AR</v>
      </c>
      <c r="Q313" s="108" t="str">
        <f>HYPERLINK("#'마스터_품목'!A464","→ 마스터 R464")</f>
        <v>→ 마스터 R464</v>
      </c>
      <c r="R313" s="109">
        <v>464</v>
      </c>
      <c r="S313" s="109" t="s">
        <v>72</v>
      </c>
    </row>
    <row r="314" spans="1:19" ht="48" customHeight="1" x14ac:dyDescent="0.3">
      <c r="A314" s="22" t="s">
        <v>354</v>
      </c>
      <c r="B314" s="22" t="s">
        <v>536</v>
      </c>
      <c r="C314" s="23" t="s">
        <v>153</v>
      </c>
      <c r="D314" s="23" t="s">
        <v>928</v>
      </c>
      <c r="E314" s="23" t="s">
        <v>929</v>
      </c>
      <c r="F314" s="24" t="s">
        <v>71</v>
      </c>
      <c r="G314" s="25"/>
      <c r="H314" s="26"/>
      <c r="I314" s="27" t="str">
        <f>IFERROR(IF(OR($F314="O",$G314="O",$H314="O"),CHOOSE(MATCH($A314,{"튜브","고압","진공","튜닝","조립","출하"},0),"T","H","V","N","A","P")&amp;IF($F314="O","R",IF($G314="O","A",IF($H314="O","F",""))),""),"")</f>
        <v>AR</v>
      </c>
      <c r="J314" s="15"/>
      <c r="K314" s="16"/>
      <c r="L314" s="17"/>
      <c r="M314" s="18" t="s">
        <v>71</v>
      </c>
      <c r="N314" s="19"/>
      <c r="O314" s="20"/>
      <c r="P314" s="21" t="str">
        <f t="shared" si="4"/>
        <v>7-AR</v>
      </c>
      <c r="Q314" s="108" t="str">
        <f>HYPERLINK("#'마스터_품목'!A465","→ 마스터 R465")</f>
        <v>→ 마스터 R465</v>
      </c>
      <c r="R314" s="109">
        <v>465</v>
      </c>
      <c r="S314" s="109" t="s">
        <v>72</v>
      </c>
    </row>
    <row r="315" spans="1:19" ht="48" customHeight="1" x14ac:dyDescent="0.3">
      <c r="A315" s="22" t="s">
        <v>354</v>
      </c>
      <c r="B315" s="22" t="s">
        <v>536</v>
      </c>
      <c r="C315" s="23" t="s">
        <v>153</v>
      </c>
      <c r="D315" s="23" t="s">
        <v>930</v>
      </c>
      <c r="E315" s="23"/>
      <c r="F315" s="24" t="s">
        <v>71</v>
      </c>
      <c r="G315" s="25"/>
      <c r="H315" s="26"/>
      <c r="I315" s="27" t="str">
        <f>IFERROR(IF(OR($F315="O",$G315="O",$H315="O"),CHOOSE(MATCH($A315,{"튜브","고압","진공","튜닝","조립","출하"},0),"T","H","V","N","A","P")&amp;IF($F315="O","R",IF($G315="O","A",IF($H315="O","F",""))),""),"")</f>
        <v>AR</v>
      </c>
      <c r="J315" s="15"/>
      <c r="K315" s="16"/>
      <c r="L315" s="17"/>
      <c r="M315" s="18" t="s">
        <v>71</v>
      </c>
      <c r="N315" s="19"/>
      <c r="O315" s="20"/>
      <c r="P315" s="21" t="str">
        <f t="shared" si="4"/>
        <v>7-AR</v>
      </c>
      <c r="Q315" s="108" t="str">
        <f>HYPERLINK("#'마스터_품목'!A466","→ 마스터 R466")</f>
        <v>→ 마스터 R466</v>
      </c>
      <c r="R315" s="109">
        <v>466</v>
      </c>
      <c r="S315" s="109" t="s">
        <v>72</v>
      </c>
    </row>
    <row r="316" spans="1:19" ht="48" customHeight="1" x14ac:dyDescent="0.3">
      <c r="A316" s="22" t="s">
        <v>354</v>
      </c>
      <c r="B316" s="22" t="s">
        <v>536</v>
      </c>
      <c r="C316" s="23" t="s">
        <v>153</v>
      </c>
      <c r="D316" s="23" t="s">
        <v>931</v>
      </c>
      <c r="E316" s="23"/>
      <c r="F316" s="24" t="s">
        <v>71</v>
      </c>
      <c r="G316" s="25"/>
      <c r="H316" s="26"/>
      <c r="I316" s="27" t="str">
        <f>IFERROR(IF(OR($F316="O",$G316="O",$H316="O"),CHOOSE(MATCH($A316,{"튜브","고압","진공","튜닝","조립","출하"},0),"T","H","V","N","A","P")&amp;IF($F316="O","R",IF($G316="O","A",IF($H316="O","F",""))),""),"")</f>
        <v>AR</v>
      </c>
      <c r="J316" s="15"/>
      <c r="K316" s="16"/>
      <c r="L316" s="17"/>
      <c r="M316" s="18" t="s">
        <v>71</v>
      </c>
      <c r="N316" s="19"/>
      <c r="O316" s="20"/>
      <c r="P316" s="21" t="str">
        <f t="shared" si="4"/>
        <v>7-AR</v>
      </c>
      <c r="Q316" s="108" t="str">
        <f>HYPERLINK("#'마스터_품목'!A467","→ 마스터 R467")</f>
        <v>→ 마스터 R467</v>
      </c>
      <c r="R316" s="109">
        <v>467</v>
      </c>
      <c r="S316" s="109" t="s">
        <v>72</v>
      </c>
    </row>
    <row r="317" spans="1:19" ht="48" customHeight="1" x14ac:dyDescent="0.3">
      <c r="A317" s="22" t="s">
        <v>354</v>
      </c>
      <c r="B317" s="22" t="s">
        <v>536</v>
      </c>
      <c r="C317" s="23" t="s">
        <v>153</v>
      </c>
      <c r="D317" s="23" t="s">
        <v>932</v>
      </c>
      <c r="E317" s="23"/>
      <c r="F317" s="24"/>
      <c r="G317" s="25" t="s">
        <v>71</v>
      </c>
      <c r="H317" s="26"/>
      <c r="I317" s="27" t="str">
        <f>IFERROR(IF(OR($F317="O",$G317="O",$H317="O"),CHOOSE(MATCH($A317,{"튜브","고압","진공","튜닝","조립","출하"},0),"T","H","V","N","A","P")&amp;IF($F317="O","R",IF($G317="O","A",IF($H317="O","F",""))),""),"")</f>
        <v>AA</v>
      </c>
      <c r="J317" s="15"/>
      <c r="K317" s="16"/>
      <c r="L317" s="17"/>
      <c r="M317" s="18" t="s">
        <v>71</v>
      </c>
      <c r="N317" s="19"/>
      <c r="O317" s="20"/>
      <c r="P317" s="21" t="str">
        <f t="shared" si="4"/>
        <v>7-AA</v>
      </c>
      <c r="Q317" s="108" t="str">
        <f>HYPERLINK("#'마스터_품목'!A468","→ 마스터 R468")</f>
        <v>→ 마스터 R468</v>
      </c>
      <c r="R317" s="109">
        <v>468</v>
      </c>
      <c r="S317" s="109" t="s">
        <v>72</v>
      </c>
    </row>
    <row r="318" spans="1:19" ht="48" customHeight="1" x14ac:dyDescent="0.3">
      <c r="A318" s="22" t="s">
        <v>354</v>
      </c>
      <c r="B318" s="22" t="s">
        <v>436</v>
      </c>
      <c r="C318" s="23" t="s">
        <v>825</v>
      </c>
      <c r="D318" s="23" t="s">
        <v>933</v>
      </c>
      <c r="E318" s="23"/>
      <c r="F318" s="24"/>
      <c r="G318" s="25" t="s">
        <v>71</v>
      </c>
      <c r="H318" s="26"/>
      <c r="I318" s="27" t="str">
        <f>IFERROR(IF(OR($F318="O",$G318="O",$H318="O"),CHOOSE(MATCH($A318,{"튜브","고압","진공","튜닝","조립","출하"},0),"T","H","V","N","A","P")&amp;IF($F318="O","R",IF($G318="O","A",IF($H318="O","F",""))),""),"")</f>
        <v>AA</v>
      </c>
      <c r="J318" s="15"/>
      <c r="K318" s="16"/>
      <c r="L318" s="17"/>
      <c r="M318" s="18" t="s">
        <v>71</v>
      </c>
      <c r="N318" s="19"/>
      <c r="O318" s="20"/>
      <c r="P318" s="21" t="str">
        <f t="shared" si="4"/>
        <v>7-AA</v>
      </c>
      <c r="Q318" s="108" t="str">
        <f>HYPERLINK("#'마스터_품목'!A469","→ 마스터 R469")</f>
        <v>→ 마스터 R469</v>
      </c>
      <c r="R318" s="109">
        <v>469</v>
      </c>
      <c r="S318" s="109" t="s">
        <v>72</v>
      </c>
    </row>
    <row r="319" spans="1:19" ht="48" customHeight="1" x14ac:dyDescent="0.3">
      <c r="A319" s="22" t="s">
        <v>354</v>
      </c>
      <c r="B319" s="22" t="s">
        <v>436</v>
      </c>
      <c r="C319" s="23" t="s">
        <v>825</v>
      </c>
      <c r="D319" s="23" t="s">
        <v>934</v>
      </c>
      <c r="E319" s="23"/>
      <c r="F319" s="24" t="s">
        <v>935</v>
      </c>
      <c r="G319" s="25" t="s">
        <v>71</v>
      </c>
      <c r="H319" s="26"/>
      <c r="I319" s="27" t="str">
        <f>IFERROR(IF(OR($F319="O",$G319="O",$H319="O"),CHOOSE(MATCH($A319,{"튜브","고압","진공","튜닝","조립","출하"},0),"T","H","V","N","A","P")&amp;IF($F319="O","R",IF($G319="O","A",IF($H319="O","F",""))),""),"")</f>
        <v>AA</v>
      </c>
      <c r="J319" s="15"/>
      <c r="K319" s="16"/>
      <c r="L319" s="17"/>
      <c r="M319" s="18" t="s">
        <v>71</v>
      </c>
      <c r="N319" s="19"/>
      <c r="O319" s="20"/>
      <c r="P319" s="21" t="str">
        <f t="shared" si="4"/>
        <v>7-AA</v>
      </c>
      <c r="Q319" s="108" t="str">
        <f>HYPERLINK("#'마스터_품목'!A470","→ 마스터 R470")</f>
        <v>→ 마스터 R470</v>
      </c>
      <c r="R319" s="109">
        <v>470</v>
      </c>
      <c r="S319" s="109" t="s">
        <v>72</v>
      </c>
    </row>
    <row r="320" spans="1:19" ht="48" customHeight="1" x14ac:dyDescent="0.3">
      <c r="A320" s="22" t="s">
        <v>354</v>
      </c>
      <c r="B320" s="22" t="s">
        <v>436</v>
      </c>
      <c r="C320" s="23" t="s">
        <v>885</v>
      </c>
      <c r="D320" s="23" t="s">
        <v>933</v>
      </c>
      <c r="E320" s="23"/>
      <c r="F320" s="24"/>
      <c r="G320" s="25" t="s">
        <v>71</v>
      </c>
      <c r="H320" s="26"/>
      <c r="I320" s="27" t="str">
        <f>IFERROR(IF(OR($F320="O",$G320="O",$H320="O"),CHOOSE(MATCH($A320,{"튜브","고압","진공","튜닝","조립","출하"},0),"T","H","V","N","A","P")&amp;IF($F320="O","R",IF($G320="O","A",IF($H320="O","F",""))),""),"")</f>
        <v>AA</v>
      </c>
      <c r="J320" s="15"/>
      <c r="K320" s="16"/>
      <c r="L320" s="17"/>
      <c r="M320" s="18" t="s">
        <v>71</v>
      </c>
      <c r="N320" s="19"/>
      <c r="O320" s="20"/>
      <c r="P320" s="21" t="str">
        <f t="shared" si="4"/>
        <v>7-AA</v>
      </c>
      <c r="Q320" s="108" t="str">
        <f>HYPERLINK("#'마스터_품목'!A471","→ 마스터 R471")</f>
        <v>→ 마스터 R471</v>
      </c>
      <c r="R320" s="109">
        <v>471</v>
      </c>
      <c r="S320" s="109" t="s">
        <v>72</v>
      </c>
    </row>
    <row r="321" spans="1:19" ht="48" customHeight="1" x14ac:dyDescent="0.3">
      <c r="A321" s="22" t="s">
        <v>354</v>
      </c>
      <c r="B321" s="22" t="s">
        <v>436</v>
      </c>
      <c r="C321" s="23" t="s">
        <v>889</v>
      </c>
      <c r="D321" s="23" t="s">
        <v>936</v>
      </c>
      <c r="E321" s="23"/>
      <c r="F321" s="24"/>
      <c r="G321" s="25" t="s">
        <v>71</v>
      </c>
      <c r="H321" s="26"/>
      <c r="I321" s="27" t="str">
        <f>IFERROR(IF(OR($F321="O",$G321="O",$H321="O"),CHOOSE(MATCH($A321,{"튜브","고압","진공","튜닝","조립","출하"},0),"T","H","V","N","A","P")&amp;IF($F321="O","R",IF($G321="O","A",IF($H321="O","F",""))),""),"")</f>
        <v>AA</v>
      </c>
      <c r="J321" s="15"/>
      <c r="K321" s="16"/>
      <c r="L321" s="17"/>
      <c r="M321" s="18" t="s">
        <v>71</v>
      </c>
      <c r="N321" s="19"/>
      <c r="O321" s="20"/>
      <c r="P321" s="21" t="str">
        <f t="shared" si="4"/>
        <v>7-AA</v>
      </c>
      <c r="Q321" s="108" t="str">
        <f>HYPERLINK("#'마스터_품목'!A472","→ 마스터 R472")</f>
        <v>→ 마스터 R472</v>
      </c>
      <c r="R321" s="109">
        <v>472</v>
      </c>
      <c r="S321" s="109" t="s">
        <v>72</v>
      </c>
    </row>
    <row r="322" spans="1:19" ht="48" customHeight="1" x14ac:dyDescent="0.3">
      <c r="A322" s="22" t="s">
        <v>354</v>
      </c>
      <c r="B322" s="22" t="s">
        <v>436</v>
      </c>
      <c r="C322" s="23" t="s">
        <v>885</v>
      </c>
      <c r="D322" s="23" t="s">
        <v>936</v>
      </c>
      <c r="E322" s="23"/>
      <c r="F322" s="24"/>
      <c r="G322" s="25" t="s">
        <v>71</v>
      </c>
      <c r="H322" s="26"/>
      <c r="I322" s="27" t="str">
        <f>IFERROR(IF(OR($F322="O",$G322="O",$H322="O"),CHOOSE(MATCH($A322,{"튜브","고압","진공","튜닝","조립","출하"},0),"T","H","V","N","A","P")&amp;IF($F322="O","R",IF($G322="O","A",IF($H322="O","F",""))),""),"")</f>
        <v>AA</v>
      </c>
      <c r="J322" s="15"/>
      <c r="K322" s="16"/>
      <c r="L322" s="17"/>
      <c r="M322" s="18" t="s">
        <v>71</v>
      </c>
      <c r="N322" s="19"/>
      <c r="O322" s="20"/>
      <c r="P322" s="21" t="str">
        <f t="shared" ref="P322:P385" si="5">IF($I322="","",IF($J322="O","3","")&amp;IF($K322="O","4","")&amp;IF($L322="O","6","")&amp;IF($M322="O","7","")&amp;IF($N322="O","8","")&amp;IF($O322="O","?","")&amp;IF(OR($J322="O",$K322="O",$L322="O",$M322="O",$N322="O",$O322="O"),"-","")&amp;$I322)</f>
        <v>7-AA</v>
      </c>
      <c r="Q322" s="108" t="str">
        <f>HYPERLINK("#'마스터_품목'!A473","→ 마스터 R473")</f>
        <v>→ 마스터 R473</v>
      </c>
      <c r="R322" s="109">
        <v>473</v>
      </c>
      <c r="S322" s="109" t="s">
        <v>72</v>
      </c>
    </row>
    <row r="323" spans="1:19" ht="48" customHeight="1" x14ac:dyDescent="0.3">
      <c r="A323" s="22" t="s">
        <v>354</v>
      </c>
      <c r="B323" s="22" t="s">
        <v>436</v>
      </c>
      <c r="C323" s="23" t="s">
        <v>153</v>
      </c>
      <c r="D323" s="23" t="s">
        <v>937</v>
      </c>
      <c r="E323" s="23"/>
      <c r="F323" s="24"/>
      <c r="G323" s="25" t="s">
        <v>71</v>
      </c>
      <c r="H323" s="26"/>
      <c r="I323" s="27" t="str">
        <f>IFERROR(IF(OR($F323="O",$G323="O",$H323="O"),CHOOSE(MATCH($A323,{"튜브","고압","진공","튜닝","조립","출하"},0),"T","H","V","N","A","P")&amp;IF($F323="O","R",IF($G323="O","A",IF($H323="O","F",""))),""),"")</f>
        <v>AA</v>
      </c>
      <c r="J323" s="15"/>
      <c r="K323" s="16"/>
      <c r="L323" s="17"/>
      <c r="M323" s="18" t="s">
        <v>71</v>
      </c>
      <c r="N323" s="19"/>
      <c r="O323" s="20"/>
      <c r="P323" s="21" t="str">
        <f t="shared" si="5"/>
        <v>7-AA</v>
      </c>
      <c r="Q323" s="108" t="str">
        <f>HYPERLINK("#'마스터_품목'!A474","→ 마스터 R474")</f>
        <v>→ 마스터 R474</v>
      </c>
      <c r="R323" s="109">
        <v>474</v>
      </c>
      <c r="S323" s="109" t="s">
        <v>72</v>
      </c>
    </row>
    <row r="324" spans="1:19" ht="48" customHeight="1" x14ac:dyDescent="0.3">
      <c r="A324" s="22" t="s">
        <v>354</v>
      </c>
      <c r="B324" s="22" t="s">
        <v>436</v>
      </c>
      <c r="C324" s="23" t="s">
        <v>825</v>
      </c>
      <c r="D324" s="23" t="s">
        <v>938</v>
      </c>
      <c r="E324" s="23"/>
      <c r="F324" s="24"/>
      <c r="G324" s="25" t="s">
        <v>71</v>
      </c>
      <c r="H324" s="26"/>
      <c r="I324" s="27" t="str">
        <f>IFERROR(IF(OR($F324="O",$G324="O",$H324="O"),CHOOSE(MATCH($A324,{"튜브","고압","진공","튜닝","조립","출하"},0),"T","H","V","N","A","P")&amp;IF($F324="O","R",IF($G324="O","A",IF($H324="O","F",""))),""),"")</f>
        <v>AA</v>
      </c>
      <c r="J324" s="15"/>
      <c r="K324" s="16"/>
      <c r="L324" s="17"/>
      <c r="M324" s="18" t="s">
        <v>71</v>
      </c>
      <c r="N324" s="19"/>
      <c r="O324" s="20"/>
      <c r="P324" s="21" t="str">
        <f t="shared" si="5"/>
        <v>7-AA</v>
      </c>
      <c r="Q324" s="108" t="str">
        <f>HYPERLINK("#'마스터_품목'!A475","→ 마스터 R475")</f>
        <v>→ 마스터 R475</v>
      </c>
      <c r="R324" s="109">
        <v>475</v>
      </c>
      <c r="S324" s="109" t="s">
        <v>72</v>
      </c>
    </row>
    <row r="325" spans="1:19" ht="48" customHeight="1" x14ac:dyDescent="0.3">
      <c r="A325" s="22" t="s">
        <v>354</v>
      </c>
      <c r="B325" s="22" t="s">
        <v>436</v>
      </c>
      <c r="C325" s="23" t="s">
        <v>825</v>
      </c>
      <c r="D325" s="23" t="s">
        <v>939</v>
      </c>
      <c r="E325" s="23"/>
      <c r="F325" s="24"/>
      <c r="G325" s="25" t="s">
        <v>71</v>
      </c>
      <c r="H325" s="26"/>
      <c r="I325" s="27" t="str">
        <f>IFERROR(IF(OR($F325="O",$G325="O",$H325="O"),CHOOSE(MATCH($A325,{"튜브","고압","진공","튜닝","조립","출하"},0),"T","H","V","N","A","P")&amp;IF($F325="O","R",IF($G325="O","A",IF($H325="O","F",""))),""),"")</f>
        <v>AA</v>
      </c>
      <c r="J325" s="15"/>
      <c r="K325" s="16"/>
      <c r="L325" s="17"/>
      <c r="M325" s="18" t="s">
        <v>71</v>
      </c>
      <c r="N325" s="19"/>
      <c r="O325" s="20"/>
      <c r="P325" s="21" t="str">
        <f t="shared" si="5"/>
        <v>7-AA</v>
      </c>
      <c r="Q325" s="108" t="str">
        <f>HYPERLINK("#'마스터_품목'!A476","→ 마스터 R476")</f>
        <v>→ 마스터 R476</v>
      </c>
      <c r="R325" s="109">
        <v>476</v>
      </c>
      <c r="S325" s="109" t="s">
        <v>72</v>
      </c>
    </row>
    <row r="326" spans="1:19" ht="48" customHeight="1" x14ac:dyDescent="0.3">
      <c r="A326" s="22" t="s">
        <v>354</v>
      </c>
      <c r="B326" s="22" t="s">
        <v>436</v>
      </c>
      <c r="C326" s="23" t="s">
        <v>885</v>
      </c>
      <c r="D326" s="23" t="s">
        <v>938</v>
      </c>
      <c r="E326" s="23"/>
      <c r="F326" s="24"/>
      <c r="G326" s="25" t="s">
        <v>71</v>
      </c>
      <c r="H326" s="26"/>
      <c r="I326" s="27" t="str">
        <f>IFERROR(IF(OR($F326="O",$G326="O",$H326="O"),CHOOSE(MATCH($A326,{"튜브","고압","진공","튜닝","조립","출하"},0),"T","H","V","N","A","P")&amp;IF($F326="O","R",IF($G326="O","A",IF($H326="O","F",""))),""),"")</f>
        <v>AA</v>
      </c>
      <c r="J326" s="15"/>
      <c r="K326" s="16"/>
      <c r="L326" s="17"/>
      <c r="M326" s="18" t="s">
        <v>71</v>
      </c>
      <c r="N326" s="19"/>
      <c r="O326" s="20"/>
      <c r="P326" s="21" t="str">
        <f t="shared" si="5"/>
        <v>7-AA</v>
      </c>
      <c r="Q326" s="108" t="str">
        <f>HYPERLINK("#'마스터_품목'!A477","→ 마스터 R477")</f>
        <v>→ 마스터 R477</v>
      </c>
      <c r="R326" s="109">
        <v>477</v>
      </c>
      <c r="S326" s="109" t="s">
        <v>72</v>
      </c>
    </row>
    <row r="327" spans="1:19" ht="48" customHeight="1" x14ac:dyDescent="0.3">
      <c r="A327" s="22" t="s">
        <v>354</v>
      </c>
      <c r="B327" s="22" t="s">
        <v>436</v>
      </c>
      <c r="C327" s="23" t="s">
        <v>889</v>
      </c>
      <c r="D327" s="23" t="s">
        <v>940</v>
      </c>
      <c r="E327" s="23"/>
      <c r="F327" s="24"/>
      <c r="G327" s="25" t="s">
        <v>71</v>
      </c>
      <c r="H327" s="26"/>
      <c r="I327" s="27" t="str">
        <f>IFERROR(IF(OR($F327="O",$G327="O",$H327="O"),CHOOSE(MATCH($A327,{"튜브","고압","진공","튜닝","조립","출하"},0),"T","H","V","N","A","P")&amp;IF($F327="O","R",IF($G327="O","A",IF($H327="O","F",""))),""),"")</f>
        <v>AA</v>
      </c>
      <c r="J327" s="15"/>
      <c r="K327" s="16"/>
      <c r="L327" s="17"/>
      <c r="M327" s="18" t="s">
        <v>71</v>
      </c>
      <c r="N327" s="19"/>
      <c r="O327" s="20"/>
      <c r="P327" s="21" t="str">
        <f t="shared" si="5"/>
        <v>7-AA</v>
      </c>
      <c r="Q327" s="108" t="str">
        <f>HYPERLINK("#'마스터_품목'!A478","→ 마스터 R478")</f>
        <v>→ 마스터 R478</v>
      </c>
      <c r="R327" s="109">
        <v>478</v>
      </c>
      <c r="S327" s="109" t="s">
        <v>72</v>
      </c>
    </row>
    <row r="328" spans="1:19" ht="48" customHeight="1" x14ac:dyDescent="0.3">
      <c r="A328" s="22" t="s">
        <v>354</v>
      </c>
      <c r="B328" s="22" t="s">
        <v>436</v>
      </c>
      <c r="C328" s="23" t="s">
        <v>885</v>
      </c>
      <c r="D328" s="23" t="s">
        <v>940</v>
      </c>
      <c r="E328" s="23"/>
      <c r="F328" s="24"/>
      <c r="G328" s="25" t="s">
        <v>71</v>
      </c>
      <c r="H328" s="26"/>
      <c r="I328" s="27" t="str">
        <f>IFERROR(IF(OR($F328="O",$G328="O",$H328="O"),CHOOSE(MATCH($A328,{"튜브","고압","진공","튜닝","조립","출하"},0),"T","H","V","N","A","P")&amp;IF($F328="O","R",IF($G328="O","A",IF($H328="O","F",""))),""),"")</f>
        <v>AA</v>
      </c>
      <c r="J328" s="15"/>
      <c r="K328" s="16"/>
      <c r="L328" s="17"/>
      <c r="M328" s="18" t="s">
        <v>71</v>
      </c>
      <c r="N328" s="19"/>
      <c r="O328" s="20"/>
      <c r="P328" s="21" t="str">
        <f t="shared" si="5"/>
        <v>7-AA</v>
      </c>
      <c r="Q328" s="108" t="str">
        <f>HYPERLINK("#'마스터_품목'!A479","→ 마스터 R479")</f>
        <v>→ 마스터 R479</v>
      </c>
      <c r="R328" s="109">
        <v>479</v>
      </c>
      <c r="S328" s="109" t="s">
        <v>72</v>
      </c>
    </row>
    <row r="329" spans="1:19" ht="48" customHeight="1" x14ac:dyDescent="0.3">
      <c r="A329" s="22" t="s">
        <v>354</v>
      </c>
      <c r="B329" s="22" t="s">
        <v>941</v>
      </c>
      <c r="C329" s="23" t="s">
        <v>153</v>
      </c>
      <c r="D329" s="23" t="s">
        <v>942</v>
      </c>
      <c r="E329" s="23" t="s">
        <v>943</v>
      </c>
      <c r="F329" s="24" t="s">
        <v>71</v>
      </c>
      <c r="G329" s="25"/>
      <c r="H329" s="26"/>
      <c r="I329" s="27" t="str">
        <f>IFERROR(IF(OR($F329="O",$G329="O",$H329="O"),CHOOSE(MATCH($A329,{"튜브","고압","진공","튜닝","조립","출하"},0),"T","H","V","N","A","P")&amp;IF($F329="O","R",IF($G329="O","A",IF($H329="O","F",""))),""),"")</f>
        <v>AR</v>
      </c>
      <c r="J329" s="15"/>
      <c r="K329" s="16"/>
      <c r="L329" s="17"/>
      <c r="M329" s="18" t="s">
        <v>71</v>
      </c>
      <c r="N329" s="19" t="s">
        <v>71</v>
      </c>
      <c r="O329" s="20"/>
      <c r="P329" s="21" t="str">
        <f t="shared" si="5"/>
        <v>78-AR</v>
      </c>
      <c r="Q329" s="108" t="str">
        <f>HYPERLINK("#'마스터_품목'!A480","→ 마스터 R480")</f>
        <v>→ 마스터 R480</v>
      </c>
      <c r="R329" s="109">
        <v>480</v>
      </c>
      <c r="S329" s="109" t="s">
        <v>72</v>
      </c>
    </row>
    <row r="330" spans="1:19" ht="48" customHeight="1" x14ac:dyDescent="0.3">
      <c r="A330" s="22" t="s">
        <v>354</v>
      </c>
      <c r="B330" s="22" t="s">
        <v>941</v>
      </c>
      <c r="C330" s="23" t="s">
        <v>153</v>
      </c>
      <c r="D330" s="23" t="s">
        <v>944</v>
      </c>
      <c r="E330" s="23" t="s">
        <v>945</v>
      </c>
      <c r="F330" s="24" t="s">
        <v>71</v>
      </c>
      <c r="G330" s="25"/>
      <c r="H330" s="26"/>
      <c r="I330" s="27" t="str">
        <f>IFERROR(IF(OR($F330="O",$G330="O",$H330="O"),CHOOSE(MATCH($A330,{"튜브","고압","진공","튜닝","조립","출하"},0),"T","H","V","N","A","P")&amp;IF($F330="O","R",IF($G330="O","A",IF($H330="O","F",""))),""),"")</f>
        <v>AR</v>
      </c>
      <c r="J330" s="15"/>
      <c r="K330" s="16"/>
      <c r="L330" s="17"/>
      <c r="M330" s="18" t="s">
        <v>71</v>
      </c>
      <c r="N330" s="19" t="s">
        <v>71</v>
      </c>
      <c r="O330" s="20"/>
      <c r="P330" s="21" t="str">
        <f t="shared" si="5"/>
        <v>78-AR</v>
      </c>
      <c r="Q330" s="108" t="str">
        <f>HYPERLINK("#'마스터_품목'!A481","→ 마스터 R481")</f>
        <v>→ 마스터 R481</v>
      </c>
      <c r="R330" s="109">
        <v>481</v>
      </c>
      <c r="S330" s="109" t="s">
        <v>72</v>
      </c>
    </row>
    <row r="331" spans="1:19" ht="48" customHeight="1" x14ac:dyDescent="0.3">
      <c r="A331" s="22" t="s">
        <v>354</v>
      </c>
      <c r="B331" s="22" t="s">
        <v>941</v>
      </c>
      <c r="C331" s="23" t="s">
        <v>153</v>
      </c>
      <c r="D331" s="23" t="s">
        <v>946</v>
      </c>
      <c r="E331" s="23" t="s">
        <v>947</v>
      </c>
      <c r="F331" s="24" t="s">
        <v>71</v>
      </c>
      <c r="G331" s="25"/>
      <c r="H331" s="26"/>
      <c r="I331" s="27" t="str">
        <f>IFERROR(IF(OR($F331="O",$G331="O",$H331="O"),CHOOSE(MATCH($A331,{"튜브","고압","진공","튜닝","조립","출하"},0),"T","H","V","N","A","P")&amp;IF($F331="O","R",IF($G331="O","A",IF($H331="O","F",""))),""),"")</f>
        <v>AR</v>
      </c>
      <c r="J331" s="15"/>
      <c r="K331" s="16"/>
      <c r="L331" s="17"/>
      <c r="M331" s="18" t="s">
        <v>71</v>
      </c>
      <c r="N331" s="19" t="s">
        <v>71</v>
      </c>
      <c r="O331" s="20"/>
      <c r="P331" s="21" t="str">
        <f t="shared" si="5"/>
        <v>78-AR</v>
      </c>
      <c r="Q331" s="108" t="str">
        <f>HYPERLINK("#'마스터_품목'!A482","→ 마스터 R482")</f>
        <v>→ 마스터 R482</v>
      </c>
      <c r="R331" s="109">
        <v>482</v>
      </c>
      <c r="S331" s="109" t="s">
        <v>72</v>
      </c>
    </row>
    <row r="332" spans="1:19" ht="48" customHeight="1" x14ac:dyDescent="0.3">
      <c r="A332" s="22" t="s">
        <v>354</v>
      </c>
      <c r="B332" s="22" t="s">
        <v>941</v>
      </c>
      <c r="C332" s="23" t="s">
        <v>153</v>
      </c>
      <c r="D332" s="23" t="s">
        <v>948</v>
      </c>
      <c r="E332" s="23" t="s">
        <v>949</v>
      </c>
      <c r="F332" s="24" t="s">
        <v>71</v>
      </c>
      <c r="G332" s="25"/>
      <c r="H332" s="26"/>
      <c r="I332" s="27" t="str">
        <f>IFERROR(IF(OR($F332="O",$G332="O",$H332="O"),CHOOSE(MATCH($A332,{"튜브","고압","진공","튜닝","조립","출하"},0),"T","H","V","N","A","P")&amp;IF($F332="O","R",IF($G332="O","A",IF($H332="O","F",""))),""),"")</f>
        <v>AR</v>
      </c>
      <c r="J332" s="15"/>
      <c r="K332" s="16"/>
      <c r="L332" s="17"/>
      <c r="M332" s="18" t="s">
        <v>71</v>
      </c>
      <c r="N332" s="19" t="s">
        <v>71</v>
      </c>
      <c r="O332" s="20"/>
      <c r="P332" s="21" t="str">
        <f t="shared" si="5"/>
        <v>78-AR</v>
      </c>
      <c r="Q332" s="108" t="str">
        <f>HYPERLINK("#'마스터_품목'!A483","→ 마스터 R483")</f>
        <v>→ 마스터 R483</v>
      </c>
      <c r="R332" s="109">
        <v>483</v>
      </c>
      <c r="S332" s="109" t="s">
        <v>72</v>
      </c>
    </row>
    <row r="333" spans="1:19" ht="48" customHeight="1" x14ac:dyDescent="0.3">
      <c r="A333" s="22" t="s">
        <v>354</v>
      </c>
      <c r="B333" s="22" t="s">
        <v>941</v>
      </c>
      <c r="C333" s="23" t="s">
        <v>829</v>
      </c>
      <c r="D333" s="23" t="s">
        <v>950</v>
      </c>
      <c r="E333" s="23" t="s">
        <v>951</v>
      </c>
      <c r="F333" s="24" t="s">
        <v>71</v>
      </c>
      <c r="G333" s="25"/>
      <c r="H333" s="26"/>
      <c r="I333" s="27" t="str">
        <f>IFERROR(IF(OR($F333="O",$G333="O",$H333="O"),CHOOSE(MATCH($A333,{"튜브","고압","진공","튜닝","조립","출하"},0),"T","H","V","N","A","P")&amp;IF($F333="O","R",IF($G333="O","A",IF($H333="O","F",""))),""),"")</f>
        <v>AR</v>
      </c>
      <c r="J333" s="15"/>
      <c r="K333" s="16"/>
      <c r="L333" s="17"/>
      <c r="M333" s="18" t="s">
        <v>71</v>
      </c>
      <c r="N333" s="19"/>
      <c r="O333" s="20"/>
      <c r="P333" s="21" t="str">
        <f t="shared" si="5"/>
        <v>7-AR</v>
      </c>
      <c r="Q333" s="108" t="str">
        <f>HYPERLINK("#'마스터_품목'!A484","→ 마스터 R484")</f>
        <v>→ 마스터 R484</v>
      </c>
      <c r="R333" s="109">
        <v>484</v>
      </c>
      <c r="S333" s="109" t="s">
        <v>72</v>
      </c>
    </row>
    <row r="334" spans="1:19" ht="48" customHeight="1" x14ac:dyDescent="0.3">
      <c r="A334" s="22" t="s">
        <v>354</v>
      </c>
      <c r="B334" s="22" t="s">
        <v>941</v>
      </c>
      <c r="C334" s="23" t="s">
        <v>153</v>
      </c>
      <c r="D334" s="23" t="s">
        <v>952</v>
      </c>
      <c r="E334" s="23" t="s">
        <v>953</v>
      </c>
      <c r="F334" s="24" t="s">
        <v>71</v>
      </c>
      <c r="G334" s="25"/>
      <c r="H334" s="26"/>
      <c r="I334" s="27" t="str">
        <f>IFERROR(IF(OR($F334="O",$G334="O",$H334="O"),CHOOSE(MATCH($A334,{"튜브","고압","진공","튜닝","조립","출하"},0),"T","H","V","N","A","P")&amp;IF($F334="O","R",IF($G334="O","A",IF($H334="O","F",""))),""),"")</f>
        <v>AR</v>
      </c>
      <c r="J334" s="15"/>
      <c r="K334" s="16"/>
      <c r="L334" s="17"/>
      <c r="M334" s="18" t="s">
        <v>71</v>
      </c>
      <c r="N334" s="19"/>
      <c r="O334" s="20"/>
      <c r="P334" s="21" t="str">
        <f t="shared" si="5"/>
        <v>7-AR</v>
      </c>
      <c r="Q334" s="108" t="str">
        <f>HYPERLINK("#'마스터_품목'!A485","→ 마스터 R485")</f>
        <v>→ 마스터 R485</v>
      </c>
      <c r="R334" s="109">
        <v>485</v>
      </c>
      <c r="S334" s="109" t="s">
        <v>72</v>
      </c>
    </row>
    <row r="335" spans="1:19" ht="48" customHeight="1" x14ac:dyDescent="0.3">
      <c r="A335" s="22" t="s">
        <v>354</v>
      </c>
      <c r="B335" s="22" t="s">
        <v>941</v>
      </c>
      <c r="C335" s="23" t="s">
        <v>954</v>
      </c>
      <c r="D335" s="23" t="s">
        <v>955</v>
      </c>
      <c r="E335" s="23" t="s">
        <v>956</v>
      </c>
      <c r="F335" s="24" t="s">
        <v>71</v>
      </c>
      <c r="G335" s="25"/>
      <c r="H335" s="26"/>
      <c r="I335" s="27" t="str">
        <f>IFERROR(IF(OR($F335="O",$G335="O",$H335="O"),CHOOSE(MATCH($A335,{"튜브","고압","진공","튜닝","조립","출하"},0),"T","H","V","N","A","P")&amp;IF($F335="O","R",IF($G335="O","A",IF($H335="O","F",""))),""),"")</f>
        <v>AR</v>
      </c>
      <c r="J335" s="15"/>
      <c r="K335" s="16"/>
      <c r="L335" s="17"/>
      <c r="M335" s="18" t="s">
        <v>71</v>
      </c>
      <c r="N335" s="19"/>
      <c r="O335" s="20"/>
      <c r="P335" s="21" t="str">
        <f t="shared" si="5"/>
        <v>7-AR</v>
      </c>
      <c r="Q335" s="108" t="str">
        <f>HYPERLINK("#'마스터_품목'!A486","→ 마스터 R486")</f>
        <v>→ 마스터 R486</v>
      </c>
      <c r="R335" s="109">
        <v>486</v>
      </c>
      <c r="S335" s="109" t="s">
        <v>72</v>
      </c>
    </row>
    <row r="336" spans="1:19" ht="48" customHeight="1" x14ac:dyDescent="0.3">
      <c r="A336" s="22" t="s">
        <v>354</v>
      </c>
      <c r="B336" s="22" t="s">
        <v>941</v>
      </c>
      <c r="C336" s="23" t="s">
        <v>954</v>
      </c>
      <c r="D336" s="23" t="s">
        <v>957</v>
      </c>
      <c r="E336" s="23" t="s">
        <v>958</v>
      </c>
      <c r="F336" s="24" t="s">
        <v>71</v>
      </c>
      <c r="G336" s="25"/>
      <c r="H336" s="26"/>
      <c r="I336" s="27" t="str">
        <f>IFERROR(IF(OR($F336="O",$G336="O",$H336="O"),CHOOSE(MATCH($A336,{"튜브","고압","진공","튜닝","조립","출하"},0),"T","H","V","N","A","P")&amp;IF($F336="O","R",IF($G336="O","A",IF($H336="O","F",""))),""),"")</f>
        <v>AR</v>
      </c>
      <c r="J336" s="15"/>
      <c r="K336" s="16"/>
      <c r="L336" s="17"/>
      <c r="M336" s="18" t="s">
        <v>71</v>
      </c>
      <c r="N336" s="19"/>
      <c r="O336" s="20"/>
      <c r="P336" s="21" t="str">
        <f t="shared" si="5"/>
        <v>7-AR</v>
      </c>
      <c r="Q336" s="108" t="str">
        <f>HYPERLINK("#'마스터_품목'!A487","→ 마스터 R487")</f>
        <v>→ 마스터 R487</v>
      </c>
      <c r="R336" s="109">
        <v>487</v>
      </c>
      <c r="S336" s="109" t="s">
        <v>72</v>
      </c>
    </row>
    <row r="337" spans="1:19" ht="48" customHeight="1" x14ac:dyDescent="0.3">
      <c r="A337" s="22" t="s">
        <v>354</v>
      </c>
      <c r="B337" s="22" t="s">
        <v>941</v>
      </c>
      <c r="C337" s="23" t="s">
        <v>153</v>
      </c>
      <c r="D337" s="23" t="s">
        <v>959</v>
      </c>
      <c r="E337" s="23"/>
      <c r="F337" s="24"/>
      <c r="G337" s="25" t="s">
        <v>71</v>
      </c>
      <c r="H337" s="26"/>
      <c r="I337" s="27" t="str">
        <f>IFERROR(IF(OR($F337="O",$G337="O",$H337="O"),CHOOSE(MATCH($A337,{"튜브","고압","진공","튜닝","조립","출하"},0),"T","H","V","N","A","P")&amp;IF($F337="O","R",IF($G337="O","A",IF($H337="O","F",""))),""),"")</f>
        <v>AA</v>
      </c>
      <c r="J337" s="15"/>
      <c r="K337" s="16"/>
      <c r="L337" s="17"/>
      <c r="M337" s="18" t="s">
        <v>71</v>
      </c>
      <c r="N337" s="19"/>
      <c r="O337" s="20"/>
      <c r="P337" s="21" t="str">
        <f t="shared" si="5"/>
        <v>7-AA</v>
      </c>
      <c r="Q337" s="108" t="str">
        <f>HYPERLINK("#'마스터_품목'!A488","→ 마스터 R488")</f>
        <v>→ 마스터 R488</v>
      </c>
      <c r="R337" s="109">
        <v>488</v>
      </c>
      <c r="S337" s="109" t="s">
        <v>72</v>
      </c>
    </row>
    <row r="338" spans="1:19" ht="48" customHeight="1" x14ac:dyDescent="0.3">
      <c r="A338" s="22" t="s">
        <v>354</v>
      </c>
      <c r="B338" s="22" t="s">
        <v>941</v>
      </c>
      <c r="C338" s="23" t="s">
        <v>153</v>
      </c>
      <c r="D338" s="23" t="s">
        <v>960</v>
      </c>
      <c r="E338" s="23" t="s">
        <v>961</v>
      </c>
      <c r="F338" s="24" t="s">
        <v>71</v>
      </c>
      <c r="G338" s="25"/>
      <c r="H338" s="26"/>
      <c r="I338" s="27" t="str">
        <f>IFERROR(IF(OR($F338="O",$G338="O",$H338="O"),CHOOSE(MATCH($A338,{"튜브","고압","진공","튜닝","조립","출하"},0),"T","H","V","N","A","P")&amp;IF($F338="O","R",IF($G338="O","A",IF($H338="O","F",""))),""),"")</f>
        <v>AR</v>
      </c>
      <c r="J338" s="15"/>
      <c r="K338" s="16"/>
      <c r="L338" s="17"/>
      <c r="M338" s="18" t="s">
        <v>71</v>
      </c>
      <c r="N338" s="19"/>
      <c r="O338" s="20"/>
      <c r="P338" s="21" t="str">
        <f t="shared" si="5"/>
        <v>7-AR</v>
      </c>
      <c r="Q338" s="108" t="str">
        <f>HYPERLINK("#'마스터_품목'!A489","→ 마스터 R489")</f>
        <v>→ 마스터 R489</v>
      </c>
      <c r="R338" s="109">
        <v>489</v>
      </c>
      <c r="S338" s="109" t="s">
        <v>72</v>
      </c>
    </row>
    <row r="339" spans="1:19" ht="48" customHeight="1" x14ac:dyDescent="0.3">
      <c r="A339" s="22" t="s">
        <v>354</v>
      </c>
      <c r="B339" s="22" t="s">
        <v>941</v>
      </c>
      <c r="C339" s="23" t="s">
        <v>153</v>
      </c>
      <c r="D339" s="23" t="s">
        <v>962</v>
      </c>
      <c r="E339" s="23" t="s">
        <v>963</v>
      </c>
      <c r="F339" s="24" t="s">
        <v>71</v>
      </c>
      <c r="G339" s="25"/>
      <c r="H339" s="26"/>
      <c r="I339" s="27" t="str">
        <f>IFERROR(IF(OR($F339="O",$G339="O",$H339="O"),CHOOSE(MATCH($A339,{"튜브","고압","진공","튜닝","조립","출하"},0),"T","H","V","N","A","P")&amp;IF($F339="O","R",IF($G339="O","A",IF($H339="O","F",""))),""),"")</f>
        <v>AR</v>
      </c>
      <c r="J339" s="15"/>
      <c r="K339" s="16"/>
      <c r="L339" s="17"/>
      <c r="M339" s="18" t="s">
        <v>71</v>
      </c>
      <c r="N339" s="19"/>
      <c r="O339" s="20"/>
      <c r="P339" s="21" t="str">
        <f t="shared" si="5"/>
        <v>7-AR</v>
      </c>
      <c r="Q339" s="108" t="str">
        <f>HYPERLINK("#'마스터_품목'!A490","→ 마스터 R490")</f>
        <v>→ 마스터 R490</v>
      </c>
      <c r="R339" s="109">
        <v>490</v>
      </c>
      <c r="S339" s="109" t="s">
        <v>72</v>
      </c>
    </row>
    <row r="340" spans="1:19" ht="48" customHeight="1" x14ac:dyDescent="0.3">
      <c r="A340" s="22" t="s">
        <v>354</v>
      </c>
      <c r="B340" s="22" t="s">
        <v>941</v>
      </c>
      <c r="C340" s="23" t="s">
        <v>153</v>
      </c>
      <c r="D340" s="23" t="s">
        <v>964</v>
      </c>
      <c r="E340" s="23" t="s">
        <v>965</v>
      </c>
      <c r="F340" s="24" t="s">
        <v>71</v>
      </c>
      <c r="G340" s="25"/>
      <c r="H340" s="26"/>
      <c r="I340" s="27" t="str">
        <f>IFERROR(IF(OR($F340="O",$G340="O",$H340="O"),CHOOSE(MATCH($A340,{"튜브","고압","진공","튜닝","조립","출하"},0),"T","H","V","N","A","P")&amp;IF($F340="O","R",IF($G340="O","A",IF($H340="O","F",""))),""),"")</f>
        <v>AR</v>
      </c>
      <c r="J340" s="15"/>
      <c r="K340" s="16"/>
      <c r="L340" s="17"/>
      <c r="M340" s="18" t="s">
        <v>71</v>
      </c>
      <c r="N340" s="19"/>
      <c r="O340" s="20"/>
      <c r="P340" s="21" t="str">
        <f t="shared" si="5"/>
        <v>7-AR</v>
      </c>
      <c r="Q340" s="108" t="str">
        <f>HYPERLINK("#'마스터_품목'!A491","→ 마스터 R491")</f>
        <v>→ 마스터 R491</v>
      </c>
      <c r="R340" s="109">
        <v>491</v>
      </c>
      <c r="S340" s="109" t="s">
        <v>72</v>
      </c>
    </row>
    <row r="341" spans="1:19" ht="48" customHeight="1" x14ac:dyDescent="0.3">
      <c r="A341" s="22" t="s">
        <v>354</v>
      </c>
      <c r="B341" s="22" t="s">
        <v>941</v>
      </c>
      <c r="C341" s="23" t="s">
        <v>153</v>
      </c>
      <c r="D341" s="23" t="s">
        <v>966</v>
      </c>
      <c r="E341" s="23" t="s">
        <v>967</v>
      </c>
      <c r="F341" s="24" t="s">
        <v>71</v>
      </c>
      <c r="G341" s="25"/>
      <c r="H341" s="26"/>
      <c r="I341" s="27" t="str">
        <f>IFERROR(IF(OR($F341="O",$G341="O",$H341="O"),CHOOSE(MATCH($A341,{"튜브","고압","진공","튜닝","조립","출하"},0),"T","H","V","N","A","P")&amp;IF($F341="O","R",IF($G341="O","A",IF($H341="O","F",""))),""),"")</f>
        <v>AR</v>
      </c>
      <c r="J341" s="15"/>
      <c r="K341" s="16"/>
      <c r="L341" s="17"/>
      <c r="M341" s="18" t="s">
        <v>71</v>
      </c>
      <c r="N341" s="19"/>
      <c r="O341" s="20"/>
      <c r="P341" s="21" t="str">
        <f t="shared" si="5"/>
        <v>7-AR</v>
      </c>
      <c r="Q341" s="108" t="str">
        <f>HYPERLINK("#'마스터_품목'!A492","→ 마스터 R492")</f>
        <v>→ 마스터 R492</v>
      </c>
      <c r="R341" s="109">
        <v>492</v>
      </c>
      <c r="S341" s="109" t="s">
        <v>72</v>
      </c>
    </row>
    <row r="342" spans="1:19" ht="48" customHeight="1" x14ac:dyDescent="0.3">
      <c r="A342" s="22" t="s">
        <v>354</v>
      </c>
      <c r="B342" s="22" t="s">
        <v>941</v>
      </c>
      <c r="C342" s="23" t="s">
        <v>153</v>
      </c>
      <c r="D342" s="23" t="s">
        <v>968</v>
      </c>
      <c r="E342" s="23"/>
      <c r="F342" s="24" t="s">
        <v>71</v>
      </c>
      <c r="G342" s="25"/>
      <c r="H342" s="26"/>
      <c r="I342" s="27" t="str">
        <f>IFERROR(IF(OR($F342="O",$G342="O",$H342="O"),CHOOSE(MATCH($A342,{"튜브","고압","진공","튜닝","조립","출하"},0),"T","H","V","N","A","P")&amp;IF($F342="O","R",IF($G342="O","A",IF($H342="O","F",""))),""),"")</f>
        <v>AR</v>
      </c>
      <c r="J342" s="15"/>
      <c r="K342" s="16"/>
      <c r="L342" s="17"/>
      <c r="M342" s="18" t="s">
        <v>71</v>
      </c>
      <c r="N342" s="19"/>
      <c r="O342" s="20"/>
      <c r="P342" s="21" t="str">
        <f t="shared" si="5"/>
        <v>7-AR</v>
      </c>
      <c r="Q342" s="108" t="str">
        <f>HYPERLINK("#'마스터_품목'!A493","→ 마스터 R493")</f>
        <v>→ 마스터 R493</v>
      </c>
      <c r="R342" s="109">
        <v>493</v>
      </c>
      <c r="S342" s="109" t="s">
        <v>72</v>
      </c>
    </row>
    <row r="343" spans="1:19" ht="48" customHeight="1" x14ac:dyDescent="0.3">
      <c r="A343" s="22" t="s">
        <v>354</v>
      </c>
      <c r="B343" s="22" t="s">
        <v>941</v>
      </c>
      <c r="C343" s="23" t="s">
        <v>153</v>
      </c>
      <c r="D343" s="23" t="s">
        <v>969</v>
      </c>
      <c r="E343" s="23"/>
      <c r="F343" s="24"/>
      <c r="G343" s="25" t="s">
        <v>71</v>
      </c>
      <c r="H343" s="26"/>
      <c r="I343" s="27" t="str">
        <f>IFERROR(IF(OR($F343="O",$G343="O",$H343="O"),CHOOSE(MATCH($A343,{"튜브","고압","진공","튜닝","조립","출하"},0),"T","H","V","N","A","P")&amp;IF($F343="O","R",IF($G343="O","A",IF($H343="O","F",""))),""),"")</f>
        <v>AA</v>
      </c>
      <c r="J343" s="15"/>
      <c r="K343" s="16"/>
      <c r="L343" s="17"/>
      <c r="M343" s="18" t="s">
        <v>71</v>
      </c>
      <c r="N343" s="19"/>
      <c r="O343" s="20"/>
      <c r="P343" s="21" t="str">
        <f t="shared" si="5"/>
        <v>7-AA</v>
      </c>
      <c r="Q343" s="108" t="str">
        <f>HYPERLINK("#'마스터_품목'!A494","→ 마스터 R494")</f>
        <v>→ 마스터 R494</v>
      </c>
      <c r="R343" s="109">
        <v>494</v>
      </c>
      <c r="S343" s="109" t="s">
        <v>72</v>
      </c>
    </row>
    <row r="344" spans="1:19" ht="48" customHeight="1" x14ac:dyDescent="0.3">
      <c r="A344" s="22" t="s">
        <v>354</v>
      </c>
      <c r="B344" s="22" t="s">
        <v>941</v>
      </c>
      <c r="C344" s="23" t="s">
        <v>153</v>
      </c>
      <c r="D344" s="23" t="s">
        <v>970</v>
      </c>
      <c r="E344" s="23"/>
      <c r="F344" s="24"/>
      <c r="G344" s="25" t="s">
        <v>71</v>
      </c>
      <c r="H344" s="26"/>
      <c r="I344" s="27" t="str">
        <f>IFERROR(IF(OR($F344="O",$G344="O",$H344="O"),CHOOSE(MATCH($A344,{"튜브","고압","진공","튜닝","조립","출하"},0),"T","H","V","N","A","P")&amp;IF($F344="O","R",IF($G344="O","A",IF($H344="O","F",""))),""),"")</f>
        <v>AA</v>
      </c>
      <c r="J344" s="15"/>
      <c r="K344" s="16"/>
      <c r="L344" s="17"/>
      <c r="M344" s="18" t="s">
        <v>71</v>
      </c>
      <c r="N344" s="19"/>
      <c r="O344" s="20"/>
      <c r="P344" s="21" t="str">
        <f t="shared" si="5"/>
        <v>7-AA</v>
      </c>
      <c r="Q344" s="108" t="str">
        <f>HYPERLINK("#'마스터_품목'!A495","→ 마스터 R495")</f>
        <v>→ 마스터 R495</v>
      </c>
      <c r="R344" s="109">
        <v>495</v>
      </c>
      <c r="S344" s="109" t="s">
        <v>72</v>
      </c>
    </row>
    <row r="345" spans="1:19" ht="48" customHeight="1" x14ac:dyDescent="0.3">
      <c r="A345" s="22" t="s">
        <v>354</v>
      </c>
      <c r="B345" s="22" t="s">
        <v>941</v>
      </c>
      <c r="C345" s="23" t="s">
        <v>971</v>
      </c>
      <c r="D345" s="23" t="s">
        <v>972</v>
      </c>
      <c r="E345" s="23"/>
      <c r="F345" s="24" t="s">
        <v>71</v>
      </c>
      <c r="G345" s="25"/>
      <c r="H345" s="26"/>
      <c r="I345" s="27" t="str">
        <f>IFERROR(IF(OR($F345="O",$G345="O",$H345="O"),CHOOSE(MATCH($A345,{"튜브","고압","진공","튜닝","조립","출하"},0),"T","H","V","N","A","P")&amp;IF($F345="O","R",IF($G345="O","A",IF($H345="O","F",""))),""),"")</f>
        <v>AR</v>
      </c>
      <c r="J345" s="15"/>
      <c r="K345" s="16"/>
      <c r="L345" s="17"/>
      <c r="M345" s="18" t="s">
        <v>71</v>
      </c>
      <c r="N345" s="19"/>
      <c r="O345" s="20"/>
      <c r="P345" s="21" t="str">
        <f t="shared" si="5"/>
        <v>7-AR</v>
      </c>
      <c r="Q345" s="108" t="str">
        <f>HYPERLINK("#'마스터_품목'!A496","→ 마스터 R496")</f>
        <v>→ 마스터 R496</v>
      </c>
      <c r="R345" s="109">
        <v>496</v>
      </c>
      <c r="S345" s="109" t="s">
        <v>72</v>
      </c>
    </row>
    <row r="346" spans="1:19" ht="48" customHeight="1" x14ac:dyDescent="0.3">
      <c r="A346" s="22" t="s">
        <v>354</v>
      </c>
      <c r="B346" s="22" t="s">
        <v>941</v>
      </c>
      <c r="C346" s="23" t="s">
        <v>973</v>
      </c>
      <c r="D346" s="23" t="s">
        <v>860</v>
      </c>
      <c r="E346" s="23" t="s">
        <v>974</v>
      </c>
      <c r="F346" s="24" t="s">
        <v>71</v>
      </c>
      <c r="G346" s="25"/>
      <c r="H346" s="26"/>
      <c r="I346" s="27" t="str">
        <f>IFERROR(IF(OR($F346="O",$G346="O",$H346="O"),CHOOSE(MATCH($A346,{"튜브","고압","진공","튜닝","조립","출하"},0),"T","H","V","N","A","P")&amp;IF($F346="O","R",IF($G346="O","A",IF($H346="O","F",""))),""),"")</f>
        <v>AR</v>
      </c>
      <c r="J346" s="15"/>
      <c r="K346" s="16"/>
      <c r="L346" s="17"/>
      <c r="M346" s="18" t="s">
        <v>71</v>
      </c>
      <c r="N346" s="19"/>
      <c r="O346" s="20"/>
      <c r="P346" s="21" t="str">
        <f t="shared" si="5"/>
        <v>7-AR</v>
      </c>
      <c r="Q346" s="108" t="str">
        <f>HYPERLINK("#'마스터_품목'!A497","→ 마스터 R497")</f>
        <v>→ 마스터 R497</v>
      </c>
      <c r="R346" s="109">
        <v>497</v>
      </c>
      <c r="S346" s="109" t="s">
        <v>72</v>
      </c>
    </row>
    <row r="347" spans="1:19" ht="48" customHeight="1" x14ac:dyDescent="0.3">
      <c r="A347" s="22" t="s">
        <v>354</v>
      </c>
      <c r="B347" s="22" t="s">
        <v>941</v>
      </c>
      <c r="C347" s="23" t="s">
        <v>973</v>
      </c>
      <c r="D347" s="23" t="s">
        <v>975</v>
      </c>
      <c r="E347" s="23" t="s">
        <v>976</v>
      </c>
      <c r="F347" s="24" t="s">
        <v>71</v>
      </c>
      <c r="G347" s="25"/>
      <c r="H347" s="26"/>
      <c r="I347" s="27" t="str">
        <f>IFERROR(IF(OR($F347="O",$G347="O",$H347="O"),CHOOSE(MATCH($A347,{"튜브","고압","진공","튜닝","조립","출하"},0),"T","H","V","N","A","P")&amp;IF($F347="O","R",IF($G347="O","A",IF($H347="O","F",""))),""),"")</f>
        <v>AR</v>
      </c>
      <c r="J347" s="15"/>
      <c r="K347" s="16"/>
      <c r="L347" s="17"/>
      <c r="M347" s="18" t="s">
        <v>71</v>
      </c>
      <c r="N347" s="19"/>
      <c r="O347" s="20"/>
      <c r="P347" s="21" t="str">
        <f t="shared" si="5"/>
        <v>7-AR</v>
      </c>
      <c r="Q347" s="108" t="str">
        <f>HYPERLINK("#'마스터_품목'!A498","→ 마스터 R498")</f>
        <v>→ 마스터 R498</v>
      </c>
      <c r="R347" s="109">
        <v>498</v>
      </c>
      <c r="S347" s="109" t="s">
        <v>72</v>
      </c>
    </row>
    <row r="348" spans="1:19" ht="48" customHeight="1" x14ac:dyDescent="0.3">
      <c r="A348" s="22" t="s">
        <v>354</v>
      </c>
      <c r="B348" s="22" t="s">
        <v>941</v>
      </c>
      <c r="C348" s="23" t="s">
        <v>973</v>
      </c>
      <c r="D348" s="23" t="s">
        <v>898</v>
      </c>
      <c r="E348" s="23" t="s">
        <v>977</v>
      </c>
      <c r="F348" s="24" t="s">
        <v>71</v>
      </c>
      <c r="G348" s="25"/>
      <c r="H348" s="26"/>
      <c r="I348" s="27" t="str">
        <f>IFERROR(IF(OR($F348="O",$G348="O",$H348="O"),CHOOSE(MATCH($A348,{"튜브","고압","진공","튜닝","조립","출하"},0),"T","H","V","N","A","P")&amp;IF($F348="O","R",IF($G348="O","A",IF($H348="O","F",""))),""),"")</f>
        <v>AR</v>
      </c>
      <c r="J348" s="15"/>
      <c r="K348" s="16"/>
      <c r="L348" s="17"/>
      <c r="M348" s="18" t="s">
        <v>71</v>
      </c>
      <c r="N348" s="19"/>
      <c r="O348" s="20"/>
      <c r="P348" s="21" t="str">
        <f t="shared" si="5"/>
        <v>7-AR</v>
      </c>
      <c r="Q348" s="108" t="str">
        <f>HYPERLINK("#'마스터_품목'!A499","→ 마스터 R499")</f>
        <v>→ 마스터 R499</v>
      </c>
      <c r="R348" s="109">
        <v>499</v>
      </c>
      <c r="S348" s="109" t="s">
        <v>72</v>
      </c>
    </row>
    <row r="349" spans="1:19" ht="48" customHeight="1" x14ac:dyDescent="0.3">
      <c r="A349" s="22" t="s">
        <v>354</v>
      </c>
      <c r="B349" s="22" t="s">
        <v>941</v>
      </c>
      <c r="C349" s="23" t="s">
        <v>973</v>
      </c>
      <c r="D349" s="23" t="s">
        <v>950</v>
      </c>
      <c r="E349" s="23" t="s">
        <v>978</v>
      </c>
      <c r="F349" s="24" t="s">
        <v>71</v>
      </c>
      <c r="G349" s="25"/>
      <c r="H349" s="26"/>
      <c r="I349" s="27" t="str">
        <f>IFERROR(IF(OR($F349="O",$G349="O",$H349="O"),CHOOSE(MATCH($A349,{"튜브","고압","진공","튜닝","조립","출하"},0),"T","H","V","N","A","P")&amp;IF($F349="O","R",IF($G349="O","A",IF($H349="O","F",""))),""),"")</f>
        <v>AR</v>
      </c>
      <c r="J349" s="15"/>
      <c r="K349" s="16"/>
      <c r="L349" s="17"/>
      <c r="M349" s="18" t="s">
        <v>71</v>
      </c>
      <c r="N349" s="19" t="s">
        <v>71</v>
      </c>
      <c r="O349" s="20"/>
      <c r="P349" s="21" t="str">
        <f t="shared" si="5"/>
        <v>78-AR</v>
      </c>
      <c r="Q349" s="108" t="str">
        <f>HYPERLINK("#'마스터_품목'!A500","→ 마스터 R500")</f>
        <v>→ 마스터 R500</v>
      </c>
      <c r="R349" s="109">
        <v>500</v>
      </c>
      <c r="S349" s="109" t="s">
        <v>72</v>
      </c>
    </row>
    <row r="350" spans="1:19" ht="48" customHeight="1" x14ac:dyDescent="0.3">
      <c r="A350" s="22" t="s">
        <v>354</v>
      </c>
      <c r="B350" s="22" t="s">
        <v>941</v>
      </c>
      <c r="C350" s="23" t="s">
        <v>829</v>
      </c>
      <c r="D350" s="23" t="s">
        <v>979</v>
      </c>
      <c r="E350" s="23"/>
      <c r="F350" s="24"/>
      <c r="G350" s="25" t="s">
        <v>71</v>
      </c>
      <c r="H350" s="26"/>
      <c r="I350" s="27" t="str">
        <f>IFERROR(IF(OR($F350="O",$G350="O",$H350="O"),CHOOSE(MATCH($A350,{"튜브","고압","진공","튜닝","조립","출하"},0),"T","H","V","N","A","P")&amp;IF($F350="O","R",IF($G350="O","A",IF($H350="O","F",""))),""),"")</f>
        <v>AA</v>
      </c>
      <c r="J350" s="15"/>
      <c r="K350" s="16"/>
      <c r="L350" s="17"/>
      <c r="M350" s="18" t="s">
        <v>71</v>
      </c>
      <c r="N350" s="19"/>
      <c r="O350" s="20"/>
      <c r="P350" s="21" t="str">
        <f t="shared" si="5"/>
        <v>7-AA</v>
      </c>
      <c r="Q350" s="108" t="str">
        <f>HYPERLINK("#'마스터_품목'!A501","→ 마스터 R501")</f>
        <v>→ 마스터 R501</v>
      </c>
      <c r="R350" s="109">
        <v>501</v>
      </c>
      <c r="S350" s="109" t="s">
        <v>72</v>
      </c>
    </row>
    <row r="351" spans="1:19" ht="48" customHeight="1" x14ac:dyDescent="0.3">
      <c r="A351" s="22" t="s">
        <v>354</v>
      </c>
      <c r="B351" s="22" t="s">
        <v>941</v>
      </c>
      <c r="C351" s="23" t="s">
        <v>973</v>
      </c>
      <c r="D351" s="23" t="s">
        <v>979</v>
      </c>
      <c r="E351" s="23"/>
      <c r="F351" s="24"/>
      <c r="G351" s="25" t="s">
        <v>71</v>
      </c>
      <c r="H351" s="26"/>
      <c r="I351" s="27" t="str">
        <f>IFERROR(IF(OR($F351="O",$G351="O",$H351="O"),CHOOSE(MATCH($A351,{"튜브","고압","진공","튜닝","조립","출하"},0),"T","H","V","N","A","P")&amp;IF($F351="O","R",IF($G351="O","A",IF($H351="O","F",""))),""),"")</f>
        <v>AA</v>
      </c>
      <c r="J351" s="15"/>
      <c r="K351" s="16"/>
      <c r="L351" s="17"/>
      <c r="M351" s="18" t="s">
        <v>71</v>
      </c>
      <c r="N351" s="19" t="s">
        <v>71</v>
      </c>
      <c r="O351" s="20"/>
      <c r="P351" s="21" t="str">
        <f t="shared" si="5"/>
        <v>78-AA</v>
      </c>
      <c r="Q351" s="108" t="str">
        <f>HYPERLINK("#'마스터_품목'!A502","→ 마스터 R502")</f>
        <v>→ 마스터 R502</v>
      </c>
      <c r="R351" s="109">
        <v>502</v>
      </c>
      <c r="S351" s="109" t="s">
        <v>72</v>
      </c>
    </row>
    <row r="352" spans="1:19" ht="48" customHeight="1" x14ac:dyDescent="0.3">
      <c r="A352" s="22" t="s">
        <v>354</v>
      </c>
      <c r="B352" s="22" t="s">
        <v>980</v>
      </c>
      <c r="C352" s="23" t="s">
        <v>981</v>
      </c>
      <c r="D352" s="23" t="s">
        <v>982</v>
      </c>
      <c r="E352" s="23"/>
      <c r="F352" s="24"/>
      <c r="G352" s="25" t="s">
        <v>71</v>
      </c>
      <c r="H352" s="26"/>
      <c r="I352" s="27" t="str">
        <f>IFERROR(IF(OR($F352="O",$G352="O",$H352="O"),CHOOSE(MATCH($A352,{"튜브","고압","진공","튜닝","조립","출하"},0),"T","H","V","N","A","P")&amp;IF($F352="O","R",IF($G352="O","A",IF($H352="O","F",""))),""),"")</f>
        <v>AA</v>
      </c>
      <c r="J352" s="15"/>
      <c r="K352" s="16"/>
      <c r="L352" s="17"/>
      <c r="M352" s="18" t="s">
        <v>71</v>
      </c>
      <c r="N352" s="19"/>
      <c r="O352" s="20"/>
      <c r="P352" s="21" t="str">
        <f t="shared" si="5"/>
        <v>7-AA</v>
      </c>
      <c r="Q352" s="108" t="str">
        <f>HYPERLINK("#'마스터_품목'!A503","→ 마스터 R503")</f>
        <v>→ 마스터 R503</v>
      </c>
      <c r="R352" s="109">
        <v>503</v>
      </c>
      <c r="S352" s="109" t="s">
        <v>72</v>
      </c>
    </row>
    <row r="353" spans="1:19" ht="48" customHeight="1" x14ac:dyDescent="0.3">
      <c r="A353" s="22" t="s">
        <v>354</v>
      </c>
      <c r="B353" s="22" t="s">
        <v>980</v>
      </c>
      <c r="C353" s="23" t="s">
        <v>983</v>
      </c>
      <c r="D353" s="23" t="s">
        <v>936</v>
      </c>
      <c r="E353" s="23"/>
      <c r="F353" s="24"/>
      <c r="G353" s="25" t="s">
        <v>71</v>
      </c>
      <c r="H353" s="26"/>
      <c r="I353" s="27" t="str">
        <f>IFERROR(IF(OR($F353="O",$G353="O",$H353="O"),CHOOSE(MATCH($A353,{"튜브","고압","진공","튜닝","조립","출하"},0),"T","H","V","N","A","P")&amp;IF($F353="O","R",IF($G353="O","A",IF($H353="O","F",""))),""),"")</f>
        <v>AA</v>
      </c>
      <c r="J353" s="15"/>
      <c r="K353" s="16"/>
      <c r="L353" s="17"/>
      <c r="M353" s="18" t="s">
        <v>71</v>
      </c>
      <c r="N353" s="19"/>
      <c r="O353" s="20"/>
      <c r="P353" s="21" t="str">
        <f t="shared" si="5"/>
        <v>7-AA</v>
      </c>
      <c r="Q353" s="108" t="str">
        <f>HYPERLINK("#'마스터_품목'!A504","→ 마스터 R504")</f>
        <v>→ 마스터 R504</v>
      </c>
      <c r="R353" s="109">
        <v>504</v>
      </c>
      <c r="S353" s="109" t="s">
        <v>72</v>
      </c>
    </row>
    <row r="354" spans="1:19" ht="48" customHeight="1" x14ac:dyDescent="0.3">
      <c r="A354" s="22" t="s">
        <v>354</v>
      </c>
      <c r="B354" s="22" t="s">
        <v>980</v>
      </c>
      <c r="C354" s="23" t="s">
        <v>981</v>
      </c>
      <c r="D354" s="23" t="s">
        <v>939</v>
      </c>
      <c r="E354" s="23"/>
      <c r="F354" s="24"/>
      <c r="G354" s="25" t="s">
        <v>71</v>
      </c>
      <c r="H354" s="26"/>
      <c r="I354" s="27" t="str">
        <f>IFERROR(IF(OR($F354="O",$G354="O",$H354="O"),CHOOSE(MATCH($A354,{"튜브","고압","진공","튜닝","조립","출하"},0),"T","H","V","N","A","P")&amp;IF($F354="O","R",IF($G354="O","A",IF($H354="O","F",""))),""),"")</f>
        <v>AA</v>
      </c>
      <c r="J354" s="15"/>
      <c r="K354" s="16"/>
      <c r="L354" s="17"/>
      <c r="M354" s="18" t="s">
        <v>71</v>
      </c>
      <c r="N354" s="19"/>
      <c r="O354" s="20"/>
      <c r="P354" s="21" t="str">
        <f t="shared" si="5"/>
        <v>7-AA</v>
      </c>
      <c r="Q354" s="108" t="str">
        <f>HYPERLINK("#'마스터_품목'!A505","→ 마스터 R505")</f>
        <v>→ 마스터 R505</v>
      </c>
      <c r="R354" s="109">
        <v>505</v>
      </c>
      <c r="S354" s="109" t="s">
        <v>72</v>
      </c>
    </row>
    <row r="355" spans="1:19" ht="48" customHeight="1" x14ac:dyDescent="0.3">
      <c r="A355" s="22" t="s">
        <v>354</v>
      </c>
      <c r="B355" s="22" t="s">
        <v>980</v>
      </c>
      <c r="C355" s="23" t="s">
        <v>981</v>
      </c>
      <c r="D355" s="23" t="s">
        <v>984</v>
      </c>
      <c r="E355" s="23"/>
      <c r="F355" s="24"/>
      <c r="G355" s="25" t="s">
        <v>71</v>
      </c>
      <c r="H355" s="26"/>
      <c r="I355" s="27" t="str">
        <f>IFERROR(IF(OR($F355="O",$G355="O",$H355="O"),CHOOSE(MATCH($A355,{"튜브","고압","진공","튜닝","조립","출하"},0),"T","H","V","N","A","P")&amp;IF($F355="O","R",IF($G355="O","A",IF($H355="O","F",""))),""),"")</f>
        <v>AA</v>
      </c>
      <c r="J355" s="15"/>
      <c r="K355" s="16"/>
      <c r="L355" s="17"/>
      <c r="M355" s="18" t="s">
        <v>71</v>
      </c>
      <c r="N355" s="19"/>
      <c r="O355" s="20"/>
      <c r="P355" s="21" t="str">
        <f t="shared" si="5"/>
        <v>7-AA</v>
      </c>
      <c r="Q355" s="108" t="str">
        <f>HYPERLINK("#'마스터_품목'!A506","→ 마스터 R506")</f>
        <v>→ 마스터 R506</v>
      </c>
      <c r="R355" s="109">
        <v>506</v>
      </c>
      <c r="S355" s="109" t="s">
        <v>72</v>
      </c>
    </row>
    <row r="356" spans="1:19" ht="48" customHeight="1" x14ac:dyDescent="0.3">
      <c r="A356" s="29" t="s">
        <v>771</v>
      </c>
      <c r="B356" s="22" t="s">
        <v>985</v>
      </c>
      <c r="C356" s="23" t="s">
        <v>68</v>
      </c>
      <c r="D356" s="23" t="s">
        <v>986</v>
      </c>
      <c r="E356" s="23" t="s">
        <v>987</v>
      </c>
      <c r="F356" s="24" t="s">
        <v>71</v>
      </c>
      <c r="G356" s="25"/>
      <c r="H356" s="26"/>
      <c r="I356" s="27" t="str">
        <f>IFERROR(IF(OR($F356="O",$G356="O",$H356="O"),CHOOSE(MATCH($A356,{"튜브","고압","진공","튜닝","조립","출하"},0),"T","H","V","N","A","P")&amp;IF($F356="O","R",IF($G356="O","A",IF($H356="O","F",""))),""),"")</f>
        <v>PR</v>
      </c>
      <c r="J356" s="15" t="s">
        <v>71</v>
      </c>
      <c r="K356" s="16" t="s">
        <v>71</v>
      </c>
      <c r="L356" s="17"/>
      <c r="M356" s="18"/>
      <c r="N356" s="19" t="s">
        <v>71</v>
      </c>
      <c r="O356" s="20"/>
      <c r="P356" s="21" t="str">
        <f t="shared" si="5"/>
        <v>348-PR</v>
      </c>
      <c r="Q356" s="108" t="str">
        <f>HYPERLINK("#'마스터_품목'!A583","→ 마스터 R583")</f>
        <v>→ 마스터 R583</v>
      </c>
      <c r="R356" s="109">
        <v>583</v>
      </c>
      <c r="S356" s="109" t="s">
        <v>72</v>
      </c>
    </row>
    <row r="357" spans="1:19" ht="48" customHeight="1" x14ac:dyDescent="0.3">
      <c r="A357" s="29" t="s">
        <v>771</v>
      </c>
      <c r="B357" s="22" t="s">
        <v>985</v>
      </c>
      <c r="C357" s="23" t="s">
        <v>591</v>
      </c>
      <c r="D357" s="23" t="s">
        <v>988</v>
      </c>
      <c r="E357" s="23" t="s">
        <v>989</v>
      </c>
      <c r="F357" s="24" t="s">
        <v>71</v>
      </c>
      <c r="G357" s="25"/>
      <c r="H357" s="26"/>
      <c r="I357" s="27" t="str">
        <f>IFERROR(IF(OR($F357="O",$G357="O",$H357="O"),CHOOSE(MATCH($A357,{"튜브","고압","진공","튜닝","조립","출하"},0),"T","H","V","N","A","P")&amp;IF($F357="O","R",IF($G357="O","A",IF($H357="O","F",""))),""),"")</f>
        <v>PR</v>
      </c>
      <c r="J357" s="15"/>
      <c r="K357" s="16"/>
      <c r="L357" s="17" t="s">
        <v>71</v>
      </c>
      <c r="M357" s="18"/>
      <c r="N357" s="19"/>
      <c r="O357" s="20"/>
      <c r="P357" s="21" t="str">
        <f t="shared" si="5"/>
        <v>6-PR</v>
      </c>
      <c r="Q357" s="108" t="str">
        <f>HYPERLINK("#'마스터_품목'!A584","→ 마스터 R584")</f>
        <v>→ 마스터 R584</v>
      </c>
      <c r="R357" s="109">
        <v>584</v>
      </c>
      <c r="S357" s="109" t="s">
        <v>72</v>
      </c>
    </row>
    <row r="358" spans="1:19" ht="48" customHeight="1" x14ac:dyDescent="0.3">
      <c r="A358" s="29" t="s">
        <v>771</v>
      </c>
      <c r="B358" s="22" t="s">
        <v>985</v>
      </c>
      <c r="C358" s="23" t="s">
        <v>68</v>
      </c>
      <c r="D358" s="23" t="s">
        <v>990</v>
      </c>
      <c r="E358" s="23" t="s">
        <v>991</v>
      </c>
      <c r="F358" s="24" t="s">
        <v>71</v>
      </c>
      <c r="G358" s="25"/>
      <c r="H358" s="26"/>
      <c r="I358" s="27" t="str">
        <f>IFERROR(IF(OR($F358="O",$G358="O",$H358="O"),CHOOSE(MATCH($A358,{"튜브","고압","진공","튜닝","조립","출하"},0),"T","H","V","N","A","P")&amp;IF($F358="O","R",IF($G358="O","A",IF($H358="O","F",""))),""),"")</f>
        <v>PR</v>
      </c>
      <c r="J358" s="15" t="s">
        <v>71</v>
      </c>
      <c r="K358" s="16"/>
      <c r="L358" s="17"/>
      <c r="M358" s="18" t="s">
        <v>71</v>
      </c>
      <c r="N358" s="19"/>
      <c r="O358" s="20"/>
      <c r="P358" s="21" t="str">
        <f t="shared" si="5"/>
        <v>37-PR</v>
      </c>
      <c r="Q358" s="108" t="str">
        <f>HYPERLINK("#'마스터_품목'!A585","→ 마스터 R585")</f>
        <v>→ 마스터 R585</v>
      </c>
      <c r="R358" s="109">
        <v>585</v>
      </c>
      <c r="S358" s="109" t="s">
        <v>72</v>
      </c>
    </row>
    <row r="359" spans="1:19" ht="48" customHeight="1" x14ac:dyDescent="0.3">
      <c r="A359" s="29" t="s">
        <v>771</v>
      </c>
      <c r="B359" s="22" t="s">
        <v>992</v>
      </c>
      <c r="C359" s="23" t="s">
        <v>68</v>
      </c>
      <c r="D359" s="23" t="s">
        <v>993</v>
      </c>
      <c r="E359" s="23" t="s">
        <v>994</v>
      </c>
      <c r="F359" s="24" t="s">
        <v>71</v>
      </c>
      <c r="G359" s="25"/>
      <c r="H359" s="26"/>
      <c r="I359" s="27" t="str">
        <f>IFERROR(IF(OR($F359="O",$G359="O",$H359="O"),CHOOSE(MATCH($A359,{"튜브","고압","진공","튜닝","조립","출하"},0),"T","H","V","N","A","P")&amp;IF($F359="O","R",IF($G359="O","A",IF($H359="O","F",""))),""),"")</f>
        <v>PR</v>
      </c>
      <c r="J359" s="15" t="s">
        <v>71</v>
      </c>
      <c r="K359" s="16" t="s">
        <v>71</v>
      </c>
      <c r="L359" s="17" t="s">
        <v>71</v>
      </c>
      <c r="M359" s="18" t="s">
        <v>71</v>
      </c>
      <c r="N359" s="19" t="s">
        <v>71</v>
      </c>
      <c r="O359" s="20"/>
      <c r="P359" s="21" t="str">
        <f t="shared" si="5"/>
        <v>34678-PR</v>
      </c>
      <c r="Q359" s="108" t="str">
        <f>HYPERLINK("#'마스터_품목'!A586","→ 마스터 R586")</f>
        <v>→ 마스터 R586</v>
      </c>
      <c r="R359" s="109">
        <v>586</v>
      </c>
      <c r="S359" s="109" t="s">
        <v>72</v>
      </c>
    </row>
    <row r="360" spans="1:19" ht="48" customHeight="1" x14ac:dyDescent="0.3">
      <c r="A360" s="29" t="s">
        <v>771</v>
      </c>
      <c r="B360" s="22" t="s">
        <v>992</v>
      </c>
      <c r="C360" s="23" t="s">
        <v>68</v>
      </c>
      <c r="D360" s="23" t="s">
        <v>995</v>
      </c>
      <c r="E360" s="23" t="s">
        <v>996</v>
      </c>
      <c r="F360" s="24" t="s">
        <v>71</v>
      </c>
      <c r="G360" s="25"/>
      <c r="H360" s="26"/>
      <c r="I360" s="27" t="str">
        <f>IFERROR(IF(OR($F360="O",$G360="O",$H360="O"),CHOOSE(MATCH($A360,{"튜브","고압","진공","튜닝","조립","출하"},0),"T","H","V","N","A","P")&amp;IF($F360="O","R",IF($G360="O","A",IF($H360="O","F",""))),""),"")</f>
        <v>PR</v>
      </c>
      <c r="J360" s="15" t="s">
        <v>71</v>
      </c>
      <c r="K360" s="16" t="s">
        <v>71</v>
      </c>
      <c r="L360" s="17" t="s">
        <v>71</v>
      </c>
      <c r="M360" s="18" t="s">
        <v>71</v>
      </c>
      <c r="N360" s="19" t="s">
        <v>71</v>
      </c>
      <c r="O360" s="20"/>
      <c r="P360" s="21" t="str">
        <f t="shared" si="5"/>
        <v>34678-PR</v>
      </c>
      <c r="Q360" s="108" t="str">
        <f>HYPERLINK("#'마스터_품목'!A587","→ 마스터 R587")</f>
        <v>→ 마스터 R587</v>
      </c>
      <c r="R360" s="109">
        <v>587</v>
      </c>
      <c r="S360" s="109" t="s">
        <v>72</v>
      </c>
    </row>
    <row r="361" spans="1:19" ht="48" customHeight="1" x14ac:dyDescent="0.3">
      <c r="A361" s="29" t="s">
        <v>771</v>
      </c>
      <c r="B361" s="22" t="s">
        <v>992</v>
      </c>
      <c r="C361" s="23" t="s">
        <v>591</v>
      </c>
      <c r="D361" s="23" t="s">
        <v>997</v>
      </c>
      <c r="E361" s="23" t="s">
        <v>998</v>
      </c>
      <c r="F361" s="24" t="s">
        <v>71</v>
      </c>
      <c r="G361" s="25"/>
      <c r="H361" s="26"/>
      <c r="I361" s="27" t="str">
        <f>IFERROR(IF(OR($F361="O",$G361="O",$H361="O"),CHOOSE(MATCH($A361,{"튜브","고압","진공","튜닝","조립","출하"},0),"T","H","V","N","A","P")&amp;IF($F361="O","R",IF($G361="O","A",IF($H361="O","F",""))),""),"")</f>
        <v>PR</v>
      </c>
      <c r="J361" s="15"/>
      <c r="K361" s="16"/>
      <c r="L361" s="17" t="s">
        <v>71</v>
      </c>
      <c r="M361" s="18"/>
      <c r="N361" s="19"/>
      <c r="O361" s="20"/>
      <c r="P361" s="21" t="str">
        <f t="shared" si="5"/>
        <v>6-PR</v>
      </c>
      <c r="Q361" s="108" t="str">
        <f>HYPERLINK("#'마스터_품목'!A588","→ 마스터 R588")</f>
        <v>→ 마스터 R588</v>
      </c>
      <c r="R361" s="109">
        <v>588</v>
      </c>
      <c r="S361" s="109" t="s">
        <v>72</v>
      </c>
    </row>
    <row r="362" spans="1:19" ht="48" customHeight="1" x14ac:dyDescent="0.3">
      <c r="A362" s="29" t="s">
        <v>771</v>
      </c>
      <c r="B362" s="22" t="s">
        <v>999</v>
      </c>
      <c r="C362" s="23" t="s">
        <v>68</v>
      </c>
      <c r="D362" s="23" t="s">
        <v>1000</v>
      </c>
      <c r="E362" s="23" t="s">
        <v>1001</v>
      </c>
      <c r="F362" s="24" t="s">
        <v>71</v>
      </c>
      <c r="G362" s="25"/>
      <c r="H362" s="26"/>
      <c r="I362" s="27" t="str">
        <f>IFERROR(IF(OR($F362="O",$G362="O",$H362="O"),CHOOSE(MATCH($A362,{"튜브","고압","진공","튜닝","조립","출하"},0),"T","H","V","N","A","P")&amp;IF($F362="O","R",IF($G362="O","A",IF($H362="O","F",""))),""),"")</f>
        <v>PR</v>
      </c>
      <c r="J362" s="15" t="s">
        <v>71</v>
      </c>
      <c r="K362" s="16" t="s">
        <v>71</v>
      </c>
      <c r="L362" s="17" t="s">
        <v>71</v>
      </c>
      <c r="M362" s="18" t="s">
        <v>71</v>
      </c>
      <c r="N362" s="19" t="s">
        <v>71</v>
      </c>
      <c r="O362" s="20"/>
      <c r="P362" s="21" t="str">
        <f t="shared" si="5"/>
        <v>34678-PR</v>
      </c>
      <c r="Q362" s="108" t="str">
        <f>HYPERLINK("#'마스터_품목'!A589","→ 마스터 R589")</f>
        <v>→ 마스터 R589</v>
      </c>
      <c r="R362" s="109">
        <v>589</v>
      </c>
      <c r="S362" s="109" t="s">
        <v>72</v>
      </c>
    </row>
    <row r="363" spans="1:19" ht="48" customHeight="1" x14ac:dyDescent="0.3">
      <c r="A363" s="29" t="s">
        <v>771</v>
      </c>
      <c r="B363" s="22" t="s">
        <v>999</v>
      </c>
      <c r="C363" s="23" t="s">
        <v>68</v>
      </c>
      <c r="D363" s="23" t="s">
        <v>1002</v>
      </c>
      <c r="E363" s="23" t="s">
        <v>1003</v>
      </c>
      <c r="F363" s="24" t="s">
        <v>71</v>
      </c>
      <c r="G363" s="25"/>
      <c r="H363" s="26"/>
      <c r="I363" s="27" t="str">
        <f>IFERROR(IF(OR($F363="O",$G363="O",$H363="O"),CHOOSE(MATCH($A363,{"튜브","고압","진공","튜닝","조립","출하"},0),"T","H","V","N","A","P")&amp;IF($F363="O","R",IF($G363="O","A",IF($H363="O","F",""))),""),"")</f>
        <v>PR</v>
      </c>
      <c r="J363" s="15" t="s">
        <v>71</v>
      </c>
      <c r="K363" s="16" t="s">
        <v>71</v>
      </c>
      <c r="L363" s="17" t="s">
        <v>71</v>
      </c>
      <c r="M363" s="18" t="s">
        <v>71</v>
      </c>
      <c r="N363" s="19" t="s">
        <v>71</v>
      </c>
      <c r="O363" s="20"/>
      <c r="P363" s="21" t="str">
        <f t="shared" si="5"/>
        <v>34678-PR</v>
      </c>
      <c r="Q363" s="108" t="str">
        <f>HYPERLINK("#'마스터_품목'!A590","→ 마스터 R590")</f>
        <v>→ 마스터 R590</v>
      </c>
      <c r="R363" s="109">
        <v>590</v>
      </c>
      <c r="S363" s="109" t="s">
        <v>72</v>
      </c>
    </row>
    <row r="364" spans="1:19" ht="27" customHeight="1" x14ac:dyDescent="0.3">
      <c r="A364" s="29" t="s">
        <v>771</v>
      </c>
      <c r="B364" s="22" t="s">
        <v>999</v>
      </c>
      <c r="C364" s="23" t="s">
        <v>68</v>
      </c>
      <c r="D364" s="23" t="s">
        <v>1004</v>
      </c>
      <c r="E364" s="23" t="s">
        <v>1005</v>
      </c>
      <c r="F364" s="24" t="s">
        <v>71</v>
      </c>
      <c r="G364" s="25"/>
      <c r="H364" s="26"/>
      <c r="I364" s="27" t="str">
        <f>IFERROR(IF(OR($F364="O",$G364="O",$H364="O"),CHOOSE(MATCH($A364,{"튜브","고압","진공","튜닝","조립","출하"},0),"T","H","V","N","A","P")&amp;IF($F364="O","R",IF($G364="O","A",IF($H364="O","F",""))),""),"")</f>
        <v>PR</v>
      </c>
      <c r="J364" s="15" t="s">
        <v>71</v>
      </c>
      <c r="K364" s="16" t="s">
        <v>71</v>
      </c>
      <c r="L364" s="17" t="s">
        <v>71</v>
      </c>
      <c r="M364" s="18" t="s">
        <v>71</v>
      </c>
      <c r="N364" s="19" t="s">
        <v>71</v>
      </c>
      <c r="O364" s="20"/>
      <c r="P364" s="21" t="str">
        <f t="shared" si="5"/>
        <v>34678-PR</v>
      </c>
      <c r="Q364" s="108" t="str">
        <f>HYPERLINK("#'마스터_품목'!A591","→ 마스터 R591")</f>
        <v>→ 마스터 R591</v>
      </c>
      <c r="R364" s="109">
        <v>591</v>
      </c>
      <c r="S364" s="109" t="s">
        <v>72</v>
      </c>
    </row>
    <row r="365" spans="1:19" ht="48" customHeight="1" x14ac:dyDescent="0.3">
      <c r="A365" s="29" t="s">
        <v>771</v>
      </c>
      <c r="B365" s="22" t="s">
        <v>999</v>
      </c>
      <c r="C365" s="23" t="s">
        <v>68</v>
      </c>
      <c r="D365" s="23" t="s">
        <v>1006</v>
      </c>
      <c r="E365" s="23" t="s">
        <v>1007</v>
      </c>
      <c r="F365" s="24" t="s">
        <v>71</v>
      </c>
      <c r="G365" s="25"/>
      <c r="H365" s="26"/>
      <c r="I365" s="27" t="str">
        <f>IFERROR(IF(OR($F365="O",$G365="O",$H365="O"),CHOOSE(MATCH($A365,{"튜브","고압","진공","튜닝","조립","출하"},0),"T","H","V","N","A","P")&amp;IF($F365="O","R",IF($G365="O","A",IF($H365="O","F",""))),""),"")</f>
        <v>PR</v>
      </c>
      <c r="J365" s="15" t="s">
        <v>71</v>
      </c>
      <c r="K365" s="16" t="s">
        <v>71</v>
      </c>
      <c r="L365" s="17" t="s">
        <v>71</v>
      </c>
      <c r="M365" s="18" t="s">
        <v>71</v>
      </c>
      <c r="N365" s="19" t="s">
        <v>71</v>
      </c>
      <c r="O365" s="20"/>
      <c r="P365" s="21" t="str">
        <f t="shared" si="5"/>
        <v>34678-PR</v>
      </c>
      <c r="Q365" s="108" t="str">
        <f>HYPERLINK("#'마스터_품목'!A592","→ 마스터 R592")</f>
        <v>→ 마스터 R592</v>
      </c>
      <c r="R365" s="109">
        <v>592</v>
      </c>
      <c r="S365" s="109" t="s">
        <v>72</v>
      </c>
    </row>
    <row r="366" spans="1:19" ht="48" customHeight="1" x14ac:dyDescent="0.3">
      <c r="A366" s="29" t="s">
        <v>771</v>
      </c>
      <c r="B366" s="22" t="s">
        <v>999</v>
      </c>
      <c r="C366" s="23" t="s">
        <v>68</v>
      </c>
      <c r="D366" s="23" t="s">
        <v>1008</v>
      </c>
      <c r="E366" s="23" t="s">
        <v>1009</v>
      </c>
      <c r="F366" s="24" t="s">
        <v>71</v>
      </c>
      <c r="G366" s="25"/>
      <c r="H366" s="26"/>
      <c r="I366" s="27" t="str">
        <f>IFERROR(IF(OR($F366="O",$G366="O",$H366="O"),CHOOSE(MATCH($A366,{"튜브","고압","진공","튜닝","조립","출하"},0),"T","H","V","N","A","P")&amp;IF($F366="O","R",IF($G366="O","A",IF($H366="O","F",""))),""),"")</f>
        <v>PR</v>
      </c>
      <c r="J366" s="15" t="s">
        <v>71</v>
      </c>
      <c r="K366" s="16" t="s">
        <v>71</v>
      </c>
      <c r="L366" s="17" t="s">
        <v>71</v>
      </c>
      <c r="M366" s="18" t="s">
        <v>71</v>
      </c>
      <c r="N366" s="19" t="s">
        <v>71</v>
      </c>
      <c r="O366" s="20"/>
      <c r="P366" s="21" t="str">
        <f t="shared" si="5"/>
        <v>34678-PR</v>
      </c>
      <c r="Q366" s="108" t="str">
        <f>HYPERLINK("#'마스터_품목'!A593","→ 마스터 R593")</f>
        <v>→ 마스터 R593</v>
      </c>
      <c r="R366" s="109">
        <v>593</v>
      </c>
      <c r="S366" s="109" t="s">
        <v>72</v>
      </c>
    </row>
    <row r="367" spans="1:19" ht="48" customHeight="1" x14ac:dyDescent="0.3">
      <c r="A367" s="29" t="s">
        <v>771</v>
      </c>
      <c r="B367" s="22" t="s">
        <v>999</v>
      </c>
      <c r="C367" s="23" t="s">
        <v>68</v>
      </c>
      <c r="D367" s="23" t="s">
        <v>1010</v>
      </c>
      <c r="E367" s="23" t="s">
        <v>1011</v>
      </c>
      <c r="F367" s="24" t="s">
        <v>71</v>
      </c>
      <c r="G367" s="25"/>
      <c r="H367" s="26"/>
      <c r="I367" s="27" t="str">
        <f>IFERROR(IF(OR($F367="O",$G367="O",$H367="O"),CHOOSE(MATCH($A367,{"튜브","고압","진공","튜닝","조립","출하"},0),"T","H","V","N","A","P")&amp;IF($F367="O","R",IF($G367="O","A",IF($H367="O","F",""))),""),"")</f>
        <v>PR</v>
      </c>
      <c r="J367" s="15" t="s">
        <v>71</v>
      </c>
      <c r="K367" s="16" t="s">
        <v>71</v>
      </c>
      <c r="L367" s="17" t="s">
        <v>71</v>
      </c>
      <c r="M367" s="18" t="s">
        <v>71</v>
      </c>
      <c r="N367" s="19" t="s">
        <v>71</v>
      </c>
      <c r="O367" s="20"/>
      <c r="P367" s="21" t="str">
        <f t="shared" si="5"/>
        <v>34678-PR</v>
      </c>
      <c r="Q367" s="108" t="str">
        <f>HYPERLINK("#'마스터_품목'!A594","→ 마스터 R594")</f>
        <v>→ 마스터 R594</v>
      </c>
      <c r="R367" s="109">
        <v>594</v>
      </c>
      <c r="S367" s="109" t="s">
        <v>72</v>
      </c>
    </row>
    <row r="368" spans="1:19" ht="48" customHeight="1" x14ac:dyDescent="0.3">
      <c r="A368" s="29" t="s">
        <v>771</v>
      </c>
      <c r="B368" s="22" t="s">
        <v>999</v>
      </c>
      <c r="C368" s="23" t="s">
        <v>68</v>
      </c>
      <c r="D368" s="23" t="s">
        <v>1012</v>
      </c>
      <c r="E368" s="23" t="s">
        <v>1013</v>
      </c>
      <c r="F368" s="24" t="s">
        <v>71</v>
      </c>
      <c r="G368" s="25"/>
      <c r="H368" s="26"/>
      <c r="I368" s="27" t="str">
        <f>IFERROR(IF(OR($F368="O",$G368="O",$H368="O"),CHOOSE(MATCH($A368,{"튜브","고압","진공","튜닝","조립","출하"},0),"T","H","V","N","A","P")&amp;IF($F368="O","R",IF($G368="O","A",IF($H368="O","F",""))),""),"")</f>
        <v>PR</v>
      </c>
      <c r="J368" s="15" t="s">
        <v>71</v>
      </c>
      <c r="K368" s="16" t="s">
        <v>71</v>
      </c>
      <c r="L368" s="17" t="s">
        <v>71</v>
      </c>
      <c r="M368" s="18" t="s">
        <v>71</v>
      </c>
      <c r="N368" s="19" t="s">
        <v>71</v>
      </c>
      <c r="O368" s="20"/>
      <c r="P368" s="21" t="str">
        <f t="shared" si="5"/>
        <v>34678-PR</v>
      </c>
      <c r="Q368" s="108" t="str">
        <f>HYPERLINK("#'마스터_품목'!A595","→ 마스터 R595")</f>
        <v>→ 마스터 R595</v>
      </c>
      <c r="R368" s="109">
        <v>595</v>
      </c>
      <c r="S368" s="109" t="s">
        <v>72</v>
      </c>
    </row>
    <row r="369" spans="1:19" ht="48" customHeight="1" x14ac:dyDescent="0.3">
      <c r="A369" s="29" t="s">
        <v>771</v>
      </c>
      <c r="B369" s="22" t="s">
        <v>1014</v>
      </c>
      <c r="C369" s="23" t="s">
        <v>1015</v>
      </c>
      <c r="D369" s="23" t="s">
        <v>1016</v>
      </c>
      <c r="E369" s="23" t="s">
        <v>1017</v>
      </c>
      <c r="F369" s="24" t="s">
        <v>71</v>
      </c>
      <c r="G369" s="25"/>
      <c r="H369" s="26"/>
      <c r="I369" s="27" t="str">
        <f>IFERROR(IF(OR($F369="O",$G369="O",$H369="O"),CHOOSE(MATCH($A369,{"튜브","고압","진공","튜닝","조립","출하"},0),"T","H","V","N","A","P")&amp;IF($F369="O","R",IF($G369="O","A",IF($H369="O","F",""))),""),"")</f>
        <v>PR</v>
      </c>
      <c r="J369" s="15" t="s">
        <v>71</v>
      </c>
      <c r="K369" s="16" t="s">
        <v>71</v>
      </c>
      <c r="L369" s="17"/>
      <c r="M369" s="18"/>
      <c r="N369" s="19" t="s">
        <v>71</v>
      </c>
      <c r="O369" s="20"/>
      <c r="P369" s="21" t="str">
        <f t="shared" si="5"/>
        <v>348-PR</v>
      </c>
      <c r="Q369" s="108" t="str">
        <f>HYPERLINK("#'마스터_품목'!A596","→ 마스터 R596")</f>
        <v>→ 마스터 R596</v>
      </c>
      <c r="R369" s="109">
        <v>596</v>
      </c>
      <c r="S369" s="109" t="s">
        <v>72</v>
      </c>
    </row>
    <row r="370" spans="1:19" ht="48" customHeight="1" x14ac:dyDescent="0.3">
      <c r="A370" s="29" t="s">
        <v>771</v>
      </c>
      <c r="B370" s="22" t="s">
        <v>1018</v>
      </c>
      <c r="C370" s="23" t="s">
        <v>153</v>
      </c>
      <c r="D370" s="23" t="s">
        <v>1019</v>
      </c>
      <c r="E370" s="23" t="s">
        <v>1020</v>
      </c>
      <c r="F370" s="24" t="s">
        <v>71</v>
      </c>
      <c r="G370" s="25"/>
      <c r="H370" s="26"/>
      <c r="I370" s="27" t="str">
        <f>IFERROR(IF(OR($F370="O",$G370="O",$H370="O"),CHOOSE(MATCH($A370,{"튜브","고압","진공","튜닝","조립","출하"},0),"T","H","V","N","A","P")&amp;IF($F370="O","R",IF($G370="O","A",IF($H370="O","F",""))),""),"")</f>
        <v>PR</v>
      </c>
      <c r="J370" s="15"/>
      <c r="K370" s="16"/>
      <c r="L370" s="17"/>
      <c r="M370" s="18" t="s">
        <v>71</v>
      </c>
      <c r="N370" s="19" t="s">
        <v>71</v>
      </c>
      <c r="O370" s="20"/>
      <c r="P370" s="21" t="str">
        <f t="shared" si="5"/>
        <v>78-PR</v>
      </c>
      <c r="Q370" s="108" t="str">
        <f>HYPERLINK("#'마스터_품목'!A597","→ 마스터 R597")</f>
        <v>→ 마스터 R597</v>
      </c>
      <c r="R370" s="109">
        <v>597</v>
      </c>
      <c r="S370" s="109" t="s">
        <v>72</v>
      </c>
    </row>
    <row r="371" spans="1:19" ht="48" customHeight="1" x14ac:dyDescent="0.3">
      <c r="A371" s="29" t="s">
        <v>771</v>
      </c>
      <c r="B371" s="22" t="s">
        <v>1018</v>
      </c>
      <c r="C371" s="23" t="s">
        <v>397</v>
      </c>
      <c r="D371" s="23" t="s">
        <v>1021</v>
      </c>
      <c r="E371" s="23" t="s">
        <v>1022</v>
      </c>
      <c r="F371" s="24" t="s">
        <v>71</v>
      </c>
      <c r="G371" s="25"/>
      <c r="H371" s="26"/>
      <c r="I371" s="27" t="str">
        <f>IFERROR(IF(OR($F371="O",$G371="O",$H371="O"),CHOOSE(MATCH($A371,{"튜브","고압","진공","튜닝","조립","출하"},0),"T","H","V","N","A","P")&amp;IF($F371="O","R",IF($G371="O","A",IF($H371="O","F",""))),""),"")</f>
        <v>PR</v>
      </c>
      <c r="J371" s="15" t="s">
        <v>71</v>
      </c>
      <c r="K371" s="16" t="s">
        <v>71</v>
      </c>
      <c r="L371" s="17"/>
      <c r="M371" s="18"/>
      <c r="N371" s="19"/>
      <c r="O371" s="20"/>
      <c r="P371" s="21" t="str">
        <f t="shared" si="5"/>
        <v>34-PR</v>
      </c>
      <c r="Q371" s="108" t="str">
        <f>HYPERLINK("#'마스터_품목'!A598","→ 마스터 R598")</f>
        <v>→ 마스터 R598</v>
      </c>
      <c r="R371" s="109">
        <v>598</v>
      </c>
      <c r="S371" s="109" t="s">
        <v>72</v>
      </c>
    </row>
    <row r="372" spans="1:19" ht="48" customHeight="1" x14ac:dyDescent="0.3">
      <c r="A372" s="29" t="s">
        <v>771</v>
      </c>
      <c r="B372" s="22" t="s">
        <v>1018</v>
      </c>
      <c r="C372" s="23" t="s">
        <v>68</v>
      </c>
      <c r="D372" s="23" t="s">
        <v>1023</v>
      </c>
      <c r="E372" s="23" t="s">
        <v>1024</v>
      </c>
      <c r="F372" s="24" t="s">
        <v>71</v>
      </c>
      <c r="G372" s="25"/>
      <c r="H372" s="26"/>
      <c r="I372" s="27" t="str">
        <f>IFERROR(IF(OR($F372="O",$G372="O",$H372="O"),CHOOSE(MATCH($A372,{"튜브","고압","진공","튜닝","조립","출하"},0),"T","H","V","N","A","P")&amp;IF($F372="O","R",IF($G372="O","A",IF($H372="O","F",""))),""),"")</f>
        <v>PR</v>
      </c>
      <c r="J372" s="15" t="s">
        <v>71</v>
      </c>
      <c r="K372" s="16" t="s">
        <v>71</v>
      </c>
      <c r="L372" s="17"/>
      <c r="M372" s="18" t="s">
        <v>71</v>
      </c>
      <c r="N372" s="19" t="s">
        <v>71</v>
      </c>
      <c r="O372" s="20"/>
      <c r="P372" s="21" t="str">
        <f t="shared" si="5"/>
        <v>3478-PR</v>
      </c>
      <c r="Q372" s="108" t="str">
        <f>HYPERLINK("#'마스터_품목'!A599","→ 마스터 R599")</f>
        <v>→ 마스터 R599</v>
      </c>
      <c r="R372" s="109">
        <v>599</v>
      </c>
      <c r="S372" s="109" t="s">
        <v>72</v>
      </c>
    </row>
    <row r="373" spans="1:19" ht="48" customHeight="1" x14ac:dyDescent="0.3">
      <c r="A373" s="29" t="s">
        <v>771</v>
      </c>
      <c r="B373" s="22" t="s">
        <v>1018</v>
      </c>
      <c r="C373" s="23" t="s">
        <v>68</v>
      </c>
      <c r="D373" s="23" t="s">
        <v>1025</v>
      </c>
      <c r="E373" s="23" t="s">
        <v>1026</v>
      </c>
      <c r="F373" s="24" t="s">
        <v>71</v>
      </c>
      <c r="G373" s="25"/>
      <c r="H373" s="26"/>
      <c r="I373" s="27" t="str">
        <f>IFERROR(IF(OR($F373="O",$G373="O",$H373="O"),CHOOSE(MATCH($A373,{"튜브","고압","진공","튜닝","조립","출하"},0),"T","H","V","N","A","P")&amp;IF($F373="O","R",IF($G373="O","A",IF($H373="O","F",""))),""),"")</f>
        <v>PR</v>
      </c>
      <c r="J373" s="15" t="s">
        <v>71</v>
      </c>
      <c r="K373" s="16" t="s">
        <v>71</v>
      </c>
      <c r="L373" s="17"/>
      <c r="M373" s="18" t="s">
        <v>71</v>
      </c>
      <c r="N373" s="19" t="s">
        <v>71</v>
      </c>
      <c r="O373" s="20"/>
      <c r="P373" s="21" t="str">
        <f t="shared" si="5"/>
        <v>3478-PR</v>
      </c>
      <c r="Q373" s="108" t="str">
        <f>HYPERLINK("#'마스터_품목'!A600","→ 마스터 R600")</f>
        <v>→ 마스터 R600</v>
      </c>
      <c r="R373" s="109">
        <v>600</v>
      </c>
      <c r="S373" s="109" t="s">
        <v>72</v>
      </c>
    </row>
    <row r="374" spans="1:19" ht="48" customHeight="1" x14ac:dyDescent="0.3">
      <c r="A374" s="29" t="s">
        <v>771</v>
      </c>
      <c r="B374" s="22" t="s">
        <v>1018</v>
      </c>
      <c r="C374" s="23" t="s">
        <v>68</v>
      </c>
      <c r="D374" s="23" t="s">
        <v>1027</v>
      </c>
      <c r="E374" s="23"/>
      <c r="F374" s="24" t="s">
        <v>71</v>
      </c>
      <c r="G374" s="25"/>
      <c r="H374" s="26"/>
      <c r="I374" s="27" t="str">
        <f>IFERROR(IF(OR($F374="O",$G374="O",$H374="O"),CHOOSE(MATCH($A374,{"튜브","고압","진공","튜닝","조립","출하"},0),"T","H","V","N","A","P")&amp;IF($F374="O","R",IF($G374="O","A",IF($H374="O","F",""))),""),"")</f>
        <v>PR</v>
      </c>
      <c r="J374" s="15"/>
      <c r="K374" s="16"/>
      <c r="L374" s="17"/>
      <c r="M374" s="18" t="s">
        <v>71</v>
      </c>
      <c r="N374" s="19" t="s">
        <v>71</v>
      </c>
      <c r="O374" s="20"/>
      <c r="P374" s="21" t="str">
        <f t="shared" si="5"/>
        <v>78-PR</v>
      </c>
      <c r="Q374" s="108" t="str">
        <f>HYPERLINK("#'마스터_품목'!A601","→ 마스터 R601")</f>
        <v>→ 마스터 R601</v>
      </c>
      <c r="R374" s="109">
        <v>601</v>
      </c>
      <c r="S374" s="109" t="s">
        <v>72</v>
      </c>
    </row>
    <row r="375" spans="1:19" ht="48" customHeight="1" x14ac:dyDescent="0.3">
      <c r="A375" s="29" t="s">
        <v>771</v>
      </c>
      <c r="B375" s="22" t="s">
        <v>1018</v>
      </c>
      <c r="C375" s="23" t="s">
        <v>591</v>
      </c>
      <c r="D375" s="23" t="s">
        <v>1028</v>
      </c>
      <c r="E375" s="23" t="s">
        <v>1029</v>
      </c>
      <c r="F375" s="24" t="s">
        <v>71</v>
      </c>
      <c r="G375" s="25"/>
      <c r="H375" s="26"/>
      <c r="I375" s="27" t="str">
        <f>IFERROR(IF(OR($F375="O",$G375="O",$H375="O"),CHOOSE(MATCH($A375,{"튜브","고압","진공","튜닝","조립","출하"},0),"T","H","V","N","A","P")&amp;IF($F375="O","R",IF($G375="O","A",IF($H375="O","F",""))),""),"")</f>
        <v>PR</v>
      </c>
      <c r="J375" s="15"/>
      <c r="K375" s="16"/>
      <c r="L375" s="17" t="s">
        <v>71</v>
      </c>
      <c r="M375" s="18"/>
      <c r="N375" s="19"/>
      <c r="O375" s="20"/>
      <c r="P375" s="21" t="str">
        <f t="shared" si="5"/>
        <v>6-PR</v>
      </c>
      <c r="Q375" s="108" t="str">
        <f>HYPERLINK("#'마스터_품목'!A602","→ 마스터 R602")</f>
        <v>→ 마스터 R602</v>
      </c>
      <c r="R375" s="109">
        <v>602</v>
      </c>
      <c r="S375" s="109" t="s">
        <v>72</v>
      </c>
    </row>
    <row r="376" spans="1:19" ht="48" customHeight="1" x14ac:dyDescent="0.3">
      <c r="A376" s="29" t="s">
        <v>771</v>
      </c>
      <c r="B376" s="22" t="s">
        <v>1018</v>
      </c>
      <c r="C376" s="23" t="s">
        <v>591</v>
      </c>
      <c r="D376" s="23" t="s">
        <v>1030</v>
      </c>
      <c r="E376" s="23"/>
      <c r="F376" s="24" t="s">
        <v>71</v>
      </c>
      <c r="G376" s="25"/>
      <c r="H376" s="26"/>
      <c r="I376" s="27" t="str">
        <f>IFERROR(IF(OR($F376="O",$G376="O",$H376="O"),CHOOSE(MATCH($A376,{"튜브","고압","진공","튜닝","조립","출하"},0),"T","H","V","N","A","P")&amp;IF($F376="O","R",IF($G376="O","A",IF($H376="O","F",""))),""),"")</f>
        <v>PR</v>
      </c>
      <c r="J376" s="15"/>
      <c r="K376" s="16"/>
      <c r="L376" s="17" t="s">
        <v>71</v>
      </c>
      <c r="M376" s="18"/>
      <c r="N376" s="19"/>
      <c r="O376" s="20"/>
      <c r="P376" s="21" t="str">
        <f t="shared" si="5"/>
        <v>6-PR</v>
      </c>
      <c r="Q376" s="108" t="str">
        <f>HYPERLINK("#'마스터_품목'!A603","→ 마스터 R603")</f>
        <v>→ 마스터 R603</v>
      </c>
      <c r="R376" s="109">
        <v>603</v>
      </c>
      <c r="S376" s="109" t="s">
        <v>72</v>
      </c>
    </row>
    <row r="377" spans="1:19" ht="48" customHeight="1" x14ac:dyDescent="0.3">
      <c r="A377" s="29" t="s">
        <v>771</v>
      </c>
      <c r="B377" s="22" t="s">
        <v>1031</v>
      </c>
      <c r="C377" s="23" t="s">
        <v>68</v>
      </c>
      <c r="D377" s="23" t="s">
        <v>1032</v>
      </c>
      <c r="E377" s="23" t="s">
        <v>1033</v>
      </c>
      <c r="F377" s="24" t="s">
        <v>71</v>
      </c>
      <c r="G377" s="25"/>
      <c r="H377" s="26"/>
      <c r="I377" s="27" t="str">
        <f>IFERROR(IF(OR($F377="O",$G377="O",$H377="O"),CHOOSE(MATCH($A377,{"튜브","고압","진공","튜닝","조립","출하"},0),"T","H","V","N","A","P")&amp;IF($F377="O","R",IF($G377="O","A",IF($H377="O","F",""))),""),"")</f>
        <v>PR</v>
      </c>
      <c r="J377" s="15" t="s">
        <v>71</v>
      </c>
      <c r="K377" s="16" t="s">
        <v>71</v>
      </c>
      <c r="L377" s="17"/>
      <c r="M377" s="18" t="s">
        <v>71</v>
      </c>
      <c r="N377" s="19" t="s">
        <v>71</v>
      </c>
      <c r="O377" s="20"/>
      <c r="P377" s="21" t="str">
        <f t="shared" si="5"/>
        <v>3478-PR</v>
      </c>
      <c r="Q377" s="108" t="str">
        <f>HYPERLINK("#'마스터_품목'!A604","→ 마스터 R604")</f>
        <v>→ 마스터 R604</v>
      </c>
      <c r="R377" s="109">
        <v>604</v>
      </c>
      <c r="S377" s="109" t="s">
        <v>72</v>
      </c>
    </row>
    <row r="378" spans="1:19" ht="48" customHeight="1" x14ac:dyDescent="0.3">
      <c r="A378" s="29" t="s">
        <v>771</v>
      </c>
      <c r="B378" s="22" t="s">
        <v>1031</v>
      </c>
      <c r="C378" s="23" t="s">
        <v>68</v>
      </c>
      <c r="D378" s="23" t="s">
        <v>1034</v>
      </c>
      <c r="E378" s="23"/>
      <c r="F378" s="24" t="s">
        <v>71</v>
      </c>
      <c r="G378" s="25"/>
      <c r="H378" s="26"/>
      <c r="I378" s="27" t="str">
        <f>IFERROR(IF(OR($F378="O",$G378="O",$H378="O"),CHOOSE(MATCH($A378,{"튜브","고압","진공","튜닝","조립","출하"},0),"T","H","V","N","A","P")&amp;IF($F378="O","R",IF($G378="O","A",IF($H378="O","F",""))),""),"")</f>
        <v>PR</v>
      </c>
      <c r="J378" s="15"/>
      <c r="K378" s="16"/>
      <c r="L378" s="17"/>
      <c r="M378" s="18" t="s">
        <v>71</v>
      </c>
      <c r="N378" s="19" t="s">
        <v>71</v>
      </c>
      <c r="O378" s="20"/>
      <c r="P378" s="21" t="str">
        <f t="shared" si="5"/>
        <v>78-PR</v>
      </c>
      <c r="Q378" s="108" t="str">
        <f>HYPERLINK("#'마스터_품목'!A605","→ 마스터 R605")</f>
        <v>→ 마스터 R605</v>
      </c>
      <c r="R378" s="109">
        <v>605</v>
      </c>
      <c r="S378" s="109" t="s">
        <v>72</v>
      </c>
    </row>
    <row r="379" spans="1:19" ht="48" customHeight="1" x14ac:dyDescent="0.3">
      <c r="A379" s="29" t="s">
        <v>771</v>
      </c>
      <c r="B379" s="22" t="s">
        <v>1031</v>
      </c>
      <c r="C379" s="23" t="s">
        <v>195</v>
      </c>
      <c r="D379" s="23" t="s">
        <v>1035</v>
      </c>
      <c r="E379" s="23" t="s">
        <v>1036</v>
      </c>
      <c r="F379" s="24" t="s">
        <v>71</v>
      </c>
      <c r="G379" s="25"/>
      <c r="H379" s="26"/>
      <c r="I379" s="27" t="str">
        <f>IFERROR(IF(OR($F379="O",$G379="O",$H379="O"),CHOOSE(MATCH($A379,{"튜브","고압","진공","튜닝","조립","출하"},0),"T","H","V","N","A","P")&amp;IF($F379="O","R",IF($G379="O","A",IF($H379="O","F",""))),""),"")</f>
        <v>PR</v>
      </c>
      <c r="J379" s="15" t="s">
        <v>71</v>
      </c>
      <c r="K379" s="16"/>
      <c r="L379" s="17"/>
      <c r="M379" s="18"/>
      <c r="N379" s="19"/>
      <c r="O379" s="20"/>
      <c r="P379" s="21" t="str">
        <f t="shared" si="5"/>
        <v>3-PR</v>
      </c>
      <c r="Q379" s="108" t="str">
        <f>HYPERLINK("#'마스터_품목'!A606","→ 마스터 R606")</f>
        <v>→ 마스터 R606</v>
      </c>
      <c r="R379" s="109">
        <v>606</v>
      </c>
      <c r="S379" s="109" t="s">
        <v>72</v>
      </c>
    </row>
    <row r="380" spans="1:19" ht="48" customHeight="1" x14ac:dyDescent="0.3">
      <c r="A380" s="29" t="s">
        <v>771</v>
      </c>
      <c r="B380" s="22" t="s">
        <v>1031</v>
      </c>
      <c r="C380" s="23" t="s">
        <v>198</v>
      </c>
      <c r="D380" s="23" t="s">
        <v>1037</v>
      </c>
      <c r="E380" s="23" t="s">
        <v>1038</v>
      </c>
      <c r="F380" s="24" t="s">
        <v>71</v>
      </c>
      <c r="G380" s="25"/>
      <c r="H380" s="26"/>
      <c r="I380" s="27" t="str">
        <f>IFERROR(IF(OR($F380="O",$G380="O",$H380="O"),CHOOSE(MATCH($A380,{"튜브","고압","진공","튜닝","조립","출하"},0),"T","H","V","N","A","P")&amp;IF($F380="O","R",IF($G380="O","A",IF($H380="O","F",""))),""),"")</f>
        <v>PR</v>
      </c>
      <c r="J380" s="15"/>
      <c r="K380" s="16" t="s">
        <v>71</v>
      </c>
      <c r="L380" s="17"/>
      <c r="M380" s="18"/>
      <c r="N380" s="19"/>
      <c r="O380" s="20"/>
      <c r="P380" s="21" t="str">
        <f t="shared" si="5"/>
        <v>4-PR</v>
      </c>
      <c r="Q380" s="108" t="str">
        <f>HYPERLINK("#'마스터_품목'!A607","→ 마스터 R607")</f>
        <v>→ 마스터 R607</v>
      </c>
      <c r="R380" s="109">
        <v>607</v>
      </c>
      <c r="S380" s="109" t="s">
        <v>72</v>
      </c>
    </row>
    <row r="381" spans="1:19" ht="48" customHeight="1" x14ac:dyDescent="0.3">
      <c r="A381" s="29" t="s">
        <v>771</v>
      </c>
      <c r="B381" s="22" t="s">
        <v>1031</v>
      </c>
      <c r="C381" s="23" t="s">
        <v>591</v>
      </c>
      <c r="D381" s="23" t="s">
        <v>1039</v>
      </c>
      <c r="E381" s="23" t="s">
        <v>1040</v>
      </c>
      <c r="F381" s="24" t="s">
        <v>71</v>
      </c>
      <c r="G381" s="25"/>
      <c r="H381" s="26"/>
      <c r="I381" s="27" t="str">
        <f>IFERROR(IF(OR($F381="O",$G381="O",$H381="O"),CHOOSE(MATCH($A381,{"튜브","고압","진공","튜닝","조립","출하"},0),"T","H","V","N","A","P")&amp;IF($F381="O","R",IF($G381="O","A",IF($H381="O","F",""))),""),"")</f>
        <v>PR</v>
      </c>
      <c r="J381" s="15"/>
      <c r="K381" s="16"/>
      <c r="L381" s="17" t="s">
        <v>71</v>
      </c>
      <c r="M381" s="18"/>
      <c r="N381" s="19"/>
      <c r="O381" s="20"/>
      <c r="P381" s="21" t="str">
        <f t="shared" si="5"/>
        <v>6-PR</v>
      </c>
      <c r="Q381" s="108" t="str">
        <f>HYPERLINK("#'마스터_품목'!A608","→ 마스터 R608")</f>
        <v>→ 마스터 R608</v>
      </c>
      <c r="R381" s="109">
        <v>608</v>
      </c>
      <c r="S381" s="109" t="s">
        <v>72</v>
      </c>
    </row>
    <row r="382" spans="1:19" ht="48" customHeight="1" x14ac:dyDescent="0.3">
      <c r="A382" s="29" t="s">
        <v>771</v>
      </c>
      <c r="B382" s="22" t="s">
        <v>1031</v>
      </c>
      <c r="C382" s="23" t="s">
        <v>68</v>
      </c>
      <c r="D382" s="23" t="s">
        <v>1041</v>
      </c>
      <c r="E382" s="23" t="s">
        <v>1042</v>
      </c>
      <c r="F382" s="24" t="s">
        <v>71</v>
      </c>
      <c r="G382" s="25"/>
      <c r="H382" s="26"/>
      <c r="I382" s="27" t="str">
        <f>IFERROR(IF(OR($F382="O",$G382="O",$H382="O"),CHOOSE(MATCH($A382,{"튜브","고압","진공","튜닝","조립","출하"},0),"T","H","V","N","A","P")&amp;IF($F382="O","R",IF($G382="O","A",IF($H382="O","F",""))),""),"")</f>
        <v>PR</v>
      </c>
      <c r="J382" s="15" t="s">
        <v>71</v>
      </c>
      <c r="K382" s="16" t="s">
        <v>71</v>
      </c>
      <c r="L382" s="17"/>
      <c r="M382" s="18"/>
      <c r="N382" s="19"/>
      <c r="O382" s="20"/>
      <c r="P382" s="21" t="str">
        <f t="shared" si="5"/>
        <v>34-PR</v>
      </c>
      <c r="Q382" s="108" t="str">
        <f>HYPERLINK("#'마스터_품목'!A609","→ 마스터 R609")</f>
        <v>→ 마스터 R609</v>
      </c>
      <c r="R382" s="109">
        <v>609</v>
      </c>
      <c r="S382" s="109" t="s">
        <v>72</v>
      </c>
    </row>
    <row r="383" spans="1:19" ht="48" customHeight="1" x14ac:dyDescent="0.3">
      <c r="A383" s="29" t="s">
        <v>771</v>
      </c>
      <c r="B383" s="22" t="s">
        <v>1031</v>
      </c>
      <c r="C383" s="23" t="s">
        <v>68</v>
      </c>
      <c r="D383" s="23" t="s">
        <v>1043</v>
      </c>
      <c r="E383" s="23"/>
      <c r="F383" s="24" t="s">
        <v>71</v>
      </c>
      <c r="G383" s="25"/>
      <c r="H383" s="26"/>
      <c r="I383" s="27" t="str">
        <f>IFERROR(IF(OR($F383="O",$G383="O",$H383="O"),CHOOSE(MATCH($A383,{"튜브","고압","진공","튜닝","조립","출하"},0),"T","H","V","N","A","P")&amp;IF($F383="O","R",IF($G383="O","A",IF($H383="O","F",""))),""),"")</f>
        <v>PR</v>
      </c>
      <c r="J383" s="15" t="s">
        <v>71</v>
      </c>
      <c r="K383" s="16" t="s">
        <v>71</v>
      </c>
      <c r="L383" s="17"/>
      <c r="M383" s="18"/>
      <c r="N383" s="19"/>
      <c r="O383" s="20"/>
      <c r="P383" s="21" t="str">
        <f t="shared" si="5"/>
        <v>34-PR</v>
      </c>
      <c r="Q383" s="108" t="str">
        <f>HYPERLINK("#'마스터_품목'!A610","→ 마스터 R610")</f>
        <v>→ 마스터 R610</v>
      </c>
      <c r="R383" s="109">
        <v>610</v>
      </c>
      <c r="S383" s="109" t="s">
        <v>72</v>
      </c>
    </row>
    <row r="384" spans="1:19" ht="48" customHeight="1" x14ac:dyDescent="0.3">
      <c r="A384" s="29" t="s">
        <v>771</v>
      </c>
      <c r="B384" s="22" t="s">
        <v>1031</v>
      </c>
      <c r="C384" s="23" t="s">
        <v>195</v>
      </c>
      <c r="D384" s="23" t="s">
        <v>1044</v>
      </c>
      <c r="E384" s="23" t="s">
        <v>1045</v>
      </c>
      <c r="F384" s="24" t="s">
        <v>71</v>
      </c>
      <c r="G384" s="25"/>
      <c r="H384" s="26"/>
      <c r="I384" s="27" t="str">
        <f>IFERROR(IF(OR($F384="O",$G384="O",$H384="O"),CHOOSE(MATCH($A384,{"튜브","고압","진공","튜닝","조립","출하"},0),"T","H","V","N","A","P")&amp;IF($F384="O","R",IF($G384="O","A",IF($H384="O","F",""))),""),"")</f>
        <v>PR</v>
      </c>
      <c r="J384" s="15" t="s">
        <v>71</v>
      </c>
      <c r="K384" s="16"/>
      <c r="L384" s="17"/>
      <c r="M384" s="18"/>
      <c r="N384" s="19"/>
      <c r="O384" s="20"/>
      <c r="P384" s="21" t="str">
        <f t="shared" si="5"/>
        <v>3-PR</v>
      </c>
      <c r="Q384" s="108" t="str">
        <f>HYPERLINK("#'마스터_품목'!A611","→ 마스터 R611")</f>
        <v>→ 마스터 R611</v>
      </c>
      <c r="R384" s="109">
        <v>611</v>
      </c>
      <c r="S384" s="109" t="s">
        <v>72</v>
      </c>
    </row>
    <row r="385" spans="1:19" ht="48" customHeight="1" x14ac:dyDescent="0.3">
      <c r="A385" s="29" t="s">
        <v>771</v>
      </c>
      <c r="B385" s="22" t="s">
        <v>1046</v>
      </c>
      <c r="C385" s="23" t="s">
        <v>195</v>
      </c>
      <c r="D385" s="23" t="s">
        <v>1047</v>
      </c>
      <c r="E385" s="23" t="s">
        <v>1048</v>
      </c>
      <c r="F385" s="24" t="s">
        <v>71</v>
      </c>
      <c r="G385" s="25"/>
      <c r="H385" s="26"/>
      <c r="I385" s="27" t="str">
        <f>IFERROR(IF(OR($F385="O",$G385="O",$H385="O"),CHOOSE(MATCH($A385,{"튜브","고압","진공","튜닝","조립","출하"},0),"T","H","V","N","A","P")&amp;IF($F385="O","R",IF($G385="O","A",IF($H385="O","F",""))),""),"")</f>
        <v>PR</v>
      </c>
      <c r="J385" s="15" t="s">
        <v>71</v>
      </c>
      <c r="K385" s="16"/>
      <c r="L385" s="17"/>
      <c r="M385" s="18"/>
      <c r="N385" s="19"/>
      <c r="O385" s="20"/>
      <c r="P385" s="21" t="str">
        <f t="shared" si="5"/>
        <v>3-PR</v>
      </c>
      <c r="Q385" s="108" t="str">
        <f>HYPERLINK("#'마스터_품목'!A612","→ 마스터 R612")</f>
        <v>→ 마스터 R612</v>
      </c>
      <c r="R385" s="109">
        <v>612</v>
      </c>
      <c r="S385" s="109" t="s">
        <v>72</v>
      </c>
    </row>
    <row r="386" spans="1:19" ht="48" customHeight="1" x14ac:dyDescent="0.3">
      <c r="A386" s="29" t="s">
        <v>771</v>
      </c>
      <c r="B386" s="22" t="s">
        <v>1046</v>
      </c>
      <c r="C386" s="23" t="s">
        <v>195</v>
      </c>
      <c r="D386" s="23" t="s">
        <v>1049</v>
      </c>
      <c r="E386" s="23" t="s">
        <v>1050</v>
      </c>
      <c r="F386" s="24" t="s">
        <v>71</v>
      </c>
      <c r="G386" s="25"/>
      <c r="H386" s="26"/>
      <c r="I386" s="27" t="str">
        <f>IFERROR(IF(OR($F386="O",$G386="O",$H386="O"),CHOOSE(MATCH($A386,{"튜브","고압","진공","튜닝","조립","출하"},0),"T","H","V","N","A","P")&amp;IF($F386="O","R",IF($G386="O","A",IF($H386="O","F",""))),""),"")</f>
        <v>PR</v>
      </c>
      <c r="J386" s="15" t="s">
        <v>71</v>
      </c>
      <c r="K386" s="16"/>
      <c r="L386" s="17"/>
      <c r="M386" s="18"/>
      <c r="N386" s="19"/>
      <c r="O386" s="20"/>
      <c r="P386" s="21" t="str">
        <f t="shared" ref="P386:P449" si="6">IF($I386="","",IF($J386="O","3","")&amp;IF($K386="O","4","")&amp;IF($L386="O","6","")&amp;IF($M386="O","7","")&amp;IF($N386="O","8","")&amp;IF($O386="O","?","")&amp;IF(OR($J386="O",$K386="O",$L386="O",$M386="O",$N386="O",$O386="O"),"-","")&amp;$I386)</f>
        <v>3-PR</v>
      </c>
      <c r="Q386" s="108" t="str">
        <f>HYPERLINK("#'마스터_품목'!A613","→ 마스터 R613")</f>
        <v>→ 마스터 R613</v>
      </c>
      <c r="R386" s="109">
        <v>613</v>
      </c>
      <c r="S386" s="109" t="s">
        <v>72</v>
      </c>
    </row>
    <row r="387" spans="1:19" ht="48" customHeight="1" x14ac:dyDescent="0.3">
      <c r="A387" s="29" t="s">
        <v>771</v>
      </c>
      <c r="B387" s="22" t="s">
        <v>1046</v>
      </c>
      <c r="C387" s="23" t="s">
        <v>195</v>
      </c>
      <c r="D387" s="23" t="s">
        <v>1051</v>
      </c>
      <c r="E387" s="23" t="s">
        <v>1052</v>
      </c>
      <c r="F387" s="24" t="s">
        <v>71</v>
      </c>
      <c r="G387" s="25"/>
      <c r="H387" s="26"/>
      <c r="I387" s="27" t="str">
        <f>IFERROR(IF(OR($F387="O",$G387="O",$H387="O"),CHOOSE(MATCH($A387,{"튜브","고압","진공","튜닝","조립","출하"},0),"T","H","V","N","A","P")&amp;IF($F387="O","R",IF($G387="O","A",IF($H387="O","F",""))),""),"")</f>
        <v>PR</v>
      </c>
      <c r="J387" s="15" t="s">
        <v>71</v>
      </c>
      <c r="K387" s="16"/>
      <c r="L387" s="17"/>
      <c r="M387" s="18"/>
      <c r="N387" s="19"/>
      <c r="O387" s="20"/>
      <c r="P387" s="21" t="str">
        <f t="shared" si="6"/>
        <v>3-PR</v>
      </c>
      <c r="Q387" s="108" t="str">
        <f>HYPERLINK("#'마스터_품목'!A614","→ 마스터 R614")</f>
        <v>→ 마스터 R614</v>
      </c>
      <c r="R387" s="109">
        <v>614</v>
      </c>
      <c r="S387" s="109" t="s">
        <v>72</v>
      </c>
    </row>
    <row r="388" spans="1:19" ht="48" customHeight="1" x14ac:dyDescent="0.3">
      <c r="A388" s="29" t="s">
        <v>771</v>
      </c>
      <c r="B388" s="22" t="s">
        <v>1046</v>
      </c>
      <c r="C388" s="23" t="s">
        <v>198</v>
      </c>
      <c r="D388" s="23" t="s">
        <v>1053</v>
      </c>
      <c r="E388" s="23" t="s">
        <v>1054</v>
      </c>
      <c r="F388" s="24" t="s">
        <v>71</v>
      </c>
      <c r="G388" s="25"/>
      <c r="H388" s="26"/>
      <c r="I388" s="27" t="str">
        <f>IFERROR(IF(OR($F388="O",$G388="O",$H388="O"),CHOOSE(MATCH($A388,{"튜브","고압","진공","튜닝","조립","출하"},0),"T","H","V","N","A","P")&amp;IF($F388="O","R",IF($G388="O","A",IF($H388="O","F",""))),""),"")</f>
        <v>PR</v>
      </c>
      <c r="J388" s="15"/>
      <c r="K388" s="16" t="s">
        <v>71</v>
      </c>
      <c r="L388" s="17"/>
      <c r="M388" s="18"/>
      <c r="N388" s="19"/>
      <c r="O388" s="20"/>
      <c r="P388" s="21" t="str">
        <f t="shared" si="6"/>
        <v>4-PR</v>
      </c>
      <c r="Q388" s="108" t="str">
        <f>HYPERLINK("#'마스터_품목'!A615","→ 마스터 R615")</f>
        <v>→ 마스터 R615</v>
      </c>
      <c r="R388" s="109">
        <v>615</v>
      </c>
      <c r="S388" s="109" t="s">
        <v>72</v>
      </c>
    </row>
    <row r="389" spans="1:19" ht="48" customHeight="1" x14ac:dyDescent="0.3">
      <c r="A389" s="29" t="s">
        <v>771</v>
      </c>
      <c r="B389" s="22" t="s">
        <v>1055</v>
      </c>
      <c r="C389" s="23" t="s">
        <v>68</v>
      </c>
      <c r="D389" s="23" t="s">
        <v>1056</v>
      </c>
      <c r="E389" s="23" t="s">
        <v>1057</v>
      </c>
      <c r="F389" s="24" t="s">
        <v>71</v>
      </c>
      <c r="G389" s="25"/>
      <c r="H389" s="26"/>
      <c r="I389" s="27" t="str">
        <f>IFERROR(IF(OR($F389="O",$G389="O",$H389="O"),CHOOSE(MATCH($A389,{"튜브","고압","진공","튜닝","조립","출하"},0),"T","H","V","N","A","P")&amp;IF($F389="O","R",IF($G389="O","A",IF($H389="O","F",""))),""),"")</f>
        <v>PR</v>
      </c>
      <c r="J389" s="15" t="s">
        <v>71</v>
      </c>
      <c r="K389" s="16"/>
      <c r="L389" s="17"/>
      <c r="M389" s="18"/>
      <c r="N389" s="19"/>
      <c r="O389" s="20"/>
      <c r="P389" s="21" t="str">
        <f t="shared" si="6"/>
        <v>3-PR</v>
      </c>
      <c r="Q389" s="108" t="str">
        <f>HYPERLINK("#'마스터_품목'!A616","→ 마스터 R616")</f>
        <v>→ 마스터 R616</v>
      </c>
      <c r="R389" s="109">
        <v>616</v>
      </c>
      <c r="S389" s="109" t="s">
        <v>72</v>
      </c>
    </row>
    <row r="390" spans="1:19" ht="48" customHeight="1" x14ac:dyDescent="0.3">
      <c r="A390" s="29" t="s">
        <v>771</v>
      </c>
      <c r="B390" s="22" t="s">
        <v>1055</v>
      </c>
      <c r="C390" s="23" t="s">
        <v>514</v>
      </c>
      <c r="D390" s="23" t="s">
        <v>1058</v>
      </c>
      <c r="E390" s="23" t="s">
        <v>1059</v>
      </c>
      <c r="F390" s="24" t="s">
        <v>71</v>
      </c>
      <c r="G390" s="25"/>
      <c r="H390" s="26"/>
      <c r="I390" s="27" t="str">
        <f>IFERROR(IF(OR($F390="O",$G390="O",$H390="O"),CHOOSE(MATCH($A390,{"튜브","고압","진공","튜닝","조립","출하"},0),"T","H","V","N","A","P")&amp;IF($F390="O","R",IF($G390="O","A",IF($H390="O","F",""))),""),"")</f>
        <v>PR</v>
      </c>
      <c r="J390" s="15"/>
      <c r="K390" s="16" t="s">
        <v>71</v>
      </c>
      <c r="L390" s="17"/>
      <c r="M390" s="18"/>
      <c r="N390" s="19"/>
      <c r="O390" s="20"/>
      <c r="P390" s="21" t="str">
        <f t="shared" si="6"/>
        <v>4-PR</v>
      </c>
      <c r="Q390" s="108" t="str">
        <f>HYPERLINK("#'마스터_품목'!A617","→ 마스터 R617")</f>
        <v>→ 마스터 R617</v>
      </c>
      <c r="R390" s="109">
        <v>617</v>
      </c>
      <c r="S390" s="109" t="s">
        <v>72</v>
      </c>
    </row>
    <row r="391" spans="1:19" ht="48" customHeight="1" x14ac:dyDescent="0.3">
      <c r="A391" s="29" t="s">
        <v>771</v>
      </c>
      <c r="B391" s="22" t="s">
        <v>1055</v>
      </c>
      <c r="C391" s="23" t="s">
        <v>514</v>
      </c>
      <c r="D391" s="23" t="s">
        <v>1060</v>
      </c>
      <c r="E391" s="23"/>
      <c r="F391" s="24" t="s">
        <v>71</v>
      </c>
      <c r="G391" s="25"/>
      <c r="H391" s="26"/>
      <c r="I391" s="27" t="str">
        <f>IFERROR(IF(OR($F391="O",$G391="O",$H391="O"),CHOOSE(MATCH($A391,{"튜브","고압","진공","튜닝","조립","출하"},0),"T","H","V","N","A","P")&amp;IF($F391="O","R",IF($G391="O","A",IF($H391="O","F",""))),""),"")</f>
        <v>PR</v>
      </c>
      <c r="J391" s="15"/>
      <c r="K391" s="16" t="s">
        <v>71</v>
      </c>
      <c r="L391" s="17"/>
      <c r="M391" s="18"/>
      <c r="N391" s="19"/>
      <c r="O391" s="20"/>
      <c r="P391" s="21" t="str">
        <f t="shared" si="6"/>
        <v>4-PR</v>
      </c>
      <c r="Q391" s="108" t="str">
        <f>HYPERLINK("#'마스터_품목'!A618","→ 마스터 R618")</f>
        <v>→ 마스터 R618</v>
      </c>
      <c r="R391" s="109">
        <v>618</v>
      </c>
      <c r="S391" s="109" t="s">
        <v>72</v>
      </c>
    </row>
    <row r="392" spans="1:19" ht="48" customHeight="1" x14ac:dyDescent="0.3">
      <c r="A392" s="29" t="s">
        <v>771</v>
      </c>
      <c r="B392" s="22" t="s">
        <v>1055</v>
      </c>
      <c r="C392" s="23" t="s">
        <v>1061</v>
      </c>
      <c r="D392" s="23" t="s">
        <v>1062</v>
      </c>
      <c r="E392" s="23" t="s">
        <v>1063</v>
      </c>
      <c r="F392" s="24" t="s">
        <v>71</v>
      </c>
      <c r="G392" s="25"/>
      <c r="H392" s="26"/>
      <c r="I392" s="27" t="str">
        <f>IFERROR(IF(OR($F392="O",$G392="O",$H392="O"),CHOOSE(MATCH($A392,{"튜브","고압","진공","튜닝","조립","출하"},0),"T","H","V","N","A","P")&amp;IF($F392="O","R",IF($G392="O","A",IF($H392="O","F",""))),""),"")</f>
        <v>PR</v>
      </c>
      <c r="J392" s="15" t="s">
        <v>71</v>
      </c>
      <c r="K392" s="16"/>
      <c r="L392" s="17"/>
      <c r="M392" s="18" t="s">
        <v>71</v>
      </c>
      <c r="N392" s="19"/>
      <c r="O392" s="20"/>
      <c r="P392" s="21" t="str">
        <f t="shared" si="6"/>
        <v>37-PR</v>
      </c>
      <c r="Q392" s="108" t="str">
        <f>HYPERLINK("#'마스터_품목'!A619","→ 마스터 R619")</f>
        <v>→ 마스터 R619</v>
      </c>
      <c r="R392" s="109">
        <v>619</v>
      </c>
      <c r="S392" s="109" t="s">
        <v>72</v>
      </c>
    </row>
    <row r="393" spans="1:19" ht="48" customHeight="1" x14ac:dyDescent="0.3">
      <c r="A393" s="29" t="s">
        <v>771</v>
      </c>
      <c r="B393" s="22" t="s">
        <v>1055</v>
      </c>
      <c r="C393" s="23" t="s">
        <v>68</v>
      </c>
      <c r="D393" s="23" t="s">
        <v>1064</v>
      </c>
      <c r="E393" s="23"/>
      <c r="F393" s="24" t="s">
        <v>71</v>
      </c>
      <c r="G393" s="25"/>
      <c r="H393" s="26"/>
      <c r="I393" s="27" t="str">
        <f>IFERROR(IF(OR($F393="O",$G393="O",$H393="O"),CHOOSE(MATCH($A393,{"튜브","고압","진공","튜닝","조립","출하"},0),"T","H","V","N","A","P")&amp;IF($F393="O","R",IF($G393="O","A",IF($H393="O","F",""))),""),"")</f>
        <v>PR</v>
      </c>
      <c r="J393" s="15" t="s">
        <v>71</v>
      </c>
      <c r="K393" s="16" t="s">
        <v>71</v>
      </c>
      <c r="L393" s="17" t="s">
        <v>71</v>
      </c>
      <c r="M393" s="18" t="s">
        <v>71</v>
      </c>
      <c r="N393" s="19" t="s">
        <v>71</v>
      </c>
      <c r="O393" s="20"/>
      <c r="P393" s="21" t="str">
        <f t="shared" si="6"/>
        <v>34678-PR</v>
      </c>
      <c r="Q393" s="108" t="str">
        <f>HYPERLINK("#'마스터_품목'!A620","→ 마스터 R620")</f>
        <v>→ 마스터 R620</v>
      </c>
      <c r="R393" s="109">
        <v>620</v>
      </c>
      <c r="S393" s="109" t="s">
        <v>72</v>
      </c>
    </row>
    <row r="394" spans="1:19" ht="48" customHeight="1" x14ac:dyDescent="0.3">
      <c r="A394" s="29" t="s">
        <v>771</v>
      </c>
      <c r="B394" s="22" t="s">
        <v>1055</v>
      </c>
      <c r="C394" s="23" t="s">
        <v>68</v>
      </c>
      <c r="D394" s="23" t="s">
        <v>1065</v>
      </c>
      <c r="E394" s="23" t="s">
        <v>1066</v>
      </c>
      <c r="F394" s="24" t="s">
        <v>71</v>
      </c>
      <c r="G394" s="25"/>
      <c r="H394" s="26"/>
      <c r="I394" s="27" t="str">
        <f>IFERROR(IF(OR($F394="O",$G394="O",$H394="O"),CHOOSE(MATCH($A394,{"튜브","고압","진공","튜닝","조립","출하"},0),"T","H","V","N","A","P")&amp;IF($F394="O","R",IF($G394="O","A",IF($H394="O","F",""))),""),"")</f>
        <v>PR</v>
      </c>
      <c r="J394" s="15" t="s">
        <v>71</v>
      </c>
      <c r="K394" s="16" t="s">
        <v>71</v>
      </c>
      <c r="L394" s="17" t="s">
        <v>71</v>
      </c>
      <c r="M394" s="18"/>
      <c r="N394" s="19"/>
      <c r="O394" s="20"/>
      <c r="P394" s="21" t="str">
        <f t="shared" si="6"/>
        <v>346-PR</v>
      </c>
      <c r="Q394" s="108" t="str">
        <f>HYPERLINK("#'마스터_품목'!A621","→ 마스터 R621")</f>
        <v>→ 마스터 R621</v>
      </c>
      <c r="R394" s="109">
        <v>621</v>
      </c>
      <c r="S394" s="109" t="s">
        <v>72</v>
      </c>
    </row>
    <row r="395" spans="1:19" ht="48" customHeight="1" x14ac:dyDescent="0.3">
      <c r="A395" s="29" t="s">
        <v>771</v>
      </c>
      <c r="B395" s="22" t="s">
        <v>1055</v>
      </c>
      <c r="C395" s="23" t="s">
        <v>68</v>
      </c>
      <c r="D395" s="23" t="s">
        <v>1067</v>
      </c>
      <c r="E395" s="23" t="s">
        <v>1068</v>
      </c>
      <c r="F395" s="24" t="s">
        <v>71</v>
      </c>
      <c r="G395" s="25"/>
      <c r="H395" s="26"/>
      <c r="I395" s="27" t="str">
        <f>IFERROR(IF(OR($F395="O",$G395="O",$H395="O"),CHOOSE(MATCH($A395,{"튜브","고압","진공","튜닝","조립","출하"},0),"T","H","V","N","A","P")&amp;IF($F395="O","R",IF($G395="O","A",IF($H395="O","F",""))),""),"")</f>
        <v>PR</v>
      </c>
      <c r="J395" s="15" t="s">
        <v>71</v>
      </c>
      <c r="K395" s="16"/>
      <c r="L395" s="17"/>
      <c r="M395" s="18"/>
      <c r="N395" s="19"/>
      <c r="O395" s="20"/>
      <c r="P395" s="21" t="str">
        <f t="shared" si="6"/>
        <v>3-PR</v>
      </c>
      <c r="Q395" s="108" t="str">
        <f>HYPERLINK("#'마스터_품목'!A622","→ 마스터 R622")</f>
        <v>→ 마스터 R622</v>
      </c>
      <c r="R395" s="109">
        <v>622</v>
      </c>
      <c r="S395" s="109" t="s">
        <v>72</v>
      </c>
    </row>
    <row r="396" spans="1:19" ht="48" customHeight="1" x14ac:dyDescent="0.3">
      <c r="A396" s="29" t="s">
        <v>771</v>
      </c>
      <c r="B396" s="22" t="s">
        <v>1055</v>
      </c>
      <c r="C396" s="23" t="s">
        <v>68</v>
      </c>
      <c r="D396" s="23" t="s">
        <v>1069</v>
      </c>
      <c r="E396" s="23" t="s">
        <v>1070</v>
      </c>
      <c r="F396" s="24" t="s">
        <v>71</v>
      </c>
      <c r="G396" s="25"/>
      <c r="H396" s="26"/>
      <c r="I396" s="27" t="str">
        <f>IFERROR(IF(OR($F396="O",$G396="O",$H396="O"),CHOOSE(MATCH($A396,{"튜브","고압","진공","튜닝","조립","출하"},0),"T","H","V","N","A","P")&amp;IF($F396="O","R",IF($G396="O","A",IF($H396="O","F",""))),""),"")</f>
        <v>PR</v>
      </c>
      <c r="J396" s="15"/>
      <c r="K396" s="16" t="s">
        <v>71</v>
      </c>
      <c r="L396" s="17"/>
      <c r="M396" s="18"/>
      <c r="N396" s="19"/>
      <c r="O396" s="20"/>
      <c r="P396" s="21" t="str">
        <f t="shared" si="6"/>
        <v>4-PR</v>
      </c>
      <c r="Q396" s="108" t="str">
        <f>HYPERLINK("#'마스터_품목'!A623","→ 마스터 R623")</f>
        <v>→ 마스터 R623</v>
      </c>
      <c r="R396" s="109">
        <v>623</v>
      </c>
      <c r="S396" s="109" t="s">
        <v>72</v>
      </c>
    </row>
    <row r="397" spans="1:19" ht="48" customHeight="1" x14ac:dyDescent="0.3">
      <c r="A397" s="29" t="s">
        <v>771</v>
      </c>
      <c r="B397" s="22" t="s">
        <v>1055</v>
      </c>
      <c r="C397" s="23" t="s">
        <v>68</v>
      </c>
      <c r="D397" s="23" t="s">
        <v>1071</v>
      </c>
      <c r="E397" s="23" t="s">
        <v>1072</v>
      </c>
      <c r="F397" s="24" t="s">
        <v>71</v>
      </c>
      <c r="G397" s="25"/>
      <c r="H397" s="26"/>
      <c r="I397" s="27" t="str">
        <f>IFERROR(IF(OR($F397="O",$G397="O",$H397="O"),CHOOSE(MATCH($A397,{"튜브","고압","진공","튜닝","조립","출하"},0),"T","H","V","N","A","P")&amp;IF($F397="O","R",IF($G397="O","A",IF($H397="O","F",""))),""),"")</f>
        <v>PR</v>
      </c>
      <c r="J397" s="15" t="s">
        <v>71</v>
      </c>
      <c r="K397" s="16"/>
      <c r="L397" s="17"/>
      <c r="M397" s="18" t="s">
        <v>71</v>
      </c>
      <c r="N397" s="19"/>
      <c r="O397" s="20"/>
      <c r="P397" s="21" t="str">
        <f t="shared" si="6"/>
        <v>37-PR</v>
      </c>
      <c r="Q397" s="108" t="str">
        <f>HYPERLINK("#'마스터_품목'!A624","→ 마스터 R624")</f>
        <v>→ 마스터 R624</v>
      </c>
      <c r="R397" s="109">
        <v>624</v>
      </c>
      <c r="S397" s="109" t="s">
        <v>72</v>
      </c>
    </row>
    <row r="398" spans="1:19" ht="48" customHeight="1" x14ac:dyDescent="0.3">
      <c r="A398" s="29" t="s">
        <v>771</v>
      </c>
      <c r="B398" s="22" t="s">
        <v>1055</v>
      </c>
      <c r="C398" s="23" t="s">
        <v>68</v>
      </c>
      <c r="D398" s="23" t="s">
        <v>1073</v>
      </c>
      <c r="E398" s="23" t="s">
        <v>1074</v>
      </c>
      <c r="F398" s="24" t="s">
        <v>71</v>
      </c>
      <c r="G398" s="25"/>
      <c r="H398" s="26"/>
      <c r="I398" s="27" t="str">
        <f>IFERROR(IF(OR($F398="O",$G398="O",$H398="O"),CHOOSE(MATCH($A398,{"튜브","고압","진공","튜닝","조립","출하"},0),"T","H","V","N","A","P")&amp;IF($F398="O","R",IF($G398="O","A",IF($H398="O","F",""))),""),"")</f>
        <v>PR</v>
      </c>
      <c r="J398" s="15" t="s">
        <v>71</v>
      </c>
      <c r="K398" s="16" t="s">
        <v>71</v>
      </c>
      <c r="L398" s="17" t="s">
        <v>71</v>
      </c>
      <c r="M398" s="18" t="s">
        <v>71</v>
      </c>
      <c r="N398" s="19" t="s">
        <v>71</v>
      </c>
      <c r="O398" s="20"/>
      <c r="P398" s="21" t="str">
        <f t="shared" si="6"/>
        <v>34678-PR</v>
      </c>
      <c r="Q398" s="108" t="str">
        <f>HYPERLINK("#'마스터_품목'!A625","→ 마스터 R625")</f>
        <v>→ 마스터 R625</v>
      </c>
      <c r="R398" s="109">
        <v>625</v>
      </c>
      <c r="S398" s="109" t="s">
        <v>72</v>
      </c>
    </row>
    <row r="399" spans="1:19" ht="48" customHeight="1" x14ac:dyDescent="0.3">
      <c r="A399" s="29" t="s">
        <v>771</v>
      </c>
      <c r="B399" s="22" t="s">
        <v>1055</v>
      </c>
      <c r="C399" s="23" t="s">
        <v>591</v>
      </c>
      <c r="D399" s="23" t="s">
        <v>1075</v>
      </c>
      <c r="E399" s="23" t="s">
        <v>1076</v>
      </c>
      <c r="F399" s="24" t="s">
        <v>71</v>
      </c>
      <c r="G399" s="25"/>
      <c r="H399" s="26"/>
      <c r="I399" s="27" t="str">
        <f>IFERROR(IF(OR($F399="O",$G399="O",$H399="O"),CHOOSE(MATCH($A399,{"튜브","고압","진공","튜닝","조립","출하"},0),"T","H","V","N","A","P")&amp;IF($F399="O","R",IF($G399="O","A",IF($H399="O","F",""))),""),"")</f>
        <v>PR</v>
      </c>
      <c r="J399" s="15"/>
      <c r="K399" s="16"/>
      <c r="L399" s="17" t="s">
        <v>71</v>
      </c>
      <c r="M399" s="18"/>
      <c r="N399" s="19"/>
      <c r="O399" s="20"/>
      <c r="P399" s="21" t="str">
        <f t="shared" si="6"/>
        <v>6-PR</v>
      </c>
      <c r="Q399" s="108" t="str">
        <f>HYPERLINK("#'마스터_품목'!A626","→ 마스터 R626")</f>
        <v>→ 마스터 R626</v>
      </c>
      <c r="R399" s="109">
        <v>626</v>
      </c>
      <c r="S399" s="109" t="s">
        <v>72</v>
      </c>
    </row>
    <row r="400" spans="1:19" ht="48" customHeight="1" x14ac:dyDescent="0.3">
      <c r="A400" s="29" t="s">
        <v>771</v>
      </c>
      <c r="B400" s="22" t="s">
        <v>1055</v>
      </c>
      <c r="C400" s="23" t="s">
        <v>591</v>
      </c>
      <c r="D400" s="23" t="s">
        <v>1077</v>
      </c>
      <c r="E400" s="23" t="s">
        <v>1078</v>
      </c>
      <c r="F400" s="24" t="s">
        <v>71</v>
      </c>
      <c r="G400" s="25"/>
      <c r="H400" s="26"/>
      <c r="I400" s="27" t="str">
        <f>IFERROR(IF(OR($F400="O",$G400="O",$H400="O"),CHOOSE(MATCH($A400,{"튜브","고압","진공","튜닝","조립","출하"},0),"T","H","V","N","A","P")&amp;IF($F400="O","R",IF($G400="O","A",IF($H400="O","F",""))),""),"")</f>
        <v>PR</v>
      </c>
      <c r="J400" s="15"/>
      <c r="K400" s="16"/>
      <c r="L400" s="17" t="s">
        <v>71</v>
      </c>
      <c r="M400" s="18"/>
      <c r="N400" s="19"/>
      <c r="O400" s="20"/>
      <c r="P400" s="21" t="str">
        <f t="shared" si="6"/>
        <v>6-PR</v>
      </c>
      <c r="Q400" s="108" t="str">
        <f>HYPERLINK("#'마스터_품목'!A627","→ 마스터 R627")</f>
        <v>→ 마스터 R627</v>
      </c>
      <c r="R400" s="109">
        <v>627</v>
      </c>
      <c r="S400" s="109" t="s">
        <v>72</v>
      </c>
    </row>
    <row r="401" spans="1:19" ht="48" customHeight="1" x14ac:dyDescent="0.3">
      <c r="A401" s="29" t="s">
        <v>771</v>
      </c>
      <c r="B401" s="22" t="s">
        <v>1055</v>
      </c>
      <c r="C401" s="23" t="s">
        <v>591</v>
      </c>
      <c r="D401" s="23" t="s">
        <v>1079</v>
      </c>
      <c r="E401" s="23"/>
      <c r="F401" s="24" t="s">
        <v>71</v>
      </c>
      <c r="G401" s="25"/>
      <c r="H401" s="26"/>
      <c r="I401" s="27" t="str">
        <f>IFERROR(IF(OR($F401="O",$G401="O",$H401="O"),CHOOSE(MATCH($A401,{"튜브","고압","진공","튜닝","조립","출하"},0),"T","H","V","N","A","P")&amp;IF($F401="O","R",IF($G401="O","A",IF($H401="O","F",""))),""),"")</f>
        <v>PR</v>
      </c>
      <c r="J401" s="15"/>
      <c r="K401" s="16"/>
      <c r="L401" s="17" t="s">
        <v>71</v>
      </c>
      <c r="M401" s="18"/>
      <c r="N401" s="19"/>
      <c r="O401" s="20"/>
      <c r="P401" s="21" t="str">
        <f t="shared" si="6"/>
        <v>6-PR</v>
      </c>
      <c r="Q401" s="108" t="str">
        <f>HYPERLINK("#'마스터_품목'!A628","→ 마스터 R628")</f>
        <v>→ 마스터 R628</v>
      </c>
      <c r="R401" s="109">
        <v>628</v>
      </c>
      <c r="S401" s="109" t="s">
        <v>72</v>
      </c>
    </row>
    <row r="402" spans="1:19" ht="48" customHeight="1" x14ac:dyDescent="0.3">
      <c r="A402" s="29" t="s">
        <v>771</v>
      </c>
      <c r="B402" s="22" t="s">
        <v>1055</v>
      </c>
      <c r="C402" s="23" t="s">
        <v>591</v>
      </c>
      <c r="D402" s="23" t="s">
        <v>1080</v>
      </c>
      <c r="E402" s="23" t="s">
        <v>1081</v>
      </c>
      <c r="F402" s="24" t="s">
        <v>71</v>
      </c>
      <c r="G402" s="25"/>
      <c r="H402" s="26"/>
      <c r="I402" s="27" t="str">
        <f>IFERROR(IF(OR($F402="O",$G402="O",$H402="O"),CHOOSE(MATCH($A402,{"튜브","고압","진공","튜닝","조립","출하"},0),"T","H","V","N","A","P")&amp;IF($F402="O","R",IF($G402="O","A",IF($H402="O","F",""))),""),"")</f>
        <v>PR</v>
      </c>
      <c r="J402" s="15"/>
      <c r="K402" s="16"/>
      <c r="L402" s="17" t="s">
        <v>71</v>
      </c>
      <c r="M402" s="18"/>
      <c r="N402" s="19"/>
      <c r="O402" s="20"/>
      <c r="P402" s="21" t="str">
        <f t="shared" si="6"/>
        <v>6-PR</v>
      </c>
      <c r="Q402" s="108" t="str">
        <f>HYPERLINK("#'마스터_품목'!A629","→ 마스터 R629")</f>
        <v>→ 마스터 R629</v>
      </c>
      <c r="R402" s="109">
        <v>629</v>
      </c>
      <c r="S402" s="109" t="s">
        <v>72</v>
      </c>
    </row>
    <row r="403" spans="1:19" ht="48" customHeight="1" x14ac:dyDescent="0.3">
      <c r="A403" s="29" t="s">
        <v>771</v>
      </c>
      <c r="B403" s="22" t="s">
        <v>1055</v>
      </c>
      <c r="C403" s="23" t="s">
        <v>117</v>
      </c>
      <c r="D403" s="23" t="s">
        <v>1082</v>
      </c>
      <c r="E403" s="23" t="s">
        <v>1083</v>
      </c>
      <c r="F403" s="24" t="s">
        <v>71</v>
      </c>
      <c r="G403" s="25"/>
      <c r="H403" s="26"/>
      <c r="I403" s="27" t="str">
        <f>IFERROR(IF(OR($F403="O",$G403="O",$H403="O"),CHOOSE(MATCH($A403,{"튜브","고압","진공","튜닝","조립","출하"},0),"T","H","V","N","A","P")&amp;IF($F403="O","R",IF($G403="O","A",IF($H403="O","F",""))),""),"")</f>
        <v>PR</v>
      </c>
      <c r="J403" s="15"/>
      <c r="K403" s="16"/>
      <c r="L403" s="17" t="s">
        <v>71</v>
      </c>
      <c r="M403" s="18"/>
      <c r="N403" s="19"/>
      <c r="O403" s="20"/>
      <c r="P403" s="21" t="str">
        <f t="shared" si="6"/>
        <v>6-PR</v>
      </c>
      <c r="Q403" s="108" t="str">
        <f>HYPERLINK("#'마스터_품목'!A630","→ 마스터 R630")</f>
        <v>→ 마스터 R630</v>
      </c>
      <c r="R403" s="109">
        <v>630</v>
      </c>
      <c r="S403" s="109" t="s">
        <v>72</v>
      </c>
    </row>
    <row r="404" spans="1:19" ht="48" customHeight="1" x14ac:dyDescent="0.3">
      <c r="A404" s="29" t="s">
        <v>771</v>
      </c>
      <c r="B404" s="22" t="s">
        <v>1055</v>
      </c>
      <c r="C404" s="23" t="s">
        <v>591</v>
      </c>
      <c r="D404" s="23" t="s">
        <v>1084</v>
      </c>
      <c r="E404" s="23"/>
      <c r="F404" s="24" t="s">
        <v>71</v>
      </c>
      <c r="G404" s="25"/>
      <c r="H404" s="26"/>
      <c r="I404" s="27" t="str">
        <f>IFERROR(IF(OR($F404="O",$G404="O",$H404="O"),CHOOSE(MATCH($A404,{"튜브","고압","진공","튜닝","조립","출하"},0),"T","H","V","N","A","P")&amp;IF($F404="O","R",IF($G404="O","A",IF($H404="O","F",""))),""),"")</f>
        <v>PR</v>
      </c>
      <c r="J404" s="15"/>
      <c r="K404" s="16"/>
      <c r="L404" s="17" t="s">
        <v>71</v>
      </c>
      <c r="M404" s="18"/>
      <c r="N404" s="19"/>
      <c r="O404" s="20"/>
      <c r="P404" s="21" t="str">
        <f t="shared" si="6"/>
        <v>6-PR</v>
      </c>
      <c r="Q404" s="108" t="str">
        <f>HYPERLINK("#'마스터_품목'!A631","→ 마스터 R631")</f>
        <v>→ 마스터 R631</v>
      </c>
      <c r="R404" s="109">
        <v>631</v>
      </c>
      <c r="S404" s="109" t="s">
        <v>72</v>
      </c>
    </row>
    <row r="405" spans="1:19" ht="48" customHeight="1" x14ac:dyDescent="0.3">
      <c r="A405" s="29" t="s">
        <v>771</v>
      </c>
      <c r="B405" s="22" t="s">
        <v>1055</v>
      </c>
      <c r="C405" s="23" t="s">
        <v>591</v>
      </c>
      <c r="D405" s="23" t="s">
        <v>1085</v>
      </c>
      <c r="E405" s="23" t="s">
        <v>1086</v>
      </c>
      <c r="F405" s="24" t="s">
        <v>71</v>
      </c>
      <c r="G405" s="25"/>
      <c r="H405" s="26"/>
      <c r="I405" s="27" t="str">
        <f>IFERROR(IF(OR($F405="O",$G405="O",$H405="O"),CHOOSE(MATCH($A405,{"튜브","고압","진공","튜닝","조립","출하"},0),"T","H","V","N","A","P")&amp;IF($F405="O","R",IF($G405="O","A",IF($H405="O","F",""))),""),"")</f>
        <v>PR</v>
      </c>
      <c r="J405" s="15"/>
      <c r="K405" s="16"/>
      <c r="L405" s="17" t="s">
        <v>71</v>
      </c>
      <c r="M405" s="18"/>
      <c r="N405" s="19"/>
      <c r="O405" s="20"/>
      <c r="P405" s="21" t="str">
        <f t="shared" si="6"/>
        <v>6-PR</v>
      </c>
      <c r="Q405" s="108" t="str">
        <f>HYPERLINK("#'마스터_품목'!A632","→ 마스터 R632")</f>
        <v>→ 마스터 R632</v>
      </c>
      <c r="R405" s="109">
        <v>632</v>
      </c>
      <c r="S405" s="109" t="s">
        <v>72</v>
      </c>
    </row>
    <row r="406" spans="1:19" ht="48" customHeight="1" x14ac:dyDescent="0.3">
      <c r="A406" s="29" t="s">
        <v>771</v>
      </c>
      <c r="B406" s="22" t="s">
        <v>1055</v>
      </c>
      <c r="C406" s="23" t="s">
        <v>591</v>
      </c>
      <c r="D406" s="23" t="s">
        <v>1087</v>
      </c>
      <c r="E406" s="23" t="s">
        <v>1088</v>
      </c>
      <c r="F406" s="24" t="s">
        <v>71</v>
      </c>
      <c r="G406" s="25"/>
      <c r="H406" s="26"/>
      <c r="I406" s="27" t="str">
        <f>IFERROR(IF(OR($F406="O",$G406="O",$H406="O"),CHOOSE(MATCH($A406,{"튜브","고압","진공","튜닝","조립","출하"},0),"T","H","V","N","A","P")&amp;IF($F406="O","R",IF($G406="O","A",IF($H406="O","F",""))),""),"")</f>
        <v>PR</v>
      </c>
      <c r="J406" s="15"/>
      <c r="K406" s="16"/>
      <c r="L406" s="17" t="s">
        <v>71</v>
      </c>
      <c r="M406" s="18"/>
      <c r="N406" s="19"/>
      <c r="O406" s="20"/>
      <c r="P406" s="21" t="str">
        <f t="shared" si="6"/>
        <v>6-PR</v>
      </c>
      <c r="Q406" s="108" t="str">
        <f>HYPERLINK("#'마스터_품목'!A633","→ 마스터 R633")</f>
        <v>→ 마스터 R633</v>
      </c>
      <c r="R406" s="109">
        <v>633</v>
      </c>
      <c r="S406" s="109" t="s">
        <v>72</v>
      </c>
    </row>
    <row r="407" spans="1:19" ht="48" customHeight="1" x14ac:dyDescent="0.3">
      <c r="A407" s="29" t="s">
        <v>771</v>
      </c>
      <c r="B407" s="22" t="s">
        <v>1055</v>
      </c>
      <c r="C407" s="23" t="s">
        <v>591</v>
      </c>
      <c r="D407" s="23" t="s">
        <v>1089</v>
      </c>
      <c r="E407" s="23" t="s">
        <v>1090</v>
      </c>
      <c r="F407" s="24" t="s">
        <v>71</v>
      </c>
      <c r="G407" s="25"/>
      <c r="H407" s="26"/>
      <c r="I407" s="27" t="str">
        <f>IFERROR(IF(OR($F407="O",$G407="O",$H407="O"),CHOOSE(MATCH($A407,{"튜브","고압","진공","튜닝","조립","출하"},0),"T","H","V","N","A","P")&amp;IF($F407="O","R",IF($G407="O","A",IF($H407="O","F",""))),""),"")</f>
        <v>PR</v>
      </c>
      <c r="J407" s="15"/>
      <c r="K407" s="16"/>
      <c r="L407" s="17" t="s">
        <v>71</v>
      </c>
      <c r="M407" s="18"/>
      <c r="N407" s="19"/>
      <c r="O407" s="20"/>
      <c r="P407" s="21" t="str">
        <f t="shared" si="6"/>
        <v>6-PR</v>
      </c>
      <c r="Q407" s="108" t="str">
        <f>HYPERLINK("#'마스터_품목'!A634","→ 마스터 R634")</f>
        <v>→ 마스터 R634</v>
      </c>
      <c r="R407" s="109">
        <v>634</v>
      </c>
      <c r="S407" s="109" t="s">
        <v>72</v>
      </c>
    </row>
    <row r="408" spans="1:19" ht="48" customHeight="1" x14ac:dyDescent="0.3">
      <c r="A408" s="29" t="s">
        <v>771</v>
      </c>
      <c r="B408" s="22" t="s">
        <v>1091</v>
      </c>
      <c r="C408" s="23" t="s">
        <v>68</v>
      </c>
      <c r="D408" s="23" t="s">
        <v>1092</v>
      </c>
      <c r="E408" s="23" t="s">
        <v>1093</v>
      </c>
      <c r="F408" s="24" t="s">
        <v>71</v>
      </c>
      <c r="G408" s="25"/>
      <c r="H408" s="26"/>
      <c r="I408" s="27" t="str">
        <f>IFERROR(IF(OR($F408="O",$G408="O",$H408="O"),CHOOSE(MATCH($A408,{"튜브","고압","진공","튜닝","조립","출하"},0),"T","H","V","N","A","P")&amp;IF($F408="O","R",IF($G408="O","A",IF($H408="O","F",""))),""),"")</f>
        <v>PR</v>
      </c>
      <c r="J408" s="15" t="s">
        <v>71</v>
      </c>
      <c r="K408" s="16" t="s">
        <v>71</v>
      </c>
      <c r="L408" s="17" t="s">
        <v>71</v>
      </c>
      <c r="M408" s="18" t="s">
        <v>71</v>
      </c>
      <c r="N408" s="19" t="s">
        <v>71</v>
      </c>
      <c r="O408" s="20"/>
      <c r="P408" s="21" t="str">
        <f t="shared" si="6"/>
        <v>34678-PR</v>
      </c>
      <c r="Q408" s="108" t="str">
        <f>HYPERLINK("#'마스터_품목'!A635","→ 마스터 R635")</f>
        <v>→ 마스터 R635</v>
      </c>
      <c r="R408" s="109">
        <v>635</v>
      </c>
      <c r="S408" s="109" t="s">
        <v>72</v>
      </c>
    </row>
    <row r="409" spans="1:19" ht="48" customHeight="1" x14ac:dyDescent="0.3">
      <c r="A409" s="29" t="s">
        <v>771</v>
      </c>
      <c r="B409" s="22" t="s">
        <v>1091</v>
      </c>
      <c r="C409" s="23" t="s">
        <v>68</v>
      </c>
      <c r="D409" s="23" t="s">
        <v>1094</v>
      </c>
      <c r="E409" s="23" t="s">
        <v>1095</v>
      </c>
      <c r="F409" s="24" t="s">
        <v>71</v>
      </c>
      <c r="G409" s="25"/>
      <c r="H409" s="26"/>
      <c r="I409" s="27" t="str">
        <f>IFERROR(IF(OR($F409="O",$G409="O",$H409="O"),CHOOSE(MATCH($A409,{"튜브","고압","진공","튜닝","조립","출하"},0),"T","H","V","N","A","P")&amp;IF($F409="O","R",IF($G409="O","A",IF($H409="O","F",""))),""),"")</f>
        <v>PR</v>
      </c>
      <c r="J409" s="15" t="s">
        <v>71</v>
      </c>
      <c r="K409" s="16" t="s">
        <v>71</v>
      </c>
      <c r="L409" s="17" t="s">
        <v>71</v>
      </c>
      <c r="M409" s="18" t="s">
        <v>71</v>
      </c>
      <c r="N409" s="19" t="s">
        <v>71</v>
      </c>
      <c r="O409" s="20"/>
      <c r="P409" s="21" t="str">
        <f t="shared" si="6"/>
        <v>34678-PR</v>
      </c>
      <c r="Q409" s="108" t="str">
        <f>HYPERLINK("#'마스터_품목'!A636","→ 마스터 R636")</f>
        <v>→ 마스터 R636</v>
      </c>
      <c r="R409" s="109">
        <v>636</v>
      </c>
      <c r="S409" s="109" t="s">
        <v>72</v>
      </c>
    </row>
    <row r="410" spans="1:19" ht="48" customHeight="1" x14ac:dyDescent="0.3">
      <c r="A410" s="29" t="s">
        <v>771</v>
      </c>
      <c r="B410" s="22" t="s">
        <v>1096</v>
      </c>
      <c r="C410" s="23" t="s">
        <v>68</v>
      </c>
      <c r="D410" s="23" t="s">
        <v>1097</v>
      </c>
      <c r="E410" s="23" t="s">
        <v>1098</v>
      </c>
      <c r="F410" s="24" t="s">
        <v>71</v>
      </c>
      <c r="G410" s="25"/>
      <c r="H410" s="26"/>
      <c r="I410" s="27" t="str">
        <f>IFERROR(IF(OR($F410="O",$G410="O",$H410="O"),CHOOSE(MATCH($A410,{"튜브","고압","진공","튜닝","조립","출하"},0),"T","H","V","N","A","P")&amp;IF($F410="O","R",IF($G410="O","A",IF($H410="O","F",""))),""),"")</f>
        <v>PR</v>
      </c>
      <c r="J410" s="15" t="s">
        <v>71</v>
      </c>
      <c r="K410" s="16" t="s">
        <v>71</v>
      </c>
      <c r="L410" s="17" t="s">
        <v>71</v>
      </c>
      <c r="M410" s="18" t="s">
        <v>71</v>
      </c>
      <c r="N410" s="19" t="s">
        <v>71</v>
      </c>
      <c r="O410" s="20"/>
      <c r="P410" s="21" t="str">
        <f t="shared" si="6"/>
        <v>34678-PR</v>
      </c>
      <c r="Q410" s="108" t="str">
        <f>HYPERLINK("#'마스터_품목'!A637","→ 마스터 R637")</f>
        <v>→ 마스터 R637</v>
      </c>
      <c r="R410" s="109">
        <v>637</v>
      </c>
      <c r="S410" s="109" t="s">
        <v>72</v>
      </c>
    </row>
    <row r="411" spans="1:19" ht="48" customHeight="1" x14ac:dyDescent="0.3">
      <c r="A411" s="29" t="s">
        <v>771</v>
      </c>
      <c r="B411" s="22" t="s">
        <v>1096</v>
      </c>
      <c r="C411" s="23" t="s">
        <v>68</v>
      </c>
      <c r="D411" s="23" t="s">
        <v>1099</v>
      </c>
      <c r="E411" s="23" t="s">
        <v>1100</v>
      </c>
      <c r="F411" s="24" t="s">
        <v>71</v>
      </c>
      <c r="G411" s="25"/>
      <c r="H411" s="26"/>
      <c r="I411" s="27" t="str">
        <f>IFERROR(IF(OR($F411="O",$G411="O",$H411="O"),CHOOSE(MATCH($A411,{"튜브","고압","진공","튜닝","조립","출하"},0),"T","H","V","N","A","P")&amp;IF($F411="O","R",IF($G411="O","A",IF($H411="O","F",""))),""),"")</f>
        <v>PR</v>
      </c>
      <c r="J411" s="15" t="s">
        <v>71</v>
      </c>
      <c r="K411" s="16" t="s">
        <v>71</v>
      </c>
      <c r="L411" s="17" t="s">
        <v>71</v>
      </c>
      <c r="M411" s="18" t="s">
        <v>71</v>
      </c>
      <c r="N411" s="19" t="s">
        <v>71</v>
      </c>
      <c r="O411" s="20"/>
      <c r="P411" s="21" t="str">
        <f t="shared" si="6"/>
        <v>34678-PR</v>
      </c>
      <c r="Q411" s="108" t="str">
        <f>HYPERLINK("#'마스터_품목'!A638","→ 마스터 R638")</f>
        <v>→ 마스터 R638</v>
      </c>
      <c r="R411" s="109">
        <v>638</v>
      </c>
      <c r="S411" s="109" t="s">
        <v>72</v>
      </c>
    </row>
    <row r="412" spans="1:19" ht="48" customHeight="1" x14ac:dyDescent="0.3">
      <c r="A412" s="29" t="s">
        <v>771</v>
      </c>
      <c r="B412" s="22" t="s">
        <v>1096</v>
      </c>
      <c r="C412" s="23" t="s">
        <v>68</v>
      </c>
      <c r="D412" s="23" t="s">
        <v>1101</v>
      </c>
      <c r="E412" s="23"/>
      <c r="F412" s="24" t="s">
        <v>71</v>
      </c>
      <c r="G412" s="25"/>
      <c r="H412" s="26"/>
      <c r="I412" s="27" t="str">
        <f>IFERROR(IF(OR($F412="O",$G412="O",$H412="O"),CHOOSE(MATCH($A412,{"튜브","고압","진공","튜닝","조립","출하"},0),"T","H","V","N","A","P")&amp;IF($F412="O","R",IF($G412="O","A",IF($H412="O","F",""))),""),"")</f>
        <v>PR</v>
      </c>
      <c r="J412" s="15" t="s">
        <v>71</v>
      </c>
      <c r="K412" s="16" t="s">
        <v>71</v>
      </c>
      <c r="L412" s="17" t="s">
        <v>71</v>
      </c>
      <c r="M412" s="18" t="s">
        <v>71</v>
      </c>
      <c r="N412" s="19" t="s">
        <v>71</v>
      </c>
      <c r="O412" s="20"/>
      <c r="P412" s="21" t="str">
        <f t="shared" si="6"/>
        <v>34678-PR</v>
      </c>
      <c r="Q412" s="108" t="str">
        <f>HYPERLINK("#'마스터_품목'!A639","→ 마스터 R639")</f>
        <v>→ 마스터 R639</v>
      </c>
      <c r="R412" s="109">
        <v>639</v>
      </c>
      <c r="S412" s="109" t="s">
        <v>72</v>
      </c>
    </row>
    <row r="413" spans="1:19" ht="48" customHeight="1" x14ac:dyDescent="0.3">
      <c r="A413" s="29" t="s">
        <v>771</v>
      </c>
      <c r="B413" s="22" t="s">
        <v>1096</v>
      </c>
      <c r="C413" s="23" t="s">
        <v>68</v>
      </c>
      <c r="D413" s="23" t="s">
        <v>1102</v>
      </c>
      <c r="E413" s="23"/>
      <c r="F413" s="24" t="s">
        <v>71</v>
      </c>
      <c r="G413" s="25"/>
      <c r="H413" s="26"/>
      <c r="I413" s="27" t="str">
        <f>IFERROR(IF(OR($F413="O",$G413="O",$H413="O"),CHOOSE(MATCH($A413,{"튜브","고압","진공","튜닝","조립","출하"},0),"T","H","V","N","A","P")&amp;IF($F413="O","R",IF($G413="O","A",IF($H413="O","F",""))),""),"")</f>
        <v>PR</v>
      </c>
      <c r="J413" s="15" t="s">
        <v>71</v>
      </c>
      <c r="K413" s="16" t="s">
        <v>71</v>
      </c>
      <c r="L413" s="17" t="s">
        <v>71</v>
      </c>
      <c r="M413" s="18" t="s">
        <v>71</v>
      </c>
      <c r="N413" s="19" t="s">
        <v>71</v>
      </c>
      <c r="O413" s="20"/>
      <c r="P413" s="21" t="str">
        <f t="shared" si="6"/>
        <v>34678-PR</v>
      </c>
      <c r="Q413" s="108" t="str">
        <f>HYPERLINK("#'마스터_품목'!A640","→ 마스터 R640")</f>
        <v>→ 마스터 R640</v>
      </c>
      <c r="R413" s="109">
        <v>640</v>
      </c>
      <c r="S413" s="109" t="s">
        <v>72</v>
      </c>
    </row>
    <row r="414" spans="1:19" ht="48" customHeight="1" x14ac:dyDescent="0.3">
      <c r="A414" s="29" t="s">
        <v>771</v>
      </c>
      <c r="B414" s="22" t="s">
        <v>1096</v>
      </c>
      <c r="C414" s="23" t="s">
        <v>68</v>
      </c>
      <c r="D414" s="23" t="s">
        <v>1103</v>
      </c>
      <c r="E414" s="23" t="s">
        <v>1104</v>
      </c>
      <c r="F414" s="24" t="s">
        <v>71</v>
      </c>
      <c r="G414" s="25"/>
      <c r="H414" s="26"/>
      <c r="I414" s="27" t="str">
        <f>IFERROR(IF(OR($F414="O",$G414="O",$H414="O"),CHOOSE(MATCH($A414,{"튜브","고압","진공","튜닝","조립","출하"},0),"T","H","V","N","A","P")&amp;IF($F414="O","R",IF($G414="O","A",IF($H414="O","F",""))),""),"")</f>
        <v>PR</v>
      </c>
      <c r="J414" s="15" t="s">
        <v>71</v>
      </c>
      <c r="K414" s="16" t="s">
        <v>71</v>
      </c>
      <c r="L414" s="17" t="s">
        <v>71</v>
      </c>
      <c r="M414" s="18" t="s">
        <v>71</v>
      </c>
      <c r="N414" s="19" t="s">
        <v>71</v>
      </c>
      <c r="O414" s="20"/>
      <c r="P414" s="21" t="str">
        <f t="shared" si="6"/>
        <v>34678-PR</v>
      </c>
      <c r="Q414" s="108" t="str">
        <f>HYPERLINK("#'마스터_품목'!A641","→ 마스터 R641")</f>
        <v>→ 마스터 R641</v>
      </c>
      <c r="R414" s="109">
        <v>641</v>
      </c>
      <c r="S414" s="109" t="s">
        <v>72</v>
      </c>
    </row>
    <row r="415" spans="1:19" ht="48" customHeight="1" x14ac:dyDescent="0.3">
      <c r="A415" s="29" t="s">
        <v>771</v>
      </c>
      <c r="B415" s="22" t="s">
        <v>1096</v>
      </c>
      <c r="C415" s="23" t="s">
        <v>68</v>
      </c>
      <c r="D415" s="23" t="s">
        <v>1105</v>
      </c>
      <c r="E415" s="23" t="s">
        <v>1106</v>
      </c>
      <c r="F415" s="24" t="s">
        <v>71</v>
      </c>
      <c r="G415" s="25"/>
      <c r="H415" s="26"/>
      <c r="I415" s="27" t="str">
        <f>IFERROR(IF(OR($F415="O",$G415="O",$H415="O"),CHOOSE(MATCH($A415,{"튜브","고압","진공","튜닝","조립","출하"},0),"T","H","V","N","A","P")&amp;IF($F415="O","R",IF($G415="O","A",IF($H415="O","F",""))),""),"")</f>
        <v>PR</v>
      </c>
      <c r="J415" s="15" t="s">
        <v>71</v>
      </c>
      <c r="K415" s="16" t="s">
        <v>71</v>
      </c>
      <c r="L415" s="17" t="s">
        <v>71</v>
      </c>
      <c r="M415" s="18" t="s">
        <v>71</v>
      </c>
      <c r="N415" s="19" t="s">
        <v>71</v>
      </c>
      <c r="O415" s="20"/>
      <c r="P415" s="21" t="str">
        <f t="shared" si="6"/>
        <v>34678-PR</v>
      </c>
      <c r="Q415" s="108" t="str">
        <f>HYPERLINK("#'마스터_품목'!A642","→ 마스터 R642")</f>
        <v>→ 마스터 R642</v>
      </c>
      <c r="R415" s="109">
        <v>642</v>
      </c>
      <c r="S415" s="109" t="s">
        <v>72</v>
      </c>
    </row>
    <row r="416" spans="1:19" ht="48" customHeight="1" x14ac:dyDescent="0.3">
      <c r="A416" s="29" t="s">
        <v>771</v>
      </c>
      <c r="B416" s="22" t="s">
        <v>1096</v>
      </c>
      <c r="C416" s="23" t="s">
        <v>68</v>
      </c>
      <c r="D416" s="23" t="s">
        <v>1107</v>
      </c>
      <c r="E416" s="23" t="s">
        <v>1108</v>
      </c>
      <c r="F416" s="24" t="s">
        <v>71</v>
      </c>
      <c r="G416" s="25"/>
      <c r="H416" s="26"/>
      <c r="I416" s="27" t="str">
        <f>IFERROR(IF(OR($F416="O",$G416="O",$H416="O"),CHOOSE(MATCH($A416,{"튜브","고압","진공","튜닝","조립","출하"},0),"T","H","V","N","A","P")&amp;IF($F416="O","R",IF($G416="O","A",IF($H416="O","F",""))),""),"")</f>
        <v>PR</v>
      </c>
      <c r="J416" s="15" t="s">
        <v>71</v>
      </c>
      <c r="K416" s="16" t="s">
        <v>71</v>
      </c>
      <c r="L416" s="17" t="s">
        <v>71</v>
      </c>
      <c r="M416" s="18" t="s">
        <v>71</v>
      </c>
      <c r="N416" s="19" t="s">
        <v>71</v>
      </c>
      <c r="O416" s="20"/>
      <c r="P416" s="21" t="str">
        <f t="shared" si="6"/>
        <v>34678-PR</v>
      </c>
      <c r="Q416" s="108" t="str">
        <f>HYPERLINK("#'마스터_품목'!A643","→ 마스터 R643")</f>
        <v>→ 마스터 R643</v>
      </c>
      <c r="R416" s="109">
        <v>643</v>
      </c>
      <c r="S416" s="109" t="s">
        <v>72</v>
      </c>
    </row>
    <row r="417" spans="1:19" ht="48" customHeight="1" x14ac:dyDescent="0.3">
      <c r="A417" s="29" t="s">
        <v>771</v>
      </c>
      <c r="B417" s="22" t="s">
        <v>1096</v>
      </c>
      <c r="C417" s="23" t="s">
        <v>68</v>
      </c>
      <c r="D417" s="23" t="s">
        <v>1109</v>
      </c>
      <c r="E417" s="23" t="s">
        <v>1110</v>
      </c>
      <c r="F417" s="24" t="s">
        <v>71</v>
      </c>
      <c r="G417" s="25"/>
      <c r="H417" s="26"/>
      <c r="I417" s="27" t="str">
        <f>IFERROR(IF(OR($F417="O",$G417="O",$H417="O"),CHOOSE(MATCH($A417,{"튜브","고압","진공","튜닝","조립","출하"},0),"T","H","V","N","A","P")&amp;IF($F417="O","R",IF($G417="O","A",IF($H417="O","F",""))),""),"")</f>
        <v>PR</v>
      </c>
      <c r="J417" s="15" t="s">
        <v>71</v>
      </c>
      <c r="K417" s="16" t="s">
        <v>71</v>
      </c>
      <c r="L417" s="17" t="s">
        <v>71</v>
      </c>
      <c r="M417" s="18" t="s">
        <v>71</v>
      </c>
      <c r="N417" s="19" t="s">
        <v>71</v>
      </c>
      <c r="O417" s="20"/>
      <c r="P417" s="21" t="str">
        <f t="shared" si="6"/>
        <v>34678-PR</v>
      </c>
      <c r="Q417" s="108" t="str">
        <f>HYPERLINK("#'마스터_품목'!A644","→ 마스터 R644")</f>
        <v>→ 마스터 R644</v>
      </c>
      <c r="R417" s="109">
        <v>644</v>
      </c>
      <c r="S417" s="109" t="s">
        <v>72</v>
      </c>
    </row>
    <row r="418" spans="1:19" ht="48" customHeight="1" x14ac:dyDescent="0.3">
      <c r="A418" s="29" t="s">
        <v>771</v>
      </c>
      <c r="B418" s="22" t="s">
        <v>1096</v>
      </c>
      <c r="C418" s="23" t="s">
        <v>68</v>
      </c>
      <c r="D418" s="23" t="s">
        <v>1111</v>
      </c>
      <c r="E418" s="23" t="s">
        <v>1112</v>
      </c>
      <c r="F418" s="24" t="s">
        <v>71</v>
      </c>
      <c r="G418" s="25"/>
      <c r="H418" s="26"/>
      <c r="I418" s="27" t="str">
        <f>IFERROR(IF(OR($F418="O",$G418="O",$H418="O"),CHOOSE(MATCH($A418,{"튜브","고압","진공","튜닝","조립","출하"},0),"T","H","V","N","A","P")&amp;IF($F418="O","R",IF($G418="O","A",IF($H418="O","F",""))),""),"")</f>
        <v>PR</v>
      </c>
      <c r="J418" s="15" t="s">
        <v>71</v>
      </c>
      <c r="K418" s="16" t="s">
        <v>71</v>
      </c>
      <c r="L418" s="17" t="s">
        <v>71</v>
      </c>
      <c r="M418" s="18" t="s">
        <v>71</v>
      </c>
      <c r="N418" s="19" t="s">
        <v>71</v>
      </c>
      <c r="O418" s="20"/>
      <c r="P418" s="21" t="str">
        <f t="shared" si="6"/>
        <v>34678-PR</v>
      </c>
      <c r="Q418" s="108" t="str">
        <f>HYPERLINK("#'마스터_품목'!A645","→ 마스터 R645")</f>
        <v>→ 마스터 R645</v>
      </c>
      <c r="R418" s="109">
        <v>645</v>
      </c>
      <c r="S418" s="109" t="s">
        <v>72</v>
      </c>
    </row>
    <row r="419" spans="1:19" ht="48" customHeight="1" x14ac:dyDescent="0.3">
      <c r="A419" s="29" t="s">
        <v>771</v>
      </c>
      <c r="B419" s="22" t="s">
        <v>1096</v>
      </c>
      <c r="C419" s="23" t="s">
        <v>68</v>
      </c>
      <c r="D419" s="23" t="s">
        <v>1113</v>
      </c>
      <c r="E419" s="23" t="s">
        <v>1114</v>
      </c>
      <c r="F419" s="24" t="s">
        <v>71</v>
      </c>
      <c r="G419" s="25"/>
      <c r="H419" s="26"/>
      <c r="I419" s="27" t="str">
        <f>IFERROR(IF(OR($F419="O",$G419="O",$H419="O"),CHOOSE(MATCH($A419,{"튜브","고압","진공","튜닝","조립","출하"},0),"T","H","V","N","A","P")&amp;IF($F419="O","R",IF($G419="O","A",IF($H419="O","F",""))),""),"")</f>
        <v>PR</v>
      </c>
      <c r="J419" s="15"/>
      <c r="K419" s="16" t="s">
        <v>71</v>
      </c>
      <c r="L419" s="17"/>
      <c r="M419" s="18"/>
      <c r="N419" s="19"/>
      <c r="O419" s="20"/>
      <c r="P419" s="21" t="str">
        <f t="shared" si="6"/>
        <v>4-PR</v>
      </c>
      <c r="Q419" s="108" t="str">
        <f>HYPERLINK("#'마스터_품목'!A646","→ 마스터 R646")</f>
        <v>→ 마스터 R646</v>
      </c>
      <c r="R419" s="109">
        <v>646</v>
      </c>
      <c r="S419" s="109" t="s">
        <v>72</v>
      </c>
    </row>
    <row r="420" spans="1:19" ht="48" customHeight="1" x14ac:dyDescent="0.3">
      <c r="A420" s="29" t="s">
        <v>771</v>
      </c>
      <c r="B420" s="22" t="s">
        <v>1096</v>
      </c>
      <c r="C420" s="23" t="s">
        <v>68</v>
      </c>
      <c r="D420" s="23" t="s">
        <v>1115</v>
      </c>
      <c r="E420" s="23" t="s">
        <v>1116</v>
      </c>
      <c r="F420" s="24" t="s">
        <v>71</v>
      </c>
      <c r="G420" s="25"/>
      <c r="H420" s="26"/>
      <c r="I420" s="27" t="str">
        <f>IFERROR(IF(OR($F420="O",$G420="O",$H420="O"),CHOOSE(MATCH($A420,{"튜브","고압","진공","튜닝","조립","출하"},0),"T","H","V","N","A","P")&amp;IF($F420="O","R",IF($G420="O","A",IF($H420="O","F",""))),""),"")</f>
        <v>PR</v>
      </c>
      <c r="J420" s="15"/>
      <c r="K420" s="16" t="s">
        <v>71</v>
      </c>
      <c r="L420" s="17"/>
      <c r="M420" s="18"/>
      <c r="N420" s="19"/>
      <c r="O420" s="20"/>
      <c r="P420" s="21" t="str">
        <f t="shared" si="6"/>
        <v>4-PR</v>
      </c>
      <c r="Q420" s="108" t="str">
        <f>HYPERLINK("#'마스터_품목'!A647","→ 마스터 R647")</f>
        <v>→ 마스터 R647</v>
      </c>
      <c r="R420" s="109">
        <v>647</v>
      </c>
      <c r="S420" s="109" t="s">
        <v>72</v>
      </c>
    </row>
    <row r="421" spans="1:19" ht="48" customHeight="1" x14ac:dyDescent="0.3">
      <c r="A421" s="29" t="s">
        <v>771</v>
      </c>
      <c r="B421" s="22" t="s">
        <v>1096</v>
      </c>
      <c r="C421" s="23" t="s">
        <v>68</v>
      </c>
      <c r="D421" s="23" t="s">
        <v>1117</v>
      </c>
      <c r="E421" s="23"/>
      <c r="F421" s="24" t="s">
        <v>71</v>
      </c>
      <c r="G421" s="25"/>
      <c r="H421" s="26"/>
      <c r="I421" s="27" t="str">
        <f>IFERROR(IF(OR($F421="O",$G421="O",$H421="O"),CHOOSE(MATCH($A421,{"튜브","고압","진공","튜닝","조립","출하"},0),"T","H","V","N","A","P")&amp;IF($F421="O","R",IF($G421="O","A",IF($H421="O","F",""))),""),"")</f>
        <v>PR</v>
      </c>
      <c r="J421" s="15"/>
      <c r="K421" s="16"/>
      <c r="L421" s="17" t="s">
        <v>71</v>
      </c>
      <c r="M421" s="18"/>
      <c r="N421" s="19"/>
      <c r="O421" s="20"/>
      <c r="P421" s="21" t="str">
        <f t="shared" si="6"/>
        <v>6-PR</v>
      </c>
      <c r="Q421" s="108" t="str">
        <f>HYPERLINK("#'마스터_품목'!A648","→ 마스터 R648")</f>
        <v>→ 마스터 R648</v>
      </c>
      <c r="R421" s="109">
        <v>648</v>
      </c>
      <c r="S421" s="109" t="s">
        <v>72</v>
      </c>
    </row>
    <row r="422" spans="1:19" ht="48" customHeight="1" x14ac:dyDescent="0.3">
      <c r="A422" s="29" t="s">
        <v>771</v>
      </c>
      <c r="B422" s="22" t="s">
        <v>1096</v>
      </c>
      <c r="C422" s="23" t="s">
        <v>68</v>
      </c>
      <c r="D422" s="23" t="s">
        <v>1118</v>
      </c>
      <c r="E422" s="23"/>
      <c r="F422" s="24" t="s">
        <v>71</v>
      </c>
      <c r="G422" s="25"/>
      <c r="H422" s="26"/>
      <c r="I422" s="27" t="str">
        <f>IFERROR(IF(OR($F422="O",$G422="O",$H422="O"),CHOOSE(MATCH($A422,{"튜브","고압","진공","튜닝","조립","출하"},0),"T","H","V","N","A","P")&amp;IF($F422="O","R",IF($G422="O","A",IF($H422="O","F",""))),""),"")</f>
        <v>PR</v>
      </c>
      <c r="J422" s="15"/>
      <c r="K422" s="16"/>
      <c r="L422" s="17" t="s">
        <v>71</v>
      </c>
      <c r="M422" s="18"/>
      <c r="N422" s="19"/>
      <c r="O422" s="20"/>
      <c r="P422" s="21" t="str">
        <f t="shared" si="6"/>
        <v>6-PR</v>
      </c>
      <c r="Q422" s="108" t="str">
        <f>HYPERLINK("#'마스터_품목'!A649","→ 마스터 R649")</f>
        <v>→ 마스터 R649</v>
      </c>
      <c r="R422" s="109">
        <v>649</v>
      </c>
      <c r="S422" s="109" t="s">
        <v>72</v>
      </c>
    </row>
    <row r="423" spans="1:19" ht="48" customHeight="1" x14ac:dyDescent="0.3">
      <c r="A423" s="66" t="s">
        <v>771</v>
      </c>
      <c r="B423" s="66" t="s">
        <v>1119</v>
      </c>
      <c r="C423" s="63" t="s">
        <v>1120</v>
      </c>
      <c r="D423" s="63" t="s">
        <v>1121</v>
      </c>
      <c r="E423" s="63" t="s">
        <v>1121</v>
      </c>
      <c r="F423" s="67" t="s">
        <v>71</v>
      </c>
      <c r="G423" s="68"/>
      <c r="H423" s="69"/>
      <c r="I423" s="70" t="str">
        <f>IFERROR(IF(OR($F423="O",$G423="O",$H423="O"),CHOOSE(MATCH($A423,{"튜브","고압","진공","튜닝","조립","출하"},0),"T","H","V","N","A","P")&amp;IF($F423="O","R",IF($G423="O","A",IF($H423="O","F",""))),""),"")</f>
        <v>PR</v>
      </c>
      <c r="J423" s="71" t="s">
        <v>71</v>
      </c>
      <c r="K423" s="72" t="s">
        <v>71</v>
      </c>
      <c r="L423" s="73"/>
      <c r="M423" s="74"/>
      <c r="N423" s="75"/>
      <c r="O423" s="76"/>
      <c r="P423" s="77" t="str">
        <f t="shared" si="6"/>
        <v>34-PR</v>
      </c>
      <c r="Q423" s="108" t="str">
        <f>HYPERLINK("#'마스터_품목'!A650","→ 마스터 R650")</f>
        <v>→ 마스터 R650</v>
      </c>
      <c r="R423" s="109">
        <v>650</v>
      </c>
      <c r="S423" s="109" t="s">
        <v>72</v>
      </c>
    </row>
    <row r="424" spans="1:19" ht="48" customHeight="1" x14ac:dyDescent="0.3">
      <c r="A424" s="66" t="s">
        <v>771</v>
      </c>
      <c r="B424" s="66" t="s">
        <v>1119</v>
      </c>
      <c r="C424" s="63" t="s">
        <v>1120</v>
      </c>
      <c r="D424" s="63" t="s">
        <v>1122</v>
      </c>
      <c r="E424" s="63" t="s">
        <v>1122</v>
      </c>
      <c r="F424" s="67" t="s">
        <v>71</v>
      </c>
      <c r="G424" s="68"/>
      <c r="H424" s="69"/>
      <c r="I424" s="70" t="str">
        <f>IFERROR(IF(OR($F424="O",$G424="O",$H424="O"),CHOOSE(MATCH($A424,{"튜브","고압","진공","튜닝","조립","출하"},0),"T","H","V","N","A","P")&amp;IF($F424="O","R",IF($G424="O","A",IF($H424="O","F",""))),""),"")</f>
        <v>PR</v>
      </c>
      <c r="J424" s="71" t="s">
        <v>71</v>
      </c>
      <c r="K424" s="72" t="s">
        <v>71</v>
      </c>
      <c r="L424" s="73"/>
      <c r="M424" s="74"/>
      <c r="N424" s="75"/>
      <c r="O424" s="76"/>
      <c r="P424" s="77" t="str">
        <f t="shared" si="6"/>
        <v>34-PR</v>
      </c>
      <c r="Q424" s="108" t="str">
        <f>HYPERLINK("#'마스터_품목'!A651","→ 마스터 R651")</f>
        <v>→ 마스터 R651</v>
      </c>
      <c r="R424" s="109">
        <v>651</v>
      </c>
      <c r="S424" s="109" t="s">
        <v>72</v>
      </c>
    </row>
    <row r="425" spans="1:19" ht="48" customHeight="1" x14ac:dyDescent="0.3">
      <c r="A425" s="66" t="s">
        <v>771</v>
      </c>
      <c r="B425" s="66" t="s">
        <v>1119</v>
      </c>
      <c r="C425" s="63" t="s">
        <v>1123</v>
      </c>
      <c r="D425" s="63" t="s">
        <v>1124</v>
      </c>
      <c r="E425" s="63" t="s">
        <v>1124</v>
      </c>
      <c r="F425" s="67" t="s">
        <v>71</v>
      </c>
      <c r="G425" s="68"/>
      <c r="H425" s="69"/>
      <c r="I425" s="70" t="str">
        <f>IFERROR(IF(OR($F425="O",$G425="O",$H425="O"),CHOOSE(MATCH($A425,{"튜브","고압","진공","튜닝","조립","출하"},0),"T","H","V","N","A","P")&amp;IF($F425="O","R",IF($G425="O","A",IF($H425="O","F",""))),""),"")</f>
        <v>PR</v>
      </c>
      <c r="J425" s="71"/>
      <c r="K425" s="72"/>
      <c r="L425" s="73" t="s">
        <v>71</v>
      </c>
      <c r="M425" s="74" t="s">
        <v>71</v>
      </c>
      <c r="N425" s="75"/>
      <c r="O425" s="76"/>
      <c r="P425" s="77" t="str">
        <f t="shared" si="6"/>
        <v>67-PR</v>
      </c>
      <c r="Q425" s="108" t="str">
        <f>HYPERLINK("#'마스터_품목'!A652","→ 마스터 R652")</f>
        <v>→ 마스터 R652</v>
      </c>
      <c r="R425" s="109">
        <v>652</v>
      </c>
      <c r="S425" s="109" t="s">
        <v>72</v>
      </c>
    </row>
    <row r="426" spans="1:19" ht="48" customHeight="1" x14ac:dyDescent="0.3">
      <c r="A426" s="66" t="s">
        <v>771</v>
      </c>
      <c r="B426" s="66" t="s">
        <v>1119</v>
      </c>
      <c r="C426" s="63" t="s">
        <v>1123</v>
      </c>
      <c r="D426" s="63" t="s">
        <v>1125</v>
      </c>
      <c r="E426" s="63" t="s">
        <v>1125</v>
      </c>
      <c r="F426" s="67" t="s">
        <v>71</v>
      </c>
      <c r="G426" s="68"/>
      <c r="H426" s="69"/>
      <c r="I426" s="70" t="str">
        <f>IFERROR(IF(OR($F426="O",$G426="O",$H426="O"),CHOOSE(MATCH($A426,{"튜브","고압","진공","튜닝","조립","출하"},0),"T","H","V","N","A","P")&amp;IF($F426="O","R",IF($G426="O","A",IF($H426="O","F",""))),""),"")</f>
        <v>PR</v>
      </c>
      <c r="J426" s="71"/>
      <c r="K426" s="72"/>
      <c r="L426" s="73" t="s">
        <v>71</v>
      </c>
      <c r="M426" s="74" t="s">
        <v>71</v>
      </c>
      <c r="N426" s="75"/>
      <c r="O426" s="76"/>
      <c r="P426" s="77" t="str">
        <f t="shared" si="6"/>
        <v>67-PR</v>
      </c>
      <c r="Q426" s="108" t="str">
        <f>HYPERLINK("#'마스터_품목'!A653","→ 마스터 R653")</f>
        <v>→ 마스터 R653</v>
      </c>
      <c r="R426" s="109">
        <v>653</v>
      </c>
      <c r="S426" s="109" t="s">
        <v>72</v>
      </c>
    </row>
    <row r="427" spans="1:19" ht="48" customHeight="1" x14ac:dyDescent="0.3">
      <c r="A427" s="66" t="s">
        <v>771</v>
      </c>
      <c r="B427" s="66" t="s">
        <v>1119</v>
      </c>
      <c r="C427" s="63" t="s">
        <v>1126</v>
      </c>
      <c r="D427" s="63" t="s">
        <v>1127</v>
      </c>
      <c r="E427" s="63" t="s">
        <v>1127</v>
      </c>
      <c r="F427" s="67" t="s">
        <v>71</v>
      </c>
      <c r="G427" s="68"/>
      <c r="H427" s="69"/>
      <c r="I427" s="70" t="str">
        <f>IFERROR(IF(OR($F427="O",$G427="O",$H427="O"),CHOOSE(MATCH($A427,{"튜브","고압","진공","튜닝","조립","출하"},0),"T","H","V","N","A","P")&amp;IF($F427="O","R",IF($G427="O","A",IF($H427="O","F",""))),""),"")</f>
        <v>PR</v>
      </c>
      <c r="J427" s="71"/>
      <c r="K427" s="72"/>
      <c r="L427" s="73"/>
      <c r="M427" s="74" t="s">
        <v>71</v>
      </c>
      <c r="N427" s="75"/>
      <c r="O427" s="76"/>
      <c r="P427" s="77" t="str">
        <f t="shared" si="6"/>
        <v>7-PR</v>
      </c>
      <c r="Q427" s="108" t="str">
        <f>HYPERLINK("#'마스터_품목'!A654","→ 마스터 R654")</f>
        <v>→ 마스터 R654</v>
      </c>
      <c r="R427" s="109">
        <v>654</v>
      </c>
      <c r="S427" s="109" t="s">
        <v>72</v>
      </c>
    </row>
    <row r="428" spans="1:19" ht="48" customHeight="1" x14ac:dyDescent="0.3">
      <c r="A428" s="29" t="s">
        <v>771</v>
      </c>
      <c r="B428" s="22" t="s">
        <v>1119</v>
      </c>
      <c r="C428" s="23" t="s">
        <v>68</v>
      </c>
      <c r="D428" s="23" t="s">
        <v>1128</v>
      </c>
      <c r="E428" s="23"/>
      <c r="F428" s="24" t="s">
        <v>71</v>
      </c>
      <c r="G428" s="25"/>
      <c r="H428" s="26"/>
      <c r="I428" s="27" t="str">
        <f>IFERROR(IF(OR($F428="O",$G428="O",$H428="O"),CHOOSE(MATCH($A428,{"튜브","고압","진공","튜닝","조립","출하"},0),"T","H","V","N","A","P")&amp;IF($F428="O","R",IF($G428="O","A",IF($H428="O","F",""))),""),"")</f>
        <v>PR</v>
      </c>
      <c r="J428" s="15" t="s">
        <v>71</v>
      </c>
      <c r="K428" s="16" t="s">
        <v>71</v>
      </c>
      <c r="L428" s="17" t="s">
        <v>71</v>
      </c>
      <c r="M428" s="18" t="s">
        <v>71</v>
      </c>
      <c r="N428" s="19" t="s">
        <v>71</v>
      </c>
      <c r="O428" s="20"/>
      <c r="P428" s="21" t="str">
        <f t="shared" si="6"/>
        <v>34678-PR</v>
      </c>
      <c r="Q428" s="108" t="str">
        <f>HYPERLINK("#'마스터_품목'!A655","→ 마스터 R655")</f>
        <v>→ 마스터 R655</v>
      </c>
      <c r="R428" s="109">
        <v>655</v>
      </c>
      <c r="S428" s="109" t="s">
        <v>72</v>
      </c>
    </row>
    <row r="429" spans="1:19" ht="48" customHeight="1" x14ac:dyDescent="0.3">
      <c r="A429" s="66" t="s">
        <v>771</v>
      </c>
      <c r="B429" s="66" t="s">
        <v>1129</v>
      </c>
      <c r="C429" s="63" t="s">
        <v>195</v>
      </c>
      <c r="D429" s="63" t="s">
        <v>1130</v>
      </c>
      <c r="E429" s="63" t="s">
        <v>1131</v>
      </c>
      <c r="F429" s="67" t="s">
        <v>71</v>
      </c>
      <c r="G429" s="68"/>
      <c r="H429" s="69"/>
      <c r="I429" s="70" t="str">
        <f>IFERROR(IF(OR($F429="O",$G429="O",$H429="O"),CHOOSE(MATCH($A429,{"튜브","고압","진공","튜닝","조립","출하"},0),"T","H","V","N","A","P")&amp;IF($F429="O","R",IF($G429="O","A",IF($H429="O","F",""))),""),"")</f>
        <v>PR</v>
      </c>
      <c r="J429" s="71" t="s">
        <v>71</v>
      </c>
      <c r="K429" s="72"/>
      <c r="L429" s="73"/>
      <c r="M429" s="74"/>
      <c r="N429" s="75"/>
      <c r="O429" s="76"/>
      <c r="P429" s="77" t="str">
        <f t="shared" si="6"/>
        <v>3-PR</v>
      </c>
      <c r="Q429" s="108" t="str">
        <f>HYPERLINK("#'마스터_품목'!A656","→ 마스터 R656")</f>
        <v>→ 마스터 R656</v>
      </c>
      <c r="R429" s="109">
        <v>656</v>
      </c>
      <c r="S429" s="109" t="s">
        <v>72</v>
      </c>
    </row>
    <row r="430" spans="1:19" ht="48" customHeight="1" x14ac:dyDescent="0.3">
      <c r="A430" s="66" t="s">
        <v>771</v>
      </c>
      <c r="B430" s="66" t="s">
        <v>1129</v>
      </c>
      <c r="C430" s="63" t="s">
        <v>195</v>
      </c>
      <c r="D430" s="63" t="s">
        <v>1132</v>
      </c>
      <c r="E430" s="63" t="s">
        <v>1133</v>
      </c>
      <c r="F430" s="67" t="s">
        <v>71</v>
      </c>
      <c r="G430" s="68"/>
      <c r="H430" s="69"/>
      <c r="I430" s="70" t="str">
        <f>IFERROR(IF(OR($F430="O",$G430="O",$H430="O"),CHOOSE(MATCH($A430,{"튜브","고압","진공","튜닝","조립","출하"},0),"T","H","V","N","A","P")&amp;IF($F430="O","R",IF($G430="O","A",IF($H430="O","F",""))),""),"")</f>
        <v>PR</v>
      </c>
      <c r="J430" s="71" t="s">
        <v>71</v>
      </c>
      <c r="K430" s="72"/>
      <c r="L430" s="73"/>
      <c r="M430" s="74"/>
      <c r="N430" s="75"/>
      <c r="O430" s="76"/>
      <c r="P430" s="77" t="str">
        <f t="shared" si="6"/>
        <v>3-PR</v>
      </c>
      <c r="Q430" s="108" t="str">
        <f>HYPERLINK("#'마스터_품목'!A657","→ 마스터 R657")</f>
        <v>→ 마스터 R657</v>
      </c>
      <c r="R430" s="109">
        <v>657</v>
      </c>
      <c r="S430" s="109" t="s">
        <v>72</v>
      </c>
    </row>
    <row r="431" spans="1:19" ht="48" customHeight="1" x14ac:dyDescent="0.3">
      <c r="A431" s="66" t="s">
        <v>771</v>
      </c>
      <c r="B431" s="66" t="s">
        <v>1129</v>
      </c>
      <c r="C431" s="63" t="s">
        <v>198</v>
      </c>
      <c r="D431" s="63" t="s">
        <v>1134</v>
      </c>
      <c r="E431" s="63" t="s">
        <v>1135</v>
      </c>
      <c r="F431" s="67" t="s">
        <v>71</v>
      </c>
      <c r="G431" s="68"/>
      <c r="H431" s="69"/>
      <c r="I431" s="70" t="str">
        <f>IFERROR(IF(OR($F431="O",$G431="O",$H431="O"),CHOOSE(MATCH($A431,{"튜브","고압","진공","튜닝","조립","출하"},0),"T","H","V","N","A","P")&amp;IF($F431="O","R",IF($G431="O","A",IF($H431="O","F",""))),""),"")</f>
        <v>PR</v>
      </c>
      <c r="J431" s="71"/>
      <c r="K431" s="72" t="s">
        <v>71</v>
      </c>
      <c r="L431" s="73"/>
      <c r="M431" s="74"/>
      <c r="N431" s="75"/>
      <c r="O431" s="76"/>
      <c r="P431" s="77" t="str">
        <f t="shared" si="6"/>
        <v>4-PR</v>
      </c>
      <c r="Q431" s="108" t="str">
        <f>HYPERLINK("#'마스터_품목'!A658","→ 마스터 R658")</f>
        <v>→ 마스터 R658</v>
      </c>
      <c r="R431" s="109">
        <v>658</v>
      </c>
      <c r="S431" s="109" t="s">
        <v>72</v>
      </c>
    </row>
    <row r="432" spans="1:19" s="64" customFormat="1" ht="48" customHeight="1" x14ac:dyDescent="0.3">
      <c r="A432" s="66" t="s">
        <v>771</v>
      </c>
      <c r="B432" s="66" t="s">
        <v>1129</v>
      </c>
      <c r="C432" s="63" t="s">
        <v>198</v>
      </c>
      <c r="D432" s="63" t="s">
        <v>1136</v>
      </c>
      <c r="E432" s="63" t="s">
        <v>1137</v>
      </c>
      <c r="F432" s="67" t="s">
        <v>71</v>
      </c>
      <c r="G432" s="68"/>
      <c r="H432" s="69"/>
      <c r="I432" s="70" t="str">
        <f>IFERROR(IF(OR($F432="O",$G432="O",$H432="O"),CHOOSE(MATCH($A432,{"튜브","고압","진공","튜닝","조립","출하"},0),"T","H","V","N","A","P")&amp;IF($F432="O","R",IF($G432="O","A",IF($H432="O","F",""))),""),"")</f>
        <v>PR</v>
      </c>
      <c r="J432" s="71"/>
      <c r="K432" s="72" t="s">
        <v>71</v>
      </c>
      <c r="L432" s="73"/>
      <c r="M432" s="74"/>
      <c r="N432" s="75"/>
      <c r="O432" s="76"/>
      <c r="P432" s="77" t="str">
        <f t="shared" si="6"/>
        <v>4-PR</v>
      </c>
      <c r="Q432" s="108" t="str">
        <f>HYPERLINK("#'마스터_품목'!A659","→ 마스터 R659")</f>
        <v>→ 마스터 R659</v>
      </c>
      <c r="R432" s="109">
        <v>659</v>
      </c>
      <c r="S432" s="109" t="s">
        <v>72</v>
      </c>
    </row>
    <row r="433" spans="1:19" s="64" customFormat="1" ht="48" customHeight="1" x14ac:dyDescent="0.3">
      <c r="A433" s="66" t="s">
        <v>771</v>
      </c>
      <c r="B433" s="66" t="s">
        <v>1129</v>
      </c>
      <c r="C433" s="63" t="s">
        <v>153</v>
      </c>
      <c r="D433" s="63" t="s">
        <v>1138</v>
      </c>
      <c r="E433" s="63" t="s">
        <v>1139</v>
      </c>
      <c r="F433" s="67" t="s">
        <v>71</v>
      </c>
      <c r="G433" s="68"/>
      <c r="H433" s="69"/>
      <c r="I433" s="70" t="str">
        <f>IFERROR(IF(OR($F433="O",$G433="O",$H433="O"),CHOOSE(MATCH($A433,{"튜브","고압","진공","튜닝","조립","출하"},0),"T","H","V","N","A","P")&amp;IF($F433="O","R",IF($G433="O","A",IF($H433="O","F",""))),""),"")</f>
        <v>PR</v>
      </c>
      <c r="J433" s="71"/>
      <c r="K433" s="72"/>
      <c r="L433" s="73"/>
      <c r="M433" s="74" t="s">
        <v>71</v>
      </c>
      <c r="N433" s="75"/>
      <c r="O433" s="76"/>
      <c r="P433" s="77" t="str">
        <f t="shared" si="6"/>
        <v>7-PR</v>
      </c>
      <c r="Q433" s="108" t="str">
        <f>HYPERLINK("#'마스터_품목'!A660","→ 마스터 R660")</f>
        <v>→ 마스터 R660</v>
      </c>
      <c r="R433" s="109">
        <v>660</v>
      </c>
      <c r="S433" s="109" t="s">
        <v>72</v>
      </c>
    </row>
    <row r="434" spans="1:19" s="64" customFormat="1" ht="48" customHeight="1" x14ac:dyDescent="0.3">
      <c r="A434" s="66" t="s">
        <v>771</v>
      </c>
      <c r="B434" s="66" t="s">
        <v>1129</v>
      </c>
      <c r="C434" s="63" t="s">
        <v>153</v>
      </c>
      <c r="D434" s="63" t="s">
        <v>1140</v>
      </c>
      <c r="E434" s="63" t="s">
        <v>1141</v>
      </c>
      <c r="F434" s="67" t="s">
        <v>71</v>
      </c>
      <c r="G434" s="68"/>
      <c r="H434" s="69"/>
      <c r="I434" s="70" t="str">
        <f>IFERROR(IF(OR($F434="O",$G434="O",$H434="O"),CHOOSE(MATCH($A434,{"튜브","고압","진공","튜닝","조립","출하"},0),"T","H","V","N","A","P")&amp;IF($F434="O","R",IF($G434="O","A",IF($H434="O","F",""))),""),"")</f>
        <v>PR</v>
      </c>
      <c r="J434" s="71"/>
      <c r="K434" s="72"/>
      <c r="L434" s="73"/>
      <c r="M434" s="74" t="s">
        <v>71</v>
      </c>
      <c r="N434" s="75"/>
      <c r="O434" s="76"/>
      <c r="P434" s="77" t="str">
        <f t="shared" si="6"/>
        <v>7-PR</v>
      </c>
      <c r="Q434" s="108" t="str">
        <f>HYPERLINK("#'마스터_품목'!A661","→ 마스터 R661")</f>
        <v>→ 마스터 R661</v>
      </c>
      <c r="R434" s="109">
        <v>661</v>
      </c>
      <c r="S434" s="109" t="s">
        <v>72</v>
      </c>
    </row>
    <row r="435" spans="1:19" s="64" customFormat="1" ht="48" customHeight="1" x14ac:dyDescent="0.3">
      <c r="A435" s="66" t="s">
        <v>771</v>
      </c>
      <c r="B435" s="66" t="s">
        <v>1129</v>
      </c>
      <c r="C435" s="63" t="s">
        <v>153</v>
      </c>
      <c r="D435" s="63" t="s">
        <v>1142</v>
      </c>
      <c r="E435" s="63" t="s">
        <v>1143</v>
      </c>
      <c r="F435" s="67" t="s">
        <v>71</v>
      </c>
      <c r="G435" s="68"/>
      <c r="H435" s="69"/>
      <c r="I435" s="70" t="str">
        <f>IFERROR(IF(OR($F435="O",$G435="O",$H435="O"),CHOOSE(MATCH($A435,{"튜브","고압","진공","튜닝","조립","출하"},0),"T","H","V","N","A","P")&amp;IF($F435="O","R",IF($G435="O","A",IF($H435="O","F",""))),""),"")</f>
        <v>PR</v>
      </c>
      <c r="J435" s="71"/>
      <c r="K435" s="72"/>
      <c r="L435" s="73"/>
      <c r="M435" s="74" t="s">
        <v>71</v>
      </c>
      <c r="N435" s="75"/>
      <c r="O435" s="76"/>
      <c r="P435" s="77" t="str">
        <f t="shared" si="6"/>
        <v>7-PR</v>
      </c>
      <c r="Q435" s="108" t="str">
        <f>HYPERLINK("#'마스터_품목'!A662","→ 마스터 R662")</f>
        <v>→ 마스터 R662</v>
      </c>
      <c r="R435" s="109">
        <v>662</v>
      </c>
      <c r="S435" s="109" t="s">
        <v>72</v>
      </c>
    </row>
    <row r="436" spans="1:19" s="64" customFormat="1" ht="48" customHeight="1" x14ac:dyDescent="0.3">
      <c r="A436" s="66" t="s">
        <v>771</v>
      </c>
      <c r="B436" s="66" t="s">
        <v>1129</v>
      </c>
      <c r="C436" s="63" t="s">
        <v>153</v>
      </c>
      <c r="D436" s="63" t="s">
        <v>1144</v>
      </c>
      <c r="E436" s="63" t="s">
        <v>1145</v>
      </c>
      <c r="F436" s="67" t="s">
        <v>71</v>
      </c>
      <c r="G436" s="68"/>
      <c r="H436" s="69"/>
      <c r="I436" s="70" t="str">
        <f>IFERROR(IF(OR($F436="O",$G436="O",$H436="O"),CHOOSE(MATCH($A436,{"튜브","고압","진공","튜닝","조립","출하"},0),"T","H","V","N","A","P")&amp;IF($F436="O","R",IF($G436="O","A",IF($H436="O","F",""))),""),"")</f>
        <v>PR</v>
      </c>
      <c r="J436" s="71"/>
      <c r="K436" s="72"/>
      <c r="L436" s="73"/>
      <c r="M436" s="74" t="s">
        <v>71</v>
      </c>
      <c r="N436" s="75"/>
      <c r="O436" s="76"/>
      <c r="P436" s="77" t="str">
        <f t="shared" si="6"/>
        <v>7-PR</v>
      </c>
      <c r="Q436" s="108" t="str">
        <f>HYPERLINK("#'마스터_품목'!A663","→ 마스터 R663")</f>
        <v>→ 마스터 R663</v>
      </c>
      <c r="R436" s="109">
        <v>663</v>
      </c>
      <c r="S436" s="109" t="s">
        <v>72</v>
      </c>
    </row>
    <row r="437" spans="1:19" ht="48" customHeight="1" x14ac:dyDescent="0.3">
      <c r="A437" s="66" t="s">
        <v>771</v>
      </c>
      <c r="B437" s="66" t="s">
        <v>1129</v>
      </c>
      <c r="C437" s="63" t="s">
        <v>684</v>
      </c>
      <c r="D437" s="63" t="s">
        <v>1146</v>
      </c>
      <c r="E437" s="63" t="s">
        <v>1147</v>
      </c>
      <c r="F437" s="67" t="s">
        <v>71</v>
      </c>
      <c r="G437" s="68"/>
      <c r="H437" s="69"/>
      <c r="I437" s="70" t="str">
        <f>IFERROR(IF(OR($F437="O",$G437="O",$H437="O"),CHOOSE(MATCH($A437,{"튜브","고압","진공","튜닝","조립","출하"},0),"T","H","V","N","A","P")&amp;IF($F437="O","R",IF($G437="O","A",IF($H437="O","F",""))),""),"")</f>
        <v>PR</v>
      </c>
      <c r="J437" s="71"/>
      <c r="K437" s="72"/>
      <c r="L437" s="73" t="s">
        <v>71</v>
      </c>
      <c r="M437" s="74"/>
      <c r="N437" s="75"/>
      <c r="O437" s="76"/>
      <c r="P437" s="77" t="str">
        <f t="shared" si="6"/>
        <v>6-PR</v>
      </c>
      <c r="Q437" s="108" t="str">
        <f>HYPERLINK("#'마스터_품목'!A664","→ 마스터 R664")</f>
        <v>→ 마스터 R664</v>
      </c>
      <c r="R437" s="109">
        <v>664</v>
      </c>
      <c r="S437" s="109" t="s">
        <v>72</v>
      </c>
    </row>
    <row r="438" spans="1:19" s="64" customFormat="1" ht="48" customHeight="1" x14ac:dyDescent="0.3">
      <c r="A438" s="66" t="s">
        <v>771</v>
      </c>
      <c r="B438" s="66" t="s">
        <v>1129</v>
      </c>
      <c r="C438" s="63" t="s">
        <v>684</v>
      </c>
      <c r="D438" s="63" t="s">
        <v>1148</v>
      </c>
      <c r="E438" s="63" t="s">
        <v>1149</v>
      </c>
      <c r="F438" s="67" t="s">
        <v>71</v>
      </c>
      <c r="G438" s="68"/>
      <c r="H438" s="69"/>
      <c r="I438" s="70" t="str">
        <f>IFERROR(IF(OR($F438="O",$G438="O",$H438="O"),CHOOSE(MATCH($A438,{"튜브","고압","진공","튜닝","조립","출하"},0),"T","H","V","N","A","P")&amp;IF($F438="O","R",IF($G438="O","A",IF($H438="O","F",""))),""),"")</f>
        <v>PR</v>
      </c>
      <c r="J438" s="71"/>
      <c r="K438" s="72"/>
      <c r="L438" s="73" t="s">
        <v>71</v>
      </c>
      <c r="M438" s="74"/>
      <c r="N438" s="75"/>
      <c r="O438" s="76"/>
      <c r="P438" s="77" t="str">
        <f t="shared" si="6"/>
        <v>6-PR</v>
      </c>
      <c r="Q438" s="108" t="str">
        <f>HYPERLINK("#'마스터_품목'!A665","→ 마스터 R665")</f>
        <v>→ 마스터 R665</v>
      </c>
      <c r="R438" s="109">
        <v>665</v>
      </c>
      <c r="S438" s="109" t="s">
        <v>72</v>
      </c>
    </row>
    <row r="439" spans="1:19" s="64" customFormat="1" ht="48" customHeight="1" x14ac:dyDescent="0.3">
      <c r="A439" s="66" t="s">
        <v>771</v>
      </c>
      <c r="B439" s="66" t="s">
        <v>1129</v>
      </c>
      <c r="C439" s="63" t="s">
        <v>684</v>
      </c>
      <c r="D439" s="63" t="s">
        <v>1150</v>
      </c>
      <c r="E439" s="63" t="s">
        <v>1151</v>
      </c>
      <c r="F439" s="67" t="s">
        <v>71</v>
      </c>
      <c r="G439" s="68"/>
      <c r="H439" s="69"/>
      <c r="I439" s="70" t="str">
        <f>IFERROR(IF(OR($F439="O",$G439="O",$H439="O"),CHOOSE(MATCH($A439,{"튜브","고압","진공","튜닝","조립","출하"},0),"T","H","V","N","A","P")&amp;IF($F439="O","R",IF($G439="O","A",IF($H439="O","F",""))),""),"")</f>
        <v>PR</v>
      </c>
      <c r="J439" s="71"/>
      <c r="K439" s="72"/>
      <c r="L439" s="73" t="s">
        <v>71</v>
      </c>
      <c r="M439" s="74"/>
      <c r="N439" s="75"/>
      <c r="O439" s="76"/>
      <c r="P439" s="77" t="str">
        <f t="shared" si="6"/>
        <v>6-PR</v>
      </c>
      <c r="Q439" s="108" t="str">
        <f>HYPERLINK("#'마스터_품목'!A666","→ 마스터 R666")</f>
        <v>→ 마스터 R666</v>
      </c>
      <c r="R439" s="109">
        <v>666</v>
      </c>
      <c r="S439" s="109" t="s">
        <v>72</v>
      </c>
    </row>
    <row r="440" spans="1:19" s="64" customFormat="1" ht="48" customHeight="1" x14ac:dyDescent="0.3">
      <c r="A440" s="29" t="s">
        <v>771</v>
      </c>
      <c r="B440" s="22" t="s">
        <v>1129</v>
      </c>
      <c r="C440" s="23" t="s">
        <v>182</v>
      </c>
      <c r="D440" s="23" t="s">
        <v>1152</v>
      </c>
      <c r="E440" s="23"/>
      <c r="F440" s="24" t="s">
        <v>71</v>
      </c>
      <c r="G440" s="25"/>
      <c r="H440" s="26"/>
      <c r="I440" s="27" t="str">
        <f>IFERROR(IF(OR($F440="O",$G440="O",$H440="O"),CHOOSE(MATCH($A440,{"튜브","고압","진공","튜닝","조립","출하"},0),"T","H","V","N","A","P")&amp;IF($F440="O","R",IF($G440="O","A",IF($H440="O","F",""))),""),"")</f>
        <v>PR</v>
      </c>
      <c r="J440" s="15"/>
      <c r="K440" s="16"/>
      <c r="L440" s="17"/>
      <c r="M440" s="18"/>
      <c r="N440" s="19" t="s">
        <v>71</v>
      </c>
      <c r="O440" s="20"/>
      <c r="P440" s="21" t="str">
        <f t="shared" si="6"/>
        <v>8-PR</v>
      </c>
      <c r="Q440" s="108" t="str">
        <f>HYPERLINK("#'마스터_품목'!A667","→ 마스터 R667")</f>
        <v>→ 마스터 R667</v>
      </c>
      <c r="R440" s="109">
        <v>667</v>
      </c>
      <c r="S440" s="109" t="s">
        <v>72</v>
      </c>
    </row>
    <row r="441" spans="1:19" s="64" customFormat="1" ht="48" customHeight="1" x14ac:dyDescent="0.3">
      <c r="A441" s="29" t="s">
        <v>771</v>
      </c>
      <c r="B441" s="22" t="s">
        <v>1129</v>
      </c>
      <c r="C441" s="23" t="s">
        <v>182</v>
      </c>
      <c r="D441" s="23" t="s">
        <v>1153</v>
      </c>
      <c r="E441" s="23"/>
      <c r="F441" s="24" t="s">
        <v>71</v>
      </c>
      <c r="G441" s="25"/>
      <c r="H441" s="26"/>
      <c r="I441" s="27" t="str">
        <f>IFERROR(IF(OR($F441="O",$G441="O",$H441="O"),CHOOSE(MATCH($A441,{"튜브","고압","진공","튜닝","조립","출하"},0),"T","H","V","N","A","P")&amp;IF($F441="O","R",IF($G441="O","A",IF($H441="O","F",""))),""),"")</f>
        <v>PR</v>
      </c>
      <c r="J441" s="15"/>
      <c r="K441" s="16"/>
      <c r="L441" s="17"/>
      <c r="M441" s="18"/>
      <c r="N441" s="19" t="s">
        <v>71</v>
      </c>
      <c r="O441" s="20"/>
      <c r="P441" s="21" t="str">
        <f t="shared" si="6"/>
        <v>8-PR</v>
      </c>
      <c r="Q441" s="108" t="str">
        <f>HYPERLINK("#'마스터_품목'!A668","→ 마스터 R668")</f>
        <v>→ 마스터 R668</v>
      </c>
      <c r="R441" s="109">
        <v>668</v>
      </c>
      <c r="S441" s="109" t="s">
        <v>72</v>
      </c>
    </row>
    <row r="442" spans="1:19" s="64" customFormat="1" ht="48" customHeight="1" x14ac:dyDescent="0.3">
      <c r="A442" s="29" t="s">
        <v>771</v>
      </c>
      <c r="B442" s="22" t="s">
        <v>1129</v>
      </c>
      <c r="C442" s="23" t="s">
        <v>182</v>
      </c>
      <c r="D442" s="23" t="s">
        <v>1154</v>
      </c>
      <c r="E442" s="23"/>
      <c r="F442" s="24" t="s">
        <v>71</v>
      </c>
      <c r="G442" s="25"/>
      <c r="H442" s="26"/>
      <c r="I442" s="27" t="str">
        <f>IFERROR(IF(OR($F442="O",$G442="O",$H442="O"),CHOOSE(MATCH($A442,{"튜브","고압","진공","튜닝","조립","출하"},0),"T","H","V","N","A","P")&amp;IF($F442="O","R",IF($G442="O","A",IF($H442="O","F",""))),""),"")</f>
        <v>PR</v>
      </c>
      <c r="J442" s="15"/>
      <c r="K442" s="16"/>
      <c r="L442" s="17"/>
      <c r="M442" s="18"/>
      <c r="N442" s="19" t="s">
        <v>71</v>
      </c>
      <c r="O442" s="20"/>
      <c r="P442" s="21" t="str">
        <f t="shared" si="6"/>
        <v>8-PR</v>
      </c>
      <c r="Q442" s="108" t="str">
        <f>HYPERLINK("#'마스터_품목'!A669","→ 마스터 R669")</f>
        <v>→ 마스터 R669</v>
      </c>
      <c r="R442" s="109">
        <v>669</v>
      </c>
      <c r="S442" s="109" t="s">
        <v>72</v>
      </c>
    </row>
    <row r="443" spans="1:19" s="64" customFormat="1" ht="48" customHeight="1" x14ac:dyDescent="0.3">
      <c r="A443" s="29" t="s">
        <v>771</v>
      </c>
      <c r="B443" s="22" t="s">
        <v>1129</v>
      </c>
      <c r="C443" s="23" t="s">
        <v>182</v>
      </c>
      <c r="D443" s="23" t="s">
        <v>1155</v>
      </c>
      <c r="E443" s="23" t="s">
        <v>1156</v>
      </c>
      <c r="F443" s="24" t="s">
        <v>71</v>
      </c>
      <c r="G443" s="25"/>
      <c r="H443" s="26"/>
      <c r="I443" s="27" t="str">
        <f>IFERROR(IF(OR($F443="O",$G443="O",$H443="O"),CHOOSE(MATCH($A443,{"튜브","고압","진공","튜닝","조립","출하"},0),"T","H","V","N","A","P")&amp;IF($F443="O","R",IF($G443="O","A",IF($H443="O","F",""))),""),"")</f>
        <v>PR</v>
      </c>
      <c r="J443" s="15"/>
      <c r="K443" s="16"/>
      <c r="L443" s="17"/>
      <c r="M443" s="18"/>
      <c r="N443" s="19" t="s">
        <v>71</v>
      </c>
      <c r="O443" s="20"/>
      <c r="P443" s="21" t="str">
        <f t="shared" si="6"/>
        <v>8-PR</v>
      </c>
      <c r="Q443" s="108" t="str">
        <f>HYPERLINK("#'마스터_품목'!A670","→ 마스터 R670")</f>
        <v>→ 마스터 R670</v>
      </c>
      <c r="R443" s="109">
        <v>670</v>
      </c>
      <c r="S443" s="109" t="s">
        <v>72</v>
      </c>
    </row>
    <row r="444" spans="1:19" s="64" customFormat="1" ht="48" customHeight="1" x14ac:dyDescent="0.3">
      <c r="A444" s="29" t="s">
        <v>771</v>
      </c>
      <c r="B444" s="22" t="s">
        <v>1129</v>
      </c>
      <c r="C444" s="23" t="s">
        <v>182</v>
      </c>
      <c r="D444" s="23" t="s">
        <v>1157</v>
      </c>
      <c r="E444" s="23" t="s">
        <v>1158</v>
      </c>
      <c r="F444" s="24" t="s">
        <v>71</v>
      </c>
      <c r="G444" s="25"/>
      <c r="H444" s="26"/>
      <c r="I444" s="27" t="str">
        <f>IFERROR(IF(OR($F444="O",$G444="O",$H444="O"),CHOOSE(MATCH($A444,{"튜브","고압","진공","튜닝","조립","출하"},0),"T","H","V","N","A","P")&amp;IF($F444="O","R",IF($G444="O","A",IF($H444="O","F",""))),""),"")</f>
        <v>PR</v>
      </c>
      <c r="J444" s="15"/>
      <c r="K444" s="16"/>
      <c r="L444" s="17"/>
      <c r="M444" s="18"/>
      <c r="N444" s="19" t="s">
        <v>71</v>
      </c>
      <c r="O444" s="20"/>
      <c r="P444" s="21" t="str">
        <f t="shared" si="6"/>
        <v>8-PR</v>
      </c>
      <c r="Q444" s="108" t="str">
        <f>HYPERLINK("#'마스터_품목'!A671","→ 마스터 R671")</f>
        <v>→ 마스터 R671</v>
      </c>
      <c r="R444" s="109">
        <v>671</v>
      </c>
      <c r="S444" s="109" t="s">
        <v>72</v>
      </c>
    </row>
    <row r="445" spans="1:19" s="64" customFormat="1" ht="48" customHeight="1" x14ac:dyDescent="0.3">
      <c r="A445" s="29" t="s">
        <v>771</v>
      </c>
      <c r="B445" s="22" t="s">
        <v>1129</v>
      </c>
      <c r="C445" s="23" t="s">
        <v>182</v>
      </c>
      <c r="D445" s="23" t="s">
        <v>1159</v>
      </c>
      <c r="E445" s="23" t="s">
        <v>1160</v>
      </c>
      <c r="F445" s="24" t="s">
        <v>71</v>
      </c>
      <c r="G445" s="25"/>
      <c r="H445" s="26"/>
      <c r="I445" s="27" t="str">
        <f>IFERROR(IF(OR($F445="O",$G445="O",$H445="O"),CHOOSE(MATCH($A445,{"튜브","고압","진공","튜닝","조립","출하"},0),"T","H","V","N","A","P")&amp;IF($F445="O","R",IF($G445="O","A",IF($H445="O","F",""))),""),"")</f>
        <v>PR</v>
      </c>
      <c r="J445" s="15"/>
      <c r="K445" s="16"/>
      <c r="L445" s="17"/>
      <c r="M445" s="18"/>
      <c r="N445" s="19" t="s">
        <v>71</v>
      </c>
      <c r="O445" s="20"/>
      <c r="P445" s="21" t="str">
        <f t="shared" si="6"/>
        <v>8-PR</v>
      </c>
      <c r="Q445" s="108" t="str">
        <f>HYPERLINK("#'마스터_품목'!A672","→ 마스터 R672")</f>
        <v>→ 마스터 R672</v>
      </c>
      <c r="R445" s="109">
        <v>672</v>
      </c>
      <c r="S445" s="109" t="s">
        <v>72</v>
      </c>
    </row>
    <row r="446" spans="1:19" s="64" customFormat="1" ht="48" customHeight="1" x14ac:dyDescent="0.3">
      <c r="A446" s="29" t="s">
        <v>771</v>
      </c>
      <c r="B446" s="22" t="s">
        <v>1161</v>
      </c>
      <c r="C446" s="23" t="s">
        <v>397</v>
      </c>
      <c r="D446" s="23" t="s">
        <v>1162</v>
      </c>
      <c r="E446" s="23" t="s">
        <v>1163</v>
      </c>
      <c r="F446" s="24" t="s">
        <v>71</v>
      </c>
      <c r="G446" s="25"/>
      <c r="H446" s="26"/>
      <c r="I446" s="27" t="str">
        <f>IFERROR(IF(OR($F446="O",$G446="O",$H446="O"),CHOOSE(MATCH($A446,{"튜브","고압","진공","튜닝","조립","출하"},0),"T","H","V","N","A","P")&amp;IF($F446="O","R",IF($G446="O","A",IF($H446="O","F",""))),""),"")</f>
        <v>PR</v>
      </c>
      <c r="J446" s="15" t="s">
        <v>71</v>
      </c>
      <c r="K446" s="16" t="s">
        <v>71</v>
      </c>
      <c r="L446" s="17"/>
      <c r="M446" s="18"/>
      <c r="N446" s="19"/>
      <c r="O446" s="20"/>
      <c r="P446" s="21" t="str">
        <f t="shared" si="6"/>
        <v>34-PR</v>
      </c>
      <c r="Q446" s="108" t="str">
        <f>HYPERLINK("#'마스터_품목'!A673","→ 마스터 R673")</f>
        <v>→ 마스터 R673</v>
      </c>
      <c r="R446" s="109">
        <v>673</v>
      </c>
      <c r="S446" s="109" t="s">
        <v>72</v>
      </c>
    </row>
    <row r="447" spans="1:19" s="64" customFormat="1" ht="48" customHeight="1" x14ac:dyDescent="0.3">
      <c r="A447" s="29" t="s">
        <v>771</v>
      </c>
      <c r="B447" s="22" t="s">
        <v>1161</v>
      </c>
      <c r="C447" s="23" t="s">
        <v>153</v>
      </c>
      <c r="D447" s="23" t="s">
        <v>1164</v>
      </c>
      <c r="E447" s="23" t="s">
        <v>1165</v>
      </c>
      <c r="F447" s="24" t="s">
        <v>71</v>
      </c>
      <c r="G447" s="25"/>
      <c r="H447" s="26"/>
      <c r="I447" s="27" t="str">
        <f>IFERROR(IF(OR($F447="O",$G447="O",$H447="O"),CHOOSE(MATCH($A447,{"튜브","고압","진공","튜닝","조립","출하"},0),"T","H","V","N","A","P")&amp;IF($F447="O","R",IF($G447="O","A",IF($H447="O","F",""))),""),"")</f>
        <v>PR</v>
      </c>
      <c r="J447" s="15"/>
      <c r="K447" s="16"/>
      <c r="L447" s="17"/>
      <c r="M447" s="18" t="s">
        <v>71</v>
      </c>
      <c r="N447" s="19"/>
      <c r="O447" s="20"/>
      <c r="P447" s="21" t="str">
        <f t="shared" si="6"/>
        <v>7-PR</v>
      </c>
      <c r="Q447" s="108" t="str">
        <f>HYPERLINK("#'마스터_품목'!A674","→ 마스터 R674")</f>
        <v>→ 마스터 R674</v>
      </c>
      <c r="R447" s="109">
        <v>674</v>
      </c>
      <c r="S447" s="109" t="s">
        <v>72</v>
      </c>
    </row>
    <row r="448" spans="1:19" s="64" customFormat="1" ht="48" customHeight="1" x14ac:dyDescent="0.3">
      <c r="A448" s="29" t="s">
        <v>771</v>
      </c>
      <c r="B448" s="22" t="s">
        <v>1161</v>
      </c>
      <c r="C448" s="23" t="s">
        <v>591</v>
      </c>
      <c r="D448" s="23" t="s">
        <v>1166</v>
      </c>
      <c r="E448" s="23" t="s">
        <v>1167</v>
      </c>
      <c r="F448" s="24" t="s">
        <v>71</v>
      </c>
      <c r="G448" s="25"/>
      <c r="H448" s="26"/>
      <c r="I448" s="27" t="str">
        <f>IFERROR(IF(OR($F448="O",$G448="O",$H448="O"),CHOOSE(MATCH($A448,{"튜브","고압","진공","튜닝","조립","출하"},0),"T","H","V","N","A","P")&amp;IF($F448="O","R",IF($G448="O","A",IF($H448="O","F",""))),""),"")</f>
        <v>PR</v>
      </c>
      <c r="J448" s="15"/>
      <c r="K448" s="16"/>
      <c r="L448" s="17" t="s">
        <v>71</v>
      </c>
      <c r="M448" s="18"/>
      <c r="N448" s="19"/>
      <c r="O448" s="20"/>
      <c r="P448" s="21" t="str">
        <f t="shared" si="6"/>
        <v>6-PR</v>
      </c>
      <c r="Q448" s="108" t="str">
        <f>HYPERLINK("#'마스터_품목'!A675","→ 마스터 R675")</f>
        <v>→ 마스터 R675</v>
      </c>
      <c r="R448" s="109">
        <v>675</v>
      </c>
      <c r="S448" s="109" t="s">
        <v>72</v>
      </c>
    </row>
    <row r="449" spans="1:19" ht="48" customHeight="1" x14ac:dyDescent="0.3">
      <c r="A449" s="29" t="s">
        <v>771</v>
      </c>
      <c r="B449" s="22" t="s">
        <v>1161</v>
      </c>
      <c r="C449" s="23" t="s">
        <v>397</v>
      </c>
      <c r="D449" s="23" t="s">
        <v>1168</v>
      </c>
      <c r="E449" s="23" t="s">
        <v>1169</v>
      </c>
      <c r="F449" s="24" t="s">
        <v>71</v>
      </c>
      <c r="G449" s="25"/>
      <c r="H449" s="26"/>
      <c r="I449" s="27" t="str">
        <f>IFERROR(IF(OR($F449="O",$G449="O",$H449="O"),CHOOSE(MATCH($A449,{"튜브","고압","진공","튜닝","조립","출하"},0),"T","H","V","N","A","P")&amp;IF($F449="O","R",IF($G449="O","A",IF($H449="O","F",""))),""),"")</f>
        <v>PR</v>
      </c>
      <c r="J449" s="15" t="s">
        <v>71</v>
      </c>
      <c r="K449" s="16" t="s">
        <v>71</v>
      </c>
      <c r="L449" s="17"/>
      <c r="M449" s="18"/>
      <c r="N449" s="19"/>
      <c r="O449" s="20"/>
      <c r="P449" s="21" t="str">
        <f t="shared" si="6"/>
        <v>34-PR</v>
      </c>
      <c r="Q449" s="108" t="str">
        <f>HYPERLINK("#'마스터_품목'!A676","→ 마스터 R676")</f>
        <v>→ 마스터 R676</v>
      </c>
      <c r="R449" s="109">
        <v>676</v>
      </c>
      <c r="S449" s="109" t="s">
        <v>72</v>
      </c>
    </row>
    <row r="450" spans="1:19" ht="48" customHeight="1" x14ac:dyDescent="0.3">
      <c r="A450" s="29" t="s">
        <v>771</v>
      </c>
      <c r="B450" s="22" t="s">
        <v>1161</v>
      </c>
      <c r="C450" s="23" t="s">
        <v>153</v>
      </c>
      <c r="D450" s="23" t="s">
        <v>1170</v>
      </c>
      <c r="E450" s="23" t="s">
        <v>1171</v>
      </c>
      <c r="F450" s="24" t="s">
        <v>71</v>
      </c>
      <c r="G450" s="25"/>
      <c r="H450" s="26"/>
      <c r="I450" s="27" t="str">
        <f>IFERROR(IF(OR($F450="O",$G450="O",$H450="O"),CHOOSE(MATCH($A450,{"튜브","고압","진공","튜닝","조립","출하"},0),"T","H","V","N","A","P")&amp;IF($F450="O","R",IF($G450="O","A",IF($H450="O","F",""))),""),"")</f>
        <v>PR</v>
      </c>
      <c r="J450" s="15"/>
      <c r="K450" s="16"/>
      <c r="L450" s="17"/>
      <c r="M450" s="18" t="s">
        <v>71</v>
      </c>
      <c r="N450" s="19"/>
      <c r="O450" s="20"/>
      <c r="P450" s="21" t="str">
        <f t="shared" ref="P450:P513" si="7">IF($I450="","",IF($J450="O","3","")&amp;IF($K450="O","4","")&amp;IF($L450="O","6","")&amp;IF($M450="O","7","")&amp;IF($N450="O","8","")&amp;IF($O450="O","?","")&amp;IF(OR($J450="O",$K450="O",$L450="O",$M450="O",$N450="O",$O450="O"),"-","")&amp;$I450)</f>
        <v>7-PR</v>
      </c>
      <c r="Q450" s="108" t="str">
        <f>HYPERLINK("#'마스터_품목'!A677","→ 마스터 R677")</f>
        <v>→ 마스터 R677</v>
      </c>
      <c r="R450" s="109">
        <v>677</v>
      </c>
      <c r="S450" s="109" t="s">
        <v>72</v>
      </c>
    </row>
    <row r="451" spans="1:19" ht="48" customHeight="1" x14ac:dyDescent="0.3">
      <c r="A451" s="29" t="s">
        <v>771</v>
      </c>
      <c r="B451" s="22" t="s">
        <v>1161</v>
      </c>
      <c r="C451" s="23" t="s">
        <v>591</v>
      </c>
      <c r="D451" s="23" t="s">
        <v>1172</v>
      </c>
      <c r="E451" s="23" t="s">
        <v>1173</v>
      </c>
      <c r="F451" s="24" t="s">
        <v>71</v>
      </c>
      <c r="G451" s="25"/>
      <c r="H451" s="26"/>
      <c r="I451" s="27" t="str">
        <f>IFERROR(IF(OR($F451="O",$G451="O",$H451="O"),CHOOSE(MATCH($A451,{"튜브","고압","진공","튜닝","조립","출하"},0),"T","H","V","N","A","P")&amp;IF($F451="O","R",IF($G451="O","A",IF($H451="O","F",""))),""),"")</f>
        <v>PR</v>
      </c>
      <c r="J451" s="15"/>
      <c r="K451" s="16"/>
      <c r="L451" s="17" t="s">
        <v>71</v>
      </c>
      <c r="M451" s="18"/>
      <c r="N451" s="19"/>
      <c r="O451" s="20"/>
      <c r="P451" s="21" t="str">
        <f t="shared" si="7"/>
        <v>6-PR</v>
      </c>
      <c r="Q451" s="108" t="str">
        <f>HYPERLINK("#'마스터_품목'!A678","→ 마스터 R678")</f>
        <v>→ 마스터 R678</v>
      </c>
      <c r="R451" s="109">
        <v>678</v>
      </c>
      <c r="S451" s="109" t="s">
        <v>72</v>
      </c>
    </row>
    <row r="452" spans="1:19" ht="48" customHeight="1" x14ac:dyDescent="0.3">
      <c r="A452" s="29" t="s">
        <v>771</v>
      </c>
      <c r="B452" s="22" t="s">
        <v>1161</v>
      </c>
      <c r="C452" s="23" t="s">
        <v>195</v>
      </c>
      <c r="D452" s="23" t="s">
        <v>1174</v>
      </c>
      <c r="E452" s="23" t="s">
        <v>1175</v>
      </c>
      <c r="F452" s="24" t="s">
        <v>71</v>
      </c>
      <c r="G452" s="25"/>
      <c r="H452" s="26"/>
      <c r="I452" s="27" t="str">
        <f>IFERROR(IF(OR($F452="O",$G452="O",$H452="O"),CHOOSE(MATCH($A452,{"튜브","고압","진공","튜닝","조립","출하"},0),"T","H","V","N","A","P")&amp;IF($F452="O","R",IF($G452="O","A",IF($H452="O","F",""))),""),"")</f>
        <v>PR</v>
      </c>
      <c r="J452" s="15" t="s">
        <v>71</v>
      </c>
      <c r="K452" s="16"/>
      <c r="L452" s="17"/>
      <c r="M452" s="18"/>
      <c r="N452" s="19"/>
      <c r="O452" s="20"/>
      <c r="P452" s="21" t="str">
        <f t="shared" si="7"/>
        <v>3-PR</v>
      </c>
      <c r="Q452" s="108" t="str">
        <f>HYPERLINK("#'마스터_품목'!A679","→ 마스터 R679")</f>
        <v>→ 마스터 R679</v>
      </c>
      <c r="R452" s="109">
        <v>679</v>
      </c>
      <c r="S452" s="109" t="s">
        <v>72</v>
      </c>
    </row>
    <row r="453" spans="1:19" ht="48" customHeight="1" x14ac:dyDescent="0.3">
      <c r="A453" s="29" t="s">
        <v>771</v>
      </c>
      <c r="B453" s="22" t="s">
        <v>1176</v>
      </c>
      <c r="C453" s="23" t="s">
        <v>1176</v>
      </c>
      <c r="D453" s="23" t="s">
        <v>1177</v>
      </c>
      <c r="E453" s="23" t="s">
        <v>1178</v>
      </c>
      <c r="F453" s="24" t="s">
        <v>71</v>
      </c>
      <c r="G453" s="25"/>
      <c r="H453" s="26"/>
      <c r="I453" s="27" t="str">
        <f>IFERROR(IF(OR($F453="O",$G453="O",$H453="O"),CHOOSE(MATCH($A453,{"튜브","고압","진공","튜닝","조립","출하"},0),"T","H","V","N","A","P")&amp;IF($F453="O","R",IF($G453="O","A",IF($H453="O","F",""))),""),"")</f>
        <v>PR</v>
      </c>
      <c r="J453" s="15" t="s">
        <v>71</v>
      </c>
      <c r="K453" s="16"/>
      <c r="L453" s="17"/>
      <c r="M453" s="18"/>
      <c r="N453" s="19"/>
      <c r="O453" s="20"/>
      <c r="P453" s="21" t="str">
        <f t="shared" si="7"/>
        <v>3-PR</v>
      </c>
      <c r="Q453" s="108" t="str">
        <f>HYPERLINK("#'마스터_품목'!A680","→ 마스터 R680")</f>
        <v>→ 마스터 R680</v>
      </c>
      <c r="R453" s="109">
        <v>680</v>
      </c>
      <c r="S453" s="109" t="s">
        <v>72</v>
      </c>
    </row>
    <row r="454" spans="1:19" ht="48" customHeight="1" x14ac:dyDescent="0.3">
      <c r="A454" s="29" t="s">
        <v>771</v>
      </c>
      <c r="B454" s="22" t="s">
        <v>1176</v>
      </c>
      <c r="C454" s="23" t="s">
        <v>1176</v>
      </c>
      <c r="D454" s="23" t="s">
        <v>1179</v>
      </c>
      <c r="E454" s="23"/>
      <c r="F454" s="24" t="s">
        <v>71</v>
      </c>
      <c r="G454" s="25"/>
      <c r="H454" s="26"/>
      <c r="I454" s="27" t="str">
        <f>IFERROR(IF(OR($F454="O",$G454="O",$H454="O"),CHOOSE(MATCH($A454,{"튜브","고압","진공","튜닝","조립","출하"},0),"T","H","V","N","A","P")&amp;IF($F454="O","R",IF($G454="O","A",IF($H454="O","F",""))),""),"")</f>
        <v>PR</v>
      </c>
      <c r="J454" s="15" t="s">
        <v>71</v>
      </c>
      <c r="K454" s="16"/>
      <c r="L454" s="17"/>
      <c r="M454" s="18"/>
      <c r="N454" s="19"/>
      <c r="O454" s="20"/>
      <c r="P454" s="21" t="str">
        <f t="shared" si="7"/>
        <v>3-PR</v>
      </c>
      <c r="Q454" s="108" t="str">
        <f>HYPERLINK("#'마스터_품목'!A681","→ 마스터 R681")</f>
        <v>→ 마스터 R681</v>
      </c>
      <c r="R454" s="109">
        <v>681</v>
      </c>
      <c r="S454" s="109" t="s">
        <v>72</v>
      </c>
    </row>
    <row r="455" spans="1:19" ht="48" customHeight="1" x14ac:dyDescent="0.3">
      <c r="A455" s="29" t="s">
        <v>771</v>
      </c>
      <c r="B455" s="22" t="s">
        <v>1176</v>
      </c>
      <c r="C455" s="23" t="s">
        <v>1176</v>
      </c>
      <c r="D455" s="23" t="s">
        <v>1180</v>
      </c>
      <c r="E455" s="23"/>
      <c r="F455" s="24" t="s">
        <v>71</v>
      </c>
      <c r="G455" s="25"/>
      <c r="H455" s="26"/>
      <c r="I455" s="27" t="str">
        <f>IFERROR(IF(OR($F455="O",$G455="O",$H455="O"),CHOOSE(MATCH($A455,{"튜브","고압","진공","튜닝","조립","출하"},0),"T","H","V","N","A","P")&amp;IF($F455="O","R",IF($G455="O","A",IF($H455="O","F",""))),""),"")</f>
        <v>PR</v>
      </c>
      <c r="J455" s="15" t="s">
        <v>71</v>
      </c>
      <c r="K455" s="16" t="s">
        <v>71</v>
      </c>
      <c r="L455" s="17"/>
      <c r="M455" s="18"/>
      <c r="N455" s="19"/>
      <c r="O455" s="20"/>
      <c r="P455" s="21" t="str">
        <f t="shared" si="7"/>
        <v>34-PR</v>
      </c>
      <c r="Q455" s="108" t="str">
        <f>HYPERLINK("#'마스터_품목'!A682","→ 마스터 R682")</f>
        <v>→ 마스터 R682</v>
      </c>
      <c r="R455" s="109">
        <v>682</v>
      </c>
      <c r="S455" s="109" t="s">
        <v>72</v>
      </c>
    </row>
    <row r="456" spans="1:19" ht="48" customHeight="1" x14ac:dyDescent="0.3">
      <c r="A456" s="29" t="s">
        <v>771</v>
      </c>
      <c r="B456" s="22" t="s">
        <v>1176</v>
      </c>
      <c r="C456" s="23" t="s">
        <v>1176</v>
      </c>
      <c r="D456" s="23" t="s">
        <v>1181</v>
      </c>
      <c r="E456" s="23"/>
      <c r="F456" s="24" t="s">
        <v>71</v>
      </c>
      <c r="G456" s="25"/>
      <c r="H456" s="26"/>
      <c r="I456" s="27" t="str">
        <f>IFERROR(IF(OR($F456="O",$G456="O",$H456="O"),CHOOSE(MATCH($A456,{"튜브","고압","진공","튜닝","조립","출하"},0),"T","H","V","N","A","P")&amp;IF($F456="O","R",IF($G456="O","A",IF($H456="O","F",""))),""),"")</f>
        <v>PR</v>
      </c>
      <c r="J456" s="15" t="s">
        <v>71</v>
      </c>
      <c r="K456" s="16" t="s">
        <v>71</v>
      </c>
      <c r="L456" s="17"/>
      <c r="M456" s="18"/>
      <c r="N456" s="19"/>
      <c r="O456" s="20"/>
      <c r="P456" s="21" t="str">
        <f t="shared" si="7"/>
        <v>34-PR</v>
      </c>
      <c r="Q456" s="108" t="str">
        <f>HYPERLINK("#'마스터_품목'!A683","→ 마스터 R683")</f>
        <v>→ 마스터 R683</v>
      </c>
      <c r="R456" s="109">
        <v>683</v>
      </c>
      <c r="S456" s="109" t="s">
        <v>72</v>
      </c>
    </row>
    <row r="457" spans="1:19" ht="48" customHeight="1" x14ac:dyDescent="0.3">
      <c r="A457" s="29" t="s">
        <v>771</v>
      </c>
      <c r="B457" s="22" t="s">
        <v>1176</v>
      </c>
      <c r="C457" s="23" t="s">
        <v>1176</v>
      </c>
      <c r="D457" s="23" t="s">
        <v>1182</v>
      </c>
      <c r="E457" s="23"/>
      <c r="F457" s="24" t="s">
        <v>71</v>
      </c>
      <c r="G457" s="25"/>
      <c r="H457" s="26"/>
      <c r="I457" s="27" t="str">
        <f>IFERROR(IF(OR($F457="O",$G457="O",$H457="O"),CHOOSE(MATCH($A457,{"튜브","고압","진공","튜닝","조립","출하"},0),"T","H","V","N","A","P")&amp;IF($F457="O","R",IF($G457="O","A",IF($H457="O","F",""))),""),"")</f>
        <v>PR</v>
      </c>
      <c r="J457" s="15"/>
      <c r="K457" s="16"/>
      <c r="L457" s="17" t="s">
        <v>71</v>
      </c>
      <c r="M457" s="18" t="s">
        <v>71</v>
      </c>
      <c r="N457" s="19"/>
      <c r="O457" s="20"/>
      <c r="P457" s="21" t="str">
        <f t="shared" si="7"/>
        <v>67-PR</v>
      </c>
      <c r="Q457" s="108" t="str">
        <f>HYPERLINK("#'마스터_품목'!A684","→ 마스터 R684")</f>
        <v>→ 마스터 R684</v>
      </c>
      <c r="R457" s="109">
        <v>684</v>
      </c>
      <c r="S457" s="109" t="s">
        <v>72</v>
      </c>
    </row>
    <row r="458" spans="1:19" ht="48" customHeight="1" x14ac:dyDescent="0.3">
      <c r="A458" s="29" t="s">
        <v>771</v>
      </c>
      <c r="B458" s="22" t="s">
        <v>1176</v>
      </c>
      <c r="C458" s="23" t="s">
        <v>1176</v>
      </c>
      <c r="D458" s="23" t="s">
        <v>1183</v>
      </c>
      <c r="E458" s="23"/>
      <c r="F458" s="24" t="s">
        <v>71</v>
      </c>
      <c r="G458" s="25"/>
      <c r="H458" s="26"/>
      <c r="I458" s="27" t="str">
        <f>IFERROR(IF(OR($F458="O",$G458="O",$H458="O"),CHOOSE(MATCH($A458,{"튜브","고압","진공","튜닝","조립","출하"},0),"T","H","V","N","A","P")&amp;IF($F458="O","R",IF($G458="O","A",IF($H458="O","F",""))),""),"")</f>
        <v>PR</v>
      </c>
      <c r="J458" s="15"/>
      <c r="K458" s="16"/>
      <c r="L458" s="17" t="s">
        <v>71</v>
      </c>
      <c r="M458" s="18" t="s">
        <v>71</v>
      </c>
      <c r="N458" s="19"/>
      <c r="O458" s="20"/>
      <c r="P458" s="21" t="str">
        <f t="shared" si="7"/>
        <v>67-PR</v>
      </c>
      <c r="Q458" s="108" t="str">
        <f>HYPERLINK("#'마스터_품목'!A685","→ 마스터 R685")</f>
        <v>→ 마스터 R685</v>
      </c>
      <c r="R458" s="109">
        <v>685</v>
      </c>
      <c r="S458" s="109" t="s">
        <v>72</v>
      </c>
    </row>
    <row r="459" spans="1:19" ht="48" customHeight="1" x14ac:dyDescent="0.3">
      <c r="A459" s="29" t="s">
        <v>771</v>
      </c>
      <c r="B459" s="22" t="s">
        <v>1176</v>
      </c>
      <c r="C459" s="23" t="s">
        <v>1176</v>
      </c>
      <c r="D459" s="23" t="s">
        <v>1184</v>
      </c>
      <c r="E459" s="23"/>
      <c r="F459" s="24" t="s">
        <v>71</v>
      </c>
      <c r="G459" s="25"/>
      <c r="H459" s="26"/>
      <c r="I459" s="27" t="str">
        <f>IFERROR(IF(OR($F459="O",$G459="O",$H459="O"),CHOOSE(MATCH($A459,{"튜브","고압","진공","튜닝","조립","출하"},0),"T","H","V","N","A","P")&amp;IF($F459="O","R",IF($G459="O","A",IF($H459="O","F",""))),""),"")</f>
        <v>PR</v>
      </c>
      <c r="J459" s="15" t="s">
        <v>71</v>
      </c>
      <c r="K459" s="16"/>
      <c r="L459" s="17"/>
      <c r="M459" s="18"/>
      <c r="N459" s="19"/>
      <c r="O459" s="20"/>
      <c r="P459" s="21" t="str">
        <f t="shared" si="7"/>
        <v>3-PR</v>
      </c>
      <c r="Q459" s="108" t="str">
        <f>HYPERLINK("#'마스터_품목'!A686","→ 마스터 R686")</f>
        <v>→ 마스터 R686</v>
      </c>
      <c r="R459" s="109">
        <v>686</v>
      </c>
      <c r="S459" s="109" t="s">
        <v>72</v>
      </c>
    </row>
    <row r="460" spans="1:19" ht="48" customHeight="1" x14ac:dyDescent="0.3">
      <c r="A460" s="22" t="s">
        <v>354</v>
      </c>
      <c r="B460" s="22" t="s">
        <v>1185</v>
      </c>
      <c r="C460" s="23" t="s">
        <v>182</v>
      </c>
      <c r="D460" s="23" t="s">
        <v>1186</v>
      </c>
      <c r="E460" s="23" t="s">
        <v>1187</v>
      </c>
      <c r="F460" s="24" t="s">
        <v>71</v>
      </c>
      <c r="G460" s="25"/>
      <c r="H460" s="26"/>
      <c r="I460" s="27" t="str">
        <f>IFERROR(IF(OR($F460="O",$G460="O",$H460="O"),CHOOSE(MATCH($A460,{"튜브","고압","진공","튜닝","조립","출하"},0),"T","H","V","N","A","P")&amp;IF($F460="O","R",IF($G460="O","A",IF($H460="O","F",""))),""),"")</f>
        <v>AR</v>
      </c>
      <c r="J460" s="15"/>
      <c r="K460" s="16"/>
      <c r="L460" s="17"/>
      <c r="M460" s="18"/>
      <c r="N460" s="19" t="s">
        <v>71</v>
      </c>
      <c r="O460" s="20"/>
      <c r="P460" s="21" t="str">
        <f t="shared" si="7"/>
        <v>8-AR</v>
      </c>
      <c r="Q460" s="108" t="str">
        <f>HYPERLINK("#'마스터_품목'!A507","→ 마스터 R507")</f>
        <v>→ 마스터 R507</v>
      </c>
      <c r="R460" s="109">
        <v>507</v>
      </c>
      <c r="S460" s="109" t="s">
        <v>72</v>
      </c>
    </row>
    <row r="461" spans="1:19" ht="48" customHeight="1" x14ac:dyDescent="0.3">
      <c r="A461" s="22" t="s">
        <v>354</v>
      </c>
      <c r="B461" s="22" t="s">
        <v>1185</v>
      </c>
      <c r="C461" s="23" t="s">
        <v>182</v>
      </c>
      <c r="D461" s="23" t="s">
        <v>1188</v>
      </c>
      <c r="E461" s="23" t="s">
        <v>1189</v>
      </c>
      <c r="F461" s="24" t="s">
        <v>71</v>
      </c>
      <c r="G461" s="25"/>
      <c r="H461" s="26"/>
      <c r="I461" s="27" t="str">
        <f>IFERROR(IF(OR($F461="O",$G461="O",$H461="O"),CHOOSE(MATCH($A461,{"튜브","고압","진공","튜닝","조립","출하"},0),"T","H","V","N","A","P")&amp;IF($F461="O","R",IF($G461="O","A",IF($H461="O","F",""))),""),"")</f>
        <v>AR</v>
      </c>
      <c r="J461" s="15"/>
      <c r="K461" s="16"/>
      <c r="L461" s="17"/>
      <c r="M461" s="18"/>
      <c r="N461" s="19" t="s">
        <v>71</v>
      </c>
      <c r="O461" s="20"/>
      <c r="P461" s="21" t="str">
        <f t="shared" si="7"/>
        <v>8-AR</v>
      </c>
      <c r="Q461" s="108" t="str">
        <f>HYPERLINK("#'마스터_품목'!A508","→ 마스터 R508")</f>
        <v>→ 마스터 R508</v>
      </c>
      <c r="R461" s="109">
        <v>508</v>
      </c>
      <c r="S461" s="109" t="s">
        <v>72</v>
      </c>
    </row>
    <row r="462" spans="1:19" ht="48" customHeight="1" x14ac:dyDescent="0.3">
      <c r="A462" s="22" t="s">
        <v>354</v>
      </c>
      <c r="B462" s="22" t="s">
        <v>1185</v>
      </c>
      <c r="C462" s="23" t="s">
        <v>182</v>
      </c>
      <c r="D462" s="23" t="s">
        <v>1190</v>
      </c>
      <c r="E462" s="23" t="s">
        <v>1191</v>
      </c>
      <c r="F462" s="24" t="s">
        <v>71</v>
      </c>
      <c r="G462" s="25"/>
      <c r="H462" s="26"/>
      <c r="I462" s="27" t="str">
        <f>IFERROR(IF(OR($F462="O",$G462="O",$H462="O"),CHOOSE(MATCH($A462,{"튜브","고압","진공","튜닝","조립","출하"},0),"T","H","V","N","A","P")&amp;IF($F462="O","R",IF($G462="O","A",IF($H462="O","F",""))),""),"")</f>
        <v>AR</v>
      </c>
      <c r="J462" s="15"/>
      <c r="K462" s="16"/>
      <c r="L462" s="17"/>
      <c r="M462" s="18"/>
      <c r="N462" s="19" t="s">
        <v>71</v>
      </c>
      <c r="O462" s="20"/>
      <c r="P462" s="21" t="str">
        <f t="shared" si="7"/>
        <v>8-AR</v>
      </c>
      <c r="Q462" s="108" t="str">
        <f>HYPERLINK("#'마스터_품목'!A509","→ 마스터 R509")</f>
        <v>→ 마스터 R509</v>
      </c>
      <c r="R462" s="109">
        <v>509</v>
      </c>
      <c r="S462" s="109" t="s">
        <v>72</v>
      </c>
    </row>
    <row r="463" spans="1:19" ht="48" customHeight="1" x14ac:dyDescent="0.3">
      <c r="A463" s="22" t="s">
        <v>354</v>
      </c>
      <c r="B463" s="22" t="s">
        <v>1185</v>
      </c>
      <c r="C463" s="23" t="s">
        <v>182</v>
      </c>
      <c r="D463" s="23" t="s">
        <v>1192</v>
      </c>
      <c r="E463" s="23" t="s">
        <v>1193</v>
      </c>
      <c r="F463" s="24" t="s">
        <v>71</v>
      </c>
      <c r="G463" s="25"/>
      <c r="H463" s="26"/>
      <c r="I463" s="27" t="str">
        <f>IFERROR(IF(OR($F463="O",$G463="O",$H463="O"),CHOOSE(MATCH($A463,{"튜브","고압","진공","튜닝","조립","출하"},0),"T","H","V","N","A","P")&amp;IF($F463="O","R",IF($G463="O","A",IF($H463="O","F",""))),""),"")</f>
        <v>AR</v>
      </c>
      <c r="J463" s="15"/>
      <c r="K463" s="16"/>
      <c r="L463" s="17"/>
      <c r="M463" s="18"/>
      <c r="N463" s="19" t="s">
        <v>71</v>
      </c>
      <c r="O463" s="20"/>
      <c r="P463" s="21" t="str">
        <f t="shared" si="7"/>
        <v>8-AR</v>
      </c>
      <c r="Q463" s="108" t="str">
        <f>HYPERLINK("#'마스터_품목'!A510","→ 마스터 R510")</f>
        <v>→ 마스터 R510</v>
      </c>
      <c r="R463" s="109">
        <v>510</v>
      </c>
      <c r="S463" s="109" t="s">
        <v>72</v>
      </c>
    </row>
    <row r="464" spans="1:19" ht="48" customHeight="1" x14ac:dyDescent="0.3">
      <c r="A464" s="22" t="s">
        <v>354</v>
      </c>
      <c r="B464" s="22" t="s">
        <v>1185</v>
      </c>
      <c r="C464" s="23" t="s">
        <v>182</v>
      </c>
      <c r="D464" s="23" t="s">
        <v>1194</v>
      </c>
      <c r="E464" s="23" t="s">
        <v>1195</v>
      </c>
      <c r="F464" s="24" t="s">
        <v>71</v>
      </c>
      <c r="G464" s="25"/>
      <c r="H464" s="26"/>
      <c r="I464" s="27" t="str">
        <f>IFERROR(IF(OR($F464="O",$G464="O",$H464="O"),CHOOSE(MATCH($A464,{"튜브","고압","진공","튜닝","조립","출하"},0),"T","H","V","N","A","P")&amp;IF($F464="O","R",IF($G464="O","A",IF($H464="O","F",""))),""),"")</f>
        <v>AR</v>
      </c>
      <c r="J464" s="15"/>
      <c r="K464" s="16"/>
      <c r="L464" s="17"/>
      <c r="M464" s="18"/>
      <c r="N464" s="19" t="s">
        <v>71</v>
      </c>
      <c r="O464" s="20"/>
      <c r="P464" s="21" t="str">
        <f t="shared" si="7"/>
        <v>8-AR</v>
      </c>
      <c r="Q464" s="108" t="str">
        <f>HYPERLINK("#'마스터_품목'!A511","→ 마스터 R511")</f>
        <v>→ 마스터 R511</v>
      </c>
      <c r="R464" s="109">
        <v>511</v>
      </c>
      <c r="S464" s="109" t="s">
        <v>72</v>
      </c>
    </row>
    <row r="465" spans="1:19" ht="48" customHeight="1" x14ac:dyDescent="0.3">
      <c r="A465" s="22" t="s">
        <v>354</v>
      </c>
      <c r="B465" s="22" t="s">
        <v>1185</v>
      </c>
      <c r="C465" s="23" t="s">
        <v>182</v>
      </c>
      <c r="D465" s="23" t="s">
        <v>1196</v>
      </c>
      <c r="E465" s="23" t="s">
        <v>1197</v>
      </c>
      <c r="F465" s="24" t="s">
        <v>71</v>
      </c>
      <c r="G465" s="25"/>
      <c r="H465" s="26"/>
      <c r="I465" s="27" t="str">
        <f>IFERROR(IF(OR($F465="O",$G465="O",$H465="O"),CHOOSE(MATCH($A465,{"튜브","고압","진공","튜닝","조립","출하"},0),"T","H","V","N","A","P")&amp;IF($F465="O","R",IF($G465="O","A",IF($H465="O","F",""))),""),"")</f>
        <v>AR</v>
      </c>
      <c r="J465" s="15"/>
      <c r="K465" s="16"/>
      <c r="L465" s="17"/>
      <c r="M465" s="18"/>
      <c r="N465" s="19" t="s">
        <v>71</v>
      </c>
      <c r="O465" s="20"/>
      <c r="P465" s="21" t="str">
        <f t="shared" si="7"/>
        <v>8-AR</v>
      </c>
      <c r="Q465" s="108" t="str">
        <f>HYPERLINK("#'마스터_품목'!A512","→ 마스터 R512")</f>
        <v>→ 마스터 R512</v>
      </c>
      <c r="R465" s="109">
        <v>512</v>
      </c>
      <c r="S465" s="109" t="s">
        <v>72</v>
      </c>
    </row>
    <row r="466" spans="1:19" ht="48" customHeight="1" x14ac:dyDescent="0.3">
      <c r="A466" s="22" t="s">
        <v>354</v>
      </c>
      <c r="B466" s="22" t="s">
        <v>1185</v>
      </c>
      <c r="C466" s="23" t="s">
        <v>182</v>
      </c>
      <c r="D466" s="23" t="s">
        <v>1198</v>
      </c>
      <c r="E466" s="23" t="s">
        <v>1199</v>
      </c>
      <c r="F466" s="24" t="s">
        <v>71</v>
      </c>
      <c r="G466" s="25"/>
      <c r="H466" s="26"/>
      <c r="I466" s="27" t="str">
        <f>IFERROR(IF(OR($F466="O",$G466="O",$H466="O"),CHOOSE(MATCH($A466,{"튜브","고압","진공","튜닝","조립","출하"},0),"T","H","V","N","A","P")&amp;IF($F466="O","R",IF($G466="O","A",IF($H466="O","F",""))),""),"")</f>
        <v>AR</v>
      </c>
      <c r="J466" s="15"/>
      <c r="K466" s="16"/>
      <c r="L466" s="17"/>
      <c r="M466" s="18"/>
      <c r="N466" s="19" t="s">
        <v>71</v>
      </c>
      <c r="O466" s="20"/>
      <c r="P466" s="21" t="str">
        <f t="shared" si="7"/>
        <v>8-AR</v>
      </c>
      <c r="Q466" s="108" t="str">
        <f>HYPERLINK("#'마스터_품목'!A513","→ 마스터 R513")</f>
        <v>→ 마스터 R513</v>
      </c>
      <c r="R466" s="109">
        <v>513</v>
      </c>
      <c r="S466" s="109" t="s">
        <v>72</v>
      </c>
    </row>
    <row r="467" spans="1:19" ht="48" customHeight="1" x14ac:dyDescent="0.3">
      <c r="A467" s="22" t="s">
        <v>354</v>
      </c>
      <c r="B467" s="22" t="s">
        <v>1200</v>
      </c>
      <c r="C467" s="23" t="s">
        <v>182</v>
      </c>
      <c r="D467" s="23" t="s">
        <v>1201</v>
      </c>
      <c r="E467" s="23" t="s">
        <v>1202</v>
      </c>
      <c r="F467" s="24" t="s">
        <v>71</v>
      </c>
      <c r="G467" s="25"/>
      <c r="H467" s="26"/>
      <c r="I467" s="27" t="str">
        <f>IFERROR(IF(OR($F467="O",$G467="O",$H467="O"),CHOOSE(MATCH($A467,{"튜브","고압","진공","튜닝","조립","출하"},0),"T","H","V","N","A","P")&amp;IF($F467="O","R",IF($G467="O","A",IF($H467="O","F",""))),""),"")</f>
        <v>AR</v>
      </c>
      <c r="J467" s="15"/>
      <c r="K467" s="16"/>
      <c r="L467" s="17"/>
      <c r="M467" s="18"/>
      <c r="N467" s="19" t="s">
        <v>71</v>
      </c>
      <c r="O467" s="20"/>
      <c r="P467" s="21" t="str">
        <f t="shared" si="7"/>
        <v>8-AR</v>
      </c>
      <c r="Q467" s="108" t="str">
        <f>HYPERLINK("#'마스터_품목'!A514","→ 마스터 R514")</f>
        <v>→ 마스터 R514</v>
      </c>
      <c r="R467" s="109">
        <v>514</v>
      </c>
      <c r="S467" s="109" t="s">
        <v>72</v>
      </c>
    </row>
    <row r="468" spans="1:19" ht="48" customHeight="1" x14ac:dyDescent="0.3">
      <c r="A468" s="22" t="s">
        <v>354</v>
      </c>
      <c r="B468" s="22" t="s">
        <v>1200</v>
      </c>
      <c r="C468" s="23" t="s">
        <v>182</v>
      </c>
      <c r="D468" s="23" t="s">
        <v>1203</v>
      </c>
      <c r="E468" s="23" t="s">
        <v>1204</v>
      </c>
      <c r="F468" s="24" t="s">
        <v>71</v>
      </c>
      <c r="G468" s="25"/>
      <c r="H468" s="26"/>
      <c r="I468" s="27" t="str">
        <f>IFERROR(IF(OR($F468="O",$G468="O",$H468="O"),CHOOSE(MATCH($A468,{"튜브","고압","진공","튜닝","조립","출하"},0),"T","H","V","N","A","P")&amp;IF($F468="O","R",IF($G468="O","A",IF($H468="O","F",""))),""),"")</f>
        <v>AR</v>
      </c>
      <c r="J468" s="15"/>
      <c r="K468" s="16"/>
      <c r="L468" s="17"/>
      <c r="M468" s="18"/>
      <c r="N468" s="19" t="s">
        <v>71</v>
      </c>
      <c r="O468" s="20"/>
      <c r="P468" s="21" t="str">
        <f t="shared" si="7"/>
        <v>8-AR</v>
      </c>
      <c r="Q468" s="108" t="str">
        <f>HYPERLINK("#'마스터_품목'!A515","→ 마스터 R515")</f>
        <v>→ 마스터 R515</v>
      </c>
      <c r="R468" s="109">
        <v>515</v>
      </c>
      <c r="S468" s="109" t="s">
        <v>72</v>
      </c>
    </row>
    <row r="469" spans="1:19" ht="48" customHeight="1" x14ac:dyDescent="0.3">
      <c r="A469" s="22" t="s">
        <v>354</v>
      </c>
      <c r="B469" s="22" t="s">
        <v>1200</v>
      </c>
      <c r="C469" s="23" t="s">
        <v>182</v>
      </c>
      <c r="D469" s="23" t="s">
        <v>1205</v>
      </c>
      <c r="E469" s="23" t="s">
        <v>1206</v>
      </c>
      <c r="F469" s="24" t="s">
        <v>71</v>
      </c>
      <c r="G469" s="25"/>
      <c r="H469" s="26"/>
      <c r="I469" s="27" t="str">
        <f>IFERROR(IF(OR($F469="O",$G469="O",$H469="O"),CHOOSE(MATCH($A469,{"튜브","고압","진공","튜닝","조립","출하"},0),"T","H","V","N","A","P")&amp;IF($F469="O","R",IF($G469="O","A",IF($H469="O","F",""))),""),"")</f>
        <v>AR</v>
      </c>
      <c r="J469" s="15"/>
      <c r="K469" s="16"/>
      <c r="L469" s="17"/>
      <c r="M469" s="18"/>
      <c r="N469" s="19" t="s">
        <v>71</v>
      </c>
      <c r="O469" s="20"/>
      <c r="P469" s="21" t="str">
        <f t="shared" si="7"/>
        <v>8-AR</v>
      </c>
      <c r="Q469" s="108" t="str">
        <f>HYPERLINK("#'마스터_품목'!A516","→ 마스터 R516")</f>
        <v>→ 마스터 R516</v>
      </c>
      <c r="R469" s="109">
        <v>516</v>
      </c>
      <c r="S469" s="109" t="s">
        <v>72</v>
      </c>
    </row>
    <row r="470" spans="1:19" ht="48" customHeight="1" x14ac:dyDescent="0.3">
      <c r="A470" s="22" t="s">
        <v>354</v>
      </c>
      <c r="B470" s="22" t="s">
        <v>1200</v>
      </c>
      <c r="C470" s="23" t="s">
        <v>182</v>
      </c>
      <c r="D470" s="23" t="s">
        <v>1207</v>
      </c>
      <c r="E470" s="23"/>
      <c r="F470" s="24" t="s">
        <v>71</v>
      </c>
      <c r="G470" s="25"/>
      <c r="H470" s="26"/>
      <c r="I470" s="27" t="str">
        <f>IFERROR(IF(OR($F470="O",$G470="O",$H470="O"),CHOOSE(MATCH($A470,{"튜브","고압","진공","튜닝","조립","출하"},0),"T","H","V","N","A","P")&amp;IF($F470="O","R",IF($G470="O","A",IF($H470="O","F",""))),""),"")</f>
        <v>AR</v>
      </c>
      <c r="J470" s="15"/>
      <c r="K470" s="16"/>
      <c r="L470" s="17"/>
      <c r="M470" s="18"/>
      <c r="N470" s="19" t="s">
        <v>71</v>
      </c>
      <c r="O470" s="20"/>
      <c r="P470" s="21" t="str">
        <f t="shared" si="7"/>
        <v>8-AR</v>
      </c>
      <c r="Q470" s="108" t="str">
        <f>HYPERLINK("#'마스터_품목'!A517","→ 마스터 R517")</f>
        <v>→ 마스터 R517</v>
      </c>
      <c r="R470" s="109">
        <v>517</v>
      </c>
      <c r="S470" s="109" t="s">
        <v>72</v>
      </c>
    </row>
    <row r="471" spans="1:19" ht="48" customHeight="1" x14ac:dyDescent="0.3">
      <c r="A471" s="22" t="s">
        <v>354</v>
      </c>
      <c r="B471" s="22" t="s">
        <v>1200</v>
      </c>
      <c r="C471" s="23" t="s">
        <v>182</v>
      </c>
      <c r="D471" s="23" t="s">
        <v>1208</v>
      </c>
      <c r="E471" s="23" t="s">
        <v>1209</v>
      </c>
      <c r="F471" s="24" t="s">
        <v>71</v>
      </c>
      <c r="G471" s="25"/>
      <c r="H471" s="26"/>
      <c r="I471" s="27" t="str">
        <f>IFERROR(IF(OR($F471="O",$G471="O",$H471="O"),CHOOSE(MATCH($A471,{"튜브","고압","진공","튜닝","조립","출하"},0),"T","H","V","N","A","P")&amp;IF($F471="O","R",IF($G471="O","A",IF($H471="O","F",""))),""),"")</f>
        <v>AR</v>
      </c>
      <c r="J471" s="15"/>
      <c r="K471" s="16"/>
      <c r="L471" s="17"/>
      <c r="M471" s="18"/>
      <c r="N471" s="19" t="s">
        <v>71</v>
      </c>
      <c r="O471" s="20"/>
      <c r="P471" s="21" t="str">
        <f t="shared" si="7"/>
        <v>8-AR</v>
      </c>
      <c r="Q471" s="108" t="str">
        <f>HYPERLINK("#'마스터_품목'!A518","→ 마스터 R518")</f>
        <v>→ 마스터 R518</v>
      </c>
      <c r="R471" s="109">
        <v>518</v>
      </c>
      <c r="S471" s="109" t="s">
        <v>72</v>
      </c>
    </row>
    <row r="472" spans="1:19" ht="48" customHeight="1" x14ac:dyDescent="0.3">
      <c r="A472" s="22" t="s">
        <v>354</v>
      </c>
      <c r="B472" s="22" t="s">
        <v>1200</v>
      </c>
      <c r="C472" s="23" t="s">
        <v>182</v>
      </c>
      <c r="D472" s="23" t="s">
        <v>1210</v>
      </c>
      <c r="E472" s="23" t="s">
        <v>1211</v>
      </c>
      <c r="F472" s="24" t="s">
        <v>71</v>
      </c>
      <c r="G472" s="25"/>
      <c r="H472" s="26"/>
      <c r="I472" s="27" t="str">
        <f>IFERROR(IF(OR($F472="O",$G472="O",$H472="O"),CHOOSE(MATCH($A472,{"튜브","고압","진공","튜닝","조립","출하"},0),"T","H","V","N","A","P")&amp;IF($F472="O","R",IF($G472="O","A",IF($H472="O","F",""))),""),"")</f>
        <v>AR</v>
      </c>
      <c r="J472" s="15"/>
      <c r="K472" s="16"/>
      <c r="L472" s="17"/>
      <c r="M472" s="18"/>
      <c r="N472" s="19" t="s">
        <v>71</v>
      </c>
      <c r="O472" s="20"/>
      <c r="P472" s="21" t="str">
        <f t="shared" si="7"/>
        <v>8-AR</v>
      </c>
      <c r="Q472" s="108" t="str">
        <f>HYPERLINK("#'마스터_품목'!A519","→ 마스터 R519")</f>
        <v>→ 마스터 R519</v>
      </c>
      <c r="R472" s="109">
        <v>519</v>
      </c>
      <c r="S472" s="109" t="s">
        <v>72</v>
      </c>
    </row>
    <row r="473" spans="1:19" ht="48" customHeight="1" x14ac:dyDescent="0.3">
      <c r="A473" s="22" t="s">
        <v>354</v>
      </c>
      <c r="B473" s="22" t="s">
        <v>1200</v>
      </c>
      <c r="C473" s="23" t="s">
        <v>182</v>
      </c>
      <c r="D473" s="23" t="s">
        <v>1212</v>
      </c>
      <c r="E473" s="23" t="s">
        <v>1213</v>
      </c>
      <c r="F473" s="24" t="s">
        <v>71</v>
      </c>
      <c r="G473" s="25"/>
      <c r="H473" s="26"/>
      <c r="I473" s="27" t="str">
        <f>IFERROR(IF(OR($F473="O",$G473="O",$H473="O"),CHOOSE(MATCH($A473,{"튜브","고압","진공","튜닝","조립","출하"},0),"T","H","V","N","A","P")&amp;IF($F473="O","R",IF($G473="O","A",IF($H473="O","F",""))),""),"")</f>
        <v>AR</v>
      </c>
      <c r="J473" s="15"/>
      <c r="K473" s="16"/>
      <c r="L473" s="17"/>
      <c r="M473" s="18"/>
      <c r="N473" s="19" t="s">
        <v>71</v>
      </c>
      <c r="O473" s="20"/>
      <c r="P473" s="21" t="str">
        <f t="shared" si="7"/>
        <v>8-AR</v>
      </c>
      <c r="Q473" s="108" t="str">
        <f>HYPERLINK("#'마스터_품목'!A520","→ 마스터 R520")</f>
        <v>→ 마스터 R520</v>
      </c>
      <c r="R473" s="109">
        <v>520</v>
      </c>
      <c r="S473" s="109" t="s">
        <v>72</v>
      </c>
    </row>
    <row r="474" spans="1:19" ht="48" customHeight="1" x14ac:dyDescent="0.3">
      <c r="A474" s="22" t="s">
        <v>354</v>
      </c>
      <c r="B474" s="22" t="s">
        <v>824</v>
      </c>
      <c r="C474" s="23" t="s">
        <v>182</v>
      </c>
      <c r="D474" s="23" t="s">
        <v>1214</v>
      </c>
      <c r="E474" s="23" t="s">
        <v>1215</v>
      </c>
      <c r="F474" s="24" t="s">
        <v>71</v>
      </c>
      <c r="G474" s="25"/>
      <c r="H474" s="26"/>
      <c r="I474" s="27" t="str">
        <f>IFERROR(IF(OR($F474="O",$G474="O",$H474="O"),CHOOSE(MATCH($A474,{"튜브","고압","진공","튜닝","조립","출하"},0),"T","H","V","N","A","P")&amp;IF($F474="O","R",IF($G474="O","A",IF($H474="O","F",""))),""),"")</f>
        <v>AR</v>
      </c>
      <c r="J474" s="15"/>
      <c r="K474" s="16"/>
      <c r="L474" s="17"/>
      <c r="M474" s="18"/>
      <c r="N474" s="19" t="s">
        <v>71</v>
      </c>
      <c r="O474" s="20"/>
      <c r="P474" s="21" t="str">
        <f t="shared" si="7"/>
        <v>8-AR</v>
      </c>
      <c r="Q474" s="108" t="str">
        <f>HYPERLINK("#'마스터_품목'!A521","→ 마스터 R521")</f>
        <v>→ 마스터 R521</v>
      </c>
      <c r="R474" s="109">
        <v>521</v>
      </c>
      <c r="S474" s="109" t="s">
        <v>72</v>
      </c>
    </row>
    <row r="475" spans="1:19" ht="48" customHeight="1" x14ac:dyDescent="0.3">
      <c r="A475" s="22" t="s">
        <v>354</v>
      </c>
      <c r="B475" s="22" t="s">
        <v>824</v>
      </c>
      <c r="C475" s="23" t="s">
        <v>182</v>
      </c>
      <c r="D475" s="23" t="s">
        <v>1216</v>
      </c>
      <c r="E475" s="23" t="s">
        <v>1217</v>
      </c>
      <c r="F475" s="24" t="s">
        <v>71</v>
      </c>
      <c r="G475" s="25"/>
      <c r="H475" s="26"/>
      <c r="I475" s="27" t="str">
        <f>IFERROR(IF(OR($F475="O",$G475="O",$H475="O"),CHOOSE(MATCH($A475,{"튜브","고압","진공","튜닝","조립","출하"},0),"T","H","V","N","A","P")&amp;IF($F475="O","R",IF($G475="O","A",IF($H475="O","F",""))),""),"")</f>
        <v>AR</v>
      </c>
      <c r="J475" s="15"/>
      <c r="K475" s="16"/>
      <c r="L475" s="17"/>
      <c r="M475" s="18"/>
      <c r="N475" s="19" t="s">
        <v>71</v>
      </c>
      <c r="O475" s="20"/>
      <c r="P475" s="21" t="str">
        <f t="shared" si="7"/>
        <v>8-AR</v>
      </c>
      <c r="Q475" s="108" t="str">
        <f>HYPERLINK("#'마스터_품목'!A522","→ 마스터 R522")</f>
        <v>→ 마스터 R522</v>
      </c>
      <c r="R475" s="109">
        <v>522</v>
      </c>
      <c r="S475" s="109" t="s">
        <v>72</v>
      </c>
    </row>
    <row r="476" spans="1:19" ht="48" customHeight="1" x14ac:dyDescent="0.3">
      <c r="A476" s="22" t="s">
        <v>354</v>
      </c>
      <c r="B476" s="22" t="s">
        <v>824</v>
      </c>
      <c r="C476" s="23" t="s">
        <v>182</v>
      </c>
      <c r="D476" s="23" t="s">
        <v>1218</v>
      </c>
      <c r="E476" s="23" t="s">
        <v>1219</v>
      </c>
      <c r="F476" s="24" t="s">
        <v>71</v>
      </c>
      <c r="G476" s="25"/>
      <c r="H476" s="26"/>
      <c r="I476" s="27" t="str">
        <f>IFERROR(IF(OR($F476="O",$G476="O",$H476="O"),CHOOSE(MATCH($A476,{"튜브","고압","진공","튜닝","조립","출하"},0),"T","H","V","N","A","P")&amp;IF($F476="O","R",IF($G476="O","A",IF($H476="O","F",""))),""),"")</f>
        <v>AR</v>
      </c>
      <c r="J476" s="15"/>
      <c r="K476" s="16"/>
      <c r="L476" s="17"/>
      <c r="M476" s="18"/>
      <c r="N476" s="19" t="s">
        <v>71</v>
      </c>
      <c r="O476" s="20"/>
      <c r="P476" s="21" t="str">
        <f t="shared" si="7"/>
        <v>8-AR</v>
      </c>
      <c r="Q476" s="108" t="str">
        <f>HYPERLINK("#'마스터_품목'!A523","→ 마스터 R523")</f>
        <v>→ 마스터 R523</v>
      </c>
      <c r="R476" s="109">
        <v>523</v>
      </c>
      <c r="S476" s="109" t="s">
        <v>72</v>
      </c>
    </row>
    <row r="477" spans="1:19" ht="48" customHeight="1" x14ac:dyDescent="0.3">
      <c r="A477" s="22" t="s">
        <v>354</v>
      </c>
      <c r="B477" s="22" t="s">
        <v>824</v>
      </c>
      <c r="C477" s="23" t="s">
        <v>182</v>
      </c>
      <c r="D477" s="23" t="s">
        <v>1220</v>
      </c>
      <c r="E477" s="23" t="s">
        <v>1221</v>
      </c>
      <c r="F477" s="24" t="s">
        <v>71</v>
      </c>
      <c r="G477" s="25"/>
      <c r="H477" s="26"/>
      <c r="I477" s="27" t="str">
        <f>IFERROR(IF(OR($F477="O",$G477="O",$H477="O"),CHOOSE(MATCH($A477,{"튜브","고압","진공","튜닝","조립","출하"},0),"T","H","V","N","A","P")&amp;IF($F477="O","R",IF($G477="O","A",IF($H477="O","F",""))),""),"")</f>
        <v>AR</v>
      </c>
      <c r="J477" s="15"/>
      <c r="K477" s="16"/>
      <c r="L477" s="17"/>
      <c r="M477" s="18"/>
      <c r="N477" s="19" t="s">
        <v>71</v>
      </c>
      <c r="O477" s="20"/>
      <c r="P477" s="21" t="str">
        <f t="shared" si="7"/>
        <v>8-AR</v>
      </c>
      <c r="Q477" s="108" t="str">
        <f>HYPERLINK("#'마스터_품목'!A524","→ 마스터 R524")</f>
        <v>→ 마스터 R524</v>
      </c>
      <c r="R477" s="109">
        <v>524</v>
      </c>
      <c r="S477" s="109" t="s">
        <v>72</v>
      </c>
    </row>
    <row r="478" spans="1:19" ht="48" customHeight="1" x14ac:dyDescent="0.3">
      <c r="A478" s="22" t="s">
        <v>354</v>
      </c>
      <c r="B478" s="22" t="s">
        <v>824</v>
      </c>
      <c r="C478" s="23" t="s">
        <v>182</v>
      </c>
      <c r="D478" s="23" t="s">
        <v>1222</v>
      </c>
      <c r="E478" s="23" t="s">
        <v>1223</v>
      </c>
      <c r="F478" s="24" t="s">
        <v>71</v>
      </c>
      <c r="G478" s="25"/>
      <c r="H478" s="26"/>
      <c r="I478" s="27" t="str">
        <f>IFERROR(IF(OR($F478="O",$G478="O",$H478="O"),CHOOSE(MATCH($A478,{"튜브","고압","진공","튜닝","조립","출하"},0),"T","H","V","N","A","P")&amp;IF($F478="O","R",IF($G478="O","A",IF($H478="O","F",""))),""),"")</f>
        <v>AR</v>
      </c>
      <c r="J478" s="15"/>
      <c r="K478" s="16"/>
      <c r="L478" s="17"/>
      <c r="M478" s="18"/>
      <c r="N478" s="19" t="s">
        <v>71</v>
      </c>
      <c r="O478" s="20"/>
      <c r="P478" s="21" t="str">
        <f t="shared" si="7"/>
        <v>8-AR</v>
      </c>
      <c r="Q478" s="108" t="str">
        <f>HYPERLINK("#'마스터_품목'!A525","→ 마스터 R525")</f>
        <v>→ 마스터 R525</v>
      </c>
      <c r="R478" s="109">
        <v>525</v>
      </c>
      <c r="S478" s="109" t="s">
        <v>72</v>
      </c>
    </row>
    <row r="479" spans="1:19" ht="48" customHeight="1" x14ac:dyDescent="0.3">
      <c r="A479" s="22" t="s">
        <v>354</v>
      </c>
      <c r="B479" s="22" t="s">
        <v>1224</v>
      </c>
      <c r="C479" s="23" t="s">
        <v>182</v>
      </c>
      <c r="D479" s="23" t="s">
        <v>1225</v>
      </c>
      <c r="E479" s="23" t="s">
        <v>1226</v>
      </c>
      <c r="F479" s="24" t="s">
        <v>71</v>
      </c>
      <c r="G479" s="25"/>
      <c r="H479" s="26"/>
      <c r="I479" s="27" t="str">
        <f>IFERROR(IF(OR($F479="O",$G479="O",$H479="O"),CHOOSE(MATCH($A479,{"튜브","고압","진공","튜닝","조립","출하"},0),"T","H","V","N","A","P")&amp;IF($F479="O","R",IF($G479="O","A",IF($H479="O","F",""))),""),"")</f>
        <v>AR</v>
      </c>
      <c r="J479" s="15"/>
      <c r="K479" s="16"/>
      <c r="L479" s="17"/>
      <c r="M479" s="18"/>
      <c r="N479" s="19" t="s">
        <v>71</v>
      </c>
      <c r="O479" s="20"/>
      <c r="P479" s="21" t="str">
        <f t="shared" si="7"/>
        <v>8-AR</v>
      </c>
      <c r="Q479" s="108" t="str">
        <f>HYPERLINK("#'마스터_품목'!A526","→ 마스터 R526")</f>
        <v>→ 마스터 R526</v>
      </c>
      <c r="R479" s="109">
        <v>526</v>
      </c>
      <c r="S479" s="109" t="s">
        <v>72</v>
      </c>
    </row>
    <row r="480" spans="1:19" ht="48" customHeight="1" x14ac:dyDescent="0.3">
      <c r="A480" s="22" t="s">
        <v>354</v>
      </c>
      <c r="B480" s="22" t="s">
        <v>1224</v>
      </c>
      <c r="C480" s="23" t="s">
        <v>182</v>
      </c>
      <c r="D480" s="23" t="s">
        <v>1227</v>
      </c>
      <c r="E480" s="23" t="s">
        <v>1228</v>
      </c>
      <c r="F480" s="24" t="s">
        <v>71</v>
      </c>
      <c r="G480" s="25"/>
      <c r="H480" s="26"/>
      <c r="I480" s="27" t="str">
        <f>IFERROR(IF(OR($F480="O",$G480="O",$H480="O"),CHOOSE(MATCH($A480,{"튜브","고압","진공","튜닝","조립","출하"},0),"T","H","V","N","A","P")&amp;IF($F480="O","R",IF($G480="O","A",IF($H480="O","F",""))),""),"")</f>
        <v>AR</v>
      </c>
      <c r="J480" s="15"/>
      <c r="K480" s="16"/>
      <c r="L480" s="17"/>
      <c r="M480" s="18"/>
      <c r="N480" s="19" t="s">
        <v>71</v>
      </c>
      <c r="O480" s="20"/>
      <c r="P480" s="21" t="str">
        <f t="shared" si="7"/>
        <v>8-AR</v>
      </c>
      <c r="Q480" s="108" t="str">
        <f>HYPERLINK("#'마스터_품목'!A527","→ 마스터 R527")</f>
        <v>→ 마스터 R527</v>
      </c>
      <c r="R480" s="109">
        <v>527</v>
      </c>
      <c r="S480" s="109" t="s">
        <v>72</v>
      </c>
    </row>
    <row r="481" spans="1:19" ht="48" customHeight="1" x14ac:dyDescent="0.3">
      <c r="A481" s="22" t="s">
        <v>354</v>
      </c>
      <c r="B481" s="22" t="s">
        <v>1224</v>
      </c>
      <c r="C481" s="23" t="s">
        <v>182</v>
      </c>
      <c r="D481" s="23" t="s">
        <v>1229</v>
      </c>
      <c r="E481" s="23" t="s">
        <v>1230</v>
      </c>
      <c r="F481" s="24" t="s">
        <v>71</v>
      </c>
      <c r="G481" s="25"/>
      <c r="H481" s="26"/>
      <c r="I481" s="27" t="str">
        <f>IFERROR(IF(OR($F481="O",$G481="O",$H481="O"),CHOOSE(MATCH($A481,{"튜브","고압","진공","튜닝","조립","출하"},0),"T","H","V","N","A","P")&amp;IF($F481="O","R",IF($G481="O","A",IF($H481="O","F",""))),""),"")</f>
        <v>AR</v>
      </c>
      <c r="J481" s="15"/>
      <c r="K481" s="16"/>
      <c r="L481" s="17"/>
      <c r="M481" s="18"/>
      <c r="N481" s="19" t="s">
        <v>71</v>
      </c>
      <c r="O481" s="20"/>
      <c r="P481" s="21" t="str">
        <f t="shared" si="7"/>
        <v>8-AR</v>
      </c>
      <c r="Q481" s="108" t="str">
        <f>HYPERLINK("#'마스터_품목'!A528","→ 마스터 R528")</f>
        <v>→ 마스터 R528</v>
      </c>
      <c r="R481" s="109">
        <v>528</v>
      </c>
      <c r="S481" s="109" t="s">
        <v>72</v>
      </c>
    </row>
    <row r="482" spans="1:19" ht="48" customHeight="1" x14ac:dyDescent="0.3">
      <c r="A482" s="22" t="s">
        <v>354</v>
      </c>
      <c r="B482" s="22" t="s">
        <v>1224</v>
      </c>
      <c r="C482" s="23" t="s">
        <v>182</v>
      </c>
      <c r="D482" s="23" t="s">
        <v>1231</v>
      </c>
      <c r="E482" s="23" t="s">
        <v>1232</v>
      </c>
      <c r="F482" s="24" t="s">
        <v>71</v>
      </c>
      <c r="G482" s="25"/>
      <c r="H482" s="26"/>
      <c r="I482" s="27" t="str">
        <f>IFERROR(IF(OR($F482="O",$G482="O",$H482="O"),CHOOSE(MATCH($A482,{"튜브","고압","진공","튜닝","조립","출하"},0),"T","H","V","N","A","P")&amp;IF($F482="O","R",IF($G482="O","A",IF($H482="O","F",""))),""),"")</f>
        <v>AR</v>
      </c>
      <c r="J482" s="15"/>
      <c r="K482" s="16"/>
      <c r="L482" s="17"/>
      <c r="M482" s="18"/>
      <c r="N482" s="19" t="s">
        <v>71</v>
      </c>
      <c r="O482" s="20"/>
      <c r="P482" s="21" t="str">
        <f t="shared" si="7"/>
        <v>8-AR</v>
      </c>
      <c r="Q482" s="108" t="str">
        <f>HYPERLINK("#'마스터_품목'!A529","→ 마스터 R529")</f>
        <v>→ 마스터 R529</v>
      </c>
      <c r="R482" s="109">
        <v>529</v>
      </c>
      <c r="S482" s="109" t="s">
        <v>72</v>
      </c>
    </row>
    <row r="483" spans="1:19" ht="48" customHeight="1" x14ac:dyDescent="0.3">
      <c r="A483" s="22" t="s">
        <v>354</v>
      </c>
      <c r="B483" s="22" t="s">
        <v>1224</v>
      </c>
      <c r="C483" s="23" t="s">
        <v>182</v>
      </c>
      <c r="D483" s="23" t="s">
        <v>1233</v>
      </c>
      <c r="E483" s="23" t="s">
        <v>1234</v>
      </c>
      <c r="F483" s="24" t="s">
        <v>71</v>
      </c>
      <c r="G483" s="25"/>
      <c r="H483" s="26"/>
      <c r="I483" s="27" t="str">
        <f>IFERROR(IF(OR($F483="O",$G483="O",$H483="O"),CHOOSE(MATCH($A483,{"튜브","고압","진공","튜닝","조립","출하"},0),"T","H","V","N","A","P")&amp;IF($F483="O","R",IF($G483="O","A",IF($H483="O","F",""))),""),"")</f>
        <v>AR</v>
      </c>
      <c r="J483" s="15"/>
      <c r="K483" s="16"/>
      <c r="L483" s="17"/>
      <c r="M483" s="18"/>
      <c r="N483" s="19" t="s">
        <v>71</v>
      </c>
      <c r="O483" s="20"/>
      <c r="P483" s="21" t="str">
        <f t="shared" si="7"/>
        <v>8-AR</v>
      </c>
      <c r="Q483" s="108" t="str">
        <f>HYPERLINK("#'마스터_품목'!A530","→ 마스터 R530")</f>
        <v>→ 마스터 R530</v>
      </c>
      <c r="R483" s="109">
        <v>530</v>
      </c>
      <c r="S483" s="109" t="s">
        <v>72</v>
      </c>
    </row>
    <row r="484" spans="1:19" ht="48" customHeight="1" x14ac:dyDescent="0.3">
      <c r="A484" s="22" t="s">
        <v>354</v>
      </c>
      <c r="B484" s="22" t="s">
        <v>1235</v>
      </c>
      <c r="C484" s="23" t="s">
        <v>182</v>
      </c>
      <c r="D484" s="23" t="s">
        <v>1236</v>
      </c>
      <c r="E484" s="23" t="s">
        <v>1237</v>
      </c>
      <c r="F484" s="24" t="s">
        <v>71</v>
      </c>
      <c r="G484" s="25"/>
      <c r="H484" s="26"/>
      <c r="I484" s="27" t="str">
        <f>IFERROR(IF(OR($F484="O",$G484="O",$H484="O"),CHOOSE(MATCH($A484,{"튜브","고압","진공","튜닝","조립","출하"},0),"T","H","V","N","A","P")&amp;IF($F484="O","R",IF($G484="O","A",IF($H484="O","F",""))),""),"")</f>
        <v>AR</v>
      </c>
      <c r="J484" s="15"/>
      <c r="K484" s="16"/>
      <c r="L484" s="17"/>
      <c r="M484" s="18"/>
      <c r="N484" s="19" t="s">
        <v>71</v>
      </c>
      <c r="O484" s="20"/>
      <c r="P484" s="21" t="str">
        <f t="shared" si="7"/>
        <v>8-AR</v>
      </c>
      <c r="Q484" s="108" t="str">
        <f>HYPERLINK("#'마스터_품목'!A531","→ 마스터 R531")</f>
        <v>→ 마스터 R531</v>
      </c>
      <c r="R484" s="109">
        <v>531</v>
      </c>
      <c r="S484" s="109" t="s">
        <v>72</v>
      </c>
    </row>
    <row r="485" spans="1:19" ht="48" customHeight="1" x14ac:dyDescent="0.3">
      <c r="A485" s="22" t="s">
        <v>354</v>
      </c>
      <c r="B485" s="22" t="s">
        <v>1238</v>
      </c>
      <c r="C485" s="23" t="s">
        <v>182</v>
      </c>
      <c r="D485" s="23" t="s">
        <v>1239</v>
      </c>
      <c r="E485" s="23"/>
      <c r="F485" s="24" t="s">
        <v>71</v>
      </c>
      <c r="G485" s="25"/>
      <c r="H485" s="26"/>
      <c r="I485" s="27" t="str">
        <f>IFERROR(IF(OR($F485="O",$G485="O",$H485="O"),CHOOSE(MATCH($A485,{"튜브","고압","진공","튜닝","조립","출하"},0),"T","H","V","N","A","P")&amp;IF($F485="O","R",IF($G485="O","A",IF($H485="O","F",""))),""),"")</f>
        <v>AR</v>
      </c>
      <c r="J485" s="15"/>
      <c r="K485" s="16"/>
      <c r="L485" s="17"/>
      <c r="M485" s="18"/>
      <c r="N485" s="19" t="s">
        <v>71</v>
      </c>
      <c r="O485" s="20"/>
      <c r="P485" s="21" t="str">
        <f t="shared" si="7"/>
        <v>8-AR</v>
      </c>
      <c r="Q485" s="108" t="str">
        <f>HYPERLINK("#'마스터_품목'!A532","→ 마스터 R532")</f>
        <v>→ 마스터 R532</v>
      </c>
      <c r="R485" s="109">
        <v>532</v>
      </c>
      <c r="S485" s="109" t="s">
        <v>72</v>
      </c>
    </row>
    <row r="486" spans="1:19" ht="48" customHeight="1" x14ac:dyDescent="0.3">
      <c r="A486" s="22" t="s">
        <v>354</v>
      </c>
      <c r="B486" s="22" t="s">
        <v>1031</v>
      </c>
      <c r="C486" s="23" t="s">
        <v>182</v>
      </c>
      <c r="D486" s="23" t="s">
        <v>1240</v>
      </c>
      <c r="E486" s="23" t="s">
        <v>1241</v>
      </c>
      <c r="F486" s="24" t="s">
        <v>71</v>
      </c>
      <c r="G486" s="25"/>
      <c r="H486" s="26"/>
      <c r="I486" s="27" t="str">
        <f>IFERROR(IF(OR($F486="O",$G486="O",$H486="O"),CHOOSE(MATCH($A486,{"튜브","고압","진공","튜닝","조립","출하"},0),"T","H","V","N","A","P")&amp;IF($F486="O","R",IF($G486="O","A",IF($H486="O","F",""))),""),"")</f>
        <v>AR</v>
      </c>
      <c r="J486" s="15"/>
      <c r="K486" s="16"/>
      <c r="L486" s="17"/>
      <c r="M486" s="18"/>
      <c r="N486" s="19" t="s">
        <v>71</v>
      </c>
      <c r="O486" s="20"/>
      <c r="P486" s="21" t="str">
        <f t="shared" si="7"/>
        <v>8-AR</v>
      </c>
      <c r="Q486" s="108" t="str">
        <f>HYPERLINK("#'마스터_품목'!A533","→ 마스터 R533")</f>
        <v>→ 마스터 R533</v>
      </c>
      <c r="R486" s="109">
        <v>533</v>
      </c>
      <c r="S486" s="109" t="s">
        <v>72</v>
      </c>
    </row>
    <row r="487" spans="1:19" ht="48" customHeight="1" x14ac:dyDescent="0.3">
      <c r="A487" s="22" t="s">
        <v>354</v>
      </c>
      <c r="B487" s="22" t="s">
        <v>1242</v>
      </c>
      <c r="C487" s="23" t="s">
        <v>182</v>
      </c>
      <c r="D487" s="23" t="s">
        <v>1243</v>
      </c>
      <c r="E487" s="23" t="s">
        <v>1244</v>
      </c>
      <c r="F487" s="24" t="s">
        <v>71</v>
      </c>
      <c r="G487" s="25"/>
      <c r="H487" s="26"/>
      <c r="I487" s="27" t="str">
        <f>IFERROR(IF(OR($F487="O",$G487="O",$H487="O"),CHOOSE(MATCH($A487,{"튜브","고압","진공","튜닝","조립","출하"},0),"T","H","V","N","A","P")&amp;IF($F487="O","R",IF($G487="O","A",IF($H487="O","F",""))),""),"")</f>
        <v>AR</v>
      </c>
      <c r="J487" s="15"/>
      <c r="K487" s="16"/>
      <c r="L487" s="17"/>
      <c r="M487" s="18"/>
      <c r="N487" s="19" t="s">
        <v>71</v>
      </c>
      <c r="O487" s="20"/>
      <c r="P487" s="21" t="str">
        <f t="shared" si="7"/>
        <v>8-AR</v>
      </c>
      <c r="Q487" s="108" t="str">
        <f>HYPERLINK("#'마스터_품목'!A534","→ 마스터 R534")</f>
        <v>→ 마스터 R534</v>
      </c>
      <c r="R487" s="109">
        <v>534</v>
      </c>
      <c r="S487" s="109" t="s">
        <v>72</v>
      </c>
    </row>
    <row r="488" spans="1:19" ht="48" customHeight="1" x14ac:dyDescent="0.3">
      <c r="A488" s="22" t="s">
        <v>354</v>
      </c>
      <c r="B488" s="22" t="s">
        <v>1245</v>
      </c>
      <c r="C488" s="23" t="s">
        <v>182</v>
      </c>
      <c r="D488" s="23" t="s">
        <v>1246</v>
      </c>
      <c r="E488" s="23"/>
      <c r="F488" s="24" t="s">
        <v>71</v>
      </c>
      <c r="G488" s="25"/>
      <c r="H488" s="26"/>
      <c r="I488" s="27" t="str">
        <f>IFERROR(IF(OR($F488="O",$G488="O",$H488="O"),CHOOSE(MATCH($A488,{"튜브","고압","진공","튜닝","조립","출하"},0),"T","H","V","N","A","P")&amp;IF($F488="O","R",IF($G488="O","A",IF($H488="O","F",""))),""),"")</f>
        <v>AR</v>
      </c>
      <c r="J488" s="15"/>
      <c r="K488" s="16"/>
      <c r="L488" s="17"/>
      <c r="M488" s="18"/>
      <c r="N488" s="19" t="s">
        <v>71</v>
      </c>
      <c r="O488" s="20"/>
      <c r="P488" s="21" t="str">
        <f t="shared" si="7"/>
        <v>8-AR</v>
      </c>
      <c r="Q488" s="108" t="str">
        <f>HYPERLINK("#'마스터_품목'!A535","→ 마스터 R535")</f>
        <v>→ 마스터 R535</v>
      </c>
      <c r="R488" s="109">
        <v>535</v>
      </c>
      <c r="S488" s="109" t="s">
        <v>72</v>
      </c>
    </row>
    <row r="489" spans="1:19" ht="48" customHeight="1" x14ac:dyDescent="0.3">
      <c r="A489" s="22" t="s">
        <v>354</v>
      </c>
      <c r="B489" s="22" t="s">
        <v>1247</v>
      </c>
      <c r="C489" s="23" t="s">
        <v>182</v>
      </c>
      <c r="D489" s="23" t="s">
        <v>952</v>
      </c>
      <c r="E489" s="23"/>
      <c r="F489" s="24" t="s">
        <v>71</v>
      </c>
      <c r="G489" s="25"/>
      <c r="H489" s="26"/>
      <c r="I489" s="27" t="str">
        <f>IFERROR(IF(OR($F489="O",$G489="O",$H489="O"),CHOOSE(MATCH($A489,{"튜브","고압","진공","튜닝","조립","출하"},0),"T","H","V","N","A","P")&amp;IF($F489="O","R",IF($G489="O","A",IF($H489="O","F",""))),""),"")</f>
        <v>AR</v>
      </c>
      <c r="J489" s="15"/>
      <c r="K489" s="16"/>
      <c r="L489" s="17"/>
      <c r="M489" s="18"/>
      <c r="N489" s="19" t="s">
        <v>71</v>
      </c>
      <c r="O489" s="20"/>
      <c r="P489" s="21" t="str">
        <f t="shared" si="7"/>
        <v>8-AR</v>
      </c>
      <c r="Q489" s="108" t="str">
        <f>HYPERLINK("#'마스터_품목'!A536","→ 마스터 R536")</f>
        <v>→ 마스터 R536</v>
      </c>
      <c r="R489" s="109">
        <v>536</v>
      </c>
      <c r="S489" s="109" t="s">
        <v>72</v>
      </c>
    </row>
    <row r="490" spans="1:19" ht="48" customHeight="1" x14ac:dyDescent="0.3">
      <c r="A490" s="22" t="s">
        <v>354</v>
      </c>
      <c r="B490" s="22" t="s">
        <v>1235</v>
      </c>
      <c r="C490" s="23" t="s">
        <v>182</v>
      </c>
      <c r="D490" s="23" t="s">
        <v>1248</v>
      </c>
      <c r="E490" s="23"/>
      <c r="F490" s="24" t="s">
        <v>71</v>
      </c>
      <c r="G490" s="25"/>
      <c r="H490" s="26"/>
      <c r="I490" s="27" t="str">
        <f>IFERROR(IF(OR($F490="O",$G490="O",$H490="O"),CHOOSE(MATCH($A490,{"튜브","고압","진공","튜닝","조립","출하"},0),"T","H","V","N","A","P")&amp;IF($F490="O","R",IF($G490="O","A",IF($H490="O","F",""))),""),"")</f>
        <v>AR</v>
      </c>
      <c r="J490" s="15"/>
      <c r="K490" s="16"/>
      <c r="L490" s="17"/>
      <c r="M490" s="18"/>
      <c r="N490" s="19" t="s">
        <v>71</v>
      </c>
      <c r="O490" s="20"/>
      <c r="P490" s="21" t="str">
        <f t="shared" si="7"/>
        <v>8-AR</v>
      </c>
      <c r="Q490" s="108" t="str">
        <f>HYPERLINK("#'마스터_품목'!A537","→ 마스터 R537")</f>
        <v>→ 마스터 R537</v>
      </c>
      <c r="R490" s="109">
        <v>537</v>
      </c>
      <c r="S490" s="109" t="s">
        <v>72</v>
      </c>
    </row>
    <row r="491" spans="1:19" ht="48" customHeight="1" x14ac:dyDescent="0.3">
      <c r="A491" s="22" t="s">
        <v>354</v>
      </c>
      <c r="B491" s="22" t="s">
        <v>824</v>
      </c>
      <c r="C491" s="23" t="s">
        <v>182</v>
      </c>
      <c r="D491" s="23" t="s">
        <v>1249</v>
      </c>
      <c r="E491" s="23"/>
      <c r="F491" s="24" t="s">
        <v>71</v>
      </c>
      <c r="G491" s="25"/>
      <c r="H491" s="26"/>
      <c r="I491" s="27" t="str">
        <f>IFERROR(IF(OR($F491="O",$G491="O",$H491="O"),CHOOSE(MATCH($A491,{"튜브","고압","진공","튜닝","조립","출하"},0),"T","H","V","N","A","P")&amp;IF($F491="O","R",IF($G491="O","A",IF($H491="O","F",""))),""),"")</f>
        <v>AR</v>
      </c>
      <c r="J491" s="15"/>
      <c r="K491" s="16"/>
      <c r="L491" s="17"/>
      <c r="M491" s="18"/>
      <c r="N491" s="19" t="s">
        <v>71</v>
      </c>
      <c r="O491" s="20"/>
      <c r="P491" s="21" t="str">
        <f t="shared" si="7"/>
        <v>8-AR</v>
      </c>
      <c r="Q491" s="108" t="str">
        <f>HYPERLINK("#'마스터_품목'!A538","→ 마스터 R538")</f>
        <v>→ 마스터 R538</v>
      </c>
      <c r="R491" s="109">
        <v>538</v>
      </c>
      <c r="S491" s="109" t="s">
        <v>72</v>
      </c>
    </row>
    <row r="492" spans="1:19" ht="48" customHeight="1" x14ac:dyDescent="0.3">
      <c r="A492" s="22" t="s">
        <v>354</v>
      </c>
      <c r="B492" s="22" t="s">
        <v>1250</v>
      </c>
      <c r="C492" s="23" t="s">
        <v>182</v>
      </c>
      <c r="D492" s="23" t="s">
        <v>1251</v>
      </c>
      <c r="E492" s="23"/>
      <c r="F492" s="24" t="s">
        <v>71</v>
      </c>
      <c r="G492" s="25"/>
      <c r="H492" s="26"/>
      <c r="I492" s="27" t="str">
        <f>IFERROR(IF(OR($F492="O",$G492="O",$H492="O"),CHOOSE(MATCH($A492,{"튜브","고압","진공","튜닝","조립","출하"},0),"T","H","V","N","A","P")&amp;IF($F492="O","R",IF($G492="O","A",IF($H492="O","F",""))),""),"")</f>
        <v>AR</v>
      </c>
      <c r="J492" s="15"/>
      <c r="K492" s="16"/>
      <c r="L492" s="17"/>
      <c r="M492" s="18"/>
      <c r="N492" s="19" t="s">
        <v>71</v>
      </c>
      <c r="O492" s="20"/>
      <c r="P492" s="21" t="str">
        <f t="shared" si="7"/>
        <v>8-AR</v>
      </c>
      <c r="Q492" s="108" t="str">
        <f>HYPERLINK("#'마스터_품목'!A539","→ 마스터 R539")</f>
        <v>→ 마스터 R539</v>
      </c>
      <c r="R492" s="109">
        <v>539</v>
      </c>
      <c r="S492" s="109" t="s">
        <v>72</v>
      </c>
    </row>
    <row r="493" spans="1:19" ht="48" customHeight="1" x14ac:dyDescent="0.3">
      <c r="A493" s="22" t="s">
        <v>354</v>
      </c>
      <c r="B493" s="22" t="s">
        <v>1250</v>
      </c>
      <c r="C493" s="23" t="s">
        <v>182</v>
      </c>
      <c r="D493" s="23" t="s">
        <v>1252</v>
      </c>
      <c r="E493" s="23" t="s">
        <v>1253</v>
      </c>
      <c r="F493" s="24" t="s">
        <v>71</v>
      </c>
      <c r="G493" s="25"/>
      <c r="H493" s="26"/>
      <c r="I493" s="27" t="str">
        <f>IFERROR(IF(OR($F493="O",$G493="O",$H493="O"),CHOOSE(MATCH($A493,{"튜브","고압","진공","튜닝","조립","출하"},0),"T","H","V","N","A","P")&amp;IF($F493="O","R",IF($G493="O","A",IF($H493="O","F",""))),""),"")</f>
        <v>AR</v>
      </c>
      <c r="J493" s="15"/>
      <c r="K493" s="16"/>
      <c r="L493" s="17"/>
      <c r="M493" s="18"/>
      <c r="N493" s="19" t="s">
        <v>71</v>
      </c>
      <c r="O493" s="20"/>
      <c r="P493" s="21" t="str">
        <f t="shared" si="7"/>
        <v>8-AR</v>
      </c>
      <c r="Q493" s="108" t="str">
        <f>HYPERLINK("#'마스터_품목'!A540","→ 마스터 R540")</f>
        <v>→ 마스터 R540</v>
      </c>
      <c r="R493" s="109">
        <v>540</v>
      </c>
      <c r="S493" s="109" t="s">
        <v>72</v>
      </c>
    </row>
    <row r="494" spans="1:19" ht="48" customHeight="1" x14ac:dyDescent="0.3">
      <c r="A494" s="22" t="s">
        <v>354</v>
      </c>
      <c r="B494" s="22" t="s">
        <v>1250</v>
      </c>
      <c r="C494" s="23" t="s">
        <v>182</v>
      </c>
      <c r="D494" s="23" t="s">
        <v>1254</v>
      </c>
      <c r="E494" s="23" t="s">
        <v>1255</v>
      </c>
      <c r="F494" s="24" t="s">
        <v>71</v>
      </c>
      <c r="G494" s="25"/>
      <c r="H494" s="26"/>
      <c r="I494" s="27" t="str">
        <f>IFERROR(IF(OR($F494="O",$G494="O",$H494="O"),CHOOSE(MATCH($A494,{"튜브","고압","진공","튜닝","조립","출하"},0),"T","H","V","N","A","P")&amp;IF($F494="O","R",IF($G494="O","A",IF($H494="O","F",""))),""),"")</f>
        <v>AR</v>
      </c>
      <c r="J494" s="15"/>
      <c r="K494" s="16"/>
      <c r="L494" s="17"/>
      <c r="M494" s="18"/>
      <c r="N494" s="19" t="s">
        <v>71</v>
      </c>
      <c r="O494" s="20"/>
      <c r="P494" s="21" t="str">
        <f t="shared" si="7"/>
        <v>8-AR</v>
      </c>
      <c r="Q494" s="108" t="str">
        <f>HYPERLINK("#'마스터_품목'!A541","→ 마스터 R541")</f>
        <v>→ 마스터 R541</v>
      </c>
      <c r="R494" s="109">
        <v>541</v>
      </c>
      <c r="S494" s="109" t="s">
        <v>72</v>
      </c>
    </row>
    <row r="495" spans="1:19" ht="48" customHeight="1" x14ac:dyDescent="0.3">
      <c r="A495" s="22" t="s">
        <v>354</v>
      </c>
      <c r="B495" s="22" t="s">
        <v>1250</v>
      </c>
      <c r="C495" s="23" t="s">
        <v>182</v>
      </c>
      <c r="D495" s="23" t="s">
        <v>1256</v>
      </c>
      <c r="E495" s="23" t="s">
        <v>1257</v>
      </c>
      <c r="F495" s="24" t="s">
        <v>71</v>
      </c>
      <c r="G495" s="25"/>
      <c r="H495" s="26"/>
      <c r="I495" s="27" t="str">
        <f>IFERROR(IF(OR($F495="O",$G495="O",$H495="O"),CHOOSE(MATCH($A495,{"튜브","고압","진공","튜닝","조립","출하"},0),"T","H","V","N","A","P")&amp;IF($F495="O","R",IF($G495="O","A",IF($H495="O","F",""))),""),"")</f>
        <v>AR</v>
      </c>
      <c r="J495" s="15"/>
      <c r="K495" s="16"/>
      <c r="L495" s="17"/>
      <c r="M495" s="18"/>
      <c r="N495" s="19" t="s">
        <v>71</v>
      </c>
      <c r="O495" s="20"/>
      <c r="P495" s="21" t="str">
        <f t="shared" si="7"/>
        <v>8-AR</v>
      </c>
      <c r="Q495" s="108" t="str">
        <f>HYPERLINK("#'마스터_품목'!A542","→ 마스터 R542")</f>
        <v>→ 마스터 R542</v>
      </c>
      <c r="R495" s="109">
        <v>542</v>
      </c>
      <c r="S495" s="109" t="s">
        <v>72</v>
      </c>
    </row>
    <row r="496" spans="1:19" ht="48" customHeight="1" x14ac:dyDescent="0.3">
      <c r="A496" s="22" t="s">
        <v>354</v>
      </c>
      <c r="B496" s="22" t="s">
        <v>1250</v>
      </c>
      <c r="C496" s="23" t="s">
        <v>182</v>
      </c>
      <c r="D496" s="23" t="s">
        <v>1258</v>
      </c>
      <c r="E496" s="23" t="s">
        <v>1259</v>
      </c>
      <c r="F496" s="24" t="s">
        <v>71</v>
      </c>
      <c r="G496" s="25"/>
      <c r="H496" s="26"/>
      <c r="I496" s="27" t="str">
        <f>IFERROR(IF(OR($F496="O",$G496="O",$H496="O"),CHOOSE(MATCH($A496,{"튜브","고압","진공","튜닝","조립","출하"},0),"T","H","V","N","A","P")&amp;IF($F496="O","R",IF($G496="O","A",IF($H496="O","F",""))),""),"")</f>
        <v>AR</v>
      </c>
      <c r="J496" s="15"/>
      <c r="K496" s="16"/>
      <c r="L496" s="17"/>
      <c r="M496" s="18"/>
      <c r="N496" s="19" t="s">
        <v>71</v>
      </c>
      <c r="O496" s="20"/>
      <c r="P496" s="21" t="str">
        <f t="shared" si="7"/>
        <v>8-AR</v>
      </c>
      <c r="Q496" s="108" t="str">
        <f>HYPERLINK("#'마스터_품목'!A543","→ 마스터 R543")</f>
        <v>→ 마스터 R543</v>
      </c>
      <c r="R496" s="109">
        <v>543</v>
      </c>
      <c r="S496" s="109" t="s">
        <v>72</v>
      </c>
    </row>
    <row r="497" spans="1:19" ht="48" customHeight="1" x14ac:dyDescent="0.3">
      <c r="A497" s="22" t="s">
        <v>354</v>
      </c>
      <c r="B497" s="22" t="s">
        <v>1250</v>
      </c>
      <c r="C497" s="23" t="s">
        <v>182</v>
      </c>
      <c r="D497" s="23" t="s">
        <v>1260</v>
      </c>
      <c r="E497" s="23" t="s">
        <v>1261</v>
      </c>
      <c r="F497" s="24" t="s">
        <v>71</v>
      </c>
      <c r="G497" s="25"/>
      <c r="H497" s="26"/>
      <c r="I497" s="27" t="str">
        <f>IFERROR(IF(OR($F497="O",$G497="O",$H497="O"),CHOOSE(MATCH($A497,{"튜브","고압","진공","튜닝","조립","출하"},0),"T","H","V","N","A","P")&amp;IF($F497="O","R",IF($G497="O","A",IF($H497="O","F",""))),""),"")</f>
        <v>AR</v>
      </c>
      <c r="J497" s="15"/>
      <c r="K497" s="16"/>
      <c r="L497" s="17"/>
      <c r="M497" s="18"/>
      <c r="N497" s="19" t="s">
        <v>71</v>
      </c>
      <c r="O497" s="20"/>
      <c r="P497" s="21" t="str">
        <f t="shared" si="7"/>
        <v>8-AR</v>
      </c>
      <c r="Q497" s="108" t="str">
        <f>HYPERLINK("#'마스터_품목'!A544","→ 마스터 R544")</f>
        <v>→ 마스터 R544</v>
      </c>
      <c r="R497" s="109">
        <v>544</v>
      </c>
      <c r="S497" s="109" t="s">
        <v>72</v>
      </c>
    </row>
    <row r="498" spans="1:19" ht="48" customHeight="1" x14ac:dyDescent="0.3">
      <c r="A498" s="22" t="s">
        <v>354</v>
      </c>
      <c r="B498" s="22" t="s">
        <v>1250</v>
      </c>
      <c r="C498" s="23" t="s">
        <v>182</v>
      </c>
      <c r="D498" s="23" t="s">
        <v>1262</v>
      </c>
      <c r="E498" s="23" t="s">
        <v>1263</v>
      </c>
      <c r="F498" s="24" t="s">
        <v>71</v>
      </c>
      <c r="G498" s="25"/>
      <c r="H498" s="26"/>
      <c r="I498" s="27" t="str">
        <f>IFERROR(IF(OR($F498="O",$G498="O",$H498="O"),CHOOSE(MATCH($A498,{"튜브","고압","진공","튜닝","조립","출하"},0),"T","H","V","N","A","P")&amp;IF($F498="O","R",IF($G498="O","A",IF($H498="O","F",""))),""),"")</f>
        <v>AR</v>
      </c>
      <c r="J498" s="15"/>
      <c r="K498" s="16"/>
      <c r="L498" s="17"/>
      <c r="M498" s="18"/>
      <c r="N498" s="19" t="s">
        <v>71</v>
      </c>
      <c r="O498" s="20"/>
      <c r="P498" s="21" t="str">
        <f t="shared" si="7"/>
        <v>8-AR</v>
      </c>
      <c r="Q498" s="108" t="str">
        <f>HYPERLINK("#'마스터_품목'!A545","→ 마스터 R545")</f>
        <v>→ 마스터 R545</v>
      </c>
      <c r="R498" s="109">
        <v>545</v>
      </c>
      <c r="S498" s="109" t="s">
        <v>72</v>
      </c>
    </row>
    <row r="499" spans="1:19" ht="48" customHeight="1" x14ac:dyDescent="0.3">
      <c r="A499" s="22" t="s">
        <v>354</v>
      </c>
      <c r="B499" s="22" t="s">
        <v>1250</v>
      </c>
      <c r="C499" s="23" t="s">
        <v>182</v>
      </c>
      <c r="D499" s="23" t="s">
        <v>1264</v>
      </c>
      <c r="E499" s="23" t="s">
        <v>1265</v>
      </c>
      <c r="F499" s="24" t="s">
        <v>71</v>
      </c>
      <c r="G499" s="25"/>
      <c r="H499" s="26"/>
      <c r="I499" s="27" t="str">
        <f>IFERROR(IF(OR($F499="O",$G499="O",$H499="O"),CHOOSE(MATCH($A499,{"튜브","고압","진공","튜닝","조립","출하"},0),"T","H","V","N","A","P")&amp;IF($F499="O","R",IF($G499="O","A",IF($H499="O","F",""))),""),"")</f>
        <v>AR</v>
      </c>
      <c r="J499" s="15"/>
      <c r="K499" s="16"/>
      <c r="L499" s="17"/>
      <c r="M499" s="18"/>
      <c r="N499" s="19" t="s">
        <v>71</v>
      </c>
      <c r="O499" s="20"/>
      <c r="P499" s="21" t="str">
        <f t="shared" si="7"/>
        <v>8-AR</v>
      </c>
      <c r="Q499" s="108" t="str">
        <f>HYPERLINK("#'마스터_품목'!A546","→ 마스터 R546")</f>
        <v>→ 마스터 R546</v>
      </c>
      <c r="R499" s="109">
        <v>546</v>
      </c>
      <c r="S499" s="109" t="s">
        <v>72</v>
      </c>
    </row>
    <row r="500" spans="1:19" ht="48" customHeight="1" x14ac:dyDescent="0.3">
      <c r="A500" s="22" t="s">
        <v>354</v>
      </c>
      <c r="B500" s="22" t="s">
        <v>415</v>
      </c>
      <c r="C500" s="23" t="s">
        <v>182</v>
      </c>
      <c r="D500" s="23" t="s">
        <v>1266</v>
      </c>
      <c r="E500" s="23" t="s">
        <v>1267</v>
      </c>
      <c r="F500" s="24" t="s">
        <v>71</v>
      </c>
      <c r="G500" s="25"/>
      <c r="H500" s="26"/>
      <c r="I500" s="27" t="str">
        <f>IFERROR(IF(OR($F500="O",$G500="O",$H500="O"),CHOOSE(MATCH($A500,{"튜브","고압","진공","튜닝","조립","출하"},0),"T","H","V","N","A","P")&amp;IF($F500="O","R",IF($G500="O","A",IF($H500="O","F",""))),""),"")</f>
        <v>AR</v>
      </c>
      <c r="J500" s="15"/>
      <c r="K500" s="16"/>
      <c r="L500" s="17"/>
      <c r="M500" s="18"/>
      <c r="N500" s="19" t="s">
        <v>71</v>
      </c>
      <c r="O500" s="20"/>
      <c r="P500" s="21" t="str">
        <f t="shared" si="7"/>
        <v>8-AR</v>
      </c>
      <c r="Q500" s="108" t="str">
        <f>HYPERLINK("#'마스터_품목'!A547","→ 마스터 R547")</f>
        <v>→ 마스터 R547</v>
      </c>
      <c r="R500" s="109">
        <v>547</v>
      </c>
      <c r="S500" s="109" t="s">
        <v>72</v>
      </c>
    </row>
    <row r="501" spans="1:19" ht="48" customHeight="1" x14ac:dyDescent="0.3">
      <c r="A501" s="22" t="s">
        <v>354</v>
      </c>
      <c r="B501" s="22" t="s">
        <v>415</v>
      </c>
      <c r="C501" s="23" t="s">
        <v>182</v>
      </c>
      <c r="D501" s="23" t="s">
        <v>1268</v>
      </c>
      <c r="E501" s="23" t="s">
        <v>1269</v>
      </c>
      <c r="F501" s="24" t="s">
        <v>71</v>
      </c>
      <c r="G501" s="25"/>
      <c r="H501" s="26"/>
      <c r="I501" s="27" t="str">
        <f>IFERROR(IF(OR($F501="O",$G501="O",$H501="O"),CHOOSE(MATCH($A501,{"튜브","고압","진공","튜닝","조립","출하"},0),"T","H","V","N","A","P")&amp;IF($F501="O","R",IF($G501="O","A",IF($H501="O","F",""))),""),"")</f>
        <v>AR</v>
      </c>
      <c r="J501" s="15"/>
      <c r="K501" s="16"/>
      <c r="L501" s="17"/>
      <c r="M501" s="18"/>
      <c r="N501" s="19" t="s">
        <v>71</v>
      </c>
      <c r="O501" s="20"/>
      <c r="P501" s="21" t="str">
        <f t="shared" si="7"/>
        <v>8-AR</v>
      </c>
      <c r="Q501" s="108" t="str">
        <f>HYPERLINK("#'마스터_품목'!A548","→ 마스터 R548")</f>
        <v>→ 마스터 R548</v>
      </c>
      <c r="R501" s="109">
        <v>548</v>
      </c>
      <c r="S501" s="109" t="s">
        <v>72</v>
      </c>
    </row>
    <row r="502" spans="1:19" ht="48" customHeight="1" x14ac:dyDescent="0.3">
      <c r="A502" s="22" t="s">
        <v>354</v>
      </c>
      <c r="B502" s="22" t="s">
        <v>415</v>
      </c>
      <c r="C502" s="23" t="s">
        <v>182</v>
      </c>
      <c r="D502" s="23" t="s">
        <v>1270</v>
      </c>
      <c r="E502" s="23" t="s">
        <v>1271</v>
      </c>
      <c r="F502" s="24" t="s">
        <v>71</v>
      </c>
      <c r="G502" s="25"/>
      <c r="H502" s="26"/>
      <c r="I502" s="27" t="str">
        <f>IFERROR(IF(OR($F502="O",$G502="O",$H502="O"),CHOOSE(MATCH($A502,{"튜브","고압","진공","튜닝","조립","출하"},0),"T","H","V","N","A","P")&amp;IF($F502="O","R",IF($G502="O","A",IF($H502="O","F",""))),""),"")</f>
        <v>AR</v>
      </c>
      <c r="J502" s="15"/>
      <c r="K502" s="16"/>
      <c r="L502" s="17"/>
      <c r="M502" s="18"/>
      <c r="N502" s="19" t="s">
        <v>71</v>
      </c>
      <c r="O502" s="20"/>
      <c r="P502" s="21" t="str">
        <f t="shared" si="7"/>
        <v>8-AR</v>
      </c>
      <c r="Q502" s="108" t="str">
        <f>HYPERLINK("#'마스터_품목'!A549","→ 마스터 R549")</f>
        <v>→ 마스터 R549</v>
      </c>
      <c r="R502" s="109">
        <v>549</v>
      </c>
      <c r="S502" s="109" t="s">
        <v>72</v>
      </c>
    </row>
    <row r="503" spans="1:19" ht="48" customHeight="1" x14ac:dyDescent="0.3">
      <c r="A503" s="22" t="s">
        <v>354</v>
      </c>
      <c r="B503" s="22" t="s">
        <v>415</v>
      </c>
      <c r="C503" s="23" t="s">
        <v>182</v>
      </c>
      <c r="D503" s="23" t="s">
        <v>1272</v>
      </c>
      <c r="E503" s="23" t="s">
        <v>1273</v>
      </c>
      <c r="F503" s="24" t="s">
        <v>71</v>
      </c>
      <c r="G503" s="25"/>
      <c r="H503" s="26"/>
      <c r="I503" s="27" t="str">
        <f>IFERROR(IF(OR($F503="O",$G503="O",$H503="O"),CHOOSE(MATCH($A503,{"튜브","고압","진공","튜닝","조립","출하"},0),"T","H","V","N","A","P")&amp;IF($F503="O","R",IF($G503="O","A",IF($H503="O","F",""))),""),"")</f>
        <v>AR</v>
      </c>
      <c r="J503" s="15"/>
      <c r="K503" s="16"/>
      <c r="L503" s="17"/>
      <c r="M503" s="18"/>
      <c r="N503" s="19" t="s">
        <v>71</v>
      </c>
      <c r="O503" s="20"/>
      <c r="P503" s="21" t="str">
        <f t="shared" si="7"/>
        <v>8-AR</v>
      </c>
      <c r="Q503" s="108" t="str">
        <f>HYPERLINK("#'마스터_품목'!A550","→ 마스터 R550")</f>
        <v>→ 마스터 R550</v>
      </c>
      <c r="R503" s="109">
        <v>550</v>
      </c>
      <c r="S503" s="109" t="s">
        <v>72</v>
      </c>
    </row>
    <row r="504" spans="1:19" ht="48" customHeight="1" x14ac:dyDescent="0.3">
      <c r="A504" s="22" t="s">
        <v>354</v>
      </c>
      <c r="B504" s="22" t="s">
        <v>415</v>
      </c>
      <c r="C504" s="23" t="s">
        <v>182</v>
      </c>
      <c r="D504" s="23" t="s">
        <v>1274</v>
      </c>
      <c r="E504" s="23"/>
      <c r="F504" s="24" t="s">
        <v>71</v>
      </c>
      <c r="G504" s="25"/>
      <c r="H504" s="26"/>
      <c r="I504" s="27" t="str">
        <f>IFERROR(IF(OR($F504="O",$G504="O",$H504="O"),CHOOSE(MATCH($A504,{"튜브","고압","진공","튜닝","조립","출하"},0),"T","H","V","N","A","P")&amp;IF($F504="O","R",IF($G504="O","A",IF($H504="O","F",""))),""),"")</f>
        <v>AR</v>
      </c>
      <c r="J504" s="15"/>
      <c r="K504" s="16"/>
      <c r="L504" s="17"/>
      <c r="M504" s="18"/>
      <c r="N504" s="19" t="s">
        <v>71</v>
      </c>
      <c r="O504" s="20"/>
      <c r="P504" s="21" t="str">
        <f t="shared" si="7"/>
        <v>8-AR</v>
      </c>
      <c r="Q504" s="108" t="str">
        <f>HYPERLINK("#'마스터_품목'!A551","→ 마스터 R551")</f>
        <v>→ 마스터 R551</v>
      </c>
      <c r="R504" s="109">
        <v>551</v>
      </c>
      <c r="S504" s="109" t="s">
        <v>72</v>
      </c>
    </row>
    <row r="505" spans="1:19" ht="48" customHeight="1" x14ac:dyDescent="0.3">
      <c r="A505" s="22" t="s">
        <v>354</v>
      </c>
      <c r="B505" s="22" t="s">
        <v>1275</v>
      </c>
      <c r="C505" s="23" t="s">
        <v>182</v>
      </c>
      <c r="D505" s="23" t="s">
        <v>1276</v>
      </c>
      <c r="E505" s="23"/>
      <c r="F505" s="24"/>
      <c r="G505" s="25" t="s">
        <v>71</v>
      </c>
      <c r="H505" s="26"/>
      <c r="I505" s="27" t="str">
        <f>IFERROR(IF(OR($F505="O",$G505="O",$H505="O"),CHOOSE(MATCH($A505,{"튜브","고압","진공","튜닝","조립","출하"},0),"T","H","V","N","A","P")&amp;IF($F505="O","R",IF($G505="O","A",IF($H505="O","F",""))),""),"")</f>
        <v>AA</v>
      </c>
      <c r="J505" s="15"/>
      <c r="K505" s="16"/>
      <c r="L505" s="17"/>
      <c r="M505" s="18"/>
      <c r="N505" s="19" t="s">
        <v>71</v>
      </c>
      <c r="O505" s="20"/>
      <c r="P505" s="21" t="str">
        <f t="shared" si="7"/>
        <v>8-AA</v>
      </c>
      <c r="Q505" s="108" t="str">
        <f>HYPERLINK("#'마스터_품목'!A552","→ 마스터 R552")</f>
        <v>→ 마스터 R552</v>
      </c>
      <c r="R505" s="109">
        <v>552</v>
      </c>
      <c r="S505" s="109" t="s">
        <v>72</v>
      </c>
    </row>
    <row r="506" spans="1:19" ht="48" customHeight="1" x14ac:dyDescent="0.3">
      <c r="A506" s="22" t="s">
        <v>354</v>
      </c>
      <c r="B506" s="22" t="s">
        <v>1275</v>
      </c>
      <c r="C506" s="23" t="s">
        <v>182</v>
      </c>
      <c r="D506" s="23" t="s">
        <v>1277</v>
      </c>
      <c r="E506" s="23"/>
      <c r="F506" s="24"/>
      <c r="G506" s="25" t="s">
        <v>71</v>
      </c>
      <c r="H506" s="26"/>
      <c r="I506" s="27" t="str">
        <f>IFERROR(IF(OR($F506="O",$G506="O",$H506="O"),CHOOSE(MATCH($A506,{"튜브","고압","진공","튜닝","조립","출하"},0),"T","H","V","N","A","P")&amp;IF($F506="O","R",IF($G506="O","A",IF($H506="O","F",""))),""),"")</f>
        <v>AA</v>
      </c>
      <c r="J506" s="15"/>
      <c r="K506" s="16"/>
      <c r="L506" s="17"/>
      <c r="M506" s="18"/>
      <c r="N506" s="19" t="s">
        <v>71</v>
      </c>
      <c r="O506" s="20"/>
      <c r="P506" s="21" t="str">
        <f t="shared" si="7"/>
        <v>8-AA</v>
      </c>
      <c r="Q506" s="108" t="str">
        <f>HYPERLINK("#'마스터_품목'!A553","→ 마스터 R553")</f>
        <v>→ 마스터 R553</v>
      </c>
      <c r="R506" s="109">
        <v>553</v>
      </c>
      <c r="S506" s="109" t="s">
        <v>72</v>
      </c>
    </row>
    <row r="507" spans="1:19" ht="48" customHeight="1" x14ac:dyDescent="0.3">
      <c r="A507" s="22" t="s">
        <v>354</v>
      </c>
      <c r="B507" s="22" t="s">
        <v>1275</v>
      </c>
      <c r="C507" s="23" t="s">
        <v>182</v>
      </c>
      <c r="D507" s="23" t="s">
        <v>1278</v>
      </c>
      <c r="E507" s="23"/>
      <c r="F507" s="24"/>
      <c r="G507" s="25" t="s">
        <v>71</v>
      </c>
      <c r="H507" s="26"/>
      <c r="I507" s="27" t="str">
        <f>IFERROR(IF(OR($F507="O",$G507="O",$H507="O"),CHOOSE(MATCH($A507,{"튜브","고압","진공","튜닝","조립","출하"},0),"T","H","V","N","A","P")&amp;IF($F507="O","R",IF($G507="O","A",IF($H507="O","F",""))),""),"")</f>
        <v>AA</v>
      </c>
      <c r="J507" s="15"/>
      <c r="K507" s="16"/>
      <c r="L507" s="17"/>
      <c r="M507" s="18"/>
      <c r="N507" s="19" t="s">
        <v>71</v>
      </c>
      <c r="O507" s="20"/>
      <c r="P507" s="21" t="str">
        <f t="shared" si="7"/>
        <v>8-AA</v>
      </c>
      <c r="Q507" s="108" t="str">
        <f>HYPERLINK("#'마스터_품목'!A554","→ 마스터 R554")</f>
        <v>→ 마스터 R554</v>
      </c>
      <c r="R507" s="109">
        <v>554</v>
      </c>
      <c r="S507" s="109" t="s">
        <v>72</v>
      </c>
    </row>
    <row r="508" spans="1:19" ht="48" customHeight="1" x14ac:dyDescent="0.3">
      <c r="A508" s="22" t="s">
        <v>354</v>
      </c>
      <c r="B508" s="22" t="s">
        <v>1275</v>
      </c>
      <c r="C508" s="23" t="s">
        <v>182</v>
      </c>
      <c r="D508" s="23" t="s">
        <v>1279</v>
      </c>
      <c r="E508" s="23"/>
      <c r="F508" s="24"/>
      <c r="G508" s="25" t="s">
        <v>71</v>
      </c>
      <c r="H508" s="26"/>
      <c r="I508" s="27" t="str">
        <f>IFERROR(IF(OR($F508="O",$G508="O",$H508="O"),CHOOSE(MATCH($A508,{"튜브","고압","진공","튜닝","조립","출하"},0),"T","H","V","N","A","P")&amp;IF($F508="O","R",IF($G508="O","A",IF($H508="O","F",""))),""),"")</f>
        <v>AA</v>
      </c>
      <c r="J508" s="15"/>
      <c r="K508" s="16"/>
      <c r="L508" s="17"/>
      <c r="M508" s="18"/>
      <c r="N508" s="19" t="s">
        <v>71</v>
      </c>
      <c r="O508" s="20"/>
      <c r="P508" s="21" t="str">
        <f t="shared" si="7"/>
        <v>8-AA</v>
      </c>
      <c r="Q508" s="108" t="str">
        <f>HYPERLINK("#'마스터_품목'!A555","→ 마스터 R555")</f>
        <v>→ 마스터 R555</v>
      </c>
      <c r="R508" s="109">
        <v>555</v>
      </c>
      <c r="S508" s="109" t="s">
        <v>72</v>
      </c>
    </row>
    <row r="509" spans="1:19" ht="48" customHeight="1" x14ac:dyDescent="0.3">
      <c r="A509" s="22" t="s">
        <v>354</v>
      </c>
      <c r="B509" s="22" t="s">
        <v>1275</v>
      </c>
      <c r="C509" s="23" t="s">
        <v>182</v>
      </c>
      <c r="D509" s="23" t="s">
        <v>1280</v>
      </c>
      <c r="E509" s="23"/>
      <c r="F509" s="24"/>
      <c r="G509" s="25" t="s">
        <v>71</v>
      </c>
      <c r="H509" s="26"/>
      <c r="I509" s="27" t="str">
        <f>IFERROR(IF(OR($F509="O",$G509="O",$H509="O"),CHOOSE(MATCH($A509,{"튜브","고압","진공","튜닝","조립","출하"},0),"T","H","V","N","A","P")&amp;IF($F509="O","R",IF($G509="O","A",IF($H509="O","F",""))),""),"")</f>
        <v>AA</v>
      </c>
      <c r="J509" s="15"/>
      <c r="K509" s="16"/>
      <c r="L509" s="17"/>
      <c r="M509" s="18"/>
      <c r="N509" s="19" t="s">
        <v>71</v>
      </c>
      <c r="O509" s="20"/>
      <c r="P509" s="21" t="str">
        <f t="shared" si="7"/>
        <v>8-AA</v>
      </c>
      <c r="Q509" s="108" t="str">
        <f>HYPERLINK("#'마스터_품목'!A556","→ 마스터 R556")</f>
        <v>→ 마스터 R556</v>
      </c>
      <c r="R509" s="109">
        <v>556</v>
      </c>
      <c r="S509" s="109" t="s">
        <v>72</v>
      </c>
    </row>
    <row r="510" spans="1:19" ht="48" customHeight="1" x14ac:dyDescent="0.3">
      <c r="A510" s="22" t="s">
        <v>354</v>
      </c>
      <c r="B510" s="22" t="s">
        <v>1275</v>
      </c>
      <c r="C510" s="23" t="s">
        <v>182</v>
      </c>
      <c r="D510" s="23" t="s">
        <v>1281</v>
      </c>
      <c r="E510" s="23"/>
      <c r="F510" s="24"/>
      <c r="G510" s="25" t="s">
        <v>71</v>
      </c>
      <c r="H510" s="26"/>
      <c r="I510" s="27" t="str">
        <f>IFERROR(IF(OR($F510="O",$G510="O",$H510="O"),CHOOSE(MATCH($A510,{"튜브","고압","진공","튜닝","조립","출하"},0),"T","H","V","N","A","P")&amp;IF($F510="O","R",IF($G510="O","A",IF($H510="O","F",""))),""),"")</f>
        <v>AA</v>
      </c>
      <c r="J510" s="15"/>
      <c r="K510" s="16"/>
      <c r="L510" s="17"/>
      <c r="M510" s="18"/>
      <c r="N510" s="19" t="s">
        <v>71</v>
      </c>
      <c r="O510" s="20"/>
      <c r="P510" s="21" t="str">
        <f t="shared" si="7"/>
        <v>8-AA</v>
      </c>
      <c r="Q510" s="108" t="str">
        <f>HYPERLINK("#'마스터_품목'!A557","→ 마스터 R557")</f>
        <v>→ 마스터 R557</v>
      </c>
      <c r="R510" s="109">
        <v>557</v>
      </c>
      <c r="S510" s="109" t="s">
        <v>72</v>
      </c>
    </row>
    <row r="511" spans="1:19" ht="48" customHeight="1" x14ac:dyDescent="0.3">
      <c r="A511" s="22" t="s">
        <v>354</v>
      </c>
      <c r="B511" s="22" t="s">
        <v>1275</v>
      </c>
      <c r="C511" s="23" t="s">
        <v>182</v>
      </c>
      <c r="D511" s="23" t="s">
        <v>1282</v>
      </c>
      <c r="E511" s="23"/>
      <c r="F511" s="24"/>
      <c r="G511" s="25" t="s">
        <v>71</v>
      </c>
      <c r="H511" s="26"/>
      <c r="I511" s="27" t="str">
        <f>IFERROR(IF(OR($F511="O",$G511="O",$H511="O"),CHOOSE(MATCH($A511,{"튜브","고압","진공","튜닝","조립","출하"},0),"T","H","V","N","A","P")&amp;IF($F511="O","R",IF($G511="O","A",IF($H511="O","F",""))),""),"")</f>
        <v>AA</v>
      </c>
      <c r="J511" s="15"/>
      <c r="K511" s="16"/>
      <c r="L511" s="17"/>
      <c r="M511" s="18"/>
      <c r="N511" s="19" t="s">
        <v>71</v>
      </c>
      <c r="O511" s="20"/>
      <c r="P511" s="21" t="str">
        <f t="shared" si="7"/>
        <v>8-AA</v>
      </c>
      <c r="Q511" s="108" t="str">
        <f>HYPERLINK("#'마스터_품목'!A558","→ 마스터 R558")</f>
        <v>→ 마스터 R558</v>
      </c>
      <c r="R511" s="109">
        <v>558</v>
      </c>
      <c r="S511" s="109" t="s">
        <v>72</v>
      </c>
    </row>
    <row r="512" spans="1:19" ht="48" customHeight="1" x14ac:dyDescent="0.3">
      <c r="A512" s="175" t="s">
        <v>354</v>
      </c>
      <c r="B512" s="175"/>
      <c r="C512" s="168" t="s">
        <v>117</v>
      </c>
      <c r="D512" s="168" t="s">
        <v>1283</v>
      </c>
      <c r="E512" s="168"/>
      <c r="F512" s="140" t="s">
        <v>71</v>
      </c>
      <c r="G512" s="141"/>
      <c r="H512" s="142"/>
      <c r="I512" s="143" t="str">
        <f>IFERROR(IF(OR($F512="O",$G512="O",$H512="O"),CHOOSE(MATCH($A512,{"튜브","고압","진공","튜닝","조립","출하"},0),"T","H","V","N","A","P")&amp;IF($F512="O","R",IF($G512="O","A",IF($H512="O","F",""))),""),"")</f>
        <v>AR</v>
      </c>
      <c r="J512" s="153"/>
      <c r="K512" s="154"/>
      <c r="L512" s="155" t="s">
        <v>71</v>
      </c>
      <c r="M512" s="156"/>
      <c r="N512" s="157"/>
      <c r="O512" s="170"/>
      <c r="P512" s="169" t="str">
        <f t="shared" si="7"/>
        <v>6-AR</v>
      </c>
      <c r="Q512" s="108" t="str">
        <f>HYPERLINK("#'마스터_품목'!A898","→ 마스터 R898")</f>
        <v>→ 마스터 R898</v>
      </c>
      <c r="R512" s="109">
        <v>898</v>
      </c>
      <c r="S512" s="109" t="s">
        <v>72</v>
      </c>
    </row>
    <row r="513" spans="1:19" ht="48" customHeight="1" x14ac:dyDescent="0.3">
      <c r="A513" s="175" t="s">
        <v>354</v>
      </c>
      <c r="B513" s="175"/>
      <c r="C513" s="168" t="s">
        <v>153</v>
      </c>
      <c r="D513" s="168" t="s">
        <v>1284</v>
      </c>
      <c r="E513" s="168"/>
      <c r="F513" s="140" t="s">
        <v>71</v>
      </c>
      <c r="G513" s="141"/>
      <c r="H513" s="142"/>
      <c r="I513" s="143" t="str">
        <f>IFERROR(IF(OR($F513="O",$G513="O",$H513="O"),CHOOSE(MATCH($A513,{"튜브","고압","진공","튜닝","조립","출하"},0),"T","H","V","N","A","P")&amp;IF($F513="O","R",IF($G513="O","A",IF($H513="O","F",""))),""),"")</f>
        <v>AR</v>
      </c>
      <c r="J513" s="153"/>
      <c r="K513" s="154"/>
      <c r="L513" s="155"/>
      <c r="M513" s="156" t="s">
        <v>71</v>
      </c>
      <c r="N513" s="157"/>
      <c r="O513" s="170"/>
      <c r="P513" s="169" t="str">
        <f t="shared" si="7"/>
        <v>7-AR</v>
      </c>
      <c r="Q513" s="108" t="str">
        <f>HYPERLINK("#'마스터_품목'!A899","→ 마스터 R899")</f>
        <v>→ 마스터 R899</v>
      </c>
      <c r="R513" s="109">
        <v>899</v>
      </c>
      <c r="S513" s="109" t="s">
        <v>72</v>
      </c>
    </row>
    <row r="514" spans="1:19" ht="48" customHeight="1" x14ac:dyDescent="0.3">
      <c r="A514" s="175" t="s">
        <v>354</v>
      </c>
      <c r="B514" s="175"/>
      <c r="C514" s="168" t="s">
        <v>153</v>
      </c>
      <c r="D514" s="168" t="s">
        <v>1285</v>
      </c>
      <c r="E514" s="168"/>
      <c r="F514" s="140" t="s">
        <v>71</v>
      </c>
      <c r="G514" s="141"/>
      <c r="H514" s="142"/>
      <c r="I514" s="143" t="str">
        <f>IFERROR(IF(OR($F514="O",$G514="O",$H514="O"),CHOOSE(MATCH($A514,{"튜브","고압","진공","튜닝","조립","출하"},0),"T","H","V","N","A","P")&amp;IF($F514="O","R",IF($G514="O","A",IF($H514="O","F",""))),""),"")</f>
        <v>AR</v>
      </c>
      <c r="J514" s="153"/>
      <c r="K514" s="154"/>
      <c r="L514" s="155"/>
      <c r="M514" s="156" t="s">
        <v>71</v>
      </c>
      <c r="N514" s="157"/>
      <c r="O514" s="170"/>
      <c r="P514" s="169" t="str">
        <f t="shared" ref="P514:P528" si="8">IF($I514="","",IF($J514="O","3","")&amp;IF($K514="O","4","")&amp;IF($L514="O","6","")&amp;IF($M514="O","7","")&amp;IF($N514="O","8","")&amp;IF($O514="O","?","")&amp;IF(OR($J514="O",$K514="O",$L514="O",$M514="O",$N514="O",$O514="O"),"-","")&amp;$I514)</f>
        <v>7-AR</v>
      </c>
      <c r="Q514" s="108" t="str">
        <f>HYPERLINK("#'마스터_품목'!A900","→ 마스터 R900")</f>
        <v>→ 마스터 R900</v>
      </c>
      <c r="R514" s="109">
        <v>900</v>
      </c>
      <c r="S514" s="109" t="s">
        <v>72</v>
      </c>
    </row>
    <row r="515" spans="1:19" ht="48" customHeight="1" x14ac:dyDescent="0.3">
      <c r="A515" s="175" t="s">
        <v>354</v>
      </c>
      <c r="B515" s="175"/>
      <c r="C515" s="168" t="s">
        <v>153</v>
      </c>
      <c r="D515" s="168" t="s">
        <v>1286</v>
      </c>
      <c r="E515" s="168"/>
      <c r="F515" s="140" t="s">
        <v>71</v>
      </c>
      <c r="G515" s="141"/>
      <c r="H515" s="142"/>
      <c r="I515" s="143" t="str">
        <f>IFERROR(IF(OR($F515="O",$G515="O",$H515="O"),CHOOSE(MATCH($A515,{"튜브","고압","진공","튜닝","조립","출하"},0),"T","H","V","N","A","P")&amp;IF($F515="O","R",IF($G515="O","A",IF($H515="O","F",""))),""),"")</f>
        <v>AR</v>
      </c>
      <c r="J515" s="153"/>
      <c r="K515" s="154"/>
      <c r="L515" s="155"/>
      <c r="M515" s="156" t="s">
        <v>71</v>
      </c>
      <c r="N515" s="157"/>
      <c r="O515" s="170"/>
      <c r="P515" s="169" t="str">
        <f t="shared" si="8"/>
        <v>7-AR</v>
      </c>
      <c r="Q515" s="108" t="str">
        <f>HYPERLINK("#'마스터_품목'!A901","→ 마스터 R901")</f>
        <v>→ 마스터 R901</v>
      </c>
      <c r="R515" s="109">
        <v>901</v>
      </c>
      <c r="S515" s="109" t="s">
        <v>72</v>
      </c>
    </row>
    <row r="516" spans="1:19" ht="48" customHeight="1" x14ac:dyDescent="0.3">
      <c r="A516" s="175" t="s">
        <v>354</v>
      </c>
      <c r="B516" s="175"/>
      <c r="C516" s="168" t="s">
        <v>198</v>
      </c>
      <c r="D516" s="168" t="s">
        <v>1287</v>
      </c>
      <c r="E516" s="168"/>
      <c r="F516" s="140" t="s">
        <v>71</v>
      </c>
      <c r="G516" s="141"/>
      <c r="H516" s="142"/>
      <c r="I516" s="143" t="str">
        <f>IFERROR(IF(OR($F516="O",$G516="O",$H516="O"),CHOOSE(MATCH($A516,{"튜브","고압","진공","튜닝","조립","출하"},0),"T","H","V","N","A","P")&amp;IF($F516="O","R",IF($G516="O","A",IF($H516="O","F",""))),""),"")</f>
        <v>AR</v>
      </c>
      <c r="J516" s="153"/>
      <c r="K516" s="154" t="s">
        <v>71</v>
      </c>
      <c r="L516" s="155"/>
      <c r="M516" s="156"/>
      <c r="N516" s="157"/>
      <c r="O516" s="170"/>
      <c r="P516" s="169" t="str">
        <f t="shared" si="8"/>
        <v>4-AR</v>
      </c>
      <c r="Q516" s="108" t="str">
        <f>HYPERLINK("#'마스터_품목'!A902","→ 마스터 R902")</f>
        <v>→ 마스터 R902</v>
      </c>
      <c r="R516" s="109">
        <v>902</v>
      </c>
      <c r="S516" s="109" t="s">
        <v>72</v>
      </c>
    </row>
    <row r="517" spans="1:19" ht="48" customHeight="1" x14ac:dyDescent="0.3">
      <c r="A517" s="175" t="s">
        <v>354</v>
      </c>
      <c r="B517" s="175"/>
      <c r="C517" s="168" t="s">
        <v>198</v>
      </c>
      <c r="D517" s="168" t="s">
        <v>1288</v>
      </c>
      <c r="E517" s="168"/>
      <c r="F517" s="140" t="s">
        <v>71</v>
      </c>
      <c r="G517" s="141"/>
      <c r="H517" s="142"/>
      <c r="I517" s="143" t="str">
        <f>IFERROR(IF(OR($F517="O",$G517="O",$H517="O"),CHOOSE(MATCH($A517,{"튜브","고압","진공","튜닝","조립","출하"},0),"T","H","V","N","A","P")&amp;IF($F517="O","R",IF($G517="O","A",IF($H517="O","F",""))),""),"")</f>
        <v>AR</v>
      </c>
      <c r="J517" s="153"/>
      <c r="K517" s="154" t="s">
        <v>71</v>
      </c>
      <c r="L517" s="155"/>
      <c r="M517" s="156"/>
      <c r="N517" s="157"/>
      <c r="O517" s="170"/>
      <c r="P517" s="169" t="str">
        <f t="shared" si="8"/>
        <v>4-AR</v>
      </c>
      <c r="Q517" s="108" t="str">
        <f>HYPERLINK("#'마스터_품목'!A903","→ 마스터 R903")</f>
        <v>→ 마스터 R903</v>
      </c>
      <c r="R517" s="109">
        <v>903</v>
      </c>
      <c r="S517" s="109" t="s">
        <v>72</v>
      </c>
    </row>
    <row r="518" spans="1:19" ht="48" customHeight="1" x14ac:dyDescent="0.3">
      <c r="A518" s="175" t="s">
        <v>354</v>
      </c>
      <c r="B518" s="175"/>
      <c r="C518" s="168" t="s">
        <v>198</v>
      </c>
      <c r="D518" s="168" t="s">
        <v>1289</v>
      </c>
      <c r="E518" s="168"/>
      <c r="F518" s="140" t="s">
        <v>71</v>
      </c>
      <c r="G518" s="141"/>
      <c r="H518" s="142"/>
      <c r="I518" s="143" t="str">
        <f>IFERROR(IF(OR($F518="O",$G518="O",$H518="O"),CHOOSE(MATCH($A518,{"튜브","고압","진공","튜닝","조립","출하"},0),"T","H","V","N","A","P")&amp;IF($F518="O","R",IF($G518="O","A",IF($H518="O","F",""))),""),"")</f>
        <v>AR</v>
      </c>
      <c r="J518" s="153"/>
      <c r="K518" s="154" t="s">
        <v>71</v>
      </c>
      <c r="L518" s="155"/>
      <c r="M518" s="156"/>
      <c r="N518" s="157"/>
      <c r="O518" s="170"/>
      <c r="P518" s="169" t="str">
        <f t="shared" si="8"/>
        <v>4-AR</v>
      </c>
      <c r="Q518" s="108" t="str">
        <f>HYPERLINK("#'마스터_품목'!A904","→ 마스터 R904")</f>
        <v>→ 마스터 R904</v>
      </c>
      <c r="R518" s="109">
        <v>904</v>
      </c>
      <c r="S518" s="109" t="s">
        <v>72</v>
      </c>
    </row>
    <row r="519" spans="1:19" ht="48" customHeight="1" x14ac:dyDescent="0.3">
      <c r="A519" s="175" t="s">
        <v>354</v>
      </c>
      <c r="B519" s="175"/>
      <c r="C519" s="168" t="s">
        <v>198</v>
      </c>
      <c r="D519" s="168" t="s">
        <v>1290</v>
      </c>
      <c r="E519" s="168"/>
      <c r="F519" s="140" t="s">
        <v>71</v>
      </c>
      <c r="G519" s="141"/>
      <c r="H519" s="142"/>
      <c r="I519" s="143" t="str">
        <f>IFERROR(IF(OR($F519="O",$G519="O",$H519="O"),CHOOSE(MATCH($A519,{"튜브","고압","진공","튜닝","조립","출하"},0),"T","H","V","N","A","P")&amp;IF($F519="O","R",IF($G519="O","A",IF($H519="O","F",""))),""),"")</f>
        <v>AR</v>
      </c>
      <c r="J519" s="153"/>
      <c r="K519" s="154" t="s">
        <v>71</v>
      </c>
      <c r="L519" s="155"/>
      <c r="M519" s="156"/>
      <c r="N519" s="157"/>
      <c r="O519" s="170"/>
      <c r="P519" s="169" t="str">
        <f t="shared" si="8"/>
        <v>4-AR</v>
      </c>
      <c r="Q519" s="108" t="str">
        <f>HYPERLINK("#'마스터_품목'!A905","→ 마스터 R905")</f>
        <v>→ 마스터 R905</v>
      </c>
      <c r="R519" s="109">
        <v>905</v>
      </c>
      <c r="S519" s="109" t="s">
        <v>72</v>
      </c>
    </row>
    <row r="520" spans="1:19" ht="48" customHeight="1" x14ac:dyDescent="0.3">
      <c r="A520" s="175" t="s">
        <v>354</v>
      </c>
      <c r="B520" s="175"/>
      <c r="C520" s="168" t="s">
        <v>198</v>
      </c>
      <c r="D520" s="168" t="s">
        <v>1291</v>
      </c>
      <c r="E520" s="168"/>
      <c r="F520" s="140"/>
      <c r="G520" s="141" t="s">
        <v>71</v>
      </c>
      <c r="H520" s="142"/>
      <c r="I520" s="143" t="str">
        <f>IFERROR(IF(OR($F520="O",$G520="O",$H520="O"),CHOOSE(MATCH($A520,{"튜브","고압","진공","튜닝","조립","출하"},0),"T","H","V","N","A","P")&amp;IF($F520="O","R",IF($G520="O","A",IF($H520="O","F",""))),""),"")</f>
        <v>AA</v>
      </c>
      <c r="J520" s="153"/>
      <c r="K520" s="154" t="s">
        <v>71</v>
      </c>
      <c r="L520" s="155"/>
      <c r="M520" s="156"/>
      <c r="N520" s="157"/>
      <c r="O520" s="170"/>
      <c r="P520" s="169" t="str">
        <f t="shared" si="8"/>
        <v>4-AA</v>
      </c>
      <c r="Q520" s="108" t="str">
        <f>HYPERLINK("#'마스터_품목'!A906","→ 마스터 R906")</f>
        <v>→ 마스터 R906</v>
      </c>
      <c r="R520" s="109">
        <v>906</v>
      </c>
      <c r="S520" s="109" t="s">
        <v>72</v>
      </c>
    </row>
    <row r="521" spans="1:19" ht="48" customHeight="1" x14ac:dyDescent="0.3">
      <c r="A521" s="175" t="s">
        <v>354</v>
      </c>
      <c r="B521" s="175"/>
      <c r="C521" s="168" t="s">
        <v>117</v>
      </c>
      <c r="D521" s="168" t="s">
        <v>1292</v>
      </c>
      <c r="E521" s="168"/>
      <c r="F521" s="140"/>
      <c r="G521" s="141" t="s">
        <v>71</v>
      </c>
      <c r="H521" s="142"/>
      <c r="I521" s="143" t="str">
        <f>IFERROR(IF(OR($F521="O",$G521="O",$H521="O"),CHOOSE(MATCH($A521,{"튜브","고압","진공","튜닝","조립","출하"},0),"T","H","V","N","A","P")&amp;IF($F521="O","R",IF($G521="O","A",IF($H521="O","F",""))),""),"")</f>
        <v>AA</v>
      </c>
      <c r="J521" s="153"/>
      <c r="K521" s="154"/>
      <c r="L521" s="155" t="s">
        <v>71</v>
      </c>
      <c r="M521" s="156"/>
      <c r="N521" s="157"/>
      <c r="O521" s="170"/>
      <c r="P521" s="169" t="str">
        <f t="shared" si="8"/>
        <v>6-AA</v>
      </c>
      <c r="Q521" s="108" t="str">
        <f>HYPERLINK("#'마스터_품목'!A907","→ 마스터 R907")</f>
        <v>→ 마스터 R907</v>
      </c>
      <c r="R521" s="109">
        <v>907</v>
      </c>
      <c r="S521" s="109" t="s">
        <v>72</v>
      </c>
    </row>
    <row r="522" spans="1:19" ht="48" customHeight="1" x14ac:dyDescent="0.3">
      <c r="A522" s="175" t="s">
        <v>771</v>
      </c>
      <c r="B522" s="175"/>
      <c r="C522" s="168" t="s">
        <v>117</v>
      </c>
      <c r="D522" s="168" t="s">
        <v>1293</v>
      </c>
      <c r="E522" s="168"/>
      <c r="F522" s="140" t="s">
        <v>71</v>
      </c>
      <c r="G522" s="141"/>
      <c r="H522" s="142"/>
      <c r="I522" s="143" t="str">
        <f>IFERROR(IF(OR($F522="O",$G522="O",$H522="O"),CHOOSE(MATCH($A522,{"튜브","고압","진공","튜닝","조립","출하"},0),"T","H","V","N","A","P")&amp;IF($F522="O","R",IF($G522="O","A",IF($H522="O","F",""))),""),"")</f>
        <v>PR</v>
      </c>
      <c r="J522" s="153"/>
      <c r="K522" s="154"/>
      <c r="L522" s="155" t="s">
        <v>71</v>
      </c>
      <c r="M522" s="156"/>
      <c r="N522" s="157"/>
      <c r="O522" s="170"/>
      <c r="P522" s="169" t="str">
        <f t="shared" si="8"/>
        <v>6-PR</v>
      </c>
      <c r="Q522" s="108" t="str">
        <f>HYPERLINK("#'마스터_품목'!A910","→ 마스터 R910")</f>
        <v>→ 마스터 R910</v>
      </c>
      <c r="R522" s="109">
        <v>910</v>
      </c>
      <c r="S522" s="109" t="s">
        <v>72</v>
      </c>
    </row>
    <row r="523" spans="1:19" ht="48" customHeight="1" x14ac:dyDescent="0.3">
      <c r="A523" s="175" t="s">
        <v>771</v>
      </c>
      <c r="B523" s="175"/>
      <c r="C523" s="168" t="s">
        <v>117</v>
      </c>
      <c r="D523" s="168" t="s">
        <v>1294</v>
      </c>
      <c r="E523" s="168"/>
      <c r="F523" s="140" t="s">
        <v>71</v>
      </c>
      <c r="G523" s="141"/>
      <c r="H523" s="142"/>
      <c r="I523" s="143" t="str">
        <f>IFERROR(IF(OR($F523="O",$G523="O",$H523="O"),CHOOSE(MATCH($A523,{"튜브","고압","진공","튜닝","조립","출하"},0),"T","H","V","N","A","P")&amp;IF($F523="O","R",IF($G523="O","A",IF($H523="O","F",""))),""),"")</f>
        <v>PR</v>
      </c>
      <c r="J523" s="153"/>
      <c r="K523" s="154"/>
      <c r="L523" s="155" t="s">
        <v>71</v>
      </c>
      <c r="M523" s="156"/>
      <c r="N523" s="157"/>
      <c r="O523" s="170"/>
      <c r="P523" s="169" t="str">
        <f t="shared" si="8"/>
        <v>6-PR</v>
      </c>
      <c r="Q523" s="108" t="str">
        <f>HYPERLINK("#'마스터_품목'!A911","→ 마스터 R911")</f>
        <v>→ 마스터 R911</v>
      </c>
      <c r="R523" s="109">
        <v>911</v>
      </c>
      <c r="S523" s="109" t="s">
        <v>72</v>
      </c>
    </row>
    <row r="524" spans="1:19" ht="48" customHeight="1" x14ac:dyDescent="0.3">
      <c r="A524" s="175" t="s">
        <v>771</v>
      </c>
      <c r="B524" s="175"/>
      <c r="C524" s="168" t="s">
        <v>117</v>
      </c>
      <c r="D524" s="168" t="s">
        <v>1295</v>
      </c>
      <c r="E524" s="168"/>
      <c r="F524" s="140" t="s">
        <v>71</v>
      </c>
      <c r="G524" s="141"/>
      <c r="H524" s="142"/>
      <c r="I524" s="143" t="str">
        <f>IFERROR(IF(OR($F524="O",$G524="O",$H524="O"),CHOOSE(MATCH($A524,{"튜브","고압","진공","튜닝","조립","출하"},0),"T","H","V","N","A","P")&amp;IF($F524="O","R",IF($G524="O","A",IF($H524="O","F",""))),""),"")</f>
        <v>PR</v>
      </c>
      <c r="J524" s="153"/>
      <c r="K524" s="154"/>
      <c r="L524" s="155" t="s">
        <v>71</v>
      </c>
      <c r="M524" s="156"/>
      <c r="N524" s="157"/>
      <c r="O524" s="170"/>
      <c r="P524" s="169" t="str">
        <f t="shared" si="8"/>
        <v>6-PR</v>
      </c>
      <c r="Q524" s="108" t="str">
        <f>HYPERLINK("#'마스터_품목'!A912","→ 마스터 R912")</f>
        <v>→ 마스터 R912</v>
      </c>
      <c r="R524" s="109">
        <v>912</v>
      </c>
      <c r="S524" s="109" t="s">
        <v>72</v>
      </c>
    </row>
    <row r="525" spans="1:19" ht="48" customHeight="1" x14ac:dyDescent="0.3">
      <c r="A525" s="175" t="s">
        <v>771</v>
      </c>
      <c r="B525" s="175"/>
      <c r="C525" s="168" t="s">
        <v>195</v>
      </c>
      <c r="D525" s="168" t="s">
        <v>1296</v>
      </c>
      <c r="E525" s="168"/>
      <c r="F525" s="140"/>
      <c r="G525" s="141" t="s">
        <v>71</v>
      </c>
      <c r="H525" s="142"/>
      <c r="I525" s="143" t="str">
        <f>IFERROR(IF(OR($F525="O",$G525="O",$H525="O"),CHOOSE(MATCH($A525,{"튜브","고압","진공","튜닝","조립","출하"},0),"T","H","V","N","A","P")&amp;IF($F525="O","R",IF($G525="O","A",IF($H525="O","F",""))),""),"")</f>
        <v>PA</v>
      </c>
      <c r="J525" s="153" t="s">
        <v>71</v>
      </c>
      <c r="K525" s="154"/>
      <c r="L525" s="155"/>
      <c r="M525" s="156"/>
      <c r="N525" s="157"/>
      <c r="O525" s="170"/>
      <c r="P525" s="169" t="str">
        <f t="shared" si="8"/>
        <v>3-PA</v>
      </c>
      <c r="Q525" s="108" t="str">
        <f>HYPERLINK("#'마스터_품목'!A913","→ 마스터 R913")</f>
        <v>→ 마스터 R913</v>
      </c>
      <c r="R525" s="109">
        <v>913</v>
      </c>
      <c r="S525" s="109" t="s">
        <v>72</v>
      </c>
    </row>
    <row r="526" spans="1:19" ht="48" customHeight="1" x14ac:dyDescent="0.3">
      <c r="A526" s="175" t="s">
        <v>771</v>
      </c>
      <c r="B526" s="175"/>
      <c r="C526" s="168" t="s">
        <v>117</v>
      </c>
      <c r="D526" s="168" t="s">
        <v>1297</v>
      </c>
      <c r="E526" s="168"/>
      <c r="F526" s="140"/>
      <c r="G526" s="141" t="s">
        <v>71</v>
      </c>
      <c r="H526" s="142"/>
      <c r="I526" s="143" t="str">
        <f>IFERROR(IF(OR($F526="O",$G526="O",$H526="O"),CHOOSE(MATCH($A526,{"튜브","고압","진공","튜닝","조립","출하"},0),"T","H","V","N","A","P")&amp;IF($F526="O","R",IF($G526="O","A",IF($H526="O","F",""))),""),"")</f>
        <v>PA</v>
      </c>
      <c r="J526" s="153"/>
      <c r="K526" s="154"/>
      <c r="L526" s="155" t="s">
        <v>71</v>
      </c>
      <c r="M526" s="156"/>
      <c r="N526" s="157"/>
      <c r="O526" s="170"/>
      <c r="P526" s="169" t="str">
        <f t="shared" si="8"/>
        <v>6-PA</v>
      </c>
      <c r="Q526" s="108" t="str">
        <f>HYPERLINK("#'마스터_품목'!A914","→ 마스터 R914")</f>
        <v>→ 마스터 R914</v>
      </c>
      <c r="R526" s="109">
        <v>914</v>
      </c>
      <c r="S526" s="109" t="s">
        <v>72</v>
      </c>
    </row>
    <row r="527" spans="1:19" ht="48" customHeight="1" x14ac:dyDescent="0.3">
      <c r="A527" s="175" t="s">
        <v>771</v>
      </c>
      <c r="B527" s="175"/>
      <c r="C527" s="168" t="s">
        <v>117</v>
      </c>
      <c r="D527" s="168" t="s">
        <v>1298</v>
      </c>
      <c r="E527" s="168"/>
      <c r="F527" s="140"/>
      <c r="G527" s="141" t="s">
        <v>71</v>
      </c>
      <c r="H527" s="142"/>
      <c r="I527" s="143" t="str">
        <f>IFERROR(IF(OR($F527="O",$G527="O",$H527="O"),CHOOSE(MATCH($A527,{"튜브","고압","진공","튜닝","조립","출하"},0),"T","H","V","N","A","P")&amp;IF($F527="O","R",IF($G527="O","A",IF($H527="O","F",""))),""),"")</f>
        <v>PA</v>
      </c>
      <c r="J527" s="153"/>
      <c r="K527" s="154"/>
      <c r="L527" s="155" t="s">
        <v>71</v>
      </c>
      <c r="M527" s="156"/>
      <c r="N527" s="157"/>
      <c r="O527" s="170"/>
      <c r="P527" s="169" t="str">
        <f t="shared" si="8"/>
        <v>6-PA</v>
      </c>
      <c r="Q527" s="108" t="str">
        <f>HYPERLINK("#'마스터_품목'!A915","→ 마스터 R915")</f>
        <v>→ 마스터 R915</v>
      </c>
      <c r="R527" s="109">
        <v>915</v>
      </c>
      <c r="S527" s="109" t="s">
        <v>72</v>
      </c>
    </row>
    <row r="528" spans="1:19" ht="48" customHeight="1" x14ac:dyDescent="0.3">
      <c r="A528" s="175" t="s">
        <v>771</v>
      </c>
      <c r="B528" s="175"/>
      <c r="C528" s="168" t="s">
        <v>117</v>
      </c>
      <c r="D528" s="168" t="s">
        <v>1299</v>
      </c>
      <c r="E528" s="168"/>
      <c r="F528" s="140"/>
      <c r="G528" s="141" t="s">
        <v>71</v>
      </c>
      <c r="H528" s="142"/>
      <c r="I528" s="143" t="str">
        <f>IFERROR(IF(OR($F528="O",$G528="O",$H528="O"),CHOOSE(MATCH($A528,{"튜브","고압","진공","튜닝","조립","출하"},0),"T","H","V","N","A","P")&amp;IF($F528="O","R",IF($G528="O","A",IF($H528="O","F",""))),""),"")</f>
        <v>PA</v>
      </c>
      <c r="J528" s="153"/>
      <c r="K528" s="154"/>
      <c r="L528" s="155" t="s">
        <v>71</v>
      </c>
      <c r="M528" s="156"/>
      <c r="N528" s="157"/>
      <c r="O528" s="170"/>
      <c r="P528" s="169" t="str">
        <f t="shared" si="8"/>
        <v>6-PA</v>
      </c>
      <c r="Q528" s="108" t="str">
        <f>HYPERLINK("#'마스터_품목'!A916","→ 마스터 R916")</f>
        <v>→ 마스터 R916</v>
      </c>
      <c r="R528" s="109">
        <v>916</v>
      </c>
      <c r="S528" s="109" t="s">
        <v>72</v>
      </c>
    </row>
    <row r="529" ht="48" customHeight="1" x14ac:dyDescent="0.3"/>
    <row r="530" ht="48" customHeight="1" x14ac:dyDescent="0.3"/>
    <row r="531" ht="48" customHeight="1" x14ac:dyDescent="0.3"/>
    <row r="532" ht="48" customHeight="1" x14ac:dyDescent="0.3"/>
    <row r="533" ht="48" customHeight="1" x14ac:dyDescent="0.3"/>
    <row r="534" ht="48" customHeight="1" x14ac:dyDescent="0.3"/>
    <row r="535" ht="48" customHeight="1" x14ac:dyDescent="0.3"/>
    <row r="536" ht="48" customHeight="1" x14ac:dyDescent="0.3"/>
    <row r="537" ht="48" customHeight="1" x14ac:dyDescent="0.3"/>
    <row r="538" ht="48" customHeight="1" x14ac:dyDescent="0.3"/>
    <row r="539" ht="48" customHeight="1" x14ac:dyDescent="0.3"/>
    <row r="540" ht="48" customHeight="1" x14ac:dyDescent="0.3"/>
    <row r="541" ht="48" customHeight="1" x14ac:dyDescent="0.3"/>
    <row r="542" ht="48" customHeight="1" x14ac:dyDescent="0.3"/>
    <row r="543" ht="48" customHeight="1" x14ac:dyDescent="0.3"/>
    <row r="544" ht="48" customHeight="1" x14ac:dyDescent="0.3"/>
    <row r="545" ht="48" customHeight="1" x14ac:dyDescent="0.3"/>
    <row r="546" ht="48" customHeight="1" x14ac:dyDescent="0.3"/>
    <row r="547" ht="48" customHeight="1" x14ac:dyDescent="0.3"/>
    <row r="548" ht="48" customHeight="1" x14ac:dyDescent="0.3"/>
    <row r="549" ht="48" customHeight="1" x14ac:dyDescent="0.3"/>
    <row r="550" ht="48" customHeight="1" x14ac:dyDescent="0.3"/>
    <row r="551" ht="48" customHeight="1" x14ac:dyDescent="0.3"/>
    <row r="552" ht="48" customHeight="1" x14ac:dyDescent="0.3"/>
  </sheetData>
  <autoFilter ref="A1:S528" xr:uid="{00000000-0009-0000-0000-000003000000}"/>
  <phoneticPr fontId="2" type="noConversion"/>
  <conditionalFormatting sqref="A2:A520">
    <cfRule type="cellIs" dxfId="22" priority="5" operator="equal">
      <formula>"조립"</formula>
    </cfRule>
    <cfRule type="cellIs" dxfId="21" priority="6" operator="equal">
      <formula>"출하"</formula>
    </cfRule>
  </conditionalFormatting>
  <conditionalFormatting sqref="E2:E431 E449:E551">
    <cfRule type="notContainsBlanks" dxfId="20" priority="12"/>
  </conditionalFormatting>
  <conditionalFormatting sqref="E437:E441">
    <cfRule type="notContainsBlanks" dxfId="19" priority="4"/>
  </conditionalFormatting>
  <conditionalFormatting sqref="I2:I551">
    <cfRule type="expression" dxfId="18" priority="2">
      <formula>RIGHT($I2,1)="R"</formula>
    </cfRule>
    <cfRule type="expression" dxfId="17" priority="3">
      <formula>RIGHT($I2,1)="A"</formula>
    </cfRule>
    <cfRule type="expression" dxfId="16" priority="9">
      <formula>RIGHT($I2,1)="F"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22"/>
  <sheetViews>
    <sheetView zoomScale="70" zoomScaleNormal="70" workbookViewId="0">
      <pane ySplit="1" topLeftCell="A2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bestFit="1" customWidth="1" outlineLevel="1"/>
    <col min="11" max="11" width="13.75" bestFit="1" customWidth="1" outlineLevel="1"/>
    <col min="12" max="14" width="13" customWidth="1" outlineLevel="1"/>
    <col min="15" max="15" width="13" customWidth="1" outlineLevel="1" collapsed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52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36" t="s">
        <v>354</v>
      </c>
      <c r="B2" s="36" t="s">
        <v>1300</v>
      </c>
      <c r="C2" s="37" t="s">
        <v>195</v>
      </c>
      <c r="D2" s="37" t="s">
        <v>1301</v>
      </c>
      <c r="E2" s="1"/>
      <c r="F2" s="38"/>
      <c r="G2" s="39"/>
      <c r="H2" s="40" t="s">
        <v>71</v>
      </c>
      <c r="I2" s="41" t="str">
        <f>IFERROR(IF(OR($F2="O",$G2="O",$H2="O"),CHOOSE(MATCH($A2,{"튜브","고압","진공","튜닝","조립","출하"},0),"T","H","V","N","A","P")&amp;IF($F2="O","R",IF($G2="O","A",IF($H2="O","F",""))),""),"")</f>
        <v>AF</v>
      </c>
      <c r="J2" s="38" t="s">
        <v>71</v>
      </c>
      <c r="K2" s="39"/>
      <c r="L2" s="42"/>
      <c r="M2" s="40"/>
      <c r="N2" s="43"/>
      <c r="O2" s="44"/>
      <c r="P2" s="41" t="str">
        <f t="shared" ref="P2:P43" si="0">IF($I2="","",IF($J2="O","3","")&amp;IF($K2="O","4","")&amp;IF($L2="O","6","")&amp;IF($M2="O","7","")&amp;IF($N2="O","8","")&amp;IF($O2="O","?","")&amp;IF(OR($J2="O",$K2="O",$L2="O",$M2="O",$N2="O",$O2="O"),"-","")&amp;$I2)</f>
        <v>3-AF</v>
      </c>
      <c r="Q2" s="108" t="str">
        <f>HYPERLINK("#'마스터_품목'!A694","→ 마스터 R694")</f>
        <v>→ 마스터 R694</v>
      </c>
      <c r="R2" s="109">
        <v>694</v>
      </c>
      <c r="S2" s="109" t="s">
        <v>72</v>
      </c>
    </row>
    <row r="3" spans="1:19" ht="48" customHeight="1" x14ac:dyDescent="0.3">
      <c r="A3" s="36" t="s">
        <v>354</v>
      </c>
      <c r="B3" s="36" t="s">
        <v>1300</v>
      </c>
      <c r="C3" s="37" t="s">
        <v>195</v>
      </c>
      <c r="D3" s="37" t="s">
        <v>1302</v>
      </c>
      <c r="E3" s="45"/>
      <c r="F3" s="38"/>
      <c r="G3" s="39"/>
      <c r="H3" s="40" t="s">
        <v>71</v>
      </c>
      <c r="I3" s="41" t="str">
        <f>IFERROR(IF(OR($F3="O",$G3="O",$H3="O"),CHOOSE(MATCH($A3,{"튜브","고압","진공","튜닝","조립","출하"},0),"T","H","V","N","A","P")&amp;IF($F3="O","R",IF($G3="O","A",IF($H3="O","F",""))),""),"")</f>
        <v>AF</v>
      </c>
      <c r="J3" s="38" t="s">
        <v>71</v>
      </c>
      <c r="K3" s="39"/>
      <c r="L3" s="42"/>
      <c r="M3" s="40"/>
      <c r="N3" s="43"/>
      <c r="O3" s="44"/>
      <c r="P3" s="41" t="str">
        <f t="shared" si="0"/>
        <v>3-AF</v>
      </c>
      <c r="Q3" s="108" t="str">
        <f>HYPERLINK("#'마스터_품목'!A695","→ 마스터 R695")</f>
        <v>→ 마스터 R695</v>
      </c>
      <c r="R3" s="109">
        <v>695</v>
      </c>
      <c r="S3" s="109" t="s">
        <v>72</v>
      </c>
    </row>
    <row r="4" spans="1:19" ht="48" customHeight="1" x14ac:dyDescent="0.3">
      <c r="A4" s="36" t="s">
        <v>354</v>
      </c>
      <c r="B4" s="36" t="s">
        <v>1300</v>
      </c>
      <c r="C4" s="37" t="s">
        <v>195</v>
      </c>
      <c r="D4" s="37" t="s">
        <v>1303</v>
      </c>
      <c r="E4" s="23"/>
      <c r="F4" s="38"/>
      <c r="G4" s="39"/>
      <c r="H4" s="40" t="s">
        <v>71</v>
      </c>
      <c r="I4" s="41" t="str">
        <f>IFERROR(IF(OR($F4="O",$G4="O",$H4="O"),CHOOSE(MATCH($A4,{"튜브","고압","진공","튜닝","조립","출하"},0),"T","H","V","N","A","P")&amp;IF($F4="O","R",IF($G4="O","A",IF($H4="O","F",""))),""),"")</f>
        <v>AF</v>
      </c>
      <c r="J4" s="38" t="s">
        <v>71</v>
      </c>
      <c r="K4" s="39"/>
      <c r="L4" s="42"/>
      <c r="M4" s="40"/>
      <c r="N4" s="43"/>
      <c r="O4" s="44"/>
      <c r="P4" s="41" t="str">
        <f t="shared" si="0"/>
        <v>3-AF</v>
      </c>
      <c r="Q4" s="108" t="str">
        <f>HYPERLINK("#'마스터_품목'!A696","→ 마스터 R696")</f>
        <v>→ 마스터 R696</v>
      </c>
      <c r="R4" s="109">
        <v>696</v>
      </c>
      <c r="S4" s="109" t="s">
        <v>72</v>
      </c>
    </row>
    <row r="5" spans="1:19" ht="48" customHeight="1" x14ac:dyDescent="0.3">
      <c r="A5" s="36" t="s">
        <v>354</v>
      </c>
      <c r="B5" s="36" t="s">
        <v>1300</v>
      </c>
      <c r="C5" s="37" t="s">
        <v>195</v>
      </c>
      <c r="D5" s="37" t="s">
        <v>1304</v>
      </c>
      <c r="E5" s="23"/>
      <c r="F5" s="38"/>
      <c r="G5" s="39"/>
      <c r="H5" s="40" t="s">
        <v>71</v>
      </c>
      <c r="I5" s="41" t="str">
        <f>IFERROR(IF(OR($F5="O",$G5="O",$H5="O"),CHOOSE(MATCH($A5,{"튜브","고압","진공","튜닝","조립","출하"},0),"T","H","V","N","A","P")&amp;IF($F5="O","R",IF($G5="O","A",IF($H5="O","F",""))),""),"")</f>
        <v>AF</v>
      </c>
      <c r="J5" s="38" t="s">
        <v>71</v>
      </c>
      <c r="K5" s="39"/>
      <c r="L5" s="42"/>
      <c r="M5" s="40"/>
      <c r="N5" s="43"/>
      <c r="O5" s="44"/>
      <c r="P5" s="41" t="str">
        <f t="shared" si="0"/>
        <v>3-AF</v>
      </c>
      <c r="Q5" s="108" t="str">
        <f>HYPERLINK("#'마스터_품목'!A697","→ 마스터 R697")</f>
        <v>→ 마스터 R697</v>
      </c>
      <c r="R5" s="109">
        <v>697</v>
      </c>
      <c r="S5" s="109" t="s">
        <v>72</v>
      </c>
    </row>
    <row r="6" spans="1:19" ht="48" customHeight="1" x14ac:dyDescent="0.3">
      <c r="A6" s="36" t="s">
        <v>354</v>
      </c>
      <c r="B6" s="36" t="s">
        <v>1300</v>
      </c>
      <c r="C6" s="37" t="s">
        <v>195</v>
      </c>
      <c r="D6" s="89" t="s">
        <v>1305</v>
      </c>
      <c r="E6" s="23"/>
      <c r="F6" s="38"/>
      <c r="G6" s="39"/>
      <c r="H6" s="40" t="s">
        <v>71</v>
      </c>
      <c r="I6" s="41" t="str">
        <f>IFERROR(IF(OR($F6="O",$G6="O",$H6="O"),CHOOSE(MATCH($A6,{"튜브","고압","진공","튜닝","조립","출하"},0),"T","H","V","N","A","P")&amp;IF($F6="O","R",IF($G6="O","A",IF($H6="O","F",""))),""),"")</f>
        <v>AF</v>
      </c>
      <c r="J6" s="38" t="s">
        <v>71</v>
      </c>
      <c r="K6" s="39"/>
      <c r="L6" s="42"/>
      <c r="M6" s="40"/>
      <c r="N6" s="43"/>
      <c r="O6" s="44"/>
      <c r="P6" s="41" t="str">
        <f t="shared" si="0"/>
        <v>3-AF</v>
      </c>
      <c r="Q6" s="108" t="str">
        <f>HYPERLINK("#'마스터_품목'!A698","→ 마스터 R698")</f>
        <v>→ 마스터 R698</v>
      </c>
      <c r="R6" s="109">
        <v>698</v>
      </c>
      <c r="S6" s="109" t="s">
        <v>72</v>
      </c>
    </row>
    <row r="7" spans="1:19" ht="48" customHeight="1" x14ac:dyDescent="0.3">
      <c r="A7" s="36" t="s">
        <v>354</v>
      </c>
      <c r="B7" s="36" t="s">
        <v>1300</v>
      </c>
      <c r="C7" s="37" t="s">
        <v>195</v>
      </c>
      <c r="D7" s="37" t="s">
        <v>1306</v>
      </c>
      <c r="E7" s="23"/>
      <c r="F7" s="38"/>
      <c r="G7" s="39"/>
      <c r="H7" s="40" t="s">
        <v>71</v>
      </c>
      <c r="I7" s="41" t="str">
        <f>IFERROR(IF(OR($F7="O",$G7="O",$H7="O"),CHOOSE(MATCH($A7,{"튜브","고압","진공","튜닝","조립","출하"},0),"T","H","V","N","A","P")&amp;IF($F7="O","R",IF($G7="O","A",IF($H7="O","F",""))),""),"")</f>
        <v>AF</v>
      </c>
      <c r="J7" s="38" t="s">
        <v>71</v>
      </c>
      <c r="K7" s="39"/>
      <c r="L7" s="42"/>
      <c r="M7" s="40"/>
      <c r="N7" s="43"/>
      <c r="O7" s="44"/>
      <c r="P7" s="41" t="str">
        <f t="shared" si="0"/>
        <v>3-AF</v>
      </c>
      <c r="Q7" s="108" t="str">
        <f>HYPERLINK("#'마스터_품목'!A699","→ 마스터 R699")</f>
        <v>→ 마스터 R699</v>
      </c>
      <c r="R7" s="109">
        <v>699</v>
      </c>
      <c r="S7" s="109" t="s">
        <v>72</v>
      </c>
    </row>
    <row r="8" spans="1:19" ht="48" customHeight="1" x14ac:dyDescent="0.3">
      <c r="A8" s="36" t="s">
        <v>354</v>
      </c>
      <c r="B8" s="36" t="s">
        <v>1300</v>
      </c>
      <c r="C8" s="37" t="s">
        <v>195</v>
      </c>
      <c r="D8" s="37" t="s">
        <v>1307</v>
      </c>
      <c r="E8" s="23"/>
      <c r="F8" s="38"/>
      <c r="G8" s="39"/>
      <c r="H8" s="40" t="s">
        <v>71</v>
      </c>
      <c r="I8" s="41" t="str">
        <f>IFERROR(IF(OR($F8="O",$G8="O",$H8="O"),CHOOSE(MATCH($A8,{"튜브","고압","진공","튜닝","조립","출하"},0),"T","H","V","N","A","P")&amp;IF($F8="O","R",IF($G8="O","A",IF($H8="O","F",""))),""),"")</f>
        <v>AF</v>
      </c>
      <c r="J8" s="38" t="s">
        <v>71</v>
      </c>
      <c r="K8" s="39"/>
      <c r="L8" s="42"/>
      <c r="M8" s="40"/>
      <c r="N8" s="43"/>
      <c r="O8" s="44"/>
      <c r="P8" s="41" t="str">
        <f t="shared" si="0"/>
        <v>3-AF</v>
      </c>
      <c r="Q8" s="108" t="str">
        <f>HYPERLINK("#'마스터_품목'!A700","→ 마스터 R700")</f>
        <v>→ 마스터 R700</v>
      </c>
      <c r="R8" s="109">
        <v>700</v>
      </c>
      <c r="S8" s="109" t="s">
        <v>72</v>
      </c>
    </row>
    <row r="9" spans="1:19" ht="48" customHeight="1" x14ac:dyDescent="0.3">
      <c r="A9" s="36" t="s">
        <v>354</v>
      </c>
      <c r="B9" s="36" t="s">
        <v>1300</v>
      </c>
      <c r="C9" s="37" t="s">
        <v>195</v>
      </c>
      <c r="D9" s="37" t="s">
        <v>1308</v>
      </c>
      <c r="E9" s="23"/>
      <c r="F9" s="38"/>
      <c r="G9" s="39"/>
      <c r="H9" s="40" t="s">
        <v>71</v>
      </c>
      <c r="I9" s="41" t="str">
        <f>IFERROR(IF(OR($F9="O",$G9="O",$H9="O"),CHOOSE(MATCH($A9,{"튜브","고압","진공","튜닝","조립","출하"},0),"T","H","V","N","A","P")&amp;IF($F9="O","R",IF($G9="O","A",IF($H9="O","F",""))),""),"")</f>
        <v>AF</v>
      </c>
      <c r="J9" s="38" t="s">
        <v>71</v>
      </c>
      <c r="K9" s="39"/>
      <c r="L9" s="42"/>
      <c r="M9" s="40"/>
      <c r="N9" s="43"/>
      <c r="O9" s="44"/>
      <c r="P9" s="41" t="str">
        <f t="shared" si="0"/>
        <v>3-AF</v>
      </c>
      <c r="Q9" s="108" t="str">
        <f>HYPERLINK("#'마스터_품목'!A701","→ 마스터 R701")</f>
        <v>→ 마스터 R701</v>
      </c>
      <c r="R9" s="109">
        <v>701</v>
      </c>
      <c r="S9" s="109" t="s">
        <v>72</v>
      </c>
    </row>
    <row r="10" spans="1:19" ht="48" customHeight="1" x14ac:dyDescent="0.3">
      <c r="A10" s="36" t="s">
        <v>354</v>
      </c>
      <c r="B10" s="36" t="s">
        <v>1300</v>
      </c>
      <c r="C10" s="37" t="s">
        <v>195</v>
      </c>
      <c r="D10" s="37" t="s">
        <v>1309</v>
      </c>
      <c r="E10" s="23"/>
      <c r="F10" s="38"/>
      <c r="G10" s="39"/>
      <c r="H10" s="40" t="s">
        <v>71</v>
      </c>
      <c r="I10" s="41" t="str">
        <f>IFERROR(IF(OR($F10="O",$G10="O",$H10="O"),CHOOSE(MATCH($A10,{"튜브","고압","진공","튜닝","조립","출하"},0),"T","H","V","N","A","P")&amp;IF($F10="O","R",IF($G10="O","A",IF($H10="O","F",""))),""),"")</f>
        <v>AF</v>
      </c>
      <c r="J10" s="38" t="s">
        <v>71</v>
      </c>
      <c r="K10" s="39"/>
      <c r="L10" s="42"/>
      <c r="M10" s="40"/>
      <c r="N10" s="43"/>
      <c r="O10" s="44"/>
      <c r="P10" s="41" t="str">
        <f t="shared" si="0"/>
        <v>3-AF</v>
      </c>
      <c r="Q10" s="108" t="str">
        <f>HYPERLINK("#'마스터_품목'!A702","→ 마스터 R702")</f>
        <v>→ 마스터 R702</v>
      </c>
      <c r="R10" s="109">
        <v>702</v>
      </c>
      <c r="S10" s="109" t="s">
        <v>72</v>
      </c>
    </row>
    <row r="11" spans="1:19" ht="48" customHeight="1" x14ac:dyDescent="0.3">
      <c r="A11" s="36" t="s">
        <v>354</v>
      </c>
      <c r="B11" s="36" t="s">
        <v>1300</v>
      </c>
      <c r="C11" s="37" t="s">
        <v>195</v>
      </c>
      <c r="D11" s="37" t="s">
        <v>1310</v>
      </c>
      <c r="E11" s="23"/>
      <c r="F11" s="38"/>
      <c r="G11" s="39"/>
      <c r="H11" s="40" t="s">
        <v>71</v>
      </c>
      <c r="I11" s="41" t="str">
        <f>IFERROR(IF(OR($F11="O",$G11="O",$H11="O"),CHOOSE(MATCH($A11,{"튜브","고압","진공","튜닝","조립","출하"},0),"T","H","V","N","A","P")&amp;IF($F11="O","R",IF($G11="O","A",IF($H11="O","F",""))),""),"")</f>
        <v>AF</v>
      </c>
      <c r="J11" s="38" t="s">
        <v>71</v>
      </c>
      <c r="K11" s="39"/>
      <c r="L11" s="42"/>
      <c r="M11" s="40"/>
      <c r="N11" s="43"/>
      <c r="O11" s="44"/>
      <c r="P11" s="41" t="str">
        <f t="shared" si="0"/>
        <v>3-AF</v>
      </c>
      <c r="Q11" s="108" t="str">
        <f>HYPERLINK("#'마스터_품목'!A703","→ 마스터 R703")</f>
        <v>→ 마스터 R703</v>
      </c>
      <c r="R11" s="109">
        <v>703</v>
      </c>
      <c r="S11" s="109" t="s">
        <v>72</v>
      </c>
    </row>
    <row r="12" spans="1:19" ht="48" customHeight="1" x14ac:dyDescent="0.3">
      <c r="A12" s="36" t="s">
        <v>354</v>
      </c>
      <c r="B12" s="36" t="s">
        <v>1300</v>
      </c>
      <c r="C12" s="37" t="s">
        <v>195</v>
      </c>
      <c r="D12" s="37" t="s">
        <v>1311</v>
      </c>
      <c r="E12" s="23"/>
      <c r="F12" s="38"/>
      <c r="G12" s="39"/>
      <c r="H12" s="40" t="s">
        <v>71</v>
      </c>
      <c r="I12" s="41" t="str">
        <f>IFERROR(IF(OR($F12="O",$G12="O",$H12="O"),CHOOSE(MATCH($A12,{"튜브","고압","진공","튜닝","조립","출하"},0),"T","H","V","N","A","P")&amp;IF($F12="O","R",IF($G12="O","A",IF($H12="O","F",""))),""),"")</f>
        <v>AF</v>
      </c>
      <c r="J12" s="38" t="s">
        <v>71</v>
      </c>
      <c r="K12" s="39"/>
      <c r="L12" s="42"/>
      <c r="M12" s="40"/>
      <c r="N12" s="43"/>
      <c r="O12" s="44"/>
      <c r="P12" s="41" t="str">
        <f t="shared" si="0"/>
        <v>3-AF</v>
      </c>
      <c r="Q12" s="108" t="str">
        <f>HYPERLINK("#'마스터_품목'!A704","→ 마스터 R704")</f>
        <v>→ 마스터 R704</v>
      </c>
      <c r="R12" s="109">
        <v>704</v>
      </c>
      <c r="S12" s="109" t="s">
        <v>72</v>
      </c>
    </row>
    <row r="13" spans="1:19" ht="48" customHeight="1" x14ac:dyDescent="0.3">
      <c r="A13" s="36" t="s">
        <v>354</v>
      </c>
      <c r="B13" s="36" t="s">
        <v>1300</v>
      </c>
      <c r="C13" s="37" t="s">
        <v>195</v>
      </c>
      <c r="D13" s="37" t="s">
        <v>1312</v>
      </c>
      <c r="E13" s="23"/>
      <c r="F13" s="38"/>
      <c r="G13" s="39"/>
      <c r="H13" s="40" t="s">
        <v>71</v>
      </c>
      <c r="I13" s="41" t="str">
        <f>IFERROR(IF(OR($F13="O",$G13="O",$H13="O"),CHOOSE(MATCH($A13,{"튜브","고압","진공","튜닝","조립","출하"},0),"T","H","V","N","A","P")&amp;IF($F13="O","R",IF($G13="O","A",IF($H13="O","F",""))),""),"")</f>
        <v>AF</v>
      </c>
      <c r="J13" s="38" t="s">
        <v>71</v>
      </c>
      <c r="K13" s="39"/>
      <c r="L13" s="42"/>
      <c r="M13" s="40"/>
      <c r="N13" s="43"/>
      <c r="O13" s="44"/>
      <c r="P13" s="41" t="str">
        <f t="shared" si="0"/>
        <v>3-AF</v>
      </c>
      <c r="Q13" s="108" t="str">
        <f>HYPERLINK("#'마스터_품목'!A705","→ 마스터 R705")</f>
        <v>→ 마스터 R705</v>
      </c>
      <c r="R13" s="109">
        <v>705</v>
      </c>
      <c r="S13" s="109" t="s">
        <v>72</v>
      </c>
    </row>
    <row r="14" spans="1:19" ht="48" customHeight="1" x14ac:dyDescent="0.3">
      <c r="A14" s="36" t="s">
        <v>354</v>
      </c>
      <c r="B14" s="36" t="s">
        <v>1300</v>
      </c>
      <c r="C14" s="37" t="s">
        <v>195</v>
      </c>
      <c r="D14" s="37" t="s">
        <v>1313</v>
      </c>
      <c r="E14" s="23"/>
      <c r="F14" s="38"/>
      <c r="G14" s="39"/>
      <c r="H14" s="40" t="s">
        <v>71</v>
      </c>
      <c r="I14" s="41" t="str">
        <f>IFERROR(IF(OR($F14="O",$G14="O",$H14="O"),CHOOSE(MATCH($A14,{"튜브","고압","진공","튜닝","조립","출하"},0),"T","H","V","N","A","P")&amp;IF($F14="O","R",IF($G14="O","A",IF($H14="O","F",""))),""),"")</f>
        <v>AF</v>
      </c>
      <c r="J14" s="38" t="s">
        <v>71</v>
      </c>
      <c r="K14" s="39"/>
      <c r="L14" s="42"/>
      <c r="M14" s="40"/>
      <c r="N14" s="43"/>
      <c r="O14" s="44"/>
      <c r="P14" s="41" t="str">
        <f t="shared" si="0"/>
        <v>3-AF</v>
      </c>
      <c r="Q14" s="108" t="str">
        <f>HYPERLINK("#'마스터_품목'!A706","→ 마스터 R706")</f>
        <v>→ 마스터 R706</v>
      </c>
      <c r="R14" s="109">
        <v>706</v>
      </c>
      <c r="S14" s="109" t="s">
        <v>72</v>
      </c>
    </row>
    <row r="15" spans="1:19" ht="48" customHeight="1" x14ac:dyDescent="0.3">
      <c r="A15" s="36" t="s">
        <v>354</v>
      </c>
      <c r="B15" s="36" t="s">
        <v>1300</v>
      </c>
      <c r="C15" s="37" t="s">
        <v>195</v>
      </c>
      <c r="D15" s="37" t="s">
        <v>1314</v>
      </c>
      <c r="E15" s="23"/>
      <c r="F15" s="38"/>
      <c r="G15" s="39"/>
      <c r="H15" s="40" t="s">
        <v>71</v>
      </c>
      <c r="I15" s="41" t="str">
        <f>IFERROR(IF(OR($F15="O",$G15="O",$H15="O"),CHOOSE(MATCH($A15,{"튜브","고압","진공","튜닝","조립","출하"},0),"T","H","V","N","A","P")&amp;IF($F15="O","R",IF($G15="O","A",IF($H15="O","F",""))),""),"")</f>
        <v>AF</v>
      </c>
      <c r="J15" s="38" t="s">
        <v>71</v>
      </c>
      <c r="K15" s="39"/>
      <c r="L15" s="42"/>
      <c r="M15" s="40"/>
      <c r="N15" s="43"/>
      <c r="O15" s="44"/>
      <c r="P15" s="41" t="str">
        <f t="shared" si="0"/>
        <v>3-AF</v>
      </c>
      <c r="Q15" s="108" t="str">
        <f>HYPERLINK("#'마스터_품목'!A707","→ 마스터 R707")</f>
        <v>→ 마스터 R707</v>
      </c>
      <c r="R15" s="109">
        <v>707</v>
      </c>
      <c r="S15" s="109" t="s">
        <v>72</v>
      </c>
    </row>
    <row r="16" spans="1:19" ht="48" customHeight="1" x14ac:dyDescent="0.3">
      <c r="A16" s="36" t="s">
        <v>354</v>
      </c>
      <c r="B16" s="36" t="s">
        <v>1300</v>
      </c>
      <c r="C16" s="37" t="s">
        <v>195</v>
      </c>
      <c r="D16" s="37" t="s">
        <v>1315</v>
      </c>
      <c r="E16" s="23"/>
      <c r="F16" s="38"/>
      <c r="G16" s="39"/>
      <c r="H16" s="40" t="s">
        <v>71</v>
      </c>
      <c r="I16" s="41" t="str">
        <f>IFERROR(IF(OR($F16="O",$G16="O",$H16="O"),CHOOSE(MATCH($A16,{"튜브","고압","진공","튜닝","조립","출하"},0),"T","H","V","N","A","P")&amp;IF($F16="O","R",IF($G16="O","A",IF($H16="O","F",""))),""),"")</f>
        <v>AF</v>
      </c>
      <c r="J16" s="38" t="s">
        <v>71</v>
      </c>
      <c r="K16" s="39"/>
      <c r="L16" s="42"/>
      <c r="M16" s="40"/>
      <c r="N16" s="43"/>
      <c r="O16" s="44"/>
      <c r="P16" s="41" t="str">
        <f t="shared" si="0"/>
        <v>3-AF</v>
      </c>
      <c r="Q16" s="108" t="str">
        <f>HYPERLINK("#'마스터_품목'!A708","→ 마스터 R708")</f>
        <v>→ 마스터 R708</v>
      </c>
      <c r="R16" s="109">
        <v>708</v>
      </c>
      <c r="S16" s="109" t="s">
        <v>72</v>
      </c>
    </row>
    <row r="17" spans="1:19" ht="48" customHeight="1" x14ac:dyDescent="0.3">
      <c r="A17" s="36" t="s">
        <v>354</v>
      </c>
      <c r="B17" s="36" t="s">
        <v>1300</v>
      </c>
      <c r="C17" s="37" t="s">
        <v>328</v>
      </c>
      <c r="D17" s="37" t="s">
        <v>1316</v>
      </c>
      <c r="E17" s="23"/>
      <c r="F17" s="38"/>
      <c r="G17" s="39"/>
      <c r="H17" s="40" t="s">
        <v>71</v>
      </c>
      <c r="I17" s="41" t="str">
        <f>IFERROR(IF(OR($F17="O",$G17="O",$H17="O"),CHOOSE(MATCH($A17,{"튜브","고압","진공","튜닝","조립","출하"},0),"T","H","V","N","A","P")&amp;IF($F17="O","R",IF($G17="O","A",IF($H17="O","F",""))),""),"")</f>
        <v>AF</v>
      </c>
      <c r="J17" s="38" t="s">
        <v>71</v>
      </c>
      <c r="K17" s="39"/>
      <c r="L17" s="42"/>
      <c r="M17" s="40"/>
      <c r="N17" s="43"/>
      <c r="O17" s="44"/>
      <c r="P17" s="41" t="str">
        <f t="shared" si="0"/>
        <v>3-AF</v>
      </c>
      <c r="Q17" s="108" t="str">
        <f>HYPERLINK("#'마스터_품목'!A709","→ 마스터 R709")</f>
        <v>→ 마스터 R709</v>
      </c>
      <c r="R17" s="109">
        <v>709</v>
      </c>
      <c r="S17" s="109" t="s">
        <v>72</v>
      </c>
    </row>
    <row r="18" spans="1:19" ht="48" customHeight="1" x14ac:dyDescent="0.3">
      <c r="A18" s="36" t="s">
        <v>354</v>
      </c>
      <c r="B18" s="36" t="s">
        <v>1300</v>
      </c>
      <c r="C18" s="37" t="s">
        <v>328</v>
      </c>
      <c r="D18" s="37" t="s">
        <v>1317</v>
      </c>
      <c r="E18" s="23"/>
      <c r="F18" s="38"/>
      <c r="G18" s="39"/>
      <c r="H18" s="40" t="s">
        <v>71</v>
      </c>
      <c r="I18" s="41" t="str">
        <f>IFERROR(IF(OR($F18="O",$G18="O",$H18="O"),CHOOSE(MATCH($A18,{"튜브","고압","진공","튜닝","조립","출하"},0),"T","H","V","N","A","P")&amp;IF($F18="O","R",IF($G18="O","A",IF($H18="O","F",""))),""),"")</f>
        <v>AF</v>
      </c>
      <c r="J18" s="38" t="s">
        <v>71</v>
      </c>
      <c r="K18" s="39"/>
      <c r="L18" s="42"/>
      <c r="M18" s="40"/>
      <c r="N18" s="43"/>
      <c r="O18" s="44"/>
      <c r="P18" s="41" t="str">
        <f t="shared" si="0"/>
        <v>3-AF</v>
      </c>
      <c r="Q18" s="108" t="str">
        <f>HYPERLINK("#'마스터_품목'!A710","→ 마스터 R710")</f>
        <v>→ 마스터 R710</v>
      </c>
      <c r="R18" s="109">
        <v>710</v>
      </c>
      <c r="S18" s="109" t="s">
        <v>72</v>
      </c>
    </row>
    <row r="19" spans="1:19" ht="48" customHeight="1" x14ac:dyDescent="0.3">
      <c r="A19" s="36" t="s">
        <v>354</v>
      </c>
      <c r="B19" s="36" t="s">
        <v>1300</v>
      </c>
      <c r="C19" s="37" t="s">
        <v>328</v>
      </c>
      <c r="D19" s="37" t="s">
        <v>1318</v>
      </c>
      <c r="E19" s="23"/>
      <c r="F19" s="38"/>
      <c r="G19" s="39"/>
      <c r="H19" s="40" t="s">
        <v>71</v>
      </c>
      <c r="I19" s="41" t="str">
        <f>IFERROR(IF(OR($F19="O",$G19="O",$H19="O"),CHOOSE(MATCH($A19,{"튜브","고압","진공","튜닝","조립","출하"},0),"T","H","V","N","A","P")&amp;IF($F19="O","R",IF($G19="O","A",IF($H19="O","F",""))),""),"")</f>
        <v>AF</v>
      </c>
      <c r="J19" s="38" t="s">
        <v>71</v>
      </c>
      <c r="K19" s="39"/>
      <c r="L19" s="42"/>
      <c r="M19" s="40"/>
      <c r="N19" s="43"/>
      <c r="O19" s="44"/>
      <c r="P19" s="41" t="str">
        <f t="shared" si="0"/>
        <v>3-AF</v>
      </c>
      <c r="Q19" s="108" t="str">
        <f>HYPERLINK("#'마스터_품목'!A711","→ 마스터 R711")</f>
        <v>→ 마스터 R711</v>
      </c>
      <c r="R19" s="109">
        <v>711</v>
      </c>
      <c r="S19" s="109" t="s">
        <v>72</v>
      </c>
    </row>
    <row r="20" spans="1:19" ht="48" customHeight="1" x14ac:dyDescent="0.3">
      <c r="A20" s="36" t="s">
        <v>354</v>
      </c>
      <c r="B20" s="36" t="s">
        <v>1300</v>
      </c>
      <c r="C20" s="37" t="s">
        <v>328</v>
      </c>
      <c r="D20" s="37" t="s">
        <v>1319</v>
      </c>
      <c r="E20" s="23"/>
      <c r="F20" s="38"/>
      <c r="G20" s="39"/>
      <c r="H20" s="40" t="s">
        <v>71</v>
      </c>
      <c r="I20" s="41" t="str">
        <f>IFERROR(IF(OR($F20="O",$G20="O",$H20="O"),CHOOSE(MATCH($A20,{"튜브","고압","진공","튜닝","조립","출하"},0),"T","H","V","N","A","P")&amp;IF($F20="O","R",IF($G20="O","A",IF($H20="O","F",""))),""),"")</f>
        <v>AF</v>
      </c>
      <c r="J20" s="38" t="s">
        <v>71</v>
      </c>
      <c r="K20" s="39"/>
      <c r="L20" s="42"/>
      <c r="M20" s="40"/>
      <c r="N20" s="43"/>
      <c r="O20" s="44"/>
      <c r="P20" s="41" t="str">
        <f t="shared" si="0"/>
        <v>3-AF</v>
      </c>
      <c r="Q20" s="108" t="str">
        <f>HYPERLINK("#'마스터_품목'!A712","→ 마스터 R712")</f>
        <v>→ 마스터 R712</v>
      </c>
      <c r="R20" s="109">
        <v>712</v>
      </c>
      <c r="S20" s="109" t="s">
        <v>72</v>
      </c>
    </row>
    <row r="21" spans="1:19" ht="48" customHeight="1" x14ac:dyDescent="0.3">
      <c r="A21" s="36" t="s">
        <v>354</v>
      </c>
      <c r="B21" s="36" t="s">
        <v>1300</v>
      </c>
      <c r="C21" s="37" t="s">
        <v>198</v>
      </c>
      <c r="D21" s="37" t="s">
        <v>1320</v>
      </c>
      <c r="E21" s="23"/>
      <c r="F21" s="38"/>
      <c r="G21" s="39"/>
      <c r="H21" s="40" t="s">
        <v>71</v>
      </c>
      <c r="I21" s="41" t="str">
        <f>IFERROR(IF(OR($F21="O",$G21="O",$H21="O"),CHOOSE(MATCH($A21,{"튜브","고압","진공","튜닝","조립","출하"},0),"T","H","V","N","A","P")&amp;IF($F21="O","R",IF($G21="O","A",IF($H21="O","F",""))),""),"")</f>
        <v>AF</v>
      </c>
      <c r="J21" s="38"/>
      <c r="K21" s="39" t="s">
        <v>71</v>
      </c>
      <c r="L21" s="42"/>
      <c r="M21" s="40"/>
      <c r="N21" s="43"/>
      <c r="O21" s="44"/>
      <c r="P21" s="41" t="str">
        <f t="shared" si="0"/>
        <v>4-AF</v>
      </c>
      <c r="Q21" s="108" t="str">
        <f>HYPERLINK("#'마스터_품목'!A713","→ 마스터 R713")</f>
        <v>→ 마스터 R713</v>
      </c>
      <c r="R21" s="109">
        <v>713</v>
      </c>
      <c r="S21" s="109" t="s">
        <v>72</v>
      </c>
    </row>
    <row r="22" spans="1:19" ht="48" customHeight="1" x14ac:dyDescent="0.3">
      <c r="A22" s="36" t="s">
        <v>354</v>
      </c>
      <c r="B22" s="36" t="s">
        <v>1300</v>
      </c>
      <c r="C22" s="37" t="s">
        <v>198</v>
      </c>
      <c r="D22" s="37" t="s">
        <v>1321</v>
      </c>
      <c r="E22" s="23"/>
      <c r="F22" s="38"/>
      <c r="G22" s="39"/>
      <c r="H22" s="40" t="s">
        <v>71</v>
      </c>
      <c r="I22" s="41" t="str">
        <f>IFERROR(IF(OR($F22="O",$G22="O",$H22="O"),CHOOSE(MATCH($A22,{"튜브","고압","진공","튜닝","조립","출하"},0),"T","H","V","N","A","P")&amp;IF($F22="O","R",IF($G22="O","A",IF($H22="O","F",""))),""),"")</f>
        <v>AF</v>
      </c>
      <c r="J22" s="38"/>
      <c r="K22" s="39" t="s">
        <v>71</v>
      </c>
      <c r="L22" s="42"/>
      <c r="M22" s="40"/>
      <c r="N22" s="43"/>
      <c r="O22" s="44"/>
      <c r="P22" s="41" t="str">
        <f t="shared" si="0"/>
        <v>4-AF</v>
      </c>
      <c r="Q22" s="108" t="str">
        <f>HYPERLINK("#'마스터_품목'!A714","→ 마스터 R714")</f>
        <v>→ 마스터 R714</v>
      </c>
      <c r="R22" s="109">
        <v>714</v>
      </c>
      <c r="S22" s="109" t="s">
        <v>72</v>
      </c>
    </row>
    <row r="23" spans="1:19" ht="48" customHeight="1" x14ac:dyDescent="0.3">
      <c r="A23" s="36" t="s">
        <v>354</v>
      </c>
      <c r="B23" s="36" t="s">
        <v>1300</v>
      </c>
      <c r="C23" s="37" t="s">
        <v>198</v>
      </c>
      <c r="D23" s="37" t="s">
        <v>1322</v>
      </c>
      <c r="E23" s="23"/>
      <c r="F23" s="38"/>
      <c r="G23" s="39"/>
      <c r="H23" s="40" t="s">
        <v>71</v>
      </c>
      <c r="I23" s="41" t="str">
        <f>IFERROR(IF(OR($F23="O",$G23="O",$H23="O"),CHOOSE(MATCH($A23,{"튜브","고압","진공","튜닝","조립","출하"},0),"T","H","V","N","A","P")&amp;IF($F23="O","R",IF($G23="O","A",IF($H23="O","F",""))),""),"")</f>
        <v>AF</v>
      </c>
      <c r="J23" s="38"/>
      <c r="K23" s="39" t="s">
        <v>71</v>
      </c>
      <c r="L23" s="42"/>
      <c r="M23" s="40"/>
      <c r="N23" s="43"/>
      <c r="O23" s="44"/>
      <c r="P23" s="41" t="str">
        <f t="shared" si="0"/>
        <v>4-AF</v>
      </c>
      <c r="Q23" s="108" t="str">
        <f>HYPERLINK("#'마스터_품목'!A715","→ 마스터 R715")</f>
        <v>→ 마스터 R715</v>
      </c>
      <c r="R23" s="109">
        <v>715</v>
      </c>
      <c r="S23" s="109" t="s">
        <v>72</v>
      </c>
    </row>
    <row r="24" spans="1:19" ht="48" customHeight="1" x14ac:dyDescent="0.3">
      <c r="A24" s="36" t="s">
        <v>354</v>
      </c>
      <c r="B24" s="36" t="s">
        <v>1300</v>
      </c>
      <c r="C24" s="37" t="s">
        <v>198</v>
      </c>
      <c r="D24" s="37" t="s">
        <v>1323</v>
      </c>
      <c r="E24" s="23"/>
      <c r="F24" s="38"/>
      <c r="G24" s="39"/>
      <c r="H24" s="40" t="s">
        <v>71</v>
      </c>
      <c r="I24" s="41" t="str">
        <f>IFERROR(IF(OR($F24="O",$G24="O",$H24="O"),CHOOSE(MATCH($A24,{"튜브","고압","진공","튜닝","조립","출하"},0),"T","H","V","N","A","P")&amp;IF($F24="O","R",IF($G24="O","A",IF($H24="O","F",""))),""),"")</f>
        <v>AF</v>
      </c>
      <c r="J24" s="38"/>
      <c r="K24" s="39" t="s">
        <v>71</v>
      </c>
      <c r="L24" s="42"/>
      <c r="M24" s="40"/>
      <c r="N24" s="43"/>
      <c r="O24" s="44"/>
      <c r="P24" s="41" t="str">
        <f t="shared" si="0"/>
        <v>4-AF</v>
      </c>
      <c r="Q24" s="108" t="str">
        <f>HYPERLINK("#'마스터_품목'!A716","→ 마스터 R716")</f>
        <v>→ 마스터 R716</v>
      </c>
      <c r="R24" s="109">
        <v>716</v>
      </c>
      <c r="S24" s="109" t="s">
        <v>72</v>
      </c>
    </row>
    <row r="25" spans="1:19" ht="48" customHeight="1" x14ac:dyDescent="0.3">
      <c r="A25" s="36" t="s">
        <v>354</v>
      </c>
      <c r="B25" s="36" t="s">
        <v>1300</v>
      </c>
      <c r="C25" s="37" t="s">
        <v>117</v>
      </c>
      <c r="D25" s="37" t="s">
        <v>1324</v>
      </c>
      <c r="E25" s="23"/>
      <c r="F25" s="38"/>
      <c r="G25" s="39"/>
      <c r="H25" s="40" t="s">
        <v>71</v>
      </c>
      <c r="I25" s="41" t="str">
        <f>IFERROR(IF(OR($F25="O",$G25="O",$H25="O"),CHOOSE(MATCH($A25,{"튜브","고압","진공","튜닝","조립","출하"},0),"T","H","V","N","A","P")&amp;IF($F25="O","R",IF($G25="O","A",IF($H25="O","F",""))),""),"")</f>
        <v>AF</v>
      </c>
      <c r="J25" s="38"/>
      <c r="K25" s="39"/>
      <c r="L25" s="42" t="s">
        <v>71</v>
      </c>
      <c r="M25" s="40"/>
      <c r="N25" s="43"/>
      <c r="O25" s="44"/>
      <c r="P25" s="41" t="str">
        <f t="shared" si="0"/>
        <v>6-AF</v>
      </c>
      <c r="Q25" s="108" t="str">
        <f>HYPERLINK("#'마스터_품목'!A717","→ 마스터 R717")</f>
        <v>→ 마스터 R717</v>
      </c>
      <c r="R25" s="109">
        <v>717</v>
      </c>
      <c r="S25" s="109" t="s">
        <v>72</v>
      </c>
    </row>
    <row r="26" spans="1:19" ht="48" customHeight="1" x14ac:dyDescent="0.3">
      <c r="A26" s="36" t="s">
        <v>354</v>
      </c>
      <c r="B26" s="36" t="s">
        <v>1300</v>
      </c>
      <c r="C26" s="37" t="s">
        <v>117</v>
      </c>
      <c r="D26" s="37" t="s">
        <v>1325</v>
      </c>
      <c r="E26" s="23"/>
      <c r="F26" s="38"/>
      <c r="G26" s="39"/>
      <c r="H26" s="40" t="s">
        <v>71</v>
      </c>
      <c r="I26" s="41" t="str">
        <f>IFERROR(IF(OR($F26="O",$G26="O",$H26="O"),CHOOSE(MATCH($A26,{"튜브","고압","진공","튜닝","조립","출하"},0),"T","H","V","N","A","P")&amp;IF($F26="O","R",IF($G26="O","A",IF($H26="O","F",""))),""),"")</f>
        <v>AF</v>
      </c>
      <c r="J26" s="38"/>
      <c r="K26" s="39"/>
      <c r="L26" s="42" t="s">
        <v>71</v>
      </c>
      <c r="M26" s="40"/>
      <c r="N26" s="43"/>
      <c r="O26" s="44"/>
      <c r="P26" s="41" t="str">
        <f t="shared" si="0"/>
        <v>6-AF</v>
      </c>
      <c r="Q26" s="108" t="str">
        <f>HYPERLINK("#'마스터_품목'!A718","→ 마스터 R718")</f>
        <v>→ 마스터 R718</v>
      </c>
      <c r="R26" s="109">
        <v>718</v>
      </c>
      <c r="S26" s="109" t="s">
        <v>72</v>
      </c>
    </row>
    <row r="27" spans="1:19" ht="48" customHeight="1" x14ac:dyDescent="0.3">
      <c r="A27" s="36" t="s">
        <v>354</v>
      </c>
      <c r="B27" s="36" t="s">
        <v>1300</v>
      </c>
      <c r="C27" s="37" t="s">
        <v>117</v>
      </c>
      <c r="D27" s="37" t="s">
        <v>1326</v>
      </c>
      <c r="E27" s="23"/>
      <c r="F27" s="38"/>
      <c r="G27" s="39"/>
      <c r="H27" s="40" t="s">
        <v>71</v>
      </c>
      <c r="I27" s="41" t="str">
        <f>IFERROR(IF(OR($F27="O",$G27="O",$H27="O"),CHOOSE(MATCH($A27,{"튜브","고압","진공","튜닝","조립","출하"},0),"T","H","V","N","A","P")&amp;IF($F27="O","R",IF($G27="O","A",IF($H27="O","F",""))),""),"")</f>
        <v>AF</v>
      </c>
      <c r="J27" s="38"/>
      <c r="K27" s="39"/>
      <c r="L27" s="42" t="s">
        <v>71</v>
      </c>
      <c r="M27" s="40"/>
      <c r="N27" s="43"/>
      <c r="O27" s="44"/>
      <c r="P27" s="41" t="str">
        <f t="shared" si="0"/>
        <v>6-AF</v>
      </c>
      <c r="Q27" s="108" t="str">
        <f>HYPERLINK("#'마스터_품목'!A719","→ 마스터 R719")</f>
        <v>→ 마스터 R719</v>
      </c>
      <c r="R27" s="109">
        <v>719</v>
      </c>
      <c r="S27" s="109" t="s">
        <v>72</v>
      </c>
    </row>
    <row r="28" spans="1:19" ht="48" customHeight="1" x14ac:dyDescent="0.3">
      <c r="A28" s="36" t="s">
        <v>354</v>
      </c>
      <c r="B28" s="36" t="s">
        <v>1300</v>
      </c>
      <c r="C28" s="37" t="s">
        <v>153</v>
      </c>
      <c r="D28" s="37" t="s">
        <v>1327</v>
      </c>
      <c r="E28" s="23"/>
      <c r="F28" s="38"/>
      <c r="G28" s="39"/>
      <c r="H28" s="40" t="s">
        <v>71</v>
      </c>
      <c r="I28" s="41" t="str">
        <f>IFERROR(IF(OR($F28="O",$G28="O",$H28="O"),CHOOSE(MATCH($A28,{"튜브","고압","진공","튜닝","조립","출하"},0),"T","H","V","N","A","P")&amp;IF($F28="O","R",IF($G28="O","A",IF($H28="O","F",""))),""),"")</f>
        <v>AF</v>
      </c>
      <c r="J28" s="38"/>
      <c r="K28" s="39"/>
      <c r="L28" s="42"/>
      <c r="M28" s="40" t="s">
        <v>71</v>
      </c>
      <c r="N28" s="43"/>
      <c r="O28" s="44"/>
      <c r="P28" s="41" t="str">
        <f t="shared" si="0"/>
        <v>7-AF</v>
      </c>
      <c r="Q28" s="108" t="str">
        <f>HYPERLINK("#'마스터_품목'!A720","→ 마스터 R720")</f>
        <v>→ 마스터 R720</v>
      </c>
      <c r="R28" s="109">
        <v>720</v>
      </c>
      <c r="S28" s="109" t="s">
        <v>72</v>
      </c>
    </row>
    <row r="29" spans="1:19" ht="48" customHeight="1" x14ac:dyDescent="0.3">
      <c r="A29" s="36" t="s">
        <v>354</v>
      </c>
      <c r="B29" s="36" t="s">
        <v>1300</v>
      </c>
      <c r="C29" s="37" t="s">
        <v>153</v>
      </c>
      <c r="D29" s="37" t="s">
        <v>1328</v>
      </c>
      <c r="E29" s="23"/>
      <c r="F29" s="38"/>
      <c r="G29" s="39"/>
      <c r="H29" s="40" t="s">
        <v>71</v>
      </c>
      <c r="I29" s="41" t="str">
        <f>IFERROR(IF(OR($F29="O",$G29="O",$H29="O"),CHOOSE(MATCH($A29,{"튜브","고압","진공","튜닝","조립","출하"},0),"T","H","V","N","A","P")&amp;IF($F29="O","R",IF($G29="O","A",IF($H29="O","F",""))),""),"")</f>
        <v>AF</v>
      </c>
      <c r="J29" s="38"/>
      <c r="K29" s="39"/>
      <c r="L29" s="42"/>
      <c r="M29" s="40" t="s">
        <v>71</v>
      </c>
      <c r="N29" s="43"/>
      <c r="O29" s="44"/>
      <c r="P29" s="41" t="str">
        <f t="shared" si="0"/>
        <v>7-AF</v>
      </c>
      <c r="Q29" s="108" t="str">
        <f>HYPERLINK("#'마스터_품목'!A721","→ 마스터 R721")</f>
        <v>→ 마스터 R721</v>
      </c>
      <c r="R29" s="109">
        <v>721</v>
      </c>
      <c r="S29" s="109" t="s">
        <v>72</v>
      </c>
    </row>
    <row r="30" spans="1:19" ht="48" customHeight="1" x14ac:dyDescent="0.3">
      <c r="A30" s="36" t="s">
        <v>354</v>
      </c>
      <c r="B30" s="36" t="s">
        <v>1300</v>
      </c>
      <c r="C30" s="37" t="s">
        <v>153</v>
      </c>
      <c r="D30" s="37" t="s">
        <v>1329</v>
      </c>
      <c r="E30" s="23"/>
      <c r="F30" s="38"/>
      <c r="G30" s="39"/>
      <c r="H30" s="40" t="s">
        <v>71</v>
      </c>
      <c r="I30" s="41" t="str">
        <f>IFERROR(IF(OR($F30="O",$G30="O",$H30="O"),CHOOSE(MATCH($A30,{"튜브","고압","진공","튜닝","조립","출하"},0),"T","H","V","N","A","P")&amp;IF($F30="O","R",IF($G30="O","A",IF($H30="O","F",""))),""),"")</f>
        <v>AF</v>
      </c>
      <c r="J30" s="38"/>
      <c r="K30" s="39"/>
      <c r="L30" s="42"/>
      <c r="M30" s="40" t="s">
        <v>71</v>
      </c>
      <c r="N30" s="43"/>
      <c r="O30" s="44"/>
      <c r="P30" s="41" t="str">
        <f t="shared" si="0"/>
        <v>7-AF</v>
      </c>
      <c r="Q30" s="108" t="str">
        <f>HYPERLINK("#'마스터_품목'!A722","→ 마스터 R722")</f>
        <v>→ 마스터 R722</v>
      </c>
      <c r="R30" s="109">
        <v>722</v>
      </c>
      <c r="S30" s="109" t="s">
        <v>72</v>
      </c>
    </row>
    <row r="31" spans="1:19" ht="48" customHeight="1" x14ac:dyDescent="0.3">
      <c r="A31" s="36" t="s">
        <v>354</v>
      </c>
      <c r="B31" s="36" t="s">
        <v>1300</v>
      </c>
      <c r="C31" s="37" t="s">
        <v>153</v>
      </c>
      <c r="D31" s="37" t="s">
        <v>1330</v>
      </c>
      <c r="E31" s="23"/>
      <c r="F31" s="38"/>
      <c r="G31" s="39"/>
      <c r="H31" s="40" t="s">
        <v>71</v>
      </c>
      <c r="I31" s="41" t="str">
        <f>IFERROR(IF(OR($F31="O",$G31="O",$H31="O"),CHOOSE(MATCH($A31,{"튜브","고압","진공","튜닝","조립","출하"},0),"T","H","V","N","A","P")&amp;IF($F31="O","R",IF($G31="O","A",IF($H31="O","F",""))),""),"")</f>
        <v>AF</v>
      </c>
      <c r="J31" s="38"/>
      <c r="K31" s="39"/>
      <c r="L31" s="42"/>
      <c r="M31" s="40" t="s">
        <v>71</v>
      </c>
      <c r="N31" s="43"/>
      <c r="O31" s="44"/>
      <c r="P31" s="41" t="str">
        <f t="shared" si="0"/>
        <v>7-AF</v>
      </c>
      <c r="Q31" s="108" t="str">
        <f>HYPERLINK("#'마스터_품목'!A723","→ 마스터 R723")</f>
        <v>→ 마스터 R723</v>
      </c>
      <c r="R31" s="109">
        <v>723</v>
      </c>
      <c r="S31" s="109" t="s">
        <v>72</v>
      </c>
    </row>
    <row r="32" spans="1:19" ht="48" customHeight="1" x14ac:dyDescent="0.3">
      <c r="A32" s="36" t="s">
        <v>354</v>
      </c>
      <c r="B32" s="36" t="s">
        <v>1300</v>
      </c>
      <c r="C32" s="37" t="s">
        <v>153</v>
      </c>
      <c r="D32" s="37" t="s">
        <v>1331</v>
      </c>
      <c r="E32" s="23"/>
      <c r="F32" s="38"/>
      <c r="G32" s="39"/>
      <c r="H32" s="40" t="s">
        <v>71</v>
      </c>
      <c r="I32" s="41" t="str">
        <f>IFERROR(IF(OR($F32="O",$G32="O",$H32="O"),CHOOSE(MATCH($A32,{"튜브","고압","진공","튜닝","조립","출하"},0),"T","H","V","N","A","P")&amp;IF($F32="O","R",IF($G32="O","A",IF($H32="O","F",""))),""),"")</f>
        <v>AF</v>
      </c>
      <c r="J32" s="38"/>
      <c r="K32" s="39"/>
      <c r="L32" s="42"/>
      <c r="M32" s="40" t="s">
        <v>71</v>
      </c>
      <c r="N32" s="43"/>
      <c r="O32" s="44"/>
      <c r="P32" s="41" t="str">
        <f t="shared" si="0"/>
        <v>7-AF</v>
      </c>
      <c r="Q32" s="108" t="str">
        <f>HYPERLINK("#'마스터_품목'!A724","→ 마스터 R724")</f>
        <v>→ 마스터 R724</v>
      </c>
      <c r="R32" s="109">
        <v>724</v>
      </c>
      <c r="S32" s="109" t="s">
        <v>72</v>
      </c>
    </row>
    <row r="33" spans="1:19" ht="48" customHeight="1" x14ac:dyDescent="0.3">
      <c r="A33" s="36" t="s">
        <v>354</v>
      </c>
      <c r="B33" s="36" t="s">
        <v>1300</v>
      </c>
      <c r="C33" s="37" t="s">
        <v>153</v>
      </c>
      <c r="D33" s="37" t="s">
        <v>1332</v>
      </c>
      <c r="E33" s="23"/>
      <c r="F33" s="38"/>
      <c r="G33" s="39"/>
      <c r="H33" s="40" t="s">
        <v>71</v>
      </c>
      <c r="I33" s="41" t="str">
        <f>IFERROR(IF(OR($F33="O",$G33="O",$H33="O"),CHOOSE(MATCH($A33,{"튜브","고압","진공","튜닝","조립","출하"},0),"T","H","V","N","A","P")&amp;IF($F33="O","R",IF($G33="O","A",IF($H33="O","F",""))),""),"")</f>
        <v>AF</v>
      </c>
      <c r="J33" s="38"/>
      <c r="K33" s="39"/>
      <c r="L33" s="42"/>
      <c r="M33" s="40" t="s">
        <v>71</v>
      </c>
      <c r="N33" s="43"/>
      <c r="O33" s="44"/>
      <c r="P33" s="41" t="str">
        <f t="shared" si="0"/>
        <v>7-AF</v>
      </c>
      <c r="Q33" s="108" t="str">
        <f>HYPERLINK("#'마스터_품목'!A725","→ 마스터 R725")</f>
        <v>→ 마스터 R725</v>
      </c>
      <c r="R33" s="109">
        <v>725</v>
      </c>
      <c r="S33" s="109" t="s">
        <v>72</v>
      </c>
    </row>
    <row r="34" spans="1:19" ht="48" customHeight="1" x14ac:dyDescent="0.3">
      <c r="A34" s="36" t="s">
        <v>354</v>
      </c>
      <c r="B34" s="36" t="s">
        <v>1300</v>
      </c>
      <c r="C34" s="37" t="s">
        <v>153</v>
      </c>
      <c r="D34" s="37" t="s">
        <v>1333</v>
      </c>
      <c r="E34" s="23"/>
      <c r="F34" s="38"/>
      <c r="G34" s="39"/>
      <c r="H34" s="40" t="s">
        <v>71</v>
      </c>
      <c r="I34" s="41" t="str">
        <f>IFERROR(IF(OR($F34="O",$G34="O",$H34="O"),CHOOSE(MATCH($A34,{"튜브","고압","진공","튜닝","조립","출하"},0),"T","H","V","N","A","P")&amp;IF($F34="O","R",IF($G34="O","A",IF($H34="O","F",""))),""),"")</f>
        <v>AF</v>
      </c>
      <c r="J34" s="38"/>
      <c r="K34" s="39"/>
      <c r="L34" s="42"/>
      <c r="M34" s="40" t="s">
        <v>71</v>
      </c>
      <c r="N34" s="43"/>
      <c r="O34" s="44"/>
      <c r="P34" s="41" t="str">
        <f t="shared" si="0"/>
        <v>7-AF</v>
      </c>
      <c r="Q34" s="108" t="str">
        <f>HYPERLINK("#'마스터_품목'!A726","→ 마스터 R726")</f>
        <v>→ 마스터 R726</v>
      </c>
      <c r="R34" s="109">
        <v>726</v>
      </c>
      <c r="S34" s="109" t="s">
        <v>72</v>
      </c>
    </row>
    <row r="35" spans="1:19" ht="48" customHeight="1" x14ac:dyDescent="0.3">
      <c r="A35" s="36" t="s">
        <v>354</v>
      </c>
      <c r="B35" s="36" t="s">
        <v>1300</v>
      </c>
      <c r="C35" s="37" t="s">
        <v>153</v>
      </c>
      <c r="D35" s="37" t="s">
        <v>1334</v>
      </c>
      <c r="E35" s="23"/>
      <c r="F35" s="38"/>
      <c r="G35" s="39"/>
      <c r="H35" s="40" t="s">
        <v>71</v>
      </c>
      <c r="I35" s="41" t="str">
        <f>IFERROR(IF(OR($F35="O",$G35="O",$H35="O"),CHOOSE(MATCH($A35,{"튜브","고압","진공","튜닝","조립","출하"},0),"T","H","V","N","A","P")&amp;IF($F35="O","R",IF($G35="O","A",IF($H35="O","F",""))),""),"")</f>
        <v>AF</v>
      </c>
      <c r="J35" s="38"/>
      <c r="K35" s="39"/>
      <c r="L35" s="42"/>
      <c r="M35" s="40" t="s">
        <v>71</v>
      </c>
      <c r="N35" s="43"/>
      <c r="O35" s="44"/>
      <c r="P35" s="41" t="str">
        <f t="shared" si="0"/>
        <v>7-AF</v>
      </c>
      <c r="Q35" s="108" t="str">
        <f>HYPERLINK("#'마스터_품목'!A727","→ 마스터 R727")</f>
        <v>→ 마스터 R727</v>
      </c>
      <c r="R35" s="109">
        <v>727</v>
      </c>
      <c r="S35" s="109" t="s">
        <v>72</v>
      </c>
    </row>
    <row r="36" spans="1:19" ht="48" customHeight="1" x14ac:dyDescent="0.3">
      <c r="A36" s="36" t="s">
        <v>354</v>
      </c>
      <c r="B36" s="36" t="s">
        <v>1300</v>
      </c>
      <c r="C36" s="37" t="s">
        <v>153</v>
      </c>
      <c r="D36" s="37" t="s">
        <v>1335</v>
      </c>
      <c r="E36" s="23"/>
      <c r="F36" s="38"/>
      <c r="G36" s="39"/>
      <c r="H36" s="40" t="s">
        <v>71</v>
      </c>
      <c r="I36" s="41" t="str">
        <f>IFERROR(IF(OR($F36="O",$G36="O",$H36="O"),CHOOSE(MATCH($A36,{"튜브","고압","진공","튜닝","조립","출하"},0),"T","H","V","N","A","P")&amp;IF($F36="O","R",IF($G36="O","A",IF($H36="O","F",""))),""),"")</f>
        <v>AF</v>
      </c>
      <c r="J36" s="38"/>
      <c r="K36" s="39"/>
      <c r="L36" s="42"/>
      <c r="M36" s="40" t="s">
        <v>71</v>
      </c>
      <c r="N36" s="43"/>
      <c r="O36" s="44"/>
      <c r="P36" s="41" t="str">
        <f t="shared" si="0"/>
        <v>7-AF</v>
      </c>
      <c r="Q36" s="108" t="str">
        <f>HYPERLINK("#'마스터_품목'!A728","→ 마스터 R728")</f>
        <v>→ 마스터 R728</v>
      </c>
      <c r="R36" s="109">
        <v>728</v>
      </c>
      <c r="S36" s="109" t="s">
        <v>72</v>
      </c>
    </row>
    <row r="37" spans="1:19" ht="48" customHeight="1" x14ac:dyDescent="0.3">
      <c r="A37" s="36" t="s">
        <v>354</v>
      </c>
      <c r="B37" s="36" t="s">
        <v>1300</v>
      </c>
      <c r="C37" s="37" t="s">
        <v>153</v>
      </c>
      <c r="D37" s="37" t="s">
        <v>1336</v>
      </c>
      <c r="E37" s="23"/>
      <c r="F37" s="38"/>
      <c r="G37" s="39"/>
      <c r="H37" s="40" t="s">
        <v>71</v>
      </c>
      <c r="I37" s="41" t="str">
        <f>IFERROR(IF(OR($F37="O",$G37="O",$H37="O"),CHOOSE(MATCH($A37,{"튜브","고압","진공","튜닝","조립","출하"},0),"T","H","V","N","A","P")&amp;IF($F37="O","R",IF($G37="O","A",IF($H37="O","F",""))),""),"")</f>
        <v>AF</v>
      </c>
      <c r="J37" s="38"/>
      <c r="K37" s="39"/>
      <c r="L37" s="42"/>
      <c r="M37" s="40" t="s">
        <v>71</v>
      </c>
      <c r="N37" s="43"/>
      <c r="O37" s="44"/>
      <c r="P37" s="41" t="str">
        <f t="shared" si="0"/>
        <v>7-AF</v>
      </c>
      <c r="Q37" s="108" t="str">
        <f>HYPERLINK("#'마스터_품목'!A729","→ 마스터 R729")</f>
        <v>→ 마스터 R729</v>
      </c>
      <c r="R37" s="109">
        <v>729</v>
      </c>
      <c r="S37" s="109" t="s">
        <v>72</v>
      </c>
    </row>
    <row r="38" spans="1:19" ht="48" customHeight="1" x14ac:dyDescent="0.3">
      <c r="A38" s="36" t="s">
        <v>354</v>
      </c>
      <c r="B38" s="36" t="s">
        <v>1300</v>
      </c>
      <c r="C38" s="37" t="s">
        <v>153</v>
      </c>
      <c r="D38" s="37" t="s">
        <v>1337</v>
      </c>
      <c r="E38" s="23"/>
      <c r="F38" s="38"/>
      <c r="G38" s="39"/>
      <c r="H38" s="40" t="s">
        <v>71</v>
      </c>
      <c r="I38" s="41" t="str">
        <f>IFERROR(IF(OR($F38="O",$G38="O",$H38="O"),CHOOSE(MATCH($A38,{"튜브","고압","진공","튜닝","조립","출하"},0),"T","H","V","N","A","P")&amp;IF($F38="O","R",IF($G38="O","A",IF($H38="O","F",""))),""),"")</f>
        <v>AF</v>
      </c>
      <c r="J38" s="38"/>
      <c r="K38" s="39"/>
      <c r="L38" s="42"/>
      <c r="M38" s="40" t="s">
        <v>71</v>
      </c>
      <c r="N38" s="43"/>
      <c r="O38" s="44"/>
      <c r="P38" s="41" t="str">
        <f t="shared" si="0"/>
        <v>7-AF</v>
      </c>
      <c r="Q38" s="108" t="str">
        <f>HYPERLINK("#'마스터_품목'!A730","→ 마스터 R730")</f>
        <v>→ 마스터 R730</v>
      </c>
      <c r="R38" s="109">
        <v>730</v>
      </c>
      <c r="S38" s="109" t="s">
        <v>72</v>
      </c>
    </row>
    <row r="39" spans="1:19" ht="48" customHeight="1" x14ac:dyDescent="0.3">
      <c r="A39" s="36" t="s">
        <v>354</v>
      </c>
      <c r="B39" s="36" t="s">
        <v>1300</v>
      </c>
      <c r="C39" s="37" t="s">
        <v>153</v>
      </c>
      <c r="D39" s="37" t="s">
        <v>1338</v>
      </c>
      <c r="E39" s="23"/>
      <c r="F39" s="38"/>
      <c r="G39" s="39"/>
      <c r="H39" s="40" t="s">
        <v>71</v>
      </c>
      <c r="I39" s="41" t="str">
        <f>IFERROR(IF(OR($F39="O",$G39="O",$H39="O"),CHOOSE(MATCH($A39,{"튜브","고압","진공","튜닝","조립","출하"},0),"T","H","V","N","A","P")&amp;IF($F39="O","R",IF($G39="O","A",IF($H39="O","F",""))),""),"")</f>
        <v>AF</v>
      </c>
      <c r="J39" s="38"/>
      <c r="K39" s="39"/>
      <c r="L39" s="42"/>
      <c r="M39" s="40" t="s">
        <v>71</v>
      </c>
      <c r="N39" s="43"/>
      <c r="O39" s="44"/>
      <c r="P39" s="41" t="str">
        <f t="shared" si="0"/>
        <v>7-AF</v>
      </c>
      <c r="Q39" s="108" t="str">
        <f>HYPERLINK("#'마스터_품목'!A731","→ 마스터 R731")</f>
        <v>→ 마스터 R731</v>
      </c>
      <c r="R39" s="109">
        <v>731</v>
      </c>
      <c r="S39" s="109" t="s">
        <v>72</v>
      </c>
    </row>
    <row r="40" spans="1:19" ht="48" customHeight="1" x14ac:dyDescent="0.3">
      <c r="A40" s="36" t="s">
        <v>354</v>
      </c>
      <c r="B40" s="36" t="s">
        <v>1300</v>
      </c>
      <c r="C40" s="37" t="s">
        <v>153</v>
      </c>
      <c r="D40" s="37" t="s">
        <v>1339</v>
      </c>
      <c r="E40" s="23"/>
      <c r="F40" s="38"/>
      <c r="G40" s="39"/>
      <c r="H40" s="40" t="s">
        <v>71</v>
      </c>
      <c r="I40" s="41" t="str">
        <f>IFERROR(IF(OR($F40="O",$G40="O",$H40="O"),CHOOSE(MATCH($A40,{"튜브","고압","진공","튜닝","조립","출하"},0),"T","H","V","N","A","P")&amp;IF($F40="O","R",IF($G40="O","A",IF($H40="O","F",""))),""),"")</f>
        <v>AF</v>
      </c>
      <c r="J40" s="38"/>
      <c r="K40" s="39"/>
      <c r="L40" s="42"/>
      <c r="M40" s="40" t="s">
        <v>71</v>
      </c>
      <c r="N40" s="43"/>
      <c r="O40" s="44"/>
      <c r="P40" s="41" t="str">
        <f t="shared" si="0"/>
        <v>7-AF</v>
      </c>
      <c r="Q40" s="108" t="str">
        <f>HYPERLINK("#'마스터_품목'!A732","→ 마스터 R732")</f>
        <v>→ 마스터 R732</v>
      </c>
      <c r="R40" s="109">
        <v>732</v>
      </c>
      <c r="S40" s="109" t="s">
        <v>72</v>
      </c>
    </row>
    <row r="41" spans="1:19" ht="48" customHeight="1" x14ac:dyDescent="0.3">
      <c r="A41" s="36" t="s">
        <v>354</v>
      </c>
      <c r="B41" s="36" t="s">
        <v>1300</v>
      </c>
      <c r="C41" s="37" t="s">
        <v>153</v>
      </c>
      <c r="D41" s="37" t="s">
        <v>1340</v>
      </c>
      <c r="E41" s="23"/>
      <c r="F41" s="38"/>
      <c r="G41" s="39"/>
      <c r="H41" s="40" t="s">
        <v>71</v>
      </c>
      <c r="I41" s="41" t="str">
        <f>IFERROR(IF(OR($F41="O",$G41="O",$H41="O"),CHOOSE(MATCH($A41,{"튜브","고압","진공","튜닝","조립","출하"},0),"T","H","V","N","A","P")&amp;IF($F41="O","R",IF($G41="O","A",IF($H41="O","F",""))),""),"")</f>
        <v>AF</v>
      </c>
      <c r="J41" s="38"/>
      <c r="K41" s="39"/>
      <c r="L41" s="42"/>
      <c r="M41" s="40" t="s">
        <v>71</v>
      </c>
      <c r="N41" s="43"/>
      <c r="O41" s="44"/>
      <c r="P41" s="41" t="str">
        <f t="shared" si="0"/>
        <v>7-AF</v>
      </c>
      <c r="Q41" s="108" t="str">
        <f>HYPERLINK("#'마스터_품목'!A733","→ 마스터 R733")</f>
        <v>→ 마스터 R733</v>
      </c>
      <c r="R41" s="109">
        <v>733</v>
      </c>
      <c r="S41" s="109" t="s">
        <v>72</v>
      </c>
    </row>
    <row r="42" spans="1:19" ht="48" customHeight="1" x14ac:dyDescent="0.3">
      <c r="A42" s="36" t="s">
        <v>354</v>
      </c>
      <c r="B42" s="36" t="s">
        <v>1300</v>
      </c>
      <c r="C42" s="37" t="s">
        <v>182</v>
      </c>
      <c r="D42" s="37" t="s">
        <v>1341</v>
      </c>
      <c r="E42" s="23"/>
      <c r="F42" s="38"/>
      <c r="G42" s="39"/>
      <c r="H42" s="40" t="s">
        <v>71</v>
      </c>
      <c r="I42" s="41" t="str">
        <f>IFERROR(IF(OR($F42="O",$G42="O",$H42="O"),CHOOSE(MATCH($A42,{"튜브","고압","진공","튜닝","조립","출하"},0),"T","H","V","N","A","P")&amp;IF($F42="O","R",IF($G42="O","A",IF($H42="O","F",""))),""),"")</f>
        <v>AF</v>
      </c>
      <c r="J42" s="38"/>
      <c r="K42" s="39"/>
      <c r="L42" s="42"/>
      <c r="M42" s="40"/>
      <c r="N42" s="43" t="s">
        <v>71</v>
      </c>
      <c r="O42" s="44"/>
      <c r="P42" s="41" t="str">
        <f t="shared" si="0"/>
        <v>8-AF</v>
      </c>
      <c r="Q42" s="108" t="str">
        <f>HYPERLINK("#'마스터_품목'!A734","→ 마스터 R734")</f>
        <v>→ 마스터 R734</v>
      </c>
      <c r="R42" s="109">
        <v>734</v>
      </c>
      <c r="S42" s="109" t="s">
        <v>72</v>
      </c>
    </row>
    <row r="43" spans="1:19" ht="48" customHeight="1" x14ac:dyDescent="0.3">
      <c r="A43" s="36" t="s">
        <v>354</v>
      </c>
      <c r="B43" s="36" t="s">
        <v>1300</v>
      </c>
      <c r="C43" s="37" t="s">
        <v>182</v>
      </c>
      <c r="D43" s="37" t="s">
        <v>1342</v>
      </c>
      <c r="E43" s="23"/>
      <c r="F43" s="38"/>
      <c r="G43" s="39"/>
      <c r="H43" s="40" t="s">
        <v>71</v>
      </c>
      <c r="I43" s="41" t="str">
        <f>IFERROR(IF(OR($F43="O",$G43="O",$H43="O"),CHOOSE(MATCH($A43,{"튜브","고압","진공","튜닝","조립","출하"},0),"T","H","V","N","A","P")&amp;IF($F43="O","R",IF($G43="O","A",IF($H43="O","F",""))),""),"")</f>
        <v>AF</v>
      </c>
      <c r="J43" s="38"/>
      <c r="K43" s="39"/>
      <c r="L43" s="42"/>
      <c r="M43" s="40"/>
      <c r="N43" s="43" t="s">
        <v>71</v>
      </c>
      <c r="O43" s="44"/>
      <c r="P43" s="41" t="str">
        <f t="shared" si="0"/>
        <v>8-AF</v>
      </c>
      <c r="Q43" s="108" t="str">
        <f>HYPERLINK("#'마스터_품목'!A735","→ 마스터 R735")</f>
        <v>→ 마스터 R735</v>
      </c>
      <c r="R43" s="109">
        <v>735</v>
      </c>
      <c r="S43" s="109" t="s">
        <v>72</v>
      </c>
    </row>
    <row r="44" spans="1:19" x14ac:dyDescent="0.3">
      <c r="E44" s="23"/>
    </row>
    <row r="45" spans="1:19" x14ac:dyDescent="0.3">
      <c r="E45" s="23"/>
    </row>
    <row r="46" spans="1:19" x14ac:dyDescent="0.3">
      <c r="E46" s="23"/>
    </row>
    <row r="47" spans="1:19" x14ac:dyDescent="0.3">
      <c r="E47" s="23"/>
    </row>
    <row r="48" spans="1:19" x14ac:dyDescent="0.3">
      <c r="E48" s="23"/>
    </row>
    <row r="49" spans="5:5" x14ac:dyDescent="0.3">
      <c r="E49" s="23"/>
    </row>
    <row r="50" spans="5:5" x14ac:dyDescent="0.3">
      <c r="E50" s="23"/>
    </row>
    <row r="51" spans="5:5" x14ac:dyDescent="0.3">
      <c r="E51" s="23"/>
    </row>
    <row r="52" spans="5:5" x14ac:dyDescent="0.3">
      <c r="E52" s="23"/>
    </row>
    <row r="53" spans="5:5" x14ac:dyDescent="0.3">
      <c r="E53" s="23"/>
    </row>
    <row r="54" spans="5:5" x14ac:dyDescent="0.3">
      <c r="E54" s="23"/>
    </row>
    <row r="55" spans="5:5" x14ac:dyDescent="0.3">
      <c r="E55" s="23"/>
    </row>
    <row r="56" spans="5:5" x14ac:dyDescent="0.3">
      <c r="E56" s="23"/>
    </row>
    <row r="57" spans="5:5" x14ac:dyDescent="0.3">
      <c r="E57" s="23"/>
    </row>
    <row r="58" spans="5:5" x14ac:dyDescent="0.3">
      <c r="E58" s="23"/>
    </row>
    <row r="59" spans="5:5" x14ac:dyDescent="0.3">
      <c r="E59" s="23"/>
    </row>
    <row r="60" spans="5:5" x14ac:dyDescent="0.3">
      <c r="E60" s="23"/>
    </row>
    <row r="61" spans="5:5" x14ac:dyDescent="0.3">
      <c r="E61" s="23"/>
    </row>
    <row r="62" spans="5:5" x14ac:dyDescent="0.3">
      <c r="E62" s="23"/>
    </row>
    <row r="63" spans="5:5" x14ac:dyDescent="0.3">
      <c r="E63" s="23"/>
    </row>
    <row r="64" spans="5:5" x14ac:dyDescent="0.3">
      <c r="E64" s="23"/>
    </row>
    <row r="65" spans="5:5" x14ac:dyDescent="0.3">
      <c r="E65" s="23"/>
    </row>
    <row r="66" spans="5:5" x14ac:dyDescent="0.3">
      <c r="E66" s="23"/>
    </row>
    <row r="67" spans="5:5" x14ac:dyDescent="0.3">
      <c r="E67" s="23"/>
    </row>
    <row r="68" spans="5:5" x14ac:dyDescent="0.3">
      <c r="E68" s="23"/>
    </row>
    <row r="69" spans="5:5" x14ac:dyDescent="0.3">
      <c r="E69" s="23"/>
    </row>
    <row r="70" spans="5:5" x14ac:dyDescent="0.3">
      <c r="E70" s="23"/>
    </row>
    <row r="71" spans="5:5" x14ac:dyDescent="0.3">
      <c r="E71" s="23"/>
    </row>
    <row r="72" spans="5:5" x14ac:dyDescent="0.3">
      <c r="E72" s="23"/>
    </row>
    <row r="73" spans="5:5" x14ac:dyDescent="0.3">
      <c r="E73" s="23"/>
    </row>
    <row r="74" spans="5:5" x14ac:dyDescent="0.3">
      <c r="E74" s="23"/>
    </row>
    <row r="75" spans="5:5" x14ac:dyDescent="0.3">
      <c r="E75" s="23"/>
    </row>
    <row r="76" spans="5:5" x14ac:dyDescent="0.3">
      <c r="E76" s="23"/>
    </row>
    <row r="77" spans="5:5" x14ac:dyDescent="0.3">
      <c r="E77" s="23"/>
    </row>
    <row r="78" spans="5:5" x14ac:dyDescent="0.3">
      <c r="E78" s="23"/>
    </row>
    <row r="79" spans="5:5" x14ac:dyDescent="0.3">
      <c r="E79" s="23"/>
    </row>
    <row r="80" spans="5:5" x14ac:dyDescent="0.3">
      <c r="E80" s="23"/>
    </row>
    <row r="81" spans="5:5" x14ac:dyDescent="0.3">
      <c r="E81" s="23"/>
    </row>
    <row r="82" spans="5:5" x14ac:dyDescent="0.3">
      <c r="E82" s="23"/>
    </row>
    <row r="83" spans="5:5" x14ac:dyDescent="0.3">
      <c r="E83" s="23"/>
    </row>
    <row r="84" spans="5:5" x14ac:dyDescent="0.3">
      <c r="E84" s="23"/>
    </row>
    <row r="85" spans="5:5" x14ac:dyDescent="0.3">
      <c r="E85" s="23"/>
    </row>
    <row r="86" spans="5:5" x14ac:dyDescent="0.3">
      <c r="E86" s="23"/>
    </row>
    <row r="87" spans="5:5" x14ac:dyDescent="0.3">
      <c r="E87" s="23"/>
    </row>
    <row r="88" spans="5:5" x14ac:dyDescent="0.3">
      <c r="E88" s="23"/>
    </row>
    <row r="89" spans="5:5" x14ac:dyDescent="0.3">
      <c r="E89" s="23"/>
    </row>
    <row r="90" spans="5:5" x14ac:dyDescent="0.3">
      <c r="E90" s="23"/>
    </row>
    <row r="91" spans="5:5" x14ac:dyDescent="0.3">
      <c r="E91" s="23"/>
    </row>
    <row r="92" spans="5:5" x14ac:dyDescent="0.3">
      <c r="E92" s="23"/>
    </row>
    <row r="93" spans="5:5" x14ac:dyDescent="0.3">
      <c r="E93" s="23"/>
    </row>
    <row r="94" spans="5:5" x14ac:dyDescent="0.3">
      <c r="E94" s="23"/>
    </row>
    <row r="95" spans="5:5" x14ac:dyDescent="0.3">
      <c r="E95" s="23"/>
    </row>
    <row r="96" spans="5:5" x14ac:dyDescent="0.3">
      <c r="E96" s="23"/>
    </row>
    <row r="97" spans="5:5" x14ac:dyDescent="0.3">
      <c r="E97" s="23"/>
    </row>
    <row r="98" spans="5:5" x14ac:dyDescent="0.3">
      <c r="E98" s="23"/>
    </row>
    <row r="99" spans="5:5" x14ac:dyDescent="0.3">
      <c r="E99" s="23"/>
    </row>
    <row r="100" spans="5:5" x14ac:dyDescent="0.3">
      <c r="E100" s="23"/>
    </row>
    <row r="101" spans="5:5" x14ac:dyDescent="0.3">
      <c r="E101" s="23"/>
    </row>
    <row r="102" spans="5:5" x14ac:dyDescent="0.3">
      <c r="E102" s="23"/>
    </row>
    <row r="103" spans="5:5" x14ac:dyDescent="0.3">
      <c r="E103" s="23"/>
    </row>
    <row r="104" spans="5:5" x14ac:dyDescent="0.3">
      <c r="E104" s="23"/>
    </row>
    <row r="105" spans="5:5" x14ac:dyDescent="0.3">
      <c r="E105" s="23"/>
    </row>
    <row r="106" spans="5:5" x14ac:dyDescent="0.3">
      <c r="E106" s="23"/>
    </row>
    <row r="107" spans="5:5" x14ac:dyDescent="0.3">
      <c r="E107" s="23"/>
    </row>
    <row r="108" spans="5:5" x14ac:dyDescent="0.3">
      <c r="E108" s="23"/>
    </row>
    <row r="109" spans="5:5" x14ac:dyDescent="0.3">
      <c r="E109" s="23"/>
    </row>
    <row r="110" spans="5:5" x14ac:dyDescent="0.3">
      <c r="E110" s="23"/>
    </row>
    <row r="111" spans="5:5" x14ac:dyDescent="0.3">
      <c r="E111" s="23"/>
    </row>
    <row r="112" spans="5:5" x14ac:dyDescent="0.3">
      <c r="E112" s="23"/>
    </row>
    <row r="113" spans="5:5" x14ac:dyDescent="0.3">
      <c r="E113" s="23"/>
    </row>
    <row r="114" spans="5:5" x14ac:dyDescent="0.3">
      <c r="E114" s="23"/>
    </row>
    <row r="115" spans="5:5" x14ac:dyDescent="0.3">
      <c r="E115" s="23"/>
    </row>
    <row r="116" spans="5:5" x14ac:dyDescent="0.3">
      <c r="E116" s="23"/>
    </row>
    <row r="117" spans="5:5" x14ac:dyDescent="0.3">
      <c r="E117" s="23"/>
    </row>
    <row r="118" spans="5:5" x14ac:dyDescent="0.3">
      <c r="E118" s="23"/>
    </row>
    <row r="119" spans="5:5" x14ac:dyDescent="0.3">
      <c r="E119" s="23"/>
    </row>
    <row r="120" spans="5:5" x14ac:dyDescent="0.3">
      <c r="E120" s="23"/>
    </row>
    <row r="121" spans="5:5" x14ac:dyDescent="0.3">
      <c r="E121" s="23"/>
    </row>
    <row r="122" spans="5:5" x14ac:dyDescent="0.3">
      <c r="E122" s="23"/>
    </row>
    <row r="123" spans="5:5" x14ac:dyDescent="0.3">
      <c r="E123" s="23"/>
    </row>
    <row r="124" spans="5:5" x14ac:dyDescent="0.3">
      <c r="E124" s="23"/>
    </row>
    <row r="125" spans="5:5" x14ac:dyDescent="0.3">
      <c r="E125" s="23"/>
    </row>
    <row r="126" spans="5:5" x14ac:dyDescent="0.3">
      <c r="E126" s="23"/>
    </row>
    <row r="127" spans="5:5" x14ac:dyDescent="0.3">
      <c r="E127" s="23"/>
    </row>
    <row r="128" spans="5:5" x14ac:dyDescent="0.3">
      <c r="E128" s="23"/>
    </row>
    <row r="129" spans="5:5" x14ac:dyDescent="0.3">
      <c r="E129" s="23"/>
    </row>
    <row r="130" spans="5:5" x14ac:dyDescent="0.3">
      <c r="E130" s="23"/>
    </row>
    <row r="131" spans="5:5" x14ac:dyDescent="0.3">
      <c r="E131" s="23"/>
    </row>
    <row r="132" spans="5:5" x14ac:dyDescent="0.3">
      <c r="E132" s="23"/>
    </row>
    <row r="133" spans="5:5" x14ac:dyDescent="0.3">
      <c r="E133" s="23"/>
    </row>
    <row r="134" spans="5:5" x14ac:dyDescent="0.3">
      <c r="E134" s="23"/>
    </row>
    <row r="135" spans="5:5" x14ac:dyDescent="0.3">
      <c r="E135" s="23"/>
    </row>
    <row r="136" spans="5:5" x14ac:dyDescent="0.3">
      <c r="E136" s="23"/>
    </row>
    <row r="137" spans="5:5" x14ac:dyDescent="0.3">
      <c r="E137" s="23"/>
    </row>
    <row r="138" spans="5:5" x14ac:dyDescent="0.3">
      <c r="E138" s="23"/>
    </row>
    <row r="139" spans="5:5" x14ac:dyDescent="0.3">
      <c r="E139" s="23"/>
    </row>
    <row r="140" spans="5:5" x14ac:dyDescent="0.3">
      <c r="E140" s="23"/>
    </row>
    <row r="141" spans="5:5" x14ac:dyDescent="0.3">
      <c r="E141" s="23"/>
    </row>
    <row r="142" spans="5:5" x14ac:dyDescent="0.3">
      <c r="E142" s="23"/>
    </row>
    <row r="143" spans="5:5" x14ac:dyDescent="0.3">
      <c r="E143" s="23"/>
    </row>
    <row r="144" spans="5:5" x14ac:dyDescent="0.3">
      <c r="E144" s="23"/>
    </row>
    <row r="145" spans="5:5" x14ac:dyDescent="0.3">
      <c r="E145" s="23"/>
    </row>
    <row r="146" spans="5:5" x14ac:dyDescent="0.3">
      <c r="E146" s="23"/>
    </row>
    <row r="147" spans="5:5" x14ac:dyDescent="0.3">
      <c r="E147" s="23"/>
    </row>
    <row r="148" spans="5:5" x14ac:dyDescent="0.3">
      <c r="E148" s="23"/>
    </row>
    <row r="149" spans="5:5" x14ac:dyDescent="0.3">
      <c r="E149" s="23"/>
    </row>
    <row r="150" spans="5:5" x14ac:dyDescent="0.3">
      <c r="E150" s="23"/>
    </row>
    <row r="151" spans="5:5" x14ac:dyDescent="0.3">
      <c r="E151" s="23"/>
    </row>
    <row r="152" spans="5:5" x14ac:dyDescent="0.3">
      <c r="E152" s="23"/>
    </row>
    <row r="153" spans="5:5" x14ac:dyDescent="0.3">
      <c r="E153" s="23"/>
    </row>
    <row r="154" spans="5:5" x14ac:dyDescent="0.3">
      <c r="E154" s="23"/>
    </row>
    <row r="155" spans="5:5" x14ac:dyDescent="0.3">
      <c r="E155" s="23"/>
    </row>
    <row r="156" spans="5:5" x14ac:dyDescent="0.3">
      <c r="E156" s="23"/>
    </row>
    <row r="157" spans="5:5" x14ac:dyDescent="0.3">
      <c r="E157" s="23"/>
    </row>
    <row r="158" spans="5:5" x14ac:dyDescent="0.3">
      <c r="E158" s="23"/>
    </row>
    <row r="159" spans="5:5" x14ac:dyDescent="0.3">
      <c r="E159" s="23"/>
    </row>
    <row r="160" spans="5:5" x14ac:dyDescent="0.3">
      <c r="E160" s="23"/>
    </row>
    <row r="161" spans="5:5" x14ac:dyDescent="0.3">
      <c r="E161" s="23"/>
    </row>
    <row r="162" spans="5:5" x14ac:dyDescent="0.3">
      <c r="E162" s="23"/>
    </row>
    <row r="163" spans="5:5" x14ac:dyDescent="0.3">
      <c r="E163" s="23"/>
    </row>
    <row r="164" spans="5:5" x14ac:dyDescent="0.3">
      <c r="E164" s="23"/>
    </row>
    <row r="165" spans="5:5" x14ac:dyDescent="0.3">
      <c r="E165" s="1"/>
    </row>
    <row r="166" spans="5:5" x14ac:dyDescent="0.3">
      <c r="E166" s="23"/>
    </row>
    <row r="167" spans="5:5" x14ac:dyDescent="0.3">
      <c r="E167" s="23"/>
    </row>
    <row r="168" spans="5:5" x14ac:dyDescent="0.3">
      <c r="E168" s="23"/>
    </row>
    <row r="169" spans="5:5" x14ac:dyDescent="0.3">
      <c r="E169" s="23"/>
    </row>
    <row r="170" spans="5:5" x14ac:dyDescent="0.3">
      <c r="E170" s="23"/>
    </row>
    <row r="171" spans="5:5" x14ac:dyDescent="0.3">
      <c r="E171" s="23"/>
    </row>
    <row r="172" spans="5:5" x14ac:dyDescent="0.3">
      <c r="E172" s="23"/>
    </row>
    <row r="173" spans="5:5" x14ac:dyDescent="0.3">
      <c r="E173" s="23"/>
    </row>
    <row r="174" spans="5:5" x14ac:dyDescent="0.3">
      <c r="E174" s="23"/>
    </row>
    <row r="175" spans="5:5" x14ac:dyDescent="0.3">
      <c r="E175" s="23"/>
    </row>
    <row r="176" spans="5:5" x14ac:dyDescent="0.3">
      <c r="E176" s="23"/>
    </row>
    <row r="177" spans="5:5" x14ac:dyDescent="0.3">
      <c r="E177" s="23"/>
    </row>
    <row r="178" spans="5:5" x14ac:dyDescent="0.3">
      <c r="E178" s="23"/>
    </row>
    <row r="179" spans="5:5" x14ac:dyDescent="0.3">
      <c r="E179" s="23"/>
    </row>
    <row r="180" spans="5:5" x14ac:dyDescent="0.3">
      <c r="E180" s="23"/>
    </row>
    <row r="181" spans="5:5" x14ac:dyDescent="0.3">
      <c r="E181" s="23"/>
    </row>
    <row r="182" spans="5:5" x14ac:dyDescent="0.3">
      <c r="E182" s="23"/>
    </row>
    <row r="183" spans="5:5" x14ac:dyDescent="0.3">
      <c r="E183" s="23"/>
    </row>
    <row r="184" spans="5:5" x14ac:dyDescent="0.3">
      <c r="E184" s="23"/>
    </row>
    <row r="185" spans="5:5" x14ac:dyDescent="0.3">
      <c r="E185" s="23"/>
    </row>
    <row r="186" spans="5:5" x14ac:dyDescent="0.3">
      <c r="E186" s="23"/>
    </row>
    <row r="187" spans="5:5" x14ac:dyDescent="0.3">
      <c r="E187" s="23"/>
    </row>
    <row r="188" spans="5:5" x14ac:dyDescent="0.3">
      <c r="E188" s="23"/>
    </row>
    <row r="189" spans="5:5" x14ac:dyDescent="0.3">
      <c r="E189" s="23"/>
    </row>
    <row r="190" spans="5:5" x14ac:dyDescent="0.3">
      <c r="E190" s="23"/>
    </row>
    <row r="191" spans="5:5" x14ac:dyDescent="0.3">
      <c r="E191" s="23"/>
    </row>
    <row r="192" spans="5:5" x14ac:dyDescent="0.3">
      <c r="E192" s="1"/>
    </row>
    <row r="193" spans="5:5" x14ac:dyDescent="0.3">
      <c r="E193" s="23"/>
    </row>
    <row r="194" spans="5:5" x14ac:dyDescent="0.3">
      <c r="E194" s="23"/>
    </row>
    <row r="195" spans="5:5" x14ac:dyDescent="0.3">
      <c r="E195" s="23"/>
    </row>
    <row r="196" spans="5:5" x14ac:dyDescent="0.3">
      <c r="E196" s="23"/>
    </row>
    <row r="197" spans="5:5" x14ac:dyDescent="0.3">
      <c r="E197" s="23"/>
    </row>
    <row r="198" spans="5:5" x14ac:dyDescent="0.3">
      <c r="E198" s="23"/>
    </row>
    <row r="199" spans="5:5" x14ac:dyDescent="0.3">
      <c r="E199" s="23"/>
    </row>
    <row r="200" spans="5:5" x14ac:dyDescent="0.3">
      <c r="E200" s="23"/>
    </row>
    <row r="201" spans="5:5" x14ac:dyDescent="0.3">
      <c r="E201" s="23"/>
    </row>
    <row r="202" spans="5:5" x14ac:dyDescent="0.3">
      <c r="E202" s="23"/>
    </row>
    <row r="203" spans="5:5" x14ac:dyDescent="0.3">
      <c r="E203" s="23"/>
    </row>
    <row r="204" spans="5:5" x14ac:dyDescent="0.3">
      <c r="E204" s="23"/>
    </row>
    <row r="205" spans="5:5" x14ac:dyDescent="0.3">
      <c r="E205" s="23"/>
    </row>
    <row r="206" spans="5:5" x14ac:dyDescent="0.3">
      <c r="E206" s="23"/>
    </row>
    <row r="207" spans="5:5" x14ac:dyDescent="0.3">
      <c r="E207" s="23"/>
    </row>
    <row r="208" spans="5:5" x14ac:dyDescent="0.3">
      <c r="E208" s="23"/>
    </row>
    <row r="209" spans="5:5" x14ac:dyDescent="0.3">
      <c r="E209" s="23"/>
    </row>
    <row r="210" spans="5:5" x14ac:dyDescent="0.3">
      <c r="E210" s="23"/>
    </row>
    <row r="211" spans="5:5" x14ac:dyDescent="0.3">
      <c r="E211" s="23"/>
    </row>
    <row r="212" spans="5:5" x14ac:dyDescent="0.3">
      <c r="E212" s="23"/>
    </row>
    <row r="213" spans="5:5" x14ac:dyDescent="0.3">
      <c r="E213" s="23"/>
    </row>
    <row r="214" spans="5:5" x14ac:dyDescent="0.3">
      <c r="E214" s="23"/>
    </row>
    <row r="215" spans="5:5" x14ac:dyDescent="0.3">
      <c r="E215" s="23"/>
    </row>
    <row r="216" spans="5:5" x14ac:dyDescent="0.3">
      <c r="E216" s="23"/>
    </row>
    <row r="217" spans="5:5" x14ac:dyDescent="0.3">
      <c r="E217" s="23"/>
    </row>
    <row r="218" spans="5:5" x14ac:dyDescent="0.3">
      <c r="E218" s="23"/>
    </row>
    <row r="219" spans="5:5" x14ac:dyDescent="0.3">
      <c r="E219" s="23"/>
    </row>
    <row r="220" spans="5:5" x14ac:dyDescent="0.3">
      <c r="E220" s="23"/>
    </row>
    <row r="221" spans="5:5" x14ac:dyDescent="0.3">
      <c r="E221" s="23"/>
    </row>
    <row r="222" spans="5:5" x14ac:dyDescent="0.3">
      <c r="E222" s="23"/>
    </row>
    <row r="223" spans="5:5" x14ac:dyDescent="0.3">
      <c r="E223" s="23"/>
    </row>
    <row r="224" spans="5:5" x14ac:dyDescent="0.3">
      <c r="E224" s="23"/>
    </row>
    <row r="225" spans="5:5" x14ac:dyDescent="0.3">
      <c r="E225" s="23"/>
    </row>
    <row r="226" spans="5:5" x14ac:dyDescent="0.3">
      <c r="E226" s="23"/>
    </row>
    <row r="227" spans="5:5" x14ac:dyDescent="0.3">
      <c r="E227" s="23"/>
    </row>
    <row r="228" spans="5:5" x14ac:dyDescent="0.3">
      <c r="E228" s="23"/>
    </row>
    <row r="229" spans="5:5" x14ac:dyDescent="0.3">
      <c r="E229" s="23"/>
    </row>
    <row r="230" spans="5:5" x14ac:dyDescent="0.3">
      <c r="E230" s="23"/>
    </row>
    <row r="231" spans="5:5" x14ac:dyDescent="0.3">
      <c r="E231" s="23"/>
    </row>
    <row r="232" spans="5:5" x14ac:dyDescent="0.3">
      <c r="E232" s="23"/>
    </row>
    <row r="233" spans="5:5" x14ac:dyDescent="0.3">
      <c r="E233" s="23"/>
    </row>
    <row r="234" spans="5:5" x14ac:dyDescent="0.3">
      <c r="E234" s="23"/>
    </row>
    <row r="235" spans="5:5" x14ac:dyDescent="0.3">
      <c r="E235" s="23"/>
    </row>
    <row r="236" spans="5:5" x14ac:dyDescent="0.3">
      <c r="E236" s="23"/>
    </row>
    <row r="237" spans="5:5" x14ac:dyDescent="0.3">
      <c r="E237" s="23"/>
    </row>
    <row r="238" spans="5:5" x14ac:dyDescent="0.3">
      <c r="E238" s="23"/>
    </row>
    <row r="239" spans="5:5" x14ac:dyDescent="0.3">
      <c r="E239" s="23"/>
    </row>
    <row r="240" spans="5:5" x14ac:dyDescent="0.3">
      <c r="E240" s="23"/>
    </row>
    <row r="241" spans="5:5" x14ac:dyDescent="0.3">
      <c r="E241" s="23"/>
    </row>
    <row r="242" spans="5:5" x14ac:dyDescent="0.3">
      <c r="E242" s="23"/>
    </row>
    <row r="243" spans="5:5" x14ac:dyDescent="0.3">
      <c r="E243" s="23"/>
    </row>
    <row r="244" spans="5:5" x14ac:dyDescent="0.3">
      <c r="E244" s="23"/>
    </row>
    <row r="245" spans="5:5" x14ac:dyDescent="0.3">
      <c r="E245" s="23"/>
    </row>
    <row r="246" spans="5:5" x14ac:dyDescent="0.3">
      <c r="E246" s="23"/>
    </row>
    <row r="247" spans="5:5" x14ac:dyDescent="0.3">
      <c r="E247" s="23"/>
    </row>
    <row r="248" spans="5:5" x14ac:dyDescent="0.3">
      <c r="E248" s="23"/>
    </row>
    <row r="249" spans="5:5" x14ac:dyDescent="0.3">
      <c r="E249" s="23"/>
    </row>
    <row r="250" spans="5:5" x14ac:dyDescent="0.3">
      <c r="E250" s="23"/>
    </row>
    <row r="251" spans="5:5" x14ac:dyDescent="0.3">
      <c r="E251" s="23"/>
    </row>
    <row r="252" spans="5:5" x14ac:dyDescent="0.3">
      <c r="E252" s="23"/>
    </row>
    <row r="253" spans="5:5" x14ac:dyDescent="0.3">
      <c r="E253" s="23"/>
    </row>
    <row r="254" spans="5:5" x14ac:dyDescent="0.3">
      <c r="E254" s="23"/>
    </row>
    <row r="255" spans="5:5" x14ac:dyDescent="0.3">
      <c r="E255" s="23"/>
    </row>
    <row r="256" spans="5:5" x14ac:dyDescent="0.3">
      <c r="E256" s="23"/>
    </row>
    <row r="257" spans="5:5" x14ac:dyDescent="0.3">
      <c r="E257" s="23"/>
    </row>
    <row r="258" spans="5:5" x14ac:dyDescent="0.3">
      <c r="E258" s="23"/>
    </row>
    <row r="259" spans="5:5" x14ac:dyDescent="0.3">
      <c r="E259" s="23"/>
    </row>
    <row r="260" spans="5:5" x14ac:dyDescent="0.3">
      <c r="E260" s="23"/>
    </row>
    <row r="261" spans="5:5" x14ac:dyDescent="0.3">
      <c r="E261" s="23"/>
    </row>
    <row r="262" spans="5:5" x14ac:dyDescent="0.3">
      <c r="E262" s="23"/>
    </row>
    <row r="263" spans="5:5" x14ac:dyDescent="0.3">
      <c r="E263" s="23"/>
    </row>
    <row r="264" spans="5:5" x14ac:dyDescent="0.3">
      <c r="E264" s="23"/>
    </row>
    <row r="265" spans="5:5" x14ac:dyDescent="0.3">
      <c r="E265" s="23"/>
    </row>
    <row r="266" spans="5:5" x14ac:dyDescent="0.3">
      <c r="E266" s="23"/>
    </row>
    <row r="267" spans="5:5" x14ac:dyDescent="0.3">
      <c r="E267" s="23"/>
    </row>
    <row r="268" spans="5:5" x14ac:dyDescent="0.3">
      <c r="E268" s="23"/>
    </row>
    <row r="269" spans="5:5" x14ac:dyDescent="0.3">
      <c r="E269" s="23"/>
    </row>
    <row r="270" spans="5:5" x14ac:dyDescent="0.3">
      <c r="E270" s="23"/>
    </row>
    <row r="271" spans="5:5" x14ac:dyDescent="0.3">
      <c r="E271" s="23"/>
    </row>
    <row r="272" spans="5:5" x14ac:dyDescent="0.3">
      <c r="E272" s="23"/>
    </row>
    <row r="273" spans="5:5" x14ac:dyDescent="0.3">
      <c r="E273" s="23"/>
    </row>
    <row r="274" spans="5:5" x14ac:dyDescent="0.3">
      <c r="E274" s="23"/>
    </row>
    <row r="275" spans="5:5" x14ac:dyDescent="0.3">
      <c r="E275" s="23"/>
    </row>
    <row r="276" spans="5:5" x14ac:dyDescent="0.3">
      <c r="E276" s="23"/>
    </row>
    <row r="277" spans="5:5" x14ac:dyDescent="0.3">
      <c r="E277" s="23"/>
    </row>
    <row r="278" spans="5:5" x14ac:dyDescent="0.3">
      <c r="E278" s="23"/>
    </row>
    <row r="279" spans="5:5" x14ac:dyDescent="0.3">
      <c r="E279" s="23"/>
    </row>
    <row r="280" spans="5:5" x14ac:dyDescent="0.3">
      <c r="E280" s="23"/>
    </row>
    <row r="281" spans="5:5" x14ac:dyDescent="0.3">
      <c r="E281" s="23"/>
    </row>
    <row r="282" spans="5:5" x14ac:dyDescent="0.3">
      <c r="E282" s="23"/>
    </row>
    <row r="283" spans="5:5" x14ac:dyDescent="0.3">
      <c r="E283" s="23"/>
    </row>
    <row r="284" spans="5:5" x14ac:dyDescent="0.3">
      <c r="E284" s="23"/>
    </row>
    <row r="285" spans="5:5" x14ac:dyDescent="0.3">
      <c r="E285" s="23"/>
    </row>
    <row r="286" spans="5:5" x14ac:dyDescent="0.3">
      <c r="E286" s="23"/>
    </row>
    <row r="287" spans="5:5" x14ac:dyDescent="0.3">
      <c r="E287" s="23"/>
    </row>
    <row r="288" spans="5:5" x14ac:dyDescent="0.3">
      <c r="E288" s="23"/>
    </row>
    <row r="289" spans="5:5" x14ac:dyDescent="0.3">
      <c r="E289" s="23"/>
    </row>
    <row r="290" spans="5:5" x14ac:dyDescent="0.3">
      <c r="E290" s="23"/>
    </row>
    <row r="291" spans="5:5" x14ac:dyDescent="0.3">
      <c r="E291" s="23"/>
    </row>
    <row r="292" spans="5:5" x14ac:dyDescent="0.3">
      <c r="E292" s="23"/>
    </row>
    <row r="293" spans="5:5" x14ac:dyDescent="0.3">
      <c r="E293" s="23"/>
    </row>
    <row r="294" spans="5:5" x14ac:dyDescent="0.3">
      <c r="E294" s="23"/>
    </row>
    <row r="295" spans="5:5" x14ac:dyDescent="0.3">
      <c r="E295" s="23"/>
    </row>
    <row r="296" spans="5:5" x14ac:dyDescent="0.3">
      <c r="E296" s="23"/>
    </row>
    <row r="297" spans="5:5" x14ac:dyDescent="0.3">
      <c r="E297" s="23"/>
    </row>
    <row r="298" spans="5:5" x14ac:dyDescent="0.3">
      <c r="E298" s="23"/>
    </row>
    <row r="299" spans="5:5" x14ac:dyDescent="0.3">
      <c r="E299" s="23"/>
    </row>
    <row r="300" spans="5:5" x14ac:dyDescent="0.3">
      <c r="E300" s="23"/>
    </row>
    <row r="301" spans="5:5" x14ac:dyDescent="0.3">
      <c r="E301" s="23"/>
    </row>
    <row r="302" spans="5:5" x14ac:dyDescent="0.3">
      <c r="E302" s="23"/>
    </row>
    <row r="303" spans="5:5" x14ac:dyDescent="0.3">
      <c r="E303" s="23"/>
    </row>
    <row r="304" spans="5:5" x14ac:dyDescent="0.3">
      <c r="E304" s="23"/>
    </row>
    <row r="305" spans="5:5" x14ac:dyDescent="0.3">
      <c r="E305" s="23"/>
    </row>
    <row r="306" spans="5:5" x14ac:dyDescent="0.3">
      <c r="E306" s="23"/>
    </row>
    <row r="307" spans="5:5" x14ac:dyDescent="0.3">
      <c r="E307" s="23"/>
    </row>
    <row r="308" spans="5:5" x14ac:dyDescent="0.3">
      <c r="E308" s="23"/>
    </row>
    <row r="309" spans="5:5" x14ac:dyDescent="0.3">
      <c r="E309" s="23"/>
    </row>
    <row r="310" spans="5:5" x14ac:dyDescent="0.3">
      <c r="E310" s="23"/>
    </row>
    <row r="311" spans="5:5" x14ac:dyDescent="0.3">
      <c r="E311" s="23"/>
    </row>
    <row r="312" spans="5:5" x14ac:dyDescent="0.3">
      <c r="E312" s="23"/>
    </row>
    <row r="313" spans="5:5" x14ac:dyDescent="0.3">
      <c r="E313" s="23"/>
    </row>
    <row r="314" spans="5:5" x14ac:dyDescent="0.3">
      <c r="E314" s="23"/>
    </row>
    <row r="315" spans="5:5" x14ac:dyDescent="0.3">
      <c r="E315" s="23"/>
    </row>
    <row r="316" spans="5:5" x14ac:dyDescent="0.3">
      <c r="E316" s="23"/>
    </row>
    <row r="317" spans="5:5" x14ac:dyDescent="0.3">
      <c r="E317" s="23"/>
    </row>
    <row r="318" spans="5:5" x14ac:dyDescent="0.3">
      <c r="E318" s="23"/>
    </row>
    <row r="319" spans="5:5" x14ac:dyDescent="0.3">
      <c r="E319" s="23"/>
    </row>
    <row r="320" spans="5:5" x14ac:dyDescent="0.3">
      <c r="E320" s="23"/>
    </row>
    <row r="321" spans="5:5" x14ac:dyDescent="0.3">
      <c r="E321" s="23"/>
    </row>
    <row r="322" spans="5:5" x14ac:dyDescent="0.3">
      <c r="E322" s="23"/>
    </row>
    <row r="323" spans="5:5" x14ac:dyDescent="0.3">
      <c r="E323" s="23"/>
    </row>
    <row r="324" spans="5:5" x14ac:dyDescent="0.3">
      <c r="E324" s="23"/>
    </row>
    <row r="325" spans="5:5" x14ac:dyDescent="0.3">
      <c r="E325" s="23"/>
    </row>
    <row r="326" spans="5:5" x14ac:dyDescent="0.3">
      <c r="E326" s="23"/>
    </row>
    <row r="327" spans="5:5" x14ac:dyDescent="0.3">
      <c r="E327" s="23"/>
    </row>
    <row r="328" spans="5:5" x14ac:dyDescent="0.3">
      <c r="E328" s="23"/>
    </row>
    <row r="329" spans="5:5" x14ac:dyDescent="0.3">
      <c r="E329" s="23"/>
    </row>
    <row r="330" spans="5:5" x14ac:dyDescent="0.3">
      <c r="E330" s="23"/>
    </row>
    <row r="331" spans="5:5" x14ac:dyDescent="0.3">
      <c r="E331" s="23"/>
    </row>
    <row r="332" spans="5:5" x14ac:dyDescent="0.3">
      <c r="E332" s="23"/>
    </row>
    <row r="333" spans="5:5" x14ac:dyDescent="0.3">
      <c r="E333" s="23"/>
    </row>
    <row r="334" spans="5:5" x14ac:dyDescent="0.3">
      <c r="E334" s="23"/>
    </row>
    <row r="335" spans="5:5" x14ac:dyDescent="0.3">
      <c r="E335" s="23"/>
    </row>
    <row r="336" spans="5:5" x14ac:dyDescent="0.3">
      <c r="E336" s="23"/>
    </row>
    <row r="337" spans="5:5" x14ac:dyDescent="0.3">
      <c r="E337" s="23"/>
    </row>
    <row r="338" spans="5:5" x14ac:dyDescent="0.3">
      <c r="E338" s="23"/>
    </row>
    <row r="339" spans="5:5" x14ac:dyDescent="0.3">
      <c r="E339" s="23"/>
    </row>
    <row r="340" spans="5:5" x14ac:dyDescent="0.3">
      <c r="E340" s="23"/>
    </row>
    <row r="341" spans="5:5" x14ac:dyDescent="0.3">
      <c r="E341" s="23"/>
    </row>
    <row r="342" spans="5:5" x14ac:dyDescent="0.3">
      <c r="E342" s="23"/>
    </row>
    <row r="343" spans="5:5" x14ac:dyDescent="0.3">
      <c r="E343" s="23"/>
    </row>
    <row r="344" spans="5:5" x14ac:dyDescent="0.3">
      <c r="E344" s="23"/>
    </row>
    <row r="345" spans="5:5" x14ac:dyDescent="0.3">
      <c r="E345" s="23"/>
    </row>
    <row r="346" spans="5:5" x14ac:dyDescent="0.3">
      <c r="E346" s="23"/>
    </row>
    <row r="347" spans="5:5" x14ac:dyDescent="0.3">
      <c r="E347" s="23"/>
    </row>
    <row r="348" spans="5:5" x14ac:dyDescent="0.3">
      <c r="E348" s="23"/>
    </row>
    <row r="349" spans="5:5" x14ac:dyDescent="0.3">
      <c r="E349" s="23"/>
    </row>
    <row r="350" spans="5:5" x14ac:dyDescent="0.3">
      <c r="E350" s="23"/>
    </row>
    <row r="351" spans="5:5" x14ac:dyDescent="0.3">
      <c r="E351" s="23"/>
    </row>
    <row r="352" spans="5:5" x14ac:dyDescent="0.3">
      <c r="E352" s="23"/>
    </row>
    <row r="353" spans="5:5" x14ac:dyDescent="0.3">
      <c r="E353" s="23"/>
    </row>
    <row r="354" spans="5:5" x14ac:dyDescent="0.3">
      <c r="E354" s="23"/>
    </row>
    <row r="355" spans="5:5" x14ac:dyDescent="0.3">
      <c r="E355" s="23"/>
    </row>
    <row r="356" spans="5:5" x14ac:dyDescent="0.3">
      <c r="E356" s="23"/>
    </row>
    <row r="357" spans="5:5" x14ac:dyDescent="0.3">
      <c r="E357" s="23"/>
    </row>
    <row r="358" spans="5:5" x14ac:dyDescent="0.3">
      <c r="E358" s="23"/>
    </row>
    <row r="359" spans="5:5" x14ac:dyDescent="0.3">
      <c r="E359" s="23"/>
    </row>
    <row r="360" spans="5:5" x14ac:dyDescent="0.3">
      <c r="E360" s="23"/>
    </row>
    <row r="361" spans="5:5" x14ac:dyDescent="0.3">
      <c r="E361" s="23"/>
    </row>
    <row r="362" spans="5:5" x14ac:dyDescent="0.3">
      <c r="E362" s="23"/>
    </row>
    <row r="363" spans="5:5" x14ac:dyDescent="0.3">
      <c r="E363" s="23"/>
    </row>
    <row r="364" spans="5:5" x14ac:dyDescent="0.3">
      <c r="E364" s="23"/>
    </row>
    <row r="365" spans="5:5" x14ac:dyDescent="0.3">
      <c r="E365" s="23"/>
    </row>
    <row r="366" spans="5:5" x14ac:dyDescent="0.3">
      <c r="E366" s="23"/>
    </row>
    <row r="367" spans="5:5" x14ac:dyDescent="0.3">
      <c r="E367" s="23"/>
    </row>
    <row r="368" spans="5:5" x14ac:dyDescent="0.3">
      <c r="E368" s="23"/>
    </row>
    <row r="369" spans="5:5" x14ac:dyDescent="0.3">
      <c r="E369" s="23"/>
    </row>
    <row r="370" spans="5:5" x14ac:dyDescent="0.3">
      <c r="E370" s="23"/>
    </row>
    <row r="371" spans="5:5" x14ac:dyDescent="0.3">
      <c r="E371" s="23"/>
    </row>
    <row r="372" spans="5:5" x14ac:dyDescent="0.3">
      <c r="E372" s="23"/>
    </row>
    <row r="373" spans="5:5" x14ac:dyDescent="0.3">
      <c r="E373" s="23"/>
    </row>
    <row r="374" spans="5:5" x14ac:dyDescent="0.3">
      <c r="E374" s="23"/>
    </row>
    <row r="375" spans="5:5" x14ac:dyDescent="0.3">
      <c r="E375" s="23"/>
    </row>
    <row r="376" spans="5:5" x14ac:dyDescent="0.3">
      <c r="E376" s="23"/>
    </row>
    <row r="377" spans="5:5" x14ac:dyDescent="0.3">
      <c r="E377" s="23"/>
    </row>
    <row r="378" spans="5:5" x14ac:dyDescent="0.3">
      <c r="E378" s="23"/>
    </row>
    <row r="379" spans="5:5" x14ac:dyDescent="0.3">
      <c r="E379" s="23"/>
    </row>
    <row r="380" spans="5:5" x14ac:dyDescent="0.3">
      <c r="E380" s="23"/>
    </row>
    <row r="381" spans="5:5" x14ac:dyDescent="0.3">
      <c r="E381" s="23"/>
    </row>
    <row r="382" spans="5:5" x14ac:dyDescent="0.3">
      <c r="E382" s="23"/>
    </row>
    <row r="383" spans="5:5" x14ac:dyDescent="0.3">
      <c r="E383" s="23"/>
    </row>
    <row r="384" spans="5:5" x14ac:dyDescent="0.3">
      <c r="E384" s="23"/>
    </row>
    <row r="385" spans="5:5" x14ac:dyDescent="0.3">
      <c r="E385" s="23"/>
    </row>
    <row r="386" spans="5:5" x14ac:dyDescent="0.3">
      <c r="E386" s="23"/>
    </row>
    <row r="387" spans="5:5" x14ac:dyDescent="0.3">
      <c r="E387" s="23"/>
    </row>
    <row r="388" spans="5:5" x14ac:dyDescent="0.3">
      <c r="E388" s="23"/>
    </row>
    <row r="389" spans="5:5" x14ac:dyDescent="0.3">
      <c r="E389" s="23"/>
    </row>
    <row r="390" spans="5:5" x14ac:dyDescent="0.3">
      <c r="E390" s="23"/>
    </row>
    <row r="391" spans="5:5" x14ac:dyDescent="0.3">
      <c r="E391" s="23"/>
    </row>
    <row r="392" spans="5:5" x14ac:dyDescent="0.3">
      <c r="E392" s="23"/>
    </row>
    <row r="393" spans="5:5" x14ac:dyDescent="0.3">
      <c r="E393" s="23"/>
    </row>
    <row r="394" spans="5:5" x14ac:dyDescent="0.3">
      <c r="E394" s="23"/>
    </row>
    <row r="395" spans="5:5" x14ac:dyDescent="0.3">
      <c r="E395" s="23"/>
    </row>
    <row r="396" spans="5:5" x14ac:dyDescent="0.3">
      <c r="E396" s="23"/>
    </row>
    <row r="397" spans="5:5" x14ac:dyDescent="0.3">
      <c r="E397" s="23"/>
    </row>
    <row r="398" spans="5:5" x14ac:dyDescent="0.3">
      <c r="E398" s="23"/>
    </row>
    <row r="399" spans="5:5" x14ac:dyDescent="0.3">
      <c r="E399" s="23"/>
    </row>
    <row r="400" spans="5:5" x14ac:dyDescent="0.3">
      <c r="E400" s="23"/>
    </row>
    <row r="401" spans="5:5" x14ac:dyDescent="0.3">
      <c r="E401" s="23"/>
    </row>
    <row r="402" spans="5:5" x14ac:dyDescent="0.3">
      <c r="E402" s="23"/>
    </row>
    <row r="403" spans="5:5" x14ac:dyDescent="0.3">
      <c r="E403" s="23"/>
    </row>
    <row r="404" spans="5:5" x14ac:dyDescent="0.3">
      <c r="E404" s="23"/>
    </row>
    <row r="405" spans="5:5" x14ac:dyDescent="0.3">
      <c r="E405" s="23"/>
    </row>
    <row r="406" spans="5:5" x14ac:dyDescent="0.3">
      <c r="E406" s="23"/>
    </row>
    <row r="407" spans="5:5" x14ac:dyDescent="0.3">
      <c r="E407" s="23"/>
    </row>
    <row r="408" spans="5:5" x14ac:dyDescent="0.3">
      <c r="E408" s="23"/>
    </row>
    <row r="409" spans="5:5" x14ac:dyDescent="0.3">
      <c r="E409" s="23"/>
    </row>
    <row r="410" spans="5:5" x14ac:dyDescent="0.3">
      <c r="E410" s="23"/>
    </row>
    <row r="411" spans="5:5" x14ac:dyDescent="0.3">
      <c r="E411" s="23"/>
    </row>
    <row r="412" spans="5:5" x14ac:dyDescent="0.3">
      <c r="E412" s="23"/>
    </row>
    <row r="413" spans="5:5" x14ac:dyDescent="0.3">
      <c r="E413" s="23"/>
    </row>
    <row r="414" spans="5:5" x14ac:dyDescent="0.3">
      <c r="E414" s="23"/>
    </row>
    <row r="415" spans="5:5" x14ac:dyDescent="0.3">
      <c r="E415" s="23"/>
    </row>
    <row r="416" spans="5:5" x14ac:dyDescent="0.3">
      <c r="E416" s="23"/>
    </row>
    <row r="417" spans="5:5" x14ac:dyDescent="0.3">
      <c r="E417" s="23"/>
    </row>
    <row r="418" spans="5:5" x14ac:dyDescent="0.3">
      <c r="E418" s="23"/>
    </row>
    <row r="419" spans="5:5" x14ac:dyDescent="0.3">
      <c r="E419" s="23"/>
    </row>
    <row r="420" spans="5:5" x14ac:dyDescent="0.3">
      <c r="E420" s="23"/>
    </row>
    <row r="421" spans="5:5" x14ac:dyDescent="0.3">
      <c r="E421" s="23"/>
    </row>
    <row r="422" spans="5:5" x14ac:dyDescent="0.3">
      <c r="E422" s="23"/>
    </row>
    <row r="423" spans="5:5" x14ac:dyDescent="0.3">
      <c r="E423" s="23"/>
    </row>
    <row r="424" spans="5:5" x14ac:dyDescent="0.3">
      <c r="E424" s="23"/>
    </row>
    <row r="425" spans="5:5" x14ac:dyDescent="0.3">
      <c r="E425" s="23"/>
    </row>
    <row r="426" spans="5:5" x14ac:dyDescent="0.3">
      <c r="E426" s="23"/>
    </row>
    <row r="427" spans="5:5" x14ac:dyDescent="0.3">
      <c r="E427" s="23"/>
    </row>
    <row r="428" spans="5:5" x14ac:dyDescent="0.3">
      <c r="E428" s="23"/>
    </row>
    <row r="429" spans="5:5" x14ac:dyDescent="0.3">
      <c r="E429" s="23"/>
    </row>
    <row r="430" spans="5:5" x14ac:dyDescent="0.3">
      <c r="E430" s="23"/>
    </row>
    <row r="431" spans="5:5" x14ac:dyDescent="0.3">
      <c r="E431" s="23"/>
    </row>
    <row r="432" spans="5:5" x14ac:dyDescent="0.3">
      <c r="E432" s="63"/>
    </row>
    <row r="433" spans="5:5" x14ac:dyDescent="0.3">
      <c r="E433" s="63"/>
    </row>
    <row r="434" spans="5:5" x14ac:dyDescent="0.3">
      <c r="E434" s="63"/>
    </row>
    <row r="435" spans="5:5" x14ac:dyDescent="0.3">
      <c r="E435" s="63"/>
    </row>
    <row r="436" spans="5:5" x14ac:dyDescent="0.3">
      <c r="E436" s="63"/>
    </row>
    <row r="437" spans="5:5" x14ac:dyDescent="0.3">
      <c r="E437" s="23"/>
    </row>
    <row r="438" spans="5:5" x14ac:dyDescent="0.3">
      <c r="E438" s="63"/>
    </row>
    <row r="439" spans="5:5" x14ac:dyDescent="0.3">
      <c r="E439" s="63"/>
    </row>
    <row r="440" spans="5:5" x14ac:dyDescent="0.3">
      <c r="E440" s="63"/>
    </row>
    <row r="441" spans="5:5" x14ac:dyDescent="0.3">
      <c r="E441" s="63"/>
    </row>
    <row r="442" spans="5:5" x14ac:dyDescent="0.3">
      <c r="E442" s="63"/>
    </row>
    <row r="443" spans="5:5" x14ac:dyDescent="0.3">
      <c r="E443" s="63"/>
    </row>
    <row r="444" spans="5:5" x14ac:dyDescent="0.3">
      <c r="E444" s="63"/>
    </row>
    <row r="445" spans="5:5" x14ac:dyDescent="0.3">
      <c r="E445" s="63"/>
    </row>
    <row r="446" spans="5:5" x14ac:dyDescent="0.3">
      <c r="E446" s="63"/>
    </row>
    <row r="447" spans="5:5" x14ac:dyDescent="0.3">
      <c r="E447" s="63"/>
    </row>
    <row r="448" spans="5:5" x14ac:dyDescent="0.3">
      <c r="E448" s="63"/>
    </row>
    <row r="449" spans="5:5" x14ac:dyDescent="0.3">
      <c r="E449" s="23"/>
    </row>
    <row r="450" spans="5:5" x14ac:dyDescent="0.3">
      <c r="E450" s="23"/>
    </row>
    <row r="451" spans="5:5" x14ac:dyDescent="0.3">
      <c r="E451" s="23"/>
    </row>
    <row r="452" spans="5:5" x14ac:dyDescent="0.3">
      <c r="E452" s="23"/>
    </row>
    <row r="453" spans="5:5" x14ac:dyDescent="0.3">
      <c r="E453" s="23"/>
    </row>
    <row r="454" spans="5:5" x14ac:dyDescent="0.3">
      <c r="E454" s="23"/>
    </row>
    <row r="455" spans="5:5" x14ac:dyDescent="0.3">
      <c r="E455" s="23"/>
    </row>
    <row r="456" spans="5:5" x14ac:dyDescent="0.3">
      <c r="E456" s="23"/>
    </row>
    <row r="457" spans="5:5" x14ac:dyDescent="0.3">
      <c r="E457" s="23"/>
    </row>
    <row r="458" spans="5:5" x14ac:dyDescent="0.3">
      <c r="E458" s="23"/>
    </row>
    <row r="459" spans="5:5" x14ac:dyDescent="0.3">
      <c r="E459" s="23"/>
    </row>
    <row r="460" spans="5:5" x14ac:dyDescent="0.3">
      <c r="E460" s="23"/>
    </row>
    <row r="461" spans="5:5" x14ac:dyDescent="0.3">
      <c r="E461" s="23"/>
    </row>
    <row r="462" spans="5:5" x14ac:dyDescent="0.3">
      <c r="E462" s="23"/>
    </row>
    <row r="463" spans="5:5" x14ac:dyDescent="0.3">
      <c r="E463" s="23"/>
    </row>
    <row r="464" spans="5:5" x14ac:dyDescent="0.3">
      <c r="E464" s="23"/>
    </row>
    <row r="465" spans="5:5" x14ac:dyDescent="0.3">
      <c r="E465" s="23"/>
    </row>
    <row r="466" spans="5:5" x14ac:dyDescent="0.3">
      <c r="E466" s="23"/>
    </row>
    <row r="467" spans="5:5" x14ac:dyDescent="0.3">
      <c r="E467" s="23"/>
    </row>
    <row r="468" spans="5:5" x14ac:dyDescent="0.3">
      <c r="E468" s="23"/>
    </row>
    <row r="469" spans="5:5" x14ac:dyDescent="0.3">
      <c r="E469" s="23"/>
    </row>
    <row r="470" spans="5:5" x14ac:dyDescent="0.3">
      <c r="E470" s="23"/>
    </row>
    <row r="471" spans="5:5" x14ac:dyDescent="0.3">
      <c r="E471" s="23"/>
    </row>
    <row r="472" spans="5:5" x14ac:dyDescent="0.3">
      <c r="E472" s="23"/>
    </row>
    <row r="473" spans="5:5" x14ac:dyDescent="0.3">
      <c r="E473" s="23"/>
    </row>
    <row r="474" spans="5:5" x14ac:dyDescent="0.3">
      <c r="E474" s="23"/>
    </row>
    <row r="475" spans="5:5" x14ac:dyDescent="0.3">
      <c r="E475" s="23"/>
    </row>
    <row r="476" spans="5:5" x14ac:dyDescent="0.3">
      <c r="E476" s="23"/>
    </row>
    <row r="477" spans="5:5" x14ac:dyDescent="0.3">
      <c r="E477" s="23"/>
    </row>
    <row r="478" spans="5:5" x14ac:dyDescent="0.3">
      <c r="E478" s="23"/>
    </row>
    <row r="479" spans="5:5" x14ac:dyDescent="0.3">
      <c r="E479" s="23"/>
    </row>
    <row r="480" spans="5:5" x14ac:dyDescent="0.3">
      <c r="E480" s="23"/>
    </row>
    <row r="481" spans="5:5" x14ac:dyDescent="0.3">
      <c r="E481" s="23"/>
    </row>
    <row r="482" spans="5:5" x14ac:dyDescent="0.3">
      <c r="E482" s="23"/>
    </row>
    <row r="483" spans="5:5" x14ac:dyDescent="0.3">
      <c r="E483" s="23"/>
    </row>
    <row r="484" spans="5:5" x14ac:dyDescent="0.3">
      <c r="E484" s="23"/>
    </row>
    <row r="485" spans="5:5" x14ac:dyDescent="0.3">
      <c r="E485" s="23"/>
    </row>
    <row r="486" spans="5:5" x14ac:dyDescent="0.3">
      <c r="E486" s="23"/>
    </row>
    <row r="487" spans="5:5" x14ac:dyDescent="0.3">
      <c r="E487" s="23"/>
    </row>
    <row r="488" spans="5:5" x14ac:dyDescent="0.3">
      <c r="E488" s="23"/>
    </row>
    <row r="489" spans="5:5" x14ac:dyDescent="0.3">
      <c r="E489" s="23"/>
    </row>
    <row r="490" spans="5:5" x14ac:dyDescent="0.3">
      <c r="E490" s="23"/>
    </row>
    <row r="491" spans="5:5" x14ac:dyDescent="0.3">
      <c r="E491" s="23"/>
    </row>
    <row r="492" spans="5:5" x14ac:dyDescent="0.3">
      <c r="E492" s="23"/>
    </row>
    <row r="493" spans="5:5" x14ac:dyDescent="0.3">
      <c r="E493" s="23"/>
    </row>
    <row r="494" spans="5:5" x14ac:dyDescent="0.3">
      <c r="E494" s="23"/>
    </row>
    <row r="495" spans="5:5" x14ac:dyDescent="0.3">
      <c r="E495" s="23"/>
    </row>
    <row r="496" spans="5:5" x14ac:dyDescent="0.3">
      <c r="E496" s="23"/>
    </row>
    <row r="497" spans="5:5" x14ac:dyDescent="0.3">
      <c r="E497" s="23"/>
    </row>
    <row r="498" spans="5:5" x14ac:dyDescent="0.3">
      <c r="E498" s="23"/>
    </row>
    <row r="499" spans="5:5" x14ac:dyDescent="0.3">
      <c r="E499" s="23"/>
    </row>
    <row r="500" spans="5:5" x14ac:dyDescent="0.3">
      <c r="E500" s="23"/>
    </row>
    <row r="501" spans="5:5" x14ac:dyDescent="0.3">
      <c r="E501" s="23"/>
    </row>
    <row r="502" spans="5:5" x14ac:dyDescent="0.3">
      <c r="E502" s="23"/>
    </row>
    <row r="503" spans="5:5" x14ac:dyDescent="0.3">
      <c r="E503" s="23"/>
    </row>
    <row r="504" spans="5:5" x14ac:dyDescent="0.3">
      <c r="E504" s="23"/>
    </row>
    <row r="505" spans="5:5" x14ac:dyDescent="0.3">
      <c r="E505" s="23"/>
    </row>
    <row r="506" spans="5:5" x14ac:dyDescent="0.3">
      <c r="E506" s="23"/>
    </row>
    <row r="507" spans="5:5" x14ac:dyDescent="0.3">
      <c r="E507" s="23"/>
    </row>
    <row r="508" spans="5:5" x14ac:dyDescent="0.3">
      <c r="E508" s="23"/>
    </row>
    <row r="509" spans="5:5" x14ac:dyDescent="0.3">
      <c r="E509" s="23"/>
    </row>
    <row r="510" spans="5:5" x14ac:dyDescent="0.3">
      <c r="E510" s="23"/>
    </row>
    <row r="511" spans="5:5" x14ac:dyDescent="0.3">
      <c r="E511" s="23"/>
    </row>
    <row r="512" spans="5:5" x14ac:dyDescent="0.3">
      <c r="E512" s="23"/>
    </row>
    <row r="513" spans="1:19" x14ac:dyDescent="0.3">
      <c r="E513" s="23"/>
    </row>
    <row r="514" spans="1:19" x14ac:dyDescent="0.3">
      <c r="E514" s="23"/>
    </row>
    <row r="515" spans="1:19" x14ac:dyDescent="0.3">
      <c r="E515" s="23"/>
    </row>
    <row r="516" spans="1:19" x14ac:dyDescent="0.3">
      <c r="E516" s="23"/>
    </row>
    <row r="517" spans="1:19" x14ac:dyDescent="0.3">
      <c r="E517" s="23"/>
    </row>
    <row r="518" spans="1:19" x14ac:dyDescent="0.3">
      <c r="E518" s="23"/>
    </row>
    <row r="519" spans="1:19" x14ac:dyDescent="0.3">
      <c r="E519" s="23"/>
    </row>
    <row r="520" spans="1:19" x14ac:dyDescent="0.3">
      <c r="E520" s="23"/>
    </row>
    <row r="521" spans="1:19" ht="48" customHeight="1" x14ac:dyDescent="0.3">
      <c r="A521" s="167" t="s">
        <v>354</v>
      </c>
      <c r="B521" s="167"/>
      <c r="C521" s="168" t="s">
        <v>198</v>
      </c>
      <c r="D521" s="168" t="s">
        <v>1343</v>
      </c>
      <c r="E521" s="168"/>
      <c r="F521" s="153"/>
      <c r="G521" s="154"/>
      <c r="H521" s="156" t="s">
        <v>71</v>
      </c>
      <c r="I521" s="169" t="str">
        <f>IFERROR(IF(OR($F521="O",$G521="O",$H521="O"),CHOOSE(MATCH($A521,{"튜브","고압","진공","튜닝","조립","출하"},0),"T","H","V","N","A","P")&amp;IF($F521="O","R",IF($G521="O","A",IF($H521="O","F",""))),""),"")</f>
        <v>AF</v>
      </c>
      <c r="J521" s="153"/>
      <c r="K521" s="154" t="s">
        <v>71</v>
      </c>
      <c r="L521" s="155"/>
      <c r="M521" s="156"/>
      <c r="N521" s="157"/>
      <c r="O521" s="170"/>
      <c r="P521" s="169" t="str">
        <f>IF($I521="","",IF($J521="O","3","")&amp;IF($K521="O","4","")&amp;IF($L521="O","6","")&amp;IF($M521="O","7","")&amp;IF($N521="O","8","")&amp;IF($O521="O","?","")&amp;IF(OR($J521="O",$K521="O",$L521="O",$M521="O",$N521="O",$O521="O"),"-","")&amp;$I521)</f>
        <v>4-AF</v>
      </c>
      <c r="Q521" s="108" t="str">
        <f>HYPERLINK("#'마스터_품목'!A908","→ 마스터 R908")</f>
        <v>→ 마스터 R908</v>
      </c>
      <c r="R521" s="109">
        <v>908</v>
      </c>
      <c r="S521" s="109" t="s">
        <v>72</v>
      </c>
    </row>
    <row r="522" spans="1:19" ht="48" customHeight="1" x14ac:dyDescent="0.3">
      <c r="A522" s="167" t="s">
        <v>354</v>
      </c>
      <c r="B522" s="167"/>
      <c r="C522" s="168" t="s">
        <v>182</v>
      </c>
      <c r="D522" s="168" t="s">
        <v>1344</v>
      </c>
      <c r="E522" s="168"/>
      <c r="F522" s="153"/>
      <c r="G522" s="154"/>
      <c r="H522" s="156" t="s">
        <v>71</v>
      </c>
      <c r="I522" s="169" t="str">
        <f>IFERROR(IF(OR($F522="O",$G522="O",$H522="O"),CHOOSE(MATCH($A522,{"튜브","고압","진공","튜닝","조립","출하"},0),"T","H","V","N","A","P")&amp;IF($F522="O","R",IF($G522="O","A",IF($H522="O","F",""))),""),"")</f>
        <v>AF</v>
      </c>
      <c r="J522" s="153"/>
      <c r="K522" s="154"/>
      <c r="L522" s="155"/>
      <c r="M522" s="156"/>
      <c r="N522" s="157" t="s">
        <v>71</v>
      </c>
      <c r="O522" s="170"/>
      <c r="P522" s="169" t="str">
        <f>IF($I522="","",IF($J522="O","3","")&amp;IF($K522="O","4","")&amp;IF($L522="O","6","")&amp;IF($M522="O","7","")&amp;IF($N522="O","8","")&amp;IF($O522="O","?","")&amp;IF(OR($J522="O",$K522="O",$L522="O",$M522="O",$N522="O",$O522="O"),"-","")&amp;$I522)</f>
        <v>8-AF</v>
      </c>
      <c r="Q522" s="108" t="str">
        <f>HYPERLINK("#'마스터_품목'!A909","→ 마스터 R909")</f>
        <v>→ 마스터 R909</v>
      </c>
      <c r="R522" s="109">
        <v>909</v>
      </c>
      <c r="S522" s="109" t="s">
        <v>72</v>
      </c>
    </row>
  </sheetData>
  <autoFilter ref="A1:S522" xr:uid="{00000000-0009-0000-0000-000004000000}"/>
  <phoneticPr fontId="2" type="noConversion"/>
  <conditionalFormatting sqref="A2:A43">
    <cfRule type="cellIs" dxfId="15" priority="7" operator="equal">
      <formula>"조립"</formula>
    </cfRule>
    <cfRule type="cellIs" dxfId="14" priority="8" operator="equal">
      <formula>"출하"</formula>
    </cfRule>
  </conditionalFormatting>
  <conditionalFormatting sqref="E2:E431 E449:E551">
    <cfRule type="notContainsBlanks" dxfId="13" priority="2"/>
  </conditionalFormatting>
  <conditionalFormatting sqref="E437:E441">
    <cfRule type="notContainsBlanks" dxfId="12" priority="1"/>
  </conditionalFormatting>
  <conditionalFormatting sqref="I2:I43">
    <cfRule type="expression" dxfId="11" priority="4">
      <formula>RIGHT($I2,1)="R"</formula>
    </cfRule>
    <cfRule type="expression" dxfId="10" priority="5">
      <formula>RIGHT($I2,1)="A"</formula>
    </cfRule>
    <cfRule type="expression" dxfId="9" priority="6">
      <formula>RIGHT($I2,1)="F"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36"/>
  <sheetViews>
    <sheetView zoomScale="70" zoomScaleNormal="70" workbookViewId="0">
      <pane ySplit="1" topLeftCell="A155" activePane="bottomLeft" state="frozen"/>
      <selection pane="bottomLeft"/>
    </sheetView>
  </sheetViews>
  <sheetFormatPr defaultRowHeight="16.5" outlineLevelCol="2" x14ac:dyDescent="0.3"/>
  <cols>
    <col min="1" max="1" width="8" customWidth="1"/>
    <col min="2" max="2" width="14" customWidth="1"/>
    <col min="3" max="3" width="22" customWidth="1"/>
    <col min="4" max="5" width="52" customWidth="1"/>
    <col min="6" max="6" width="9" customWidth="1" outlineLevel="2"/>
    <col min="7" max="8" width="13" customWidth="1" outlineLevel="2"/>
    <col min="9" max="9" width="9" customWidth="1" outlineLevel="2"/>
    <col min="10" max="10" width="16" customWidth="1" outlineLevel="1"/>
    <col min="11" max="11" width="13.75" customWidth="1" outlineLevel="1"/>
    <col min="12" max="14" width="13" customWidth="1" outlineLevel="1"/>
    <col min="15" max="15" width="13" customWidth="1" outlineLevel="1" collapsed="1"/>
    <col min="16" max="16" width="14" customWidth="1" outlineLevel="1"/>
    <col min="17" max="17" width="18" customWidth="1"/>
    <col min="18" max="18" width="16" customWidth="1"/>
    <col min="19" max="19" width="9" customWidth="1"/>
    <col min="20" max="20" width="14" customWidth="1"/>
  </cols>
  <sheetData>
    <row r="1" spans="1:20" ht="36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3" t="s">
        <v>1345</v>
      </c>
      <c r="F1" s="4" t="s">
        <v>53</v>
      </c>
      <c r="G1" s="5" t="s">
        <v>54</v>
      </c>
      <c r="H1" s="6" t="s">
        <v>55</v>
      </c>
      <c r="I1" s="7" t="s">
        <v>56</v>
      </c>
      <c r="J1" s="8" t="s">
        <v>57</v>
      </c>
      <c r="K1" s="9" t="s">
        <v>58</v>
      </c>
      <c r="L1" s="10" t="s">
        <v>59</v>
      </c>
      <c r="M1" s="11" t="s">
        <v>60</v>
      </c>
      <c r="N1" s="12" t="s">
        <v>61</v>
      </c>
      <c r="O1" s="13" t="s">
        <v>62</v>
      </c>
      <c r="P1" s="14" t="s">
        <v>63</v>
      </c>
      <c r="Q1" s="101" t="s">
        <v>1346</v>
      </c>
      <c r="R1" s="106" t="s">
        <v>64</v>
      </c>
      <c r="S1" s="107" t="s">
        <v>65</v>
      </c>
      <c r="T1" s="107" t="s">
        <v>66</v>
      </c>
    </row>
    <row r="2" spans="1:20" ht="48" customHeight="1" x14ac:dyDescent="0.3">
      <c r="A2" s="87" t="s">
        <v>1347</v>
      </c>
      <c r="B2" s="87" t="s">
        <v>1348</v>
      </c>
      <c r="C2" s="88" t="s">
        <v>198</v>
      </c>
      <c r="D2" s="88" t="s">
        <v>199</v>
      </c>
      <c r="E2" s="88" t="s">
        <v>196</v>
      </c>
      <c r="F2" s="90" t="s">
        <v>71</v>
      </c>
      <c r="G2" s="91"/>
      <c r="H2" s="92"/>
      <c r="I2" s="93" t="str">
        <f>IFERROR(IF(OR($F2="O",$G2="O",$H2="O"),CHOOSE(MATCH($A2,{"튜브","고압","진공","튜닝","조립","출하"},0),"T","H","V","N","A","P")&amp;IF($F2="O","R",IF($G2="O","A",IF($H2="O","F",""))),""),"")</f>
        <v/>
      </c>
      <c r="J2" s="94"/>
      <c r="K2" s="95" t="s">
        <v>71</v>
      </c>
      <c r="L2" s="96"/>
      <c r="M2" s="97"/>
      <c r="N2" s="98"/>
      <c r="O2" s="99"/>
      <c r="P2" s="100" t="str">
        <f t="shared" ref="P2:P65" si="0">IF($I2="","",IF($J2="O","3","")&amp;IF($K2="O","4","")&amp;IF($L2="O","6","")&amp;IF($M2="O","7","")&amp;IF($N2="O","8","")&amp;IF($O2="O","?","")&amp;IF(OR($J2="O",$K2="O",$L2="O",$M2="O",$N2="O",$O2="O"),"-","")&amp;$I2)</f>
        <v/>
      </c>
      <c r="Q2" s="113" t="s">
        <v>1349</v>
      </c>
      <c r="R2" s="108" t="str">
        <f>HYPERLINK("#'마스터_품목'!A58","→ 마스터 R58")</f>
        <v>→ 마스터 R58</v>
      </c>
      <c r="S2" s="109">
        <v>58</v>
      </c>
      <c r="T2" s="109" t="s">
        <v>72</v>
      </c>
    </row>
    <row r="3" spans="1:20" ht="48" customHeight="1" x14ac:dyDescent="0.3">
      <c r="A3" s="87" t="s">
        <v>1347</v>
      </c>
      <c r="B3" s="87" t="s">
        <v>1245</v>
      </c>
      <c r="C3" s="88" t="s">
        <v>198</v>
      </c>
      <c r="D3" s="88" t="s">
        <v>291</v>
      </c>
      <c r="E3" s="88" t="s">
        <v>288</v>
      </c>
      <c r="F3" s="90" t="s">
        <v>71</v>
      </c>
      <c r="G3" s="91"/>
      <c r="H3" s="92"/>
      <c r="I3" s="93" t="str">
        <f>IFERROR(IF(OR($F3="O",$G3="O",$H3="O"),CHOOSE(MATCH($A3,{"튜브","고압","진공","튜닝","조립","출하"},0),"T","H","V","N","A","P")&amp;IF($F3="O","R",IF($G3="O","A",IF($H3="O","F",""))),""),"")</f>
        <v/>
      </c>
      <c r="J3" s="94"/>
      <c r="K3" s="95" t="s">
        <v>71</v>
      </c>
      <c r="L3" s="96"/>
      <c r="M3" s="97"/>
      <c r="N3" s="98"/>
      <c r="O3" s="99"/>
      <c r="P3" s="100" t="str">
        <f t="shared" si="0"/>
        <v/>
      </c>
      <c r="Q3" s="113" t="s">
        <v>1350</v>
      </c>
      <c r="R3" s="108" t="str">
        <f>HYPERLINK("#'마스터_품목'!A123","→ 마스터 R123")</f>
        <v>→ 마스터 R123</v>
      </c>
      <c r="S3" s="109">
        <v>123</v>
      </c>
      <c r="T3" s="109" t="s">
        <v>72</v>
      </c>
    </row>
    <row r="4" spans="1:20" ht="48" customHeight="1" x14ac:dyDescent="0.3">
      <c r="A4" s="87" t="s">
        <v>1347</v>
      </c>
      <c r="B4" s="87" t="s">
        <v>1351</v>
      </c>
      <c r="C4" s="88" t="s">
        <v>198</v>
      </c>
      <c r="D4" s="88" t="s">
        <v>540</v>
      </c>
      <c r="E4" s="88" t="s">
        <v>1352</v>
      </c>
      <c r="F4" s="90" t="s">
        <v>71</v>
      </c>
      <c r="G4" s="91"/>
      <c r="H4" s="92"/>
      <c r="I4" s="93" t="str">
        <f>IFERROR(IF(OR($F4="O",$G4="O",$H4="O"),CHOOSE(MATCH($A4,{"튜브","고압","진공","튜닝","조립","출하"},0),"T","H","V","N","A","P")&amp;IF($F4="O","R",IF($G4="O","A",IF($H4="O","F",""))),""),"")</f>
        <v/>
      </c>
      <c r="J4" s="94"/>
      <c r="K4" s="95" t="s">
        <v>71</v>
      </c>
      <c r="L4" s="96"/>
      <c r="M4" s="97"/>
      <c r="N4" s="98"/>
      <c r="O4" s="99"/>
      <c r="P4" s="100" t="str">
        <f t="shared" si="0"/>
        <v/>
      </c>
      <c r="Q4" s="113" t="s">
        <v>1353</v>
      </c>
      <c r="R4" s="108" t="str">
        <f>HYPERLINK("#'마스터_품목'!A278","→ 마스터 R278")</f>
        <v>→ 마스터 R278</v>
      </c>
      <c r="S4" s="109">
        <v>278</v>
      </c>
      <c r="T4" s="109" t="s">
        <v>72</v>
      </c>
    </row>
    <row r="5" spans="1:20" ht="48" customHeight="1" x14ac:dyDescent="0.3">
      <c r="A5" s="87" t="s">
        <v>1347</v>
      </c>
      <c r="B5" s="87" t="s">
        <v>1351</v>
      </c>
      <c r="C5" s="88" t="s">
        <v>198</v>
      </c>
      <c r="D5" s="88" t="s">
        <v>542</v>
      </c>
      <c r="E5" s="88" t="s">
        <v>541</v>
      </c>
      <c r="F5" s="90" t="s">
        <v>71</v>
      </c>
      <c r="G5" s="91"/>
      <c r="H5" s="92"/>
      <c r="I5" s="93" t="str">
        <f>IFERROR(IF(OR($F5="O",$G5="O",$H5="O"),CHOOSE(MATCH($A5,{"튜브","고압","진공","튜닝","조립","출하"},0),"T","H","V","N","A","P")&amp;IF($F5="O","R",IF($G5="O","A",IF($H5="O","F",""))),""),"")</f>
        <v/>
      </c>
      <c r="J5" s="94"/>
      <c r="K5" s="95" t="s">
        <v>71</v>
      </c>
      <c r="L5" s="96"/>
      <c r="M5" s="97"/>
      <c r="N5" s="98"/>
      <c r="O5" s="99"/>
      <c r="P5" s="100" t="str">
        <f t="shared" si="0"/>
        <v/>
      </c>
      <c r="Q5" s="113" t="s">
        <v>1353</v>
      </c>
      <c r="R5" s="108" t="str">
        <f>HYPERLINK("#'마스터_품목'!A279","→ 마스터 R279")</f>
        <v>→ 마스터 R279</v>
      </c>
      <c r="S5" s="109">
        <v>279</v>
      </c>
      <c r="T5" s="109" t="s">
        <v>72</v>
      </c>
    </row>
    <row r="6" spans="1:20" ht="48" customHeight="1" x14ac:dyDescent="0.3">
      <c r="A6" s="87" t="s">
        <v>1347</v>
      </c>
      <c r="B6" s="87" t="s">
        <v>1351</v>
      </c>
      <c r="C6" s="88" t="s">
        <v>198</v>
      </c>
      <c r="D6" s="88" t="s">
        <v>546</v>
      </c>
      <c r="E6" s="88" t="s">
        <v>545</v>
      </c>
      <c r="F6" s="90" t="s">
        <v>71</v>
      </c>
      <c r="G6" s="91"/>
      <c r="H6" s="92"/>
      <c r="I6" s="93" t="str">
        <f>IFERROR(IF(OR($F6="O",$G6="O",$H6="O"),CHOOSE(MATCH($A6,{"튜브","고압","진공","튜닝","조립","출하"},0),"T","H","V","N","A","P")&amp;IF($F6="O","R",IF($G6="O","A",IF($H6="O","F",""))),""),"")</f>
        <v/>
      </c>
      <c r="J6" s="94"/>
      <c r="K6" s="95" t="s">
        <v>71</v>
      </c>
      <c r="L6" s="96"/>
      <c r="M6" s="97"/>
      <c r="N6" s="98"/>
      <c r="O6" s="99"/>
      <c r="P6" s="100" t="str">
        <f t="shared" si="0"/>
        <v/>
      </c>
      <c r="Q6" s="113" t="s">
        <v>1353</v>
      </c>
      <c r="R6" s="108" t="str">
        <f>HYPERLINK("#'마스터_품목'!A281","→ 마스터 R281")</f>
        <v>→ 마스터 R281</v>
      </c>
      <c r="S6" s="109">
        <v>281</v>
      </c>
      <c r="T6" s="109" t="s">
        <v>72</v>
      </c>
    </row>
    <row r="7" spans="1:20" ht="48" customHeight="1" x14ac:dyDescent="0.3">
      <c r="A7" s="87" t="s">
        <v>1347</v>
      </c>
      <c r="B7" s="87" t="s">
        <v>1351</v>
      </c>
      <c r="C7" s="88" t="s">
        <v>198</v>
      </c>
      <c r="D7" s="88" t="s">
        <v>544</v>
      </c>
      <c r="E7" s="88" t="s">
        <v>543</v>
      </c>
      <c r="F7" s="90" t="s">
        <v>71</v>
      </c>
      <c r="G7" s="91"/>
      <c r="H7" s="92"/>
      <c r="I7" s="93" t="str">
        <f>IFERROR(IF(OR($F7="O",$G7="O",$H7="O"),CHOOSE(MATCH($A7,{"튜브","고압","진공","튜닝","조립","출하"},0),"T","H","V","N","A","P")&amp;IF($F7="O","R",IF($G7="O","A",IF($H7="O","F",""))),""),"")</f>
        <v/>
      </c>
      <c r="J7" s="94"/>
      <c r="K7" s="95" t="s">
        <v>71</v>
      </c>
      <c r="L7" s="96"/>
      <c r="M7" s="97"/>
      <c r="N7" s="98"/>
      <c r="O7" s="99"/>
      <c r="P7" s="100" t="str">
        <f t="shared" si="0"/>
        <v/>
      </c>
      <c r="Q7" s="113" t="s">
        <v>1353</v>
      </c>
      <c r="R7" s="108" t="str">
        <f>HYPERLINK("#'마스터_품목'!A280","→ 마스터 R280")</f>
        <v>→ 마스터 R280</v>
      </c>
      <c r="S7" s="109">
        <v>280</v>
      </c>
      <c r="T7" s="109" t="s">
        <v>72</v>
      </c>
    </row>
    <row r="8" spans="1:20" ht="48" customHeight="1" x14ac:dyDescent="0.3">
      <c r="A8" s="87" t="s">
        <v>1347</v>
      </c>
      <c r="B8" s="87" t="s">
        <v>1351</v>
      </c>
      <c r="C8" s="88" t="s">
        <v>198</v>
      </c>
      <c r="D8" s="88" t="s">
        <v>538</v>
      </c>
      <c r="E8" s="88" t="s">
        <v>537</v>
      </c>
      <c r="F8" s="90" t="s">
        <v>71</v>
      </c>
      <c r="G8" s="91"/>
      <c r="H8" s="92"/>
      <c r="I8" s="93" t="str">
        <f>IFERROR(IF(OR($F8="O",$G8="O",$H8="O"),CHOOSE(MATCH($A8,{"튜브","고압","진공","튜닝","조립","출하"},0),"T","H","V","N","A","P")&amp;IF($F8="O","R",IF($G8="O","A",IF($H8="O","F",""))),""),"")</f>
        <v/>
      </c>
      <c r="J8" s="94"/>
      <c r="K8" s="95" t="s">
        <v>71</v>
      </c>
      <c r="L8" s="96"/>
      <c r="M8" s="97"/>
      <c r="N8" s="98"/>
      <c r="O8" s="99"/>
      <c r="P8" s="100" t="str">
        <f t="shared" si="0"/>
        <v/>
      </c>
      <c r="Q8" s="113" t="s">
        <v>1353</v>
      </c>
      <c r="R8" s="108" t="str">
        <f>HYPERLINK("#'마스터_품목'!A277","→ 마스터 R277")</f>
        <v>→ 마스터 R277</v>
      </c>
      <c r="S8" s="109">
        <v>277</v>
      </c>
      <c r="T8" s="109" t="s">
        <v>72</v>
      </c>
    </row>
    <row r="9" spans="1:20" ht="48" customHeight="1" x14ac:dyDescent="0.3">
      <c r="A9" s="87" t="s">
        <v>1347</v>
      </c>
      <c r="B9" s="87" t="s">
        <v>1351</v>
      </c>
      <c r="C9" s="88" t="s">
        <v>198</v>
      </c>
      <c r="D9" s="88" t="s">
        <v>548</v>
      </c>
      <c r="E9" s="88" t="s">
        <v>547</v>
      </c>
      <c r="F9" s="90" t="s">
        <v>71</v>
      </c>
      <c r="G9" s="91"/>
      <c r="H9" s="92"/>
      <c r="I9" s="93" t="str">
        <f>IFERROR(IF(OR($F9="O",$G9="O",$H9="O"),CHOOSE(MATCH($A9,{"튜브","고압","진공","튜닝","조립","출하"},0),"T","H","V","N","A","P")&amp;IF($F9="O","R",IF($G9="O","A",IF($H9="O","F",""))),""),"")</f>
        <v/>
      </c>
      <c r="J9" s="94"/>
      <c r="K9" s="95" t="s">
        <v>71</v>
      </c>
      <c r="L9" s="96"/>
      <c r="M9" s="97"/>
      <c r="N9" s="98"/>
      <c r="O9" s="99"/>
      <c r="P9" s="100" t="str">
        <f t="shared" si="0"/>
        <v/>
      </c>
      <c r="Q9" s="113" t="s">
        <v>1354</v>
      </c>
      <c r="R9" s="108" t="str">
        <f>HYPERLINK("#'마스터_품목'!A282","→ 마스터 R282")</f>
        <v>→ 마스터 R282</v>
      </c>
      <c r="S9" s="109">
        <v>282</v>
      </c>
      <c r="T9" s="109" t="s">
        <v>72</v>
      </c>
    </row>
    <row r="10" spans="1:20" ht="48" customHeight="1" x14ac:dyDescent="0.3">
      <c r="A10" s="87" t="s">
        <v>1347</v>
      </c>
      <c r="B10" s="87" t="s">
        <v>1351</v>
      </c>
      <c r="C10" s="88" t="s">
        <v>198</v>
      </c>
      <c r="D10" s="88" t="s">
        <v>552</v>
      </c>
      <c r="E10" s="88" t="s">
        <v>551</v>
      </c>
      <c r="F10" s="90" t="s">
        <v>71</v>
      </c>
      <c r="G10" s="91"/>
      <c r="H10" s="92"/>
      <c r="I10" s="93" t="str">
        <f>IFERROR(IF(OR($F10="O",$G10="O",$H10="O"),CHOOSE(MATCH($A10,{"튜브","고압","진공","튜닝","조립","출하"},0),"T","H","V","N","A","P")&amp;IF($F10="O","R",IF($G10="O","A",IF($H10="O","F",""))),""),"")</f>
        <v/>
      </c>
      <c r="J10" s="94"/>
      <c r="K10" s="95" t="s">
        <v>71</v>
      </c>
      <c r="L10" s="96"/>
      <c r="M10" s="97"/>
      <c r="N10" s="98"/>
      <c r="O10" s="99"/>
      <c r="P10" s="100" t="str">
        <f t="shared" si="0"/>
        <v/>
      </c>
      <c r="Q10" s="113" t="s">
        <v>1355</v>
      </c>
      <c r="R10" s="108" t="str">
        <f>HYPERLINK("#'마스터_품목'!A284","→ 마스터 R284")</f>
        <v>→ 마스터 R284</v>
      </c>
      <c r="S10" s="109">
        <v>284</v>
      </c>
      <c r="T10" s="109" t="s">
        <v>72</v>
      </c>
    </row>
    <row r="11" spans="1:20" ht="48" customHeight="1" x14ac:dyDescent="0.3">
      <c r="A11" s="87" t="s">
        <v>1347</v>
      </c>
      <c r="B11" s="87" t="s">
        <v>1351</v>
      </c>
      <c r="C11" s="88" t="s">
        <v>198</v>
      </c>
      <c r="D11" s="88" t="s">
        <v>550</v>
      </c>
      <c r="E11" s="88" t="s">
        <v>549</v>
      </c>
      <c r="F11" s="90" t="s">
        <v>71</v>
      </c>
      <c r="G11" s="91"/>
      <c r="H11" s="92"/>
      <c r="I11" s="93" t="str">
        <f>IFERROR(IF(OR($F11="O",$G11="O",$H11="O"),CHOOSE(MATCH($A11,{"튜브","고압","진공","튜닝","조립","출하"},0),"T","H","V","N","A","P")&amp;IF($F11="O","R",IF($G11="O","A",IF($H11="O","F",""))),""),"")</f>
        <v/>
      </c>
      <c r="J11" s="94"/>
      <c r="K11" s="95" t="s">
        <v>71</v>
      </c>
      <c r="L11" s="96" t="s">
        <v>71</v>
      </c>
      <c r="M11" s="97"/>
      <c r="N11" s="98"/>
      <c r="O11" s="99"/>
      <c r="P11" s="100" t="str">
        <f t="shared" si="0"/>
        <v/>
      </c>
      <c r="Q11" s="113" t="s">
        <v>1356</v>
      </c>
      <c r="R11" s="108" t="str">
        <f>HYPERLINK("#'마스터_품목'!A283","→ 마스터 R283")</f>
        <v>→ 마스터 R283</v>
      </c>
      <c r="S11" s="109">
        <v>283</v>
      </c>
      <c r="T11" s="109" t="s">
        <v>72</v>
      </c>
    </row>
    <row r="12" spans="1:20" ht="48" customHeight="1" x14ac:dyDescent="0.3">
      <c r="A12" s="87" t="s">
        <v>1347</v>
      </c>
      <c r="B12" s="87" t="s">
        <v>1351</v>
      </c>
      <c r="C12" s="88" t="s">
        <v>198</v>
      </c>
      <c r="D12" s="88" t="s">
        <v>554</v>
      </c>
      <c r="E12" s="88" t="s">
        <v>553</v>
      </c>
      <c r="F12" s="90" t="s">
        <v>71</v>
      </c>
      <c r="G12" s="91"/>
      <c r="H12" s="92"/>
      <c r="I12" s="93" t="str">
        <f>IFERROR(IF(OR($F12="O",$G12="O",$H12="O"),CHOOSE(MATCH($A12,{"튜브","고압","진공","튜닝","조립","출하"},0),"T","H","V","N","A","P")&amp;IF($F12="O","R",IF($G12="O","A",IF($H12="O","F",""))),""),"")</f>
        <v/>
      </c>
      <c r="J12" s="94"/>
      <c r="K12" s="95" t="s">
        <v>71</v>
      </c>
      <c r="L12" s="96" t="s">
        <v>71</v>
      </c>
      <c r="M12" s="97"/>
      <c r="N12" s="98"/>
      <c r="O12" s="99"/>
      <c r="P12" s="100" t="str">
        <f t="shared" si="0"/>
        <v/>
      </c>
      <c r="Q12" s="113" t="s">
        <v>1355</v>
      </c>
      <c r="R12" s="108" t="str">
        <f>HYPERLINK("#'마스터_품목'!A285","→ 마스터 R285")</f>
        <v>→ 마스터 R285</v>
      </c>
      <c r="S12" s="109">
        <v>285</v>
      </c>
      <c r="T12" s="109" t="s">
        <v>72</v>
      </c>
    </row>
    <row r="13" spans="1:20" ht="48" customHeight="1" x14ac:dyDescent="0.3">
      <c r="A13" s="87" t="s">
        <v>1347</v>
      </c>
      <c r="B13" s="87" t="s">
        <v>1351</v>
      </c>
      <c r="C13" s="88" t="s">
        <v>198</v>
      </c>
      <c r="D13" s="88" t="s">
        <v>556</v>
      </c>
      <c r="E13" s="88" t="s">
        <v>555</v>
      </c>
      <c r="F13" s="90" t="s">
        <v>71</v>
      </c>
      <c r="G13" s="91"/>
      <c r="H13" s="92"/>
      <c r="I13" s="93" t="str">
        <f>IFERROR(IF(OR($F13="O",$G13="O",$H13="O"),CHOOSE(MATCH($A13,{"튜브","고압","진공","튜닝","조립","출하"},0),"T","H","V","N","A","P")&amp;IF($F13="O","R",IF($G13="O","A",IF($H13="O","F",""))),""),"")</f>
        <v/>
      </c>
      <c r="J13" s="94"/>
      <c r="K13" s="95" t="s">
        <v>71</v>
      </c>
      <c r="L13" s="96"/>
      <c r="M13" s="97"/>
      <c r="N13" s="98"/>
      <c r="O13" s="99"/>
      <c r="P13" s="100" t="str">
        <f t="shared" si="0"/>
        <v/>
      </c>
      <c r="Q13" s="113" t="s">
        <v>1353</v>
      </c>
      <c r="R13" s="108" t="str">
        <f>HYPERLINK("#'마스터_품목'!A286","→ 마스터 R286")</f>
        <v>→ 마스터 R286</v>
      </c>
      <c r="S13" s="109">
        <v>286</v>
      </c>
      <c r="T13" s="109" t="s">
        <v>72</v>
      </c>
    </row>
    <row r="14" spans="1:20" ht="48" customHeight="1" x14ac:dyDescent="0.3">
      <c r="A14" s="87" t="s">
        <v>1347</v>
      </c>
      <c r="B14" s="87" t="s">
        <v>1351</v>
      </c>
      <c r="C14" s="88" t="s">
        <v>198</v>
      </c>
      <c r="D14" s="88" t="s">
        <v>558</v>
      </c>
      <c r="E14" s="88" t="s">
        <v>557</v>
      </c>
      <c r="F14" s="90" t="s">
        <v>71</v>
      </c>
      <c r="G14" s="91"/>
      <c r="H14" s="92"/>
      <c r="I14" s="93" t="str">
        <f>IFERROR(IF(OR($F14="O",$G14="O",$H14="O"),CHOOSE(MATCH($A14,{"튜브","고압","진공","튜닝","조립","출하"},0),"T","H","V","N","A","P")&amp;IF($F14="O","R",IF($G14="O","A",IF($H14="O","F",""))),""),"")</f>
        <v/>
      </c>
      <c r="J14" s="94"/>
      <c r="K14" s="95" t="s">
        <v>71</v>
      </c>
      <c r="L14" s="96"/>
      <c r="M14" s="97"/>
      <c r="N14" s="98"/>
      <c r="O14" s="99"/>
      <c r="P14" s="100" t="str">
        <f t="shared" si="0"/>
        <v/>
      </c>
      <c r="Q14" s="113" t="s">
        <v>1353</v>
      </c>
      <c r="R14" s="108" t="str">
        <f>HYPERLINK("#'마스터_품목'!A287","→ 마스터 R287")</f>
        <v>→ 마스터 R287</v>
      </c>
      <c r="S14" s="109">
        <v>287</v>
      </c>
      <c r="T14" s="109" t="s">
        <v>72</v>
      </c>
    </row>
    <row r="15" spans="1:20" ht="48" customHeight="1" x14ac:dyDescent="0.3">
      <c r="A15" s="87" t="s">
        <v>1347</v>
      </c>
      <c r="B15" s="87" t="s">
        <v>1357</v>
      </c>
      <c r="C15" s="88" t="s">
        <v>198</v>
      </c>
      <c r="D15" s="88" t="s">
        <v>513</v>
      </c>
      <c r="E15" s="88" t="s">
        <v>512</v>
      </c>
      <c r="F15" s="90" t="s">
        <v>71</v>
      </c>
      <c r="G15" s="91"/>
      <c r="H15" s="92"/>
      <c r="I15" s="93" t="str">
        <f>IFERROR(IF(OR($F15="O",$G15="O",$H15="O"),CHOOSE(MATCH($A15,{"튜브","고압","진공","튜닝","조립","출하"},0),"T","H","V","N","A","P")&amp;IF($F15="O","R",IF($G15="O","A",IF($H15="O","F",""))),""),"")</f>
        <v/>
      </c>
      <c r="J15" s="94"/>
      <c r="K15" s="95" t="s">
        <v>71</v>
      </c>
      <c r="L15" s="96"/>
      <c r="M15" s="97"/>
      <c r="N15" s="98"/>
      <c r="O15" s="99"/>
      <c r="P15" s="100" t="str">
        <f t="shared" si="0"/>
        <v/>
      </c>
      <c r="Q15" s="113" t="s">
        <v>1358</v>
      </c>
      <c r="R15" s="108" t="str">
        <f>HYPERLINK("#'마스터_품목'!A265","→ 마스터 R265")</f>
        <v>→ 마스터 R265</v>
      </c>
      <c r="S15" s="109">
        <v>265</v>
      </c>
      <c r="T15" s="109" t="s">
        <v>72</v>
      </c>
    </row>
    <row r="16" spans="1:20" ht="48" customHeight="1" x14ac:dyDescent="0.3">
      <c r="A16" s="87" t="s">
        <v>1347</v>
      </c>
      <c r="B16" s="87" t="s">
        <v>1357</v>
      </c>
      <c r="C16" s="88" t="s">
        <v>198</v>
      </c>
      <c r="D16" s="88" t="s">
        <v>516</v>
      </c>
      <c r="E16" s="88" t="s">
        <v>515</v>
      </c>
      <c r="F16" s="90" t="s">
        <v>71</v>
      </c>
      <c r="G16" s="91"/>
      <c r="H16" s="92"/>
      <c r="I16" s="93" t="str">
        <f>IFERROR(IF(OR($F16="O",$G16="O",$H16="O"),CHOOSE(MATCH($A16,{"튜브","고압","진공","튜닝","조립","출하"},0),"T","H","V","N","A","P")&amp;IF($F16="O","R",IF($G16="O","A",IF($H16="O","F",""))),""),"")</f>
        <v/>
      </c>
      <c r="J16" s="94"/>
      <c r="K16" s="95" t="s">
        <v>71</v>
      </c>
      <c r="L16" s="96" t="s">
        <v>71</v>
      </c>
      <c r="M16" s="97"/>
      <c r="N16" s="98"/>
      <c r="O16" s="99"/>
      <c r="P16" s="100" t="str">
        <f t="shared" si="0"/>
        <v/>
      </c>
      <c r="Q16" s="113" t="s">
        <v>1353</v>
      </c>
      <c r="R16" s="108" t="str">
        <f>HYPERLINK("#'마스터_품목'!A266","→ 마스터 R266")</f>
        <v>→ 마스터 R266</v>
      </c>
      <c r="S16" s="109">
        <v>266</v>
      </c>
      <c r="T16" s="109" t="s">
        <v>72</v>
      </c>
    </row>
    <row r="17" spans="1:20" ht="48" customHeight="1" x14ac:dyDescent="0.3">
      <c r="A17" s="87" t="s">
        <v>1347</v>
      </c>
      <c r="B17" s="87" t="s">
        <v>1359</v>
      </c>
      <c r="C17" s="88" t="s">
        <v>198</v>
      </c>
      <c r="D17" s="88" t="s">
        <v>574</v>
      </c>
      <c r="E17" s="88" t="s">
        <v>573</v>
      </c>
      <c r="F17" s="90" t="s">
        <v>71</v>
      </c>
      <c r="G17" s="91"/>
      <c r="H17" s="92"/>
      <c r="I17" s="93" t="str">
        <f>IFERROR(IF(OR($F17="O",$G17="O",$H17="O"),CHOOSE(MATCH($A17,{"튜브","고압","진공","튜닝","조립","출하"},0),"T","H","V","N","A","P")&amp;IF($F17="O","R",IF($G17="O","A",IF($H17="O","F",""))),""),"")</f>
        <v/>
      </c>
      <c r="J17" s="94"/>
      <c r="K17" s="95" t="s">
        <v>71</v>
      </c>
      <c r="L17" s="96"/>
      <c r="M17" s="97"/>
      <c r="N17" s="98"/>
      <c r="O17" s="99"/>
      <c r="P17" s="100" t="str">
        <f t="shared" si="0"/>
        <v/>
      </c>
      <c r="Q17" s="113" t="s">
        <v>1353</v>
      </c>
      <c r="R17" s="108" t="str">
        <f>HYPERLINK("#'마스터_품목'!A295","→ 마스터 R295")</f>
        <v>→ 마스터 R295</v>
      </c>
      <c r="S17" s="109">
        <v>295</v>
      </c>
      <c r="T17" s="109" t="s">
        <v>72</v>
      </c>
    </row>
    <row r="18" spans="1:20" ht="48" customHeight="1" x14ac:dyDescent="0.3">
      <c r="A18" s="87" t="s">
        <v>1347</v>
      </c>
      <c r="B18" s="87" t="s">
        <v>1359</v>
      </c>
      <c r="C18" s="88" t="s">
        <v>198</v>
      </c>
      <c r="D18" s="88" t="s">
        <v>570</v>
      </c>
      <c r="E18" s="88" t="s">
        <v>569</v>
      </c>
      <c r="F18" s="90" t="s">
        <v>71</v>
      </c>
      <c r="G18" s="91"/>
      <c r="H18" s="92"/>
      <c r="I18" s="93" t="str">
        <f>IFERROR(IF(OR($F18="O",$G18="O",$H18="O"),CHOOSE(MATCH($A18,{"튜브","고압","진공","튜닝","조립","출하"},0),"T","H","V","N","A","P")&amp;IF($F18="O","R",IF($G18="O","A",IF($H18="O","F",""))),""),"")</f>
        <v/>
      </c>
      <c r="J18" s="94"/>
      <c r="K18" s="95" t="s">
        <v>71</v>
      </c>
      <c r="L18" s="96"/>
      <c r="M18" s="97"/>
      <c r="N18" s="98"/>
      <c r="O18" s="99"/>
      <c r="P18" s="100" t="str">
        <f t="shared" si="0"/>
        <v/>
      </c>
      <c r="Q18" s="113" t="s">
        <v>1353</v>
      </c>
      <c r="R18" s="108" t="str">
        <f>HYPERLINK("#'마스터_품목'!A293","→ 마스터 R293")</f>
        <v>→ 마스터 R293</v>
      </c>
      <c r="S18" s="109">
        <v>293</v>
      </c>
      <c r="T18" s="109" t="s">
        <v>72</v>
      </c>
    </row>
    <row r="19" spans="1:20" ht="48" customHeight="1" x14ac:dyDescent="0.3">
      <c r="A19" s="87" t="s">
        <v>1347</v>
      </c>
      <c r="B19" s="87" t="s">
        <v>1359</v>
      </c>
      <c r="C19" s="88" t="s">
        <v>198</v>
      </c>
      <c r="D19" s="88" t="s">
        <v>580</v>
      </c>
      <c r="E19" s="88" t="s">
        <v>579</v>
      </c>
      <c r="F19" s="90" t="s">
        <v>71</v>
      </c>
      <c r="G19" s="91"/>
      <c r="H19" s="92"/>
      <c r="I19" s="93" t="str">
        <f>IFERROR(IF(OR($F19="O",$G19="O",$H19="O"),CHOOSE(MATCH($A19,{"튜브","고압","진공","튜닝","조립","출하"},0),"T","H","V","N","A","P")&amp;IF($F19="O","R",IF($G19="O","A",IF($H19="O","F",""))),""),"")</f>
        <v/>
      </c>
      <c r="J19" s="94"/>
      <c r="K19" s="95" t="s">
        <v>71</v>
      </c>
      <c r="L19" s="96"/>
      <c r="M19" s="97"/>
      <c r="N19" s="98"/>
      <c r="O19" s="99"/>
      <c r="P19" s="100" t="str">
        <f t="shared" si="0"/>
        <v/>
      </c>
      <c r="Q19" s="113" t="s">
        <v>1353</v>
      </c>
      <c r="R19" s="108" t="str">
        <f>HYPERLINK("#'마스터_품목'!A298","→ 마스터 R298")</f>
        <v>→ 마스터 R298</v>
      </c>
      <c r="S19" s="109">
        <v>298</v>
      </c>
      <c r="T19" s="109" t="s">
        <v>72</v>
      </c>
    </row>
    <row r="20" spans="1:20" ht="48" customHeight="1" x14ac:dyDescent="0.3">
      <c r="A20" s="87" t="s">
        <v>1347</v>
      </c>
      <c r="B20" s="87" t="s">
        <v>1360</v>
      </c>
      <c r="C20" s="88" t="s">
        <v>1361</v>
      </c>
      <c r="D20" s="88" t="s">
        <v>113</v>
      </c>
      <c r="E20" s="88" t="s">
        <v>112</v>
      </c>
      <c r="F20" s="90" t="s">
        <v>71</v>
      </c>
      <c r="G20" s="91"/>
      <c r="H20" s="92"/>
      <c r="I20" s="93" t="str">
        <f>IFERROR(IF(OR($F20="O",$G20="O",$H20="O"),CHOOSE(MATCH($A20,{"튜브","고압","진공","튜닝","조립","출하"},0),"T","H","V","N","A","P")&amp;IF($F20="O","R",IF($G20="O","A",IF($H20="O","F",""))),""),"")</f>
        <v/>
      </c>
      <c r="J20" s="94" t="s">
        <v>71</v>
      </c>
      <c r="K20" s="95" t="s">
        <v>71</v>
      </c>
      <c r="L20" s="96"/>
      <c r="M20" s="97"/>
      <c r="N20" s="98"/>
      <c r="O20" s="99"/>
      <c r="P20" s="100" t="str">
        <f t="shared" si="0"/>
        <v/>
      </c>
      <c r="Q20" s="102" t="s">
        <v>1362</v>
      </c>
      <c r="R20" s="108" t="str">
        <f>HYPERLINK("#'마스터_품목'!A21","→ 마스터 R21")</f>
        <v>→ 마스터 R21</v>
      </c>
      <c r="S20" s="109">
        <v>21</v>
      </c>
      <c r="T20" s="109" t="s">
        <v>72</v>
      </c>
    </row>
    <row r="21" spans="1:20" ht="48" customHeight="1" x14ac:dyDescent="0.3">
      <c r="A21" s="87" t="s">
        <v>1347</v>
      </c>
      <c r="B21" s="87" t="s">
        <v>1359</v>
      </c>
      <c r="C21" s="88" t="s">
        <v>198</v>
      </c>
      <c r="D21" s="88" t="s">
        <v>568</v>
      </c>
      <c r="E21" s="88" t="s">
        <v>567</v>
      </c>
      <c r="F21" s="90" t="s">
        <v>71</v>
      </c>
      <c r="G21" s="91"/>
      <c r="H21" s="92"/>
      <c r="I21" s="93" t="str">
        <f>IFERROR(IF(OR($F21="O",$G21="O",$H21="O"),CHOOSE(MATCH($A21,{"튜브","고압","진공","튜닝","조립","출하"},0),"T","H","V","N","A","P")&amp;IF($F21="O","R",IF($G21="O","A",IF($H21="O","F",""))),""),"")</f>
        <v/>
      </c>
      <c r="J21" s="94"/>
      <c r="K21" s="95" t="s">
        <v>71</v>
      </c>
      <c r="L21" s="96"/>
      <c r="M21" s="97"/>
      <c r="N21" s="98"/>
      <c r="O21" s="99"/>
      <c r="P21" s="100" t="str">
        <f t="shared" si="0"/>
        <v/>
      </c>
      <c r="Q21" s="102" t="s">
        <v>1353</v>
      </c>
      <c r="R21" s="108" t="str">
        <f>HYPERLINK("#'마스터_품목'!A292","→ 마스터 R292")</f>
        <v>→ 마스터 R292</v>
      </c>
      <c r="S21" s="109">
        <v>292</v>
      </c>
      <c r="T21" s="109" t="s">
        <v>72</v>
      </c>
    </row>
    <row r="22" spans="1:20" ht="48" customHeight="1" x14ac:dyDescent="0.3">
      <c r="A22" s="87" t="s">
        <v>1347</v>
      </c>
      <c r="B22" s="87" t="s">
        <v>1360</v>
      </c>
      <c r="C22" s="88" t="s">
        <v>182</v>
      </c>
      <c r="D22" s="88" t="s">
        <v>122</v>
      </c>
      <c r="E22" s="88" t="s">
        <v>121</v>
      </c>
      <c r="F22" s="90" t="s">
        <v>71</v>
      </c>
      <c r="G22" s="91"/>
      <c r="H22" s="92"/>
      <c r="I22" s="93" t="str">
        <f>IFERROR(IF(OR($F22="O",$G22="O",$H22="O"),CHOOSE(MATCH($A22,{"튜브","고압","진공","튜닝","조립","출하"},0),"T","H","V","N","A","P")&amp;IF($F22="O","R",IF($G22="O","A",IF($H22="O","F",""))),""),"")</f>
        <v/>
      </c>
      <c r="J22" s="94" t="s">
        <v>71</v>
      </c>
      <c r="K22" s="95" t="s">
        <v>71</v>
      </c>
      <c r="L22" s="96" t="s">
        <v>71</v>
      </c>
      <c r="M22" s="97"/>
      <c r="N22" s="98" t="s">
        <v>71</v>
      </c>
      <c r="O22" s="99"/>
      <c r="P22" s="100" t="str">
        <f t="shared" si="0"/>
        <v/>
      </c>
      <c r="R22" s="108" t="str">
        <f>HYPERLINK("#'마스터_품목'!A24","→ 마스터 R24")</f>
        <v>→ 마스터 R24</v>
      </c>
      <c r="S22" s="109">
        <v>24</v>
      </c>
      <c r="T22" s="109" t="s">
        <v>72</v>
      </c>
    </row>
    <row r="23" spans="1:20" ht="48" customHeight="1" x14ac:dyDescent="0.3">
      <c r="A23" s="87" t="s">
        <v>1347</v>
      </c>
      <c r="B23" s="87" t="s">
        <v>1360</v>
      </c>
      <c r="C23" s="88" t="s">
        <v>117</v>
      </c>
      <c r="D23" s="88" t="s">
        <v>119</v>
      </c>
      <c r="E23" s="88" t="s">
        <v>118</v>
      </c>
      <c r="F23" s="90" t="s">
        <v>71</v>
      </c>
      <c r="G23" s="91"/>
      <c r="H23" s="92"/>
      <c r="I23" s="93" t="str">
        <f>IFERROR(IF(OR($F23="O",$G23="O",$H23="O"),CHOOSE(MATCH($A23,{"튜브","고압","진공","튜닝","조립","출하"},0),"T","H","V","N","A","P")&amp;IF($F23="O","R",IF($G23="O","A",IF($H23="O","F",""))),""),"")</f>
        <v/>
      </c>
      <c r="J23" s="94"/>
      <c r="K23" s="95"/>
      <c r="L23" s="96" t="s">
        <v>71</v>
      </c>
      <c r="M23" s="97"/>
      <c r="N23" s="98"/>
      <c r="O23" s="99"/>
      <c r="P23" s="100" t="str">
        <f t="shared" si="0"/>
        <v/>
      </c>
      <c r="Q23" s="102" t="s">
        <v>1362</v>
      </c>
      <c r="R23" s="108" t="str">
        <f>HYPERLINK("#'마스터_품목'!A23","→ 마스터 R23")</f>
        <v>→ 마스터 R23</v>
      </c>
      <c r="S23" s="109">
        <v>23</v>
      </c>
      <c r="T23" s="109" t="s">
        <v>72</v>
      </c>
    </row>
    <row r="24" spans="1:20" ht="48" customHeight="1" x14ac:dyDescent="0.3">
      <c r="A24" s="87" t="s">
        <v>1347</v>
      </c>
      <c r="B24" s="87" t="s">
        <v>1359</v>
      </c>
      <c r="C24" s="88" t="s">
        <v>198</v>
      </c>
      <c r="D24" s="88" t="s">
        <v>572</v>
      </c>
      <c r="E24" s="88" t="s">
        <v>1363</v>
      </c>
      <c r="F24" s="90" t="s">
        <v>71</v>
      </c>
      <c r="G24" s="91"/>
      <c r="H24" s="92"/>
      <c r="I24" s="93" t="str">
        <f>IFERROR(IF(OR($F24="O",$G24="O",$H24="O"),CHOOSE(MATCH($A24,{"튜브","고압","진공","튜닝","조립","출하"},0),"T","H","V","N","A","P")&amp;IF($F24="O","R",IF($G24="O","A",IF($H24="O","F",""))),""),"")</f>
        <v/>
      </c>
      <c r="J24" s="94"/>
      <c r="K24" s="95" t="s">
        <v>71</v>
      </c>
      <c r="L24" s="96"/>
      <c r="M24" s="97"/>
      <c r="N24" s="98"/>
      <c r="O24" s="99"/>
      <c r="P24" s="100" t="str">
        <f t="shared" si="0"/>
        <v/>
      </c>
      <c r="Q24" s="102" t="s">
        <v>1353</v>
      </c>
      <c r="R24" s="108" t="str">
        <f>HYPERLINK("#'마스터_품목'!A294","→ 마스터 R294")</f>
        <v>→ 마스터 R294</v>
      </c>
      <c r="S24" s="109">
        <v>294</v>
      </c>
      <c r="T24" s="109" t="s">
        <v>72</v>
      </c>
    </row>
    <row r="25" spans="1:20" ht="48" customHeight="1" x14ac:dyDescent="0.3">
      <c r="A25" s="87" t="s">
        <v>1347</v>
      </c>
      <c r="B25" s="87" t="s">
        <v>1359</v>
      </c>
      <c r="C25" s="88" t="s">
        <v>198</v>
      </c>
      <c r="D25" s="88" t="s">
        <v>566</v>
      </c>
      <c r="E25" s="88" t="s">
        <v>1364</v>
      </c>
      <c r="F25" s="90" t="s">
        <v>71</v>
      </c>
      <c r="G25" s="91"/>
      <c r="H25" s="92"/>
      <c r="I25" s="93" t="str">
        <f>IFERROR(IF(OR($F25="O",$G25="O",$H25="O"),CHOOSE(MATCH($A25,{"튜브","고압","진공","튜닝","조립","출하"},0),"T","H","V","N","A","P")&amp;IF($F25="O","R",IF($G25="O","A",IF($H25="O","F",""))),""),"")</f>
        <v/>
      </c>
      <c r="J25" s="94"/>
      <c r="K25" s="95" t="s">
        <v>71</v>
      </c>
      <c r="L25" s="96"/>
      <c r="M25" s="97"/>
      <c r="N25" s="98"/>
      <c r="O25" s="99"/>
      <c r="P25" s="100" t="str">
        <f t="shared" si="0"/>
        <v/>
      </c>
      <c r="Q25" s="113" t="s">
        <v>1353</v>
      </c>
      <c r="R25" s="108" t="str">
        <f>HYPERLINK("#'마스터_품목'!A291","→ 마스터 R291")</f>
        <v>→ 마스터 R291</v>
      </c>
      <c r="S25" s="109">
        <v>291</v>
      </c>
      <c r="T25" s="109" t="s">
        <v>72</v>
      </c>
    </row>
    <row r="26" spans="1:20" ht="48" customHeight="1" x14ac:dyDescent="0.3">
      <c r="A26" s="87" t="s">
        <v>1347</v>
      </c>
      <c r="B26" s="87" t="s">
        <v>1365</v>
      </c>
      <c r="C26" s="88" t="s">
        <v>1366</v>
      </c>
      <c r="D26" s="88" t="s">
        <v>262</v>
      </c>
      <c r="E26" s="88" t="s">
        <v>261</v>
      </c>
      <c r="F26" s="90" t="s">
        <v>71</v>
      </c>
      <c r="G26" s="91"/>
      <c r="H26" s="92"/>
      <c r="I26" s="93" t="str">
        <f>IFERROR(IF(OR($F26="O",$G26="O",$H26="O"),CHOOSE(MATCH($A26,{"튜브","고압","진공","튜닝","조립","출하"},0),"T","H","V","N","A","P")&amp;IF($F26="O","R",IF($G26="O","A",IF($H26="O","F",""))),""),"")</f>
        <v/>
      </c>
      <c r="J26" s="94" t="s">
        <v>71</v>
      </c>
      <c r="K26" s="95" t="s">
        <v>71</v>
      </c>
      <c r="L26" s="96" t="s">
        <v>71</v>
      </c>
      <c r="M26" s="97"/>
      <c r="N26" s="98"/>
      <c r="O26" s="99"/>
      <c r="P26" s="100" t="str">
        <f t="shared" si="0"/>
        <v/>
      </c>
      <c r="Q26" s="102" t="s">
        <v>1367</v>
      </c>
      <c r="R26" s="108" t="str">
        <f>HYPERLINK("#'마스터_품목'!A86","→ 마스터 R86")</f>
        <v>→ 마스터 R86</v>
      </c>
      <c r="S26" s="109">
        <v>86</v>
      </c>
      <c r="T26" s="109" t="s">
        <v>72</v>
      </c>
    </row>
    <row r="27" spans="1:20" ht="48" customHeight="1" x14ac:dyDescent="0.3">
      <c r="A27" s="87" t="s">
        <v>1347</v>
      </c>
      <c r="B27" s="87" t="s">
        <v>1359</v>
      </c>
      <c r="C27" s="88" t="s">
        <v>198</v>
      </c>
      <c r="D27" s="88" t="s">
        <v>564</v>
      </c>
      <c r="E27" s="88" t="s">
        <v>563</v>
      </c>
      <c r="F27" s="90" t="s">
        <v>71</v>
      </c>
      <c r="G27" s="91"/>
      <c r="H27" s="92"/>
      <c r="I27" s="93" t="str">
        <f>IFERROR(IF(OR($F27="O",$G27="O",$H27="O"),CHOOSE(MATCH($A27,{"튜브","고압","진공","튜닝","조립","출하"},0),"T","H","V","N","A","P")&amp;IF($F27="O","R",IF($G27="O","A",IF($H27="O","F",""))),""),"")</f>
        <v/>
      </c>
      <c r="J27" s="94"/>
      <c r="K27" s="95" t="s">
        <v>71</v>
      </c>
      <c r="L27" s="96" t="s">
        <v>71</v>
      </c>
      <c r="M27" s="97"/>
      <c r="N27" s="98"/>
      <c r="O27" s="99"/>
      <c r="P27" s="100" t="str">
        <f t="shared" si="0"/>
        <v/>
      </c>
      <c r="Q27" s="102" t="s">
        <v>1353</v>
      </c>
      <c r="R27" s="108" t="str">
        <f>HYPERLINK("#'마스터_품목'!A290","→ 마스터 R290")</f>
        <v>→ 마스터 R290</v>
      </c>
      <c r="S27" s="109">
        <v>290</v>
      </c>
      <c r="T27" s="109" t="s">
        <v>72</v>
      </c>
    </row>
    <row r="28" spans="1:20" ht="48" customHeight="1" x14ac:dyDescent="0.3">
      <c r="A28" s="87" t="s">
        <v>1347</v>
      </c>
      <c r="B28" s="87" t="s">
        <v>1368</v>
      </c>
      <c r="C28" s="88" t="s">
        <v>198</v>
      </c>
      <c r="D28" s="88" t="s">
        <v>473</v>
      </c>
      <c r="E28" s="88" t="s">
        <v>472</v>
      </c>
      <c r="F28" s="90" t="s">
        <v>71</v>
      </c>
      <c r="G28" s="91"/>
      <c r="H28" s="92"/>
      <c r="I28" s="93" t="str">
        <f>IFERROR(IF(OR($F28="O",$G28="O",$H28="O"),CHOOSE(MATCH($A28,{"튜브","고압","진공","튜닝","조립","출하"},0),"T","H","V","N","A","P")&amp;IF($F28="O","R",IF($G28="O","A",IF($H28="O","F",""))),""),"")</f>
        <v/>
      </c>
      <c r="J28" s="94"/>
      <c r="K28" s="95" t="s">
        <v>71</v>
      </c>
      <c r="L28" s="96"/>
      <c r="M28" s="97"/>
      <c r="N28" s="98"/>
      <c r="O28" s="99"/>
      <c r="P28" s="100" t="str">
        <f t="shared" si="0"/>
        <v/>
      </c>
      <c r="Q28" s="102" t="s">
        <v>1369</v>
      </c>
      <c r="R28" s="108" t="str">
        <f>HYPERLINK("#'마스터_품목'!A243","→ 마스터 R243")</f>
        <v>→ 마스터 R243</v>
      </c>
      <c r="S28" s="109">
        <v>243</v>
      </c>
      <c r="T28" s="109" t="s">
        <v>72</v>
      </c>
    </row>
    <row r="29" spans="1:20" ht="48" customHeight="1" x14ac:dyDescent="0.3">
      <c r="A29" s="87" t="s">
        <v>1347</v>
      </c>
      <c r="B29" s="87" t="s">
        <v>1370</v>
      </c>
      <c r="C29" s="88" t="s">
        <v>1371</v>
      </c>
      <c r="D29" s="88" t="s">
        <v>132</v>
      </c>
      <c r="E29" s="88" t="s">
        <v>131</v>
      </c>
      <c r="F29" s="90" t="s">
        <v>71</v>
      </c>
      <c r="G29" s="91"/>
      <c r="H29" s="92"/>
      <c r="I29" s="93" t="str">
        <f>IFERROR(IF(OR($F29="O",$G29="O",$H29="O"),CHOOSE(MATCH($A29,{"튜브","고압","진공","튜닝","조립","출하"},0),"T","H","V","N","A","P")&amp;IF($F29="O","R",IF($G29="O","A",IF($H29="O","F",""))),""),"")</f>
        <v/>
      </c>
      <c r="J29" s="94" t="s">
        <v>71</v>
      </c>
      <c r="K29" s="95" t="s">
        <v>71</v>
      </c>
      <c r="L29" s="96"/>
      <c r="M29" s="97" t="s">
        <v>71</v>
      </c>
      <c r="N29" s="98"/>
      <c r="O29" s="99"/>
      <c r="P29" s="100" t="str">
        <f t="shared" si="0"/>
        <v/>
      </c>
      <c r="Q29" s="102" t="s">
        <v>1353</v>
      </c>
      <c r="R29" s="108" t="str">
        <f>HYPERLINK("#'마스터_품목'!A28","→ 마스터 R28")</f>
        <v>→ 마스터 R28</v>
      </c>
      <c r="S29" s="109">
        <v>28</v>
      </c>
      <c r="T29" s="109" t="s">
        <v>72</v>
      </c>
    </row>
    <row r="30" spans="1:20" ht="48" customHeight="1" x14ac:dyDescent="0.3">
      <c r="A30" s="87" t="s">
        <v>1347</v>
      </c>
      <c r="B30" s="87" t="s">
        <v>1372</v>
      </c>
      <c r="C30" s="88" t="s">
        <v>1361</v>
      </c>
      <c r="D30" s="88" t="s">
        <v>129</v>
      </c>
      <c r="E30" s="88" t="s">
        <v>128</v>
      </c>
      <c r="F30" s="90" t="s">
        <v>71</v>
      </c>
      <c r="G30" s="91"/>
      <c r="H30" s="92"/>
      <c r="I30" s="93" t="str">
        <f>IFERROR(IF(OR($F30="O",$G30="O",$H30="O"),CHOOSE(MATCH($A30,{"튜브","고압","진공","튜닝","조립","출하"},0),"T","H","V","N","A","P")&amp;IF($F30="O","R",IF($G30="O","A",IF($H30="O","F",""))),""),"")</f>
        <v/>
      </c>
      <c r="J30" s="94" t="s">
        <v>71</v>
      </c>
      <c r="K30" s="95" t="s">
        <v>71</v>
      </c>
      <c r="L30" s="96"/>
      <c r="M30" s="97"/>
      <c r="N30" s="98"/>
      <c r="O30" s="99"/>
      <c r="P30" s="100" t="str">
        <f t="shared" si="0"/>
        <v/>
      </c>
      <c r="Q30" s="102" t="s">
        <v>1373</v>
      </c>
      <c r="R30" s="108" t="str">
        <f>HYPERLINK("#'마스터_품목'!A27","→ 마스터 R27")</f>
        <v>→ 마스터 R27</v>
      </c>
      <c r="S30" s="109">
        <v>27</v>
      </c>
      <c r="T30" s="109" t="s">
        <v>72</v>
      </c>
    </row>
    <row r="31" spans="1:20" ht="48" customHeight="1" x14ac:dyDescent="0.3">
      <c r="A31" s="87" t="s">
        <v>1347</v>
      </c>
      <c r="B31" s="87" t="s">
        <v>1372</v>
      </c>
      <c r="C31" s="88" t="s">
        <v>1366</v>
      </c>
      <c r="D31" s="88" t="s">
        <v>150</v>
      </c>
      <c r="E31" s="88" t="s">
        <v>149</v>
      </c>
      <c r="F31" s="90" t="s">
        <v>71</v>
      </c>
      <c r="G31" s="91"/>
      <c r="H31" s="92"/>
      <c r="I31" s="93" t="str">
        <f>IFERROR(IF(OR($F31="O",$G31="O",$H31="O"),CHOOSE(MATCH($A31,{"튜브","고압","진공","튜닝","조립","출하"},0),"T","H","V","N","A","P")&amp;IF($F31="O","R",IF($G31="O","A",IF($H31="O","F",""))),""),"")</f>
        <v/>
      </c>
      <c r="J31" s="94" t="s">
        <v>71</v>
      </c>
      <c r="K31" s="95" t="s">
        <v>71</v>
      </c>
      <c r="L31" s="96" t="s">
        <v>71</v>
      </c>
      <c r="M31" s="97"/>
      <c r="N31" s="98"/>
      <c r="O31" s="99"/>
      <c r="P31" s="100" t="str">
        <f t="shared" si="0"/>
        <v/>
      </c>
      <c r="Q31" s="102" t="s">
        <v>1373</v>
      </c>
      <c r="R31" s="108" t="str">
        <f>HYPERLINK("#'마스터_품목'!A36","→ 마스터 R36")</f>
        <v>→ 마스터 R36</v>
      </c>
      <c r="S31" s="109">
        <v>36</v>
      </c>
      <c r="T31" s="109" t="s">
        <v>72</v>
      </c>
    </row>
    <row r="32" spans="1:20" ht="48" customHeight="1" x14ac:dyDescent="0.3">
      <c r="A32" s="87" t="s">
        <v>1347</v>
      </c>
      <c r="B32" s="87" t="s">
        <v>1368</v>
      </c>
      <c r="C32" s="88" t="s">
        <v>198</v>
      </c>
      <c r="D32" s="88" t="s">
        <v>475</v>
      </c>
      <c r="E32" s="88" t="s">
        <v>474</v>
      </c>
      <c r="F32" s="90" t="s">
        <v>71</v>
      </c>
      <c r="G32" s="91"/>
      <c r="H32" s="92"/>
      <c r="I32" s="93" t="str">
        <f>IFERROR(IF(OR($F32="O",$G32="O",$H32="O"),CHOOSE(MATCH($A32,{"튜브","고압","진공","튜닝","조립","출하"},0),"T","H","V","N","A","P")&amp;IF($F32="O","R",IF($G32="O","A",IF($H32="O","F",""))),""),"")</f>
        <v/>
      </c>
      <c r="J32" s="94"/>
      <c r="K32" s="95" t="s">
        <v>71</v>
      </c>
      <c r="L32" s="96"/>
      <c r="M32" s="97"/>
      <c r="N32" s="98"/>
      <c r="O32" s="99"/>
      <c r="P32" s="100" t="str">
        <f t="shared" si="0"/>
        <v/>
      </c>
      <c r="Q32" s="102" t="s">
        <v>1369</v>
      </c>
      <c r="R32" s="108" t="str">
        <f>HYPERLINK("#'마스터_품목'!A244","→ 마스터 R244")</f>
        <v>→ 마스터 R244</v>
      </c>
      <c r="S32" s="109">
        <v>244</v>
      </c>
      <c r="T32" s="109" t="s">
        <v>72</v>
      </c>
    </row>
    <row r="33" spans="1:20" ht="48" customHeight="1" x14ac:dyDescent="0.3">
      <c r="A33" s="87" t="s">
        <v>1347</v>
      </c>
      <c r="B33" s="87" t="s">
        <v>1374</v>
      </c>
      <c r="C33" s="88" t="s">
        <v>1361</v>
      </c>
      <c r="D33" s="88" t="s">
        <v>139</v>
      </c>
      <c r="E33" s="88" t="s">
        <v>138</v>
      </c>
      <c r="F33" s="90" t="s">
        <v>71</v>
      </c>
      <c r="G33" s="91"/>
      <c r="H33" s="92"/>
      <c r="I33" s="93" t="str">
        <f>IFERROR(IF(OR($F33="O",$G33="O",$H33="O"),CHOOSE(MATCH($A33,{"튜브","고압","진공","튜닝","조립","출하"},0),"T","H","V","N","A","P")&amp;IF($F33="O","R",IF($G33="O","A",IF($H33="O","F",""))),""),"")</f>
        <v/>
      </c>
      <c r="J33" s="94" t="s">
        <v>71</v>
      </c>
      <c r="K33" s="95" t="s">
        <v>71</v>
      </c>
      <c r="L33" s="96" t="s">
        <v>71</v>
      </c>
      <c r="M33" s="97"/>
      <c r="N33" s="98"/>
      <c r="O33" s="99"/>
      <c r="P33" s="100" t="str">
        <f t="shared" si="0"/>
        <v/>
      </c>
      <c r="Q33" s="102" t="s">
        <v>1353</v>
      </c>
      <c r="R33" s="108" t="str">
        <f>HYPERLINK("#'마스터_품목'!A31","→ 마스터 R31")</f>
        <v>→ 마스터 R31</v>
      </c>
      <c r="S33" s="109">
        <v>31</v>
      </c>
      <c r="T33" s="109" t="s">
        <v>72</v>
      </c>
    </row>
    <row r="34" spans="1:20" ht="48" customHeight="1" x14ac:dyDescent="0.3">
      <c r="A34" s="87" t="s">
        <v>1347</v>
      </c>
      <c r="B34" s="87" t="s">
        <v>1374</v>
      </c>
      <c r="C34" s="88" t="s">
        <v>1366</v>
      </c>
      <c r="D34" s="88" t="s">
        <v>137</v>
      </c>
      <c r="E34" s="88" t="s">
        <v>136</v>
      </c>
      <c r="F34" s="90" t="s">
        <v>71</v>
      </c>
      <c r="G34" s="91"/>
      <c r="H34" s="92"/>
      <c r="I34" s="93" t="str">
        <f>IFERROR(IF(OR($F34="O",$G34="O",$H34="O"),CHOOSE(MATCH($A34,{"튜브","고압","진공","튜닝","조립","출하"},0),"T","H","V","N","A","P")&amp;IF($F34="O","R",IF($G34="O","A",IF($H34="O","F",""))),""),"")</f>
        <v/>
      </c>
      <c r="J34" s="94" t="s">
        <v>71</v>
      </c>
      <c r="K34" s="95" t="s">
        <v>71</v>
      </c>
      <c r="L34" s="96"/>
      <c r="M34" s="97"/>
      <c r="N34" s="98"/>
      <c r="O34" s="99"/>
      <c r="P34" s="100" t="str">
        <f t="shared" si="0"/>
        <v/>
      </c>
      <c r="Q34" s="102" t="s">
        <v>1353</v>
      </c>
      <c r="R34" s="108" t="str">
        <f>HYPERLINK("#'마스터_품목'!A30","→ 마스터 R30")</f>
        <v>→ 마스터 R30</v>
      </c>
      <c r="S34" s="109">
        <v>30</v>
      </c>
      <c r="T34" s="109" t="s">
        <v>72</v>
      </c>
    </row>
    <row r="35" spans="1:20" ht="48" customHeight="1" x14ac:dyDescent="0.3">
      <c r="A35" s="87" t="s">
        <v>1347</v>
      </c>
      <c r="B35" s="87" t="s">
        <v>1368</v>
      </c>
      <c r="C35" s="88" t="s">
        <v>198</v>
      </c>
      <c r="D35" s="88" t="s">
        <v>493</v>
      </c>
      <c r="E35" s="88" t="s">
        <v>361</v>
      </c>
      <c r="F35" s="90" t="s">
        <v>71</v>
      </c>
      <c r="G35" s="91"/>
      <c r="H35" s="92"/>
      <c r="I35" s="93" t="str">
        <f>IFERROR(IF(OR($F35="O",$G35="O",$H35="O"),CHOOSE(MATCH($A35,{"튜브","고압","진공","튜닝","조립","출하"},0),"T","H","V","N","A","P")&amp;IF($F35="O","R",IF($G35="O","A",IF($H35="O","F",""))),""),"")</f>
        <v/>
      </c>
      <c r="J35" s="94"/>
      <c r="K35" s="95" t="s">
        <v>71</v>
      </c>
      <c r="L35" s="96"/>
      <c r="M35" s="97"/>
      <c r="N35" s="98"/>
      <c r="O35" s="99"/>
      <c r="P35" s="100" t="str">
        <f t="shared" si="0"/>
        <v/>
      </c>
      <c r="Q35" s="102" t="s">
        <v>1369</v>
      </c>
      <c r="R35" s="108" t="str">
        <f>HYPERLINK("#'마스터_품목'!A254","→ 마스터 R254")</f>
        <v>→ 마스터 R254</v>
      </c>
      <c r="S35" s="109">
        <v>254</v>
      </c>
      <c r="T35" s="109" t="s">
        <v>72</v>
      </c>
    </row>
    <row r="36" spans="1:20" ht="48" customHeight="1" x14ac:dyDescent="0.3">
      <c r="A36" s="87" t="s">
        <v>1347</v>
      </c>
      <c r="B36" s="87" t="s">
        <v>1374</v>
      </c>
      <c r="C36" s="88" t="s">
        <v>1361</v>
      </c>
      <c r="D36" s="88" t="s">
        <v>135</v>
      </c>
      <c r="E36" s="88" t="s">
        <v>134</v>
      </c>
      <c r="F36" s="90" t="s">
        <v>71</v>
      </c>
      <c r="G36" s="91"/>
      <c r="H36" s="92"/>
      <c r="I36" s="93" t="str">
        <f>IFERROR(IF(OR($F36="O",$G36="O",$H36="O"),CHOOSE(MATCH($A36,{"튜브","고압","진공","튜닝","조립","출하"},0),"T","H","V","N","A","P")&amp;IF($F36="O","R",IF($G36="O","A",IF($H36="O","F",""))),""),"")</f>
        <v/>
      </c>
      <c r="J36" s="94" t="s">
        <v>71</v>
      </c>
      <c r="K36" s="95" t="s">
        <v>71</v>
      </c>
      <c r="L36" s="96" t="s">
        <v>71</v>
      </c>
      <c r="M36" s="97"/>
      <c r="N36" s="98"/>
      <c r="O36" s="99"/>
      <c r="P36" s="100" t="str">
        <f t="shared" si="0"/>
        <v/>
      </c>
      <c r="Q36" s="102" t="s">
        <v>1373</v>
      </c>
      <c r="R36" s="108" t="str">
        <f>HYPERLINK("#'마스터_품목'!A29","→ 마스터 R29")</f>
        <v>→ 마스터 R29</v>
      </c>
      <c r="S36" s="109">
        <v>29</v>
      </c>
      <c r="T36" s="109" t="s">
        <v>72</v>
      </c>
    </row>
    <row r="37" spans="1:20" ht="48" customHeight="1" x14ac:dyDescent="0.3">
      <c r="A37" s="87" t="s">
        <v>1347</v>
      </c>
      <c r="B37" s="87" t="s">
        <v>1368</v>
      </c>
      <c r="C37" s="88" t="s">
        <v>198</v>
      </c>
      <c r="D37" s="88" t="s">
        <v>477</v>
      </c>
      <c r="E37" s="88" t="s">
        <v>476</v>
      </c>
      <c r="F37" s="90" t="s">
        <v>71</v>
      </c>
      <c r="G37" s="91"/>
      <c r="H37" s="92"/>
      <c r="I37" s="93" t="str">
        <f>IFERROR(IF(OR($F37="O",$G37="O",$H37="O"),CHOOSE(MATCH($A37,{"튜브","고압","진공","튜닝","조립","출하"},0),"T","H","V","N","A","P")&amp;IF($F37="O","R",IF($G37="O","A",IF($H37="O","F",""))),""),"")</f>
        <v/>
      </c>
      <c r="J37" s="94"/>
      <c r="K37" s="95" t="s">
        <v>71</v>
      </c>
      <c r="L37" s="96"/>
      <c r="M37" s="97"/>
      <c r="N37" s="98"/>
      <c r="O37" s="99"/>
      <c r="P37" s="100" t="str">
        <f t="shared" si="0"/>
        <v/>
      </c>
      <c r="Q37" s="102" t="s">
        <v>1369</v>
      </c>
      <c r="R37" s="108" t="str">
        <f>HYPERLINK("#'마스터_품목'!A245","→ 마스터 R245")</f>
        <v>→ 마스터 R245</v>
      </c>
      <c r="S37" s="109">
        <v>245</v>
      </c>
      <c r="T37" s="109" t="s">
        <v>72</v>
      </c>
    </row>
    <row r="38" spans="1:20" ht="48" customHeight="1" x14ac:dyDescent="0.3">
      <c r="A38" s="87" t="s">
        <v>1347</v>
      </c>
      <c r="B38" s="87" t="s">
        <v>1374</v>
      </c>
      <c r="C38" s="88" t="s">
        <v>1366</v>
      </c>
      <c r="D38" s="88" t="s">
        <v>152</v>
      </c>
      <c r="E38" s="88" t="s">
        <v>151</v>
      </c>
      <c r="F38" s="90" t="s">
        <v>71</v>
      </c>
      <c r="G38" s="91"/>
      <c r="H38" s="92"/>
      <c r="I38" s="93" t="str">
        <f>IFERROR(IF(OR($F38="O",$G38="O",$H38="O"),CHOOSE(MATCH($A38,{"튜브","고압","진공","튜닝","조립","출하"},0),"T","H","V","N","A","P")&amp;IF($F38="O","R",IF($G38="O","A",IF($H38="O","F",""))),""),"")</f>
        <v/>
      </c>
      <c r="J38" s="94" t="s">
        <v>71</v>
      </c>
      <c r="K38" s="95" t="s">
        <v>71</v>
      </c>
      <c r="L38" s="96" t="s">
        <v>71</v>
      </c>
      <c r="M38" s="97" t="s">
        <v>71</v>
      </c>
      <c r="N38" s="98"/>
      <c r="O38" s="99"/>
      <c r="P38" s="100" t="str">
        <f t="shared" si="0"/>
        <v/>
      </c>
      <c r="Q38" s="102" t="s">
        <v>1373</v>
      </c>
      <c r="R38" s="108" t="str">
        <f>HYPERLINK("#'마스터_품목'!A37","→ 마스터 R37")</f>
        <v>→ 마스터 R37</v>
      </c>
      <c r="S38" s="109">
        <v>37</v>
      </c>
      <c r="T38" s="109" t="s">
        <v>72</v>
      </c>
    </row>
    <row r="39" spans="1:20" ht="48" customHeight="1" x14ac:dyDescent="0.3">
      <c r="A39" s="87" t="s">
        <v>1347</v>
      </c>
      <c r="B39" s="87" t="s">
        <v>1375</v>
      </c>
      <c r="C39" s="88" t="s">
        <v>1366</v>
      </c>
      <c r="D39" s="88" t="s">
        <v>147</v>
      </c>
      <c r="E39" s="88" t="s">
        <v>146</v>
      </c>
      <c r="F39" s="90" t="s">
        <v>71</v>
      </c>
      <c r="G39" s="91"/>
      <c r="H39" s="92"/>
      <c r="I39" s="93" t="str">
        <f>IFERROR(IF(OR($F39="O",$G39="O",$H39="O"),CHOOSE(MATCH($A39,{"튜브","고압","진공","튜닝","조립","출하"},0),"T","H","V","N","A","P")&amp;IF($F39="O","R",IF($G39="O","A",IF($H39="O","F",""))),""),"")</f>
        <v/>
      </c>
      <c r="J39" s="94" t="s">
        <v>71</v>
      </c>
      <c r="K39" s="95" t="s">
        <v>71</v>
      </c>
      <c r="L39" s="96" t="s">
        <v>71</v>
      </c>
      <c r="M39" s="97"/>
      <c r="N39" s="98"/>
      <c r="O39" s="99"/>
      <c r="P39" s="100" t="str">
        <f t="shared" si="0"/>
        <v/>
      </c>
      <c r="Q39" s="102" t="s">
        <v>1353</v>
      </c>
      <c r="R39" s="108" t="str">
        <f>HYPERLINK("#'마스터_품목'!A35","→ 마스터 R35")</f>
        <v>→ 마스터 R35</v>
      </c>
      <c r="S39" s="109">
        <v>35</v>
      </c>
      <c r="T39" s="109" t="s">
        <v>72</v>
      </c>
    </row>
    <row r="40" spans="1:20" ht="48" customHeight="1" x14ac:dyDescent="0.3">
      <c r="A40" s="87" t="s">
        <v>1347</v>
      </c>
      <c r="B40" s="87" t="s">
        <v>1375</v>
      </c>
      <c r="C40" s="88" t="s">
        <v>1366</v>
      </c>
      <c r="D40" s="88" t="s">
        <v>143</v>
      </c>
      <c r="E40" s="88" t="s">
        <v>142</v>
      </c>
      <c r="F40" s="90" t="s">
        <v>71</v>
      </c>
      <c r="G40" s="91"/>
      <c r="H40" s="92"/>
      <c r="I40" s="93" t="str">
        <f>IFERROR(IF(OR($F40="O",$G40="O",$H40="O"),CHOOSE(MATCH($A40,{"튜브","고압","진공","튜닝","조립","출하"},0),"T","H","V","N","A","P")&amp;IF($F40="O","R",IF($G40="O","A",IF($H40="O","F",""))),""),"")</f>
        <v/>
      </c>
      <c r="J40" s="94" t="s">
        <v>71</v>
      </c>
      <c r="K40" s="95" t="s">
        <v>71</v>
      </c>
      <c r="L40" s="96" t="s">
        <v>71</v>
      </c>
      <c r="M40" s="97"/>
      <c r="N40" s="98"/>
      <c r="O40" s="99"/>
      <c r="P40" s="100" t="str">
        <f t="shared" si="0"/>
        <v/>
      </c>
      <c r="Q40" s="102" t="s">
        <v>1353</v>
      </c>
      <c r="R40" s="108" t="str">
        <f>HYPERLINK("#'마스터_품목'!A33","→ 마스터 R33")</f>
        <v>→ 마스터 R33</v>
      </c>
      <c r="S40" s="109">
        <v>33</v>
      </c>
      <c r="T40" s="109" t="s">
        <v>72</v>
      </c>
    </row>
    <row r="41" spans="1:20" ht="48" customHeight="1" x14ac:dyDescent="0.3">
      <c r="A41" s="87" t="s">
        <v>1347</v>
      </c>
      <c r="B41" s="87" t="s">
        <v>1375</v>
      </c>
      <c r="C41" s="88" t="s">
        <v>1361</v>
      </c>
      <c r="D41" s="88" t="s">
        <v>145</v>
      </c>
      <c r="E41" s="88" t="s">
        <v>144</v>
      </c>
      <c r="F41" s="90" t="s">
        <v>71</v>
      </c>
      <c r="G41" s="91"/>
      <c r="H41" s="92"/>
      <c r="I41" s="93" t="str">
        <f>IFERROR(IF(OR($F41="O",$G41="O",$H41="O"),CHOOSE(MATCH($A41,{"튜브","고압","진공","튜닝","조립","출하"},0),"T","H","V","N","A","P")&amp;IF($F41="O","R",IF($G41="O","A",IF($H41="O","F",""))),""),"")</f>
        <v/>
      </c>
      <c r="J41" s="94" t="s">
        <v>71</v>
      </c>
      <c r="K41" s="95" t="s">
        <v>71</v>
      </c>
      <c r="L41" s="96"/>
      <c r="M41" s="97"/>
      <c r="N41" s="98"/>
      <c r="O41" s="99"/>
      <c r="P41" s="100" t="str">
        <f t="shared" si="0"/>
        <v/>
      </c>
      <c r="Q41" s="102" t="s">
        <v>1376</v>
      </c>
      <c r="R41" s="108" t="str">
        <f>HYPERLINK("#'마스터_품목'!A34","→ 마스터 R34")</f>
        <v>→ 마스터 R34</v>
      </c>
      <c r="S41" s="109">
        <v>34</v>
      </c>
      <c r="T41" s="109" t="s">
        <v>72</v>
      </c>
    </row>
    <row r="42" spans="1:20" ht="48" customHeight="1" x14ac:dyDescent="0.3">
      <c r="A42" s="87" t="s">
        <v>1347</v>
      </c>
      <c r="B42" s="87" t="s">
        <v>1368</v>
      </c>
      <c r="C42" s="88" t="s">
        <v>198</v>
      </c>
      <c r="D42" s="88" t="s">
        <v>479</v>
      </c>
      <c r="E42" s="88" t="s">
        <v>478</v>
      </c>
      <c r="F42" s="90" t="s">
        <v>71</v>
      </c>
      <c r="G42" s="91"/>
      <c r="H42" s="92"/>
      <c r="I42" s="93" t="str">
        <f>IFERROR(IF(OR($F42="O",$G42="O",$H42="O"),CHOOSE(MATCH($A42,{"튜브","고압","진공","튜닝","조립","출하"},0),"T","H","V","N","A","P")&amp;IF($F42="O","R",IF($G42="O","A",IF($H42="O","F",""))),""),"")</f>
        <v/>
      </c>
      <c r="J42" s="94"/>
      <c r="K42" s="95" t="s">
        <v>71</v>
      </c>
      <c r="L42" s="96"/>
      <c r="M42" s="97"/>
      <c r="N42" s="98"/>
      <c r="O42" s="99"/>
      <c r="P42" s="100" t="str">
        <f t="shared" si="0"/>
        <v/>
      </c>
      <c r="Q42" s="102" t="s">
        <v>1369</v>
      </c>
      <c r="R42" s="108" t="str">
        <f>HYPERLINK("#'마스터_품목'!A246","→ 마스터 R246")</f>
        <v>→ 마스터 R246</v>
      </c>
      <c r="S42" s="109">
        <v>246</v>
      </c>
      <c r="T42" s="109" t="s">
        <v>72</v>
      </c>
    </row>
    <row r="43" spans="1:20" ht="48" customHeight="1" x14ac:dyDescent="0.3">
      <c r="A43" s="87" t="s">
        <v>1347</v>
      </c>
      <c r="B43" s="87" t="s">
        <v>1368</v>
      </c>
      <c r="C43" s="88" t="s">
        <v>198</v>
      </c>
      <c r="D43" s="88" t="s">
        <v>505</v>
      </c>
      <c r="E43" s="88" t="s">
        <v>504</v>
      </c>
      <c r="F43" s="90" t="s">
        <v>71</v>
      </c>
      <c r="G43" s="91"/>
      <c r="H43" s="92"/>
      <c r="I43" s="93" t="str">
        <f>IFERROR(IF(OR($F43="O",$G43="O",$H43="O"),CHOOSE(MATCH($A43,{"튜브","고압","진공","튜닝","조립","출하"},0),"T","H","V","N","A","P")&amp;IF($F43="O","R",IF($G43="O","A",IF($H43="O","F",""))),""),"")</f>
        <v/>
      </c>
      <c r="J43" s="94"/>
      <c r="K43" s="95" t="s">
        <v>71</v>
      </c>
      <c r="L43" s="96"/>
      <c r="M43" s="97"/>
      <c r="N43" s="98"/>
      <c r="O43" s="99"/>
      <c r="P43" s="100" t="str">
        <f t="shared" si="0"/>
        <v/>
      </c>
      <c r="Q43" s="102" t="s">
        <v>1369</v>
      </c>
      <c r="R43" s="108" t="str">
        <f>HYPERLINK("#'마스터_품목'!A261","→ 마스터 R261")</f>
        <v>→ 마스터 R261</v>
      </c>
      <c r="S43" s="109">
        <v>261</v>
      </c>
      <c r="T43" s="109" t="s">
        <v>72</v>
      </c>
    </row>
    <row r="44" spans="1:20" ht="48" customHeight="1" x14ac:dyDescent="0.3">
      <c r="A44" s="87" t="s">
        <v>1347</v>
      </c>
      <c r="B44" s="87" t="s">
        <v>1368</v>
      </c>
      <c r="C44" s="88" t="s">
        <v>198</v>
      </c>
      <c r="D44" s="88" t="s">
        <v>507</v>
      </c>
      <c r="E44" s="88" t="s">
        <v>506</v>
      </c>
      <c r="F44" s="90" t="s">
        <v>71</v>
      </c>
      <c r="G44" s="91"/>
      <c r="H44" s="92"/>
      <c r="I44" s="93" t="str">
        <f>IFERROR(IF(OR($F44="O",$G44="O",$H44="O"),CHOOSE(MATCH($A44,{"튜브","고압","진공","튜닝","조립","출하"},0),"T","H","V","N","A","P")&amp;IF($F44="O","R",IF($G44="O","A",IF($H44="O","F",""))),""),"")</f>
        <v/>
      </c>
      <c r="J44" s="94"/>
      <c r="K44" s="95" t="s">
        <v>71</v>
      </c>
      <c r="L44" s="96"/>
      <c r="M44" s="97"/>
      <c r="N44" s="98"/>
      <c r="O44" s="99"/>
      <c r="P44" s="100" t="str">
        <f t="shared" si="0"/>
        <v/>
      </c>
      <c r="Q44" s="102" t="s">
        <v>1369</v>
      </c>
      <c r="R44" s="108" t="str">
        <f>HYPERLINK("#'마스터_품목'!A262","→ 마스터 R262")</f>
        <v>→ 마스터 R262</v>
      </c>
      <c r="S44" s="109">
        <v>262</v>
      </c>
      <c r="T44" s="109" t="s">
        <v>72</v>
      </c>
    </row>
    <row r="45" spans="1:20" ht="48" customHeight="1" x14ac:dyDescent="0.3">
      <c r="A45" s="87" t="s">
        <v>1347</v>
      </c>
      <c r="B45" s="87" t="s">
        <v>1377</v>
      </c>
      <c r="C45" s="88" t="s">
        <v>1361</v>
      </c>
      <c r="D45" s="88" t="s">
        <v>189</v>
      </c>
      <c r="E45" s="88" t="s">
        <v>188</v>
      </c>
      <c r="F45" s="90" t="s">
        <v>71</v>
      </c>
      <c r="G45" s="91"/>
      <c r="H45" s="92"/>
      <c r="I45" s="93" t="str">
        <f>IFERROR(IF(OR($F45="O",$G45="O",$H45="O"),CHOOSE(MATCH($A45,{"튜브","고압","진공","튜닝","조립","출하"},0),"T","H","V","N","A","P")&amp;IF($F45="O","R",IF($G45="O","A",IF($H45="O","F",""))),""),"")</f>
        <v/>
      </c>
      <c r="J45" s="94" t="s">
        <v>71</v>
      </c>
      <c r="K45" s="95" t="s">
        <v>71</v>
      </c>
      <c r="L45" s="96"/>
      <c r="M45" s="97"/>
      <c r="N45" s="98"/>
      <c r="O45" s="99"/>
      <c r="P45" s="100" t="str">
        <f t="shared" si="0"/>
        <v/>
      </c>
      <c r="Q45" s="102" t="s">
        <v>1378</v>
      </c>
      <c r="R45" s="108" t="str">
        <f>HYPERLINK("#'마스터_품목'!A52","→ 마스터 R52")</f>
        <v>→ 마스터 R52</v>
      </c>
      <c r="S45" s="109">
        <v>52</v>
      </c>
      <c r="T45" s="109" t="s">
        <v>72</v>
      </c>
    </row>
    <row r="46" spans="1:20" ht="48" customHeight="1" x14ac:dyDescent="0.3">
      <c r="A46" s="87" t="s">
        <v>1347</v>
      </c>
      <c r="B46" s="87" t="s">
        <v>1368</v>
      </c>
      <c r="C46" s="88" t="s">
        <v>198</v>
      </c>
      <c r="D46" s="88" t="s">
        <v>482</v>
      </c>
      <c r="E46" s="88" t="s">
        <v>481</v>
      </c>
      <c r="F46" s="90" t="s">
        <v>71</v>
      </c>
      <c r="G46" s="91"/>
      <c r="H46" s="92"/>
      <c r="I46" s="93" t="str">
        <f>IFERROR(IF(OR($F46="O",$G46="O",$H46="O"),CHOOSE(MATCH($A46,{"튜브","고압","진공","튜닝","조립","출하"},0),"T","H","V","N","A","P")&amp;IF($F46="O","R",IF($G46="O","A",IF($H46="O","F",""))),""),"")</f>
        <v/>
      </c>
      <c r="J46" s="94"/>
      <c r="K46" s="95" t="s">
        <v>71</v>
      </c>
      <c r="L46" s="96"/>
      <c r="M46" s="97"/>
      <c r="N46" s="98"/>
      <c r="O46" s="99"/>
      <c r="P46" s="100" t="str">
        <f t="shared" si="0"/>
        <v/>
      </c>
      <c r="Q46" s="102" t="s">
        <v>1369</v>
      </c>
      <c r="R46" s="108" t="str">
        <f>HYPERLINK("#'마스터_품목'!A248","→ 마스터 R248")</f>
        <v>→ 마스터 R248</v>
      </c>
      <c r="S46" s="109">
        <v>248</v>
      </c>
      <c r="T46" s="109" t="s">
        <v>72</v>
      </c>
    </row>
    <row r="47" spans="1:20" ht="48" customHeight="1" x14ac:dyDescent="0.3">
      <c r="A47" s="87" t="s">
        <v>1347</v>
      </c>
      <c r="B47" s="87" t="s">
        <v>1368</v>
      </c>
      <c r="C47" s="88" t="s">
        <v>198</v>
      </c>
      <c r="D47" s="88" t="s">
        <v>490</v>
      </c>
      <c r="E47" s="88" t="s">
        <v>489</v>
      </c>
      <c r="F47" s="90" t="s">
        <v>71</v>
      </c>
      <c r="G47" s="91"/>
      <c r="H47" s="92"/>
      <c r="I47" s="93" t="str">
        <f>IFERROR(IF(OR($F47="O",$G47="O",$H47="O"),CHOOSE(MATCH($A47,{"튜브","고압","진공","튜닝","조립","출하"},0),"T","H","V","N","A","P")&amp;IF($F47="O","R",IF($G47="O","A",IF($H47="O","F",""))),""),"")</f>
        <v/>
      </c>
      <c r="J47" s="94"/>
      <c r="K47" s="95" t="s">
        <v>71</v>
      </c>
      <c r="L47" s="96"/>
      <c r="M47" s="97"/>
      <c r="N47" s="98"/>
      <c r="O47" s="99"/>
      <c r="P47" s="100" t="str">
        <f t="shared" si="0"/>
        <v/>
      </c>
      <c r="Q47" s="102" t="s">
        <v>1369</v>
      </c>
      <c r="R47" s="108" t="str">
        <f>HYPERLINK("#'마스터_품목'!A252","→ 마스터 R252")</f>
        <v>→ 마스터 R252</v>
      </c>
      <c r="S47" s="109">
        <v>252</v>
      </c>
      <c r="T47" s="109" t="s">
        <v>72</v>
      </c>
    </row>
    <row r="48" spans="1:20" ht="48" customHeight="1" x14ac:dyDescent="0.3">
      <c r="A48" s="87" t="s">
        <v>1347</v>
      </c>
      <c r="B48" s="87" t="s">
        <v>1379</v>
      </c>
      <c r="C48" s="88" t="s">
        <v>1366</v>
      </c>
      <c r="D48" s="88" t="s">
        <v>181</v>
      </c>
      <c r="E48" s="88" t="s">
        <v>180</v>
      </c>
      <c r="F48" s="90" t="s">
        <v>71</v>
      </c>
      <c r="G48" s="91"/>
      <c r="H48" s="92"/>
      <c r="I48" s="93" t="str">
        <f>IFERROR(IF(OR($F48="O",$G48="O",$H48="O"),CHOOSE(MATCH($A48,{"튜브","고압","진공","튜닝","조립","출하"},0),"T","H","V","N","A","P")&amp;IF($F48="O","R",IF($G48="O","A",IF($H48="O","F",""))),""),"")</f>
        <v/>
      </c>
      <c r="J48" s="94" t="s">
        <v>71</v>
      </c>
      <c r="K48" s="95" t="s">
        <v>71</v>
      </c>
      <c r="L48" s="96"/>
      <c r="M48" s="97"/>
      <c r="N48" s="98"/>
      <c r="O48" s="99"/>
      <c r="P48" s="100" t="str">
        <f t="shared" si="0"/>
        <v/>
      </c>
      <c r="Q48" s="102" t="s">
        <v>1380</v>
      </c>
      <c r="R48" s="108" t="str">
        <f>HYPERLINK("#'마스터_품목'!A46","→ 마스터 R46")</f>
        <v>→ 마스터 R46</v>
      </c>
      <c r="S48" s="109">
        <v>46</v>
      </c>
      <c r="T48" s="109" t="s">
        <v>72</v>
      </c>
    </row>
    <row r="49" spans="1:20" ht="48" customHeight="1" x14ac:dyDescent="0.3">
      <c r="A49" s="87" t="s">
        <v>1347</v>
      </c>
      <c r="B49" s="87" t="s">
        <v>1368</v>
      </c>
      <c r="C49" s="88" t="s">
        <v>198</v>
      </c>
      <c r="D49" s="88" t="s">
        <v>497</v>
      </c>
      <c r="E49" s="88" t="s">
        <v>496</v>
      </c>
      <c r="F49" s="90" t="s">
        <v>71</v>
      </c>
      <c r="G49" s="91"/>
      <c r="H49" s="92"/>
      <c r="I49" s="93" t="str">
        <f>IFERROR(IF(OR($F49="O",$G49="O",$H49="O"),CHOOSE(MATCH($A49,{"튜브","고압","진공","튜닝","조립","출하"},0),"T","H","V","N","A","P")&amp;IF($F49="O","R",IF($G49="O","A",IF($H49="O","F",""))),""),"")</f>
        <v/>
      </c>
      <c r="J49" s="94"/>
      <c r="K49" s="95" t="s">
        <v>71</v>
      </c>
      <c r="L49" s="96"/>
      <c r="M49" s="97"/>
      <c r="N49" s="98"/>
      <c r="O49" s="99"/>
      <c r="P49" s="100" t="str">
        <f t="shared" si="0"/>
        <v/>
      </c>
      <c r="Q49" s="102" t="s">
        <v>1369</v>
      </c>
      <c r="R49" s="108" t="str">
        <f>HYPERLINK("#'마스터_품목'!A256","→ 마스터 R256")</f>
        <v>→ 마스터 R256</v>
      </c>
      <c r="S49" s="109">
        <v>256</v>
      </c>
      <c r="T49" s="109" t="s">
        <v>72</v>
      </c>
    </row>
    <row r="50" spans="1:20" ht="48" customHeight="1" x14ac:dyDescent="0.3">
      <c r="A50" s="87" t="s">
        <v>1347</v>
      </c>
      <c r="B50" s="87" t="s">
        <v>1368</v>
      </c>
      <c r="C50" s="88" t="s">
        <v>198</v>
      </c>
      <c r="D50" s="88" t="s">
        <v>495</v>
      </c>
      <c r="E50" s="88" t="s">
        <v>494</v>
      </c>
      <c r="F50" s="90" t="s">
        <v>71</v>
      </c>
      <c r="G50" s="91"/>
      <c r="H50" s="92"/>
      <c r="I50" s="93" t="str">
        <f>IFERROR(IF(OR($F50="O",$G50="O",$H50="O"),CHOOSE(MATCH($A50,{"튜브","고압","진공","튜닝","조립","출하"},0),"T","H","V","N","A","P")&amp;IF($F50="O","R",IF($G50="O","A",IF($H50="O","F",""))),""),"")</f>
        <v/>
      </c>
      <c r="J50" s="94"/>
      <c r="K50" s="95" t="s">
        <v>71</v>
      </c>
      <c r="L50" s="96"/>
      <c r="M50" s="97"/>
      <c r="N50" s="98"/>
      <c r="O50" s="99"/>
      <c r="P50" s="100" t="str">
        <f t="shared" si="0"/>
        <v/>
      </c>
      <c r="Q50" s="102" t="s">
        <v>1369</v>
      </c>
      <c r="R50" s="108" t="str">
        <f>HYPERLINK("#'마스터_품목'!A255","→ 마스터 R255")</f>
        <v>→ 마스터 R255</v>
      </c>
      <c r="S50" s="109">
        <v>255</v>
      </c>
      <c r="T50" s="109" t="s">
        <v>72</v>
      </c>
    </row>
    <row r="51" spans="1:20" ht="48" customHeight="1" x14ac:dyDescent="0.3">
      <c r="A51" s="87" t="s">
        <v>1347</v>
      </c>
      <c r="B51" s="87" t="s">
        <v>1359</v>
      </c>
      <c r="C51" s="88" t="s">
        <v>1366</v>
      </c>
      <c r="D51" s="88" t="s">
        <v>175</v>
      </c>
      <c r="E51" s="88" t="s">
        <v>174</v>
      </c>
      <c r="F51" s="90" t="s">
        <v>71</v>
      </c>
      <c r="G51" s="91"/>
      <c r="H51" s="92"/>
      <c r="I51" s="93" t="str">
        <f>IFERROR(IF(OR($F51="O",$G51="O",$H51="O"),CHOOSE(MATCH($A51,{"튜브","고압","진공","튜닝","조립","출하"},0),"T","H","V","N","A","P")&amp;IF($F51="O","R",IF($G51="O","A",IF($H51="O","F",""))),""),"")</f>
        <v/>
      </c>
      <c r="J51" s="94" t="s">
        <v>71</v>
      </c>
      <c r="K51" s="95" t="s">
        <v>71</v>
      </c>
      <c r="L51" s="96" t="s">
        <v>71</v>
      </c>
      <c r="M51" s="97"/>
      <c r="N51" s="98"/>
      <c r="O51" s="99"/>
      <c r="P51" s="100" t="str">
        <f t="shared" si="0"/>
        <v/>
      </c>
      <c r="Q51" s="102" t="s">
        <v>1381</v>
      </c>
      <c r="R51" s="108" t="str">
        <f>HYPERLINK("#'마스터_품목'!A43","→ 마스터 R43")</f>
        <v>→ 마스터 R43</v>
      </c>
      <c r="S51" s="109">
        <v>43</v>
      </c>
      <c r="T51" s="109" t="s">
        <v>72</v>
      </c>
    </row>
    <row r="52" spans="1:20" ht="48" customHeight="1" x14ac:dyDescent="0.3">
      <c r="A52" s="87" t="s">
        <v>1347</v>
      </c>
      <c r="B52" s="87" t="s">
        <v>1359</v>
      </c>
      <c r="C52" s="88" t="s">
        <v>1366</v>
      </c>
      <c r="D52" s="88" t="s">
        <v>177</v>
      </c>
      <c r="E52" s="88" t="s">
        <v>1382</v>
      </c>
      <c r="F52" s="90" t="s">
        <v>71</v>
      </c>
      <c r="G52" s="91"/>
      <c r="H52" s="92"/>
      <c r="I52" s="93" t="str">
        <f>IFERROR(IF(OR($F52="O",$G52="O",$H52="O"),CHOOSE(MATCH($A52,{"튜브","고압","진공","튜닝","조립","출하"},0),"T","H","V","N","A","P")&amp;IF($F52="O","R",IF($G52="O","A",IF($H52="O","F",""))),""),"")</f>
        <v/>
      </c>
      <c r="J52" s="94" t="s">
        <v>71</v>
      </c>
      <c r="K52" s="95" t="s">
        <v>71</v>
      </c>
      <c r="L52" s="96" t="s">
        <v>71</v>
      </c>
      <c r="M52" s="97"/>
      <c r="N52" s="98"/>
      <c r="O52" s="99"/>
      <c r="P52" s="100" t="str">
        <f t="shared" si="0"/>
        <v/>
      </c>
      <c r="Q52" s="102" t="s">
        <v>1353</v>
      </c>
      <c r="R52" s="108" t="str">
        <f>HYPERLINK("#'마스터_품목'!A44","→ 마스터 R44")</f>
        <v>→ 마스터 R44</v>
      </c>
      <c r="S52" s="109">
        <v>44</v>
      </c>
      <c r="T52" s="109" t="s">
        <v>72</v>
      </c>
    </row>
    <row r="53" spans="1:20" ht="48" customHeight="1" x14ac:dyDescent="0.3">
      <c r="A53" s="87" t="s">
        <v>1347</v>
      </c>
      <c r="B53" s="87" t="s">
        <v>1368</v>
      </c>
      <c r="C53" s="88" t="s">
        <v>198</v>
      </c>
      <c r="D53" s="88" t="s">
        <v>480</v>
      </c>
      <c r="E53" s="88" t="s">
        <v>367</v>
      </c>
      <c r="F53" s="90" t="s">
        <v>71</v>
      </c>
      <c r="G53" s="91"/>
      <c r="H53" s="92"/>
      <c r="I53" s="93" t="str">
        <f>IFERROR(IF(OR($F53="O",$G53="O",$H53="O"),CHOOSE(MATCH($A53,{"튜브","고압","진공","튜닝","조립","출하"},0),"T","H","V","N","A","P")&amp;IF($F53="O","R",IF($G53="O","A",IF($H53="O","F",""))),""),"")</f>
        <v/>
      </c>
      <c r="J53" s="94"/>
      <c r="K53" s="95" t="s">
        <v>71</v>
      </c>
      <c r="L53" s="96"/>
      <c r="M53" s="97"/>
      <c r="N53" s="98"/>
      <c r="O53" s="99"/>
      <c r="P53" s="100" t="str">
        <f t="shared" si="0"/>
        <v/>
      </c>
      <c r="Q53" s="102" t="s">
        <v>1369</v>
      </c>
      <c r="R53" s="108" t="str">
        <f>HYPERLINK("#'마스터_품목'!A247","→ 마스터 R247")</f>
        <v>→ 마스터 R247</v>
      </c>
      <c r="S53" s="109">
        <v>247</v>
      </c>
      <c r="T53" s="109" t="s">
        <v>72</v>
      </c>
    </row>
    <row r="54" spans="1:20" ht="48" customHeight="1" x14ac:dyDescent="0.3">
      <c r="A54" s="87" t="s">
        <v>1347</v>
      </c>
      <c r="B54" s="87" t="s">
        <v>1348</v>
      </c>
      <c r="C54" s="88" t="s">
        <v>1361</v>
      </c>
      <c r="D54" s="88" t="s">
        <v>207</v>
      </c>
      <c r="E54" s="88" t="s">
        <v>206</v>
      </c>
      <c r="F54" s="90" t="s">
        <v>71</v>
      </c>
      <c r="G54" s="91"/>
      <c r="H54" s="92"/>
      <c r="I54" s="93" t="str">
        <f>IFERROR(IF(OR($F54="O",$G54="O",$H54="O"),CHOOSE(MATCH($A54,{"튜브","고압","진공","튜닝","조립","출하"},0),"T","H","V","N","A","P")&amp;IF($F54="O","R",IF($G54="O","A",IF($H54="O","F",""))),""),"")</f>
        <v/>
      </c>
      <c r="J54" s="94" t="s">
        <v>71</v>
      </c>
      <c r="K54" s="95" t="s">
        <v>71</v>
      </c>
      <c r="L54" s="96"/>
      <c r="M54" s="97"/>
      <c r="N54" s="98"/>
      <c r="O54" s="99"/>
      <c r="P54" s="100" t="str">
        <f t="shared" si="0"/>
        <v/>
      </c>
      <c r="Q54" s="102" t="s">
        <v>1349</v>
      </c>
      <c r="R54" s="108" t="str">
        <f>HYPERLINK("#'마스터_품목'!A62","→ 마스터 R62")</f>
        <v>→ 마스터 R62</v>
      </c>
      <c r="S54" s="109">
        <v>62</v>
      </c>
      <c r="T54" s="109" t="s">
        <v>72</v>
      </c>
    </row>
    <row r="55" spans="1:20" ht="48" customHeight="1" x14ac:dyDescent="0.3">
      <c r="A55" s="87" t="s">
        <v>1347</v>
      </c>
      <c r="B55" s="87" t="s">
        <v>1348</v>
      </c>
      <c r="C55" s="88" t="s">
        <v>195</v>
      </c>
      <c r="D55" s="88" t="s">
        <v>209</v>
      </c>
      <c r="E55" s="88" t="s">
        <v>208</v>
      </c>
      <c r="F55" s="90" t="s">
        <v>71</v>
      </c>
      <c r="G55" s="91"/>
      <c r="H55" s="92"/>
      <c r="I55" s="93" t="str">
        <f>IFERROR(IF(OR($F55="O",$G55="O",$H55="O"),CHOOSE(MATCH($A55,{"튜브","고압","진공","튜닝","조립","출하"},0),"T","H","V","N","A","P")&amp;IF($F55="O","R",IF($G55="O","A",IF($H55="O","F",""))),""),"")</f>
        <v/>
      </c>
      <c r="J55" s="94" t="s">
        <v>71</v>
      </c>
      <c r="K55" s="95"/>
      <c r="L55" s="96"/>
      <c r="M55" s="97"/>
      <c r="N55" s="98"/>
      <c r="O55" s="99"/>
      <c r="P55" s="100" t="str">
        <f t="shared" si="0"/>
        <v/>
      </c>
      <c r="Q55" s="102" t="s">
        <v>1353</v>
      </c>
      <c r="R55" s="108" t="str">
        <f>HYPERLINK("#'마스터_품목'!A63","→ 마스터 R63")</f>
        <v>→ 마스터 R63</v>
      </c>
      <c r="S55" s="109">
        <v>63</v>
      </c>
      <c r="T55" s="109" t="s">
        <v>72</v>
      </c>
    </row>
    <row r="56" spans="1:20" ht="48" customHeight="1" x14ac:dyDescent="0.3">
      <c r="A56" s="87" t="s">
        <v>1347</v>
      </c>
      <c r="B56" s="87" t="s">
        <v>1368</v>
      </c>
      <c r="C56" s="88" t="s">
        <v>198</v>
      </c>
      <c r="D56" s="88" t="s">
        <v>488</v>
      </c>
      <c r="E56" s="88" t="s">
        <v>487</v>
      </c>
      <c r="F56" s="90" t="s">
        <v>71</v>
      </c>
      <c r="G56" s="91"/>
      <c r="H56" s="92"/>
      <c r="I56" s="93" t="str">
        <f>IFERROR(IF(OR($F56="O",$G56="O",$H56="O"),CHOOSE(MATCH($A56,{"튜브","고압","진공","튜닝","조립","출하"},0),"T","H","V","N","A","P")&amp;IF($F56="O","R",IF($G56="O","A",IF($H56="O","F",""))),""),"")</f>
        <v/>
      </c>
      <c r="J56" s="94"/>
      <c r="K56" s="95" t="s">
        <v>71</v>
      </c>
      <c r="L56" s="96"/>
      <c r="M56" s="97"/>
      <c r="N56" s="98"/>
      <c r="O56" s="99"/>
      <c r="P56" s="100" t="str">
        <f t="shared" si="0"/>
        <v/>
      </c>
      <c r="Q56" s="102" t="s">
        <v>1369</v>
      </c>
      <c r="R56" s="108" t="str">
        <f>HYPERLINK("#'마스터_품목'!A251","→ 마스터 R251")</f>
        <v>→ 마스터 R251</v>
      </c>
      <c r="S56" s="109">
        <v>251</v>
      </c>
      <c r="T56" s="109" t="s">
        <v>72</v>
      </c>
    </row>
    <row r="57" spans="1:20" ht="48" customHeight="1" x14ac:dyDescent="0.3">
      <c r="A57" s="87" t="s">
        <v>1347</v>
      </c>
      <c r="B57" s="87" t="s">
        <v>1368</v>
      </c>
      <c r="C57" s="88" t="s">
        <v>198</v>
      </c>
      <c r="D57" s="88" t="s">
        <v>484</v>
      </c>
      <c r="E57" s="88" t="s">
        <v>483</v>
      </c>
      <c r="F57" s="90" t="s">
        <v>71</v>
      </c>
      <c r="G57" s="91"/>
      <c r="H57" s="92"/>
      <c r="I57" s="93" t="str">
        <f>IFERROR(IF(OR($F57="O",$G57="O",$H57="O"),CHOOSE(MATCH($A57,{"튜브","고압","진공","튜닝","조립","출하"},0),"T","H","V","N","A","P")&amp;IF($F57="O","R",IF($G57="O","A",IF($H57="O","F",""))),""),"")</f>
        <v/>
      </c>
      <c r="J57" s="94"/>
      <c r="K57" s="95" t="s">
        <v>71</v>
      </c>
      <c r="L57" s="96"/>
      <c r="M57" s="97"/>
      <c r="N57" s="98"/>
      <c r="O57" s="99"/>
      <c r="P57" s="100" t="str">
        <f t="shared" si="0"/>
        <v/>
      </c>
      <c r="Q57" s="102" t="s">
        <v>1369</v>
      </c>
      <c r="R57" s="108" t="str">
        <f>HYPERLINK("#'마스터_품목'!A249","→ 마스터 R249")</f>
        <v>→ 마스터 R249</v>
      </c>
      <c r="S57" s="109">
        <v>249</v>
      </c>
      <c r="T57" s="109" t="s">
        <v>72</v>
      </c>
    </row>
    <row r="58" spans="1:20" ht="48" customHeight="1" x14ac:dyDescent="0.3">
      <c r="A58" s="87" t="s">
        <v>1347</v>
      </c>
      <c r="B58" s="87" t="s">
        <v>1368</v>
      </c>
      <c r="C58" s="88" t="s">
        <v>198</v>
      </c>
      <c r="D58" s="88" t="s">
        <v>486</v>
      </c>
      <c r="E58" s="88" t="s">
        <v>485</v>
      </c>
      <c r="F58" s="90" t="s">
        <v>71</v>
      </c>
      <c r="G58" s="91"/>
      <c r="H58" s="92"/>
      <c r="I58" s="93" t="str">
        <f>IFERROR(IF(OR($F58="O",$G58="O",$H58="O"),CHOOSE(MATCH($A58,{"튜브","고압","진공","튜닝","조립","출하"},0),"T","H","V","N","A","P")&amp;IF($F58="O","R",IF($G58="O","A",IF($H58="O","F",""))),""),"")</f>
        <v/>
      </c>
      <c r="J58" s="94"/>
      <c r="K58" s="95" t="s">
        <v>71</v>
      </c>
      <c r="L58" s="96"/>
      <c r="M58" s="97"/>
      <c r="N58" s="98"/>
      <c r="O58" s="99"/>
      <c r="P58" s="100" t="str">
        <f t="shared" si="0"/>
        <v/>
      </c>
      <c r="Q58" s="102" t="s">
        <v>1369</v>
      </c>
      <c r="R58" s="108" t="str">
        <f>HYPERLINK("#'마스터_품목'!A250","→ 마스터 R250")</f>
        <v>→ 마스터 R250</v>
      </c>
      <c r="S58" s="109">
        <v>250</v>
      </c>
      <c r="T58" s="109" t="s">
        <v>72</v>
      </c>
    </row>
    <row r="59" spans="1:20" ht="48" customHeight="1" x14ac:dyDescent="0.3">
      <c r="A59" s="87" t="s">
        <v>1347</v>
      </c>
      <c r="B59" s="87" t="s">
        <v>1368</v>
      </c>
      <c r="C59" s="88" t="s">
        <v>198</v>
      </c>
      <c r="D59" s="88" t="s">
        <v>511</v>
      </c>
      <c r="E59" s="88" t="s">
        <v>510</v>
      </c>
      <c r="F59" s="90" t="s">
        <v>71</v>
      </c>
      <c r="G59" s="91"/>
      <c r="H59" s="92"/>
      <c r="I59" s="93" t="str">
        <f>IFERROR(IF(OR($F59="O",$G59="O",$H59="O"),CHOOSE(MATCH($A59,{"튜브","고압","진공","튜닝","조립","출하"},0),"T","H","V","N","A","P")&amp;IF($F59="O","R",IF($G59="O","A",IF($H59="O","F",""))),""),"")</f>
        <v/>
      </c>
      <c r="J59" s="94"/>
      <c r="K59" s="95" t="s">
        <v>71</v>
      </c>
      <c r="L59" s="96"/>
      <c r="M59" s="97"/>
      <c r="N59" s="98"/>
      <c r="O59" s="99"/>
      <c r="P59" s="100" t="str">
        <f t="shared" si="0"/>
        <v/>
      </c>
      <c r="Q59" s="102" t="s">
        <v>1369</v>
      </c>
      <c r="R59" s="108" t="str">
        <f>HYPERLINK("#'마스터_품목'!A264","→ 마스터 R264")</f>
        <v>→ 마스터 R264</v>
      </c>
      <c r="S59" s="109">
        <v>264</v>
      </c>
      <c r="T59" s="109" t="s">
        <v>72</v>
      </c>
    </row>
    <row r="60" spans="1:20" ht="48" customHeight="1" x14ac:dyDescent="0.3">
      <c r="A60" s="87" t="s">
        <v>1347</v>
      </c>
      <c r="B60" s="87" t="s">
        <v>1368</v>
      </c>
      <c r="C60" s="88" t="s">
        <v>198</v>
      </c>
      <c r="D60" s="88" t="s">
        <v>499</v>
      </c>
      <c r="E60" s="88" t="s">
        <v>498</v>
      </c>
      <c r="F60" s="90" t="s">
        <v>71</v>
      </c>
      <c r="G60" s="91"/>
      <c r="H60" s="92"/>
      <c r="I60" s="93" t="str">
        <f>IFERROR(IF(OR($F60="O",$G60="O",$H60="O"),CHOOSE(MATCH($A60,{"튜브","고압","진공","튜닝","조립","출하"},0),"T","H","V","N","A","P")&amp;IF($F60="O","R",IF($G60="O","A",IF($H60="O","F",""))),""),"")</f>
        <v/>
      </c>
      <c r="J60" s="94"/>
      <c r="K60" s="95" t="s">
        <v>71</v>
      </c>
      <c r="L60" s="96"/>
      <c r="M60" s="97"/>
      <c r="N60" s="98"/>
      <c r="O60" s="99"/>
      <c r="P60" s="100" t="str">
        <f t="shared" si="0"/>
        <v/>
      </c>
      <c r="Q60" s="102" t="s">
        <v>1369</v>
      </c>
      <c r="R60" s="108" t="str">
        <f>HYPERLINK("#'마스터_품목'!A257","→ 마스터 R257")</f>
        <v>→ 마스터 R257</v>
      </c>
      <c r="S60" s="109">
        <v>257</v>
      </c>
      <c r="T60" s="109" t="s">
        <v>72</v>
      </c>
    </row>
    <row r="61" spans="1:20" ht="48" customHeight="1" x14ac:dyDescent="0.3">
      <c r="A61" s="87" t="s">
        <v>1347</v>
      </c>
      <c r="B61" s="87" t="s">
        <v>1348</v>
      </c>
      <c r="C61" s="88" t="s">
        <v>1361</v>
      </c>
      <c r="D61" s="88" t="s">
        <v>194</v>
      </c>
      <c r="E61" s="88" t="s">
        <v>193</v>
      </c>
      <c r="F61" s="90" t="s">
        <v>71</v>
      </c>
      <c r="G61" s="91"/>
      <c r="H61" s="92"/>
      <c r="I61" s="93" t="str">
        <f>IFERROR(IF(OR($F61="O",$G61="O",$H61="O"),CHOOSE(MATCH($A61,{"튜브","고압","진공","튜닝","조립","출하"},0),"T","H","V","N","A","P")&amp;IF($F61="O","R",IF($G61="O","A",IF($H61="O","F",""))),""),"")</f>
        <v/>
      </c>
      <c r="J61" s="94" t="s">
        <v>71</v>
      </c>
      <c r="K61" s="95" t="s">
        <v>71</v>
      </c>
      <c r="L61" s="96"/>
      <c r="M61" s="97"/>
      <c r="N61" s="98"/>
      <c r="O61" s="99"/>
      <c r="P61" s="100" t="str">
        <f t="shared" si="0"/>
        <v/>
      </c>
      <c r="Q61" s="102" t="s">
        <v>1349</v>
      </c>
      <c r="R61" s="108" t="str">
        <f>HYPERLINK("#'마스터_품목'!A56","→ 마스터 R56")</f>
        <v>→ 마스터 R56</v>
      </c>
      <c r="S61" s="109">
        <v>56</v>
      </c>
      <c r="T61" s="109" t="s">
        <v>72</v>
      </c>
    </row>
    <row r="62" spans="1:20" ht="48" customHeight="1" x14ac:dyDescent="0.3">
      <c r="A62" s="87" t="s">
        <v>1347</v>
      </c>
      <c r="B62" s="87" t="s">
        <v>1348</v>
      </c>
      <c r="C62" s="88" t="s">
        <v>195</v>
      </c>
      <c r="D62" s="88" t="s">
        <v>197</v>
      </c>
      <c r="E62" s="88" t="s">
        <v>196</v>
      </c>
      <c r="F62" s="90" t="s">
        <v>71</v>
      </c>
      <c r="G62" s="91"/>
      <c r="H62" s="92"/>
      <c r="I62" s="93" t="str">
        <f>IFERROR(IF(OR($F62="O",$G62="O",$H62="O"),CHOOSE(MATCH($A62,{"튜브","고압","진공","튜닝","조립","출하"},0),"T","H","V","N","A","P")&amp;IF($F62="O","R",IF($G62="O","A",IF($H62="O","F",""))),""),"")</f>
        <v/>
      </c>
      <c r="J62" s="94" t="s">
        <v>71</v>
      </c>
      <c r="K62" s="95"/>
      <c r="L62" s="96"/>
      <c r="M62" s="97"/>
      <c r="N62" s="98"/>
      <c r="O62" s="99"/>
      <c r="P62" s="100" t="str">
        <f t="shared" si="0"/>
        <v/>
      </c>
      <c r="Q62" s="102" t="s">
        <v>1349</v>
      </c>
      <c r="R62" s="108" t="str">
        <f>HYPERLINK("#'마스터_품목'!A57","→ 마스터 R57")</f>
        <v>→ 마스터 R57</v>
      </c>
      <c r="S62" s="109">
        <v>57</v>
      </c>
      <c r="T62" s="109" t="s">
        <v>72</v>
      </c>
    </row>
    <row r="63" spans="1:20" ht="48" customHeight="1" x14ac:dyDescent="0.3">
      <c r="A63" s="87" t="s">
        <v>1347</v>
      </c>
      <c r="B63" s="87" t="s">
        <v>1368</v>
      </c>
      <c r="C63" s="88" t="s">
        <v>198</v>
      </c>
      <c r="D63" s="88" t="s">
        <v>501</v>
      </c>
      <c r="E63" s="88" t="s">
        <v>500</v>
      </c>
      <c r="F63" s="90" t="s">
        <v>71</v>
      </c>
      <c r="G63" s="91"/>
      <c r="H63" s="92"/>
      <c r="I63" s="93" t="str">
        <f>IFERROR(IF(OR($F63="O",$G63="O",$H63="O"),CHOOSE(MATCH($A63,{"튜브","고압","진공","튜닝","조립","출하"},0),"T","H","V","N","A","P")&amp;IF($F63="O","R",IF($G63="O","A",IF($H63="O","F",""))),""),"")</f>
        <v/>
      </c>
      <c r="J63" s="94"/>
      <c r="K63" s="95" t="s">
        <v>71</v>
      </c>
      <c r="L63" s="96"/>
      <c r="M63" s="97"/>
      <c r="N63" s="98"/>
      <c r="O63" s="99"/>
      <c r="P63" s="100" t="str">
        <f t="shared" si="0"/>
        <v/>
      </c>
      <c r="Q63" s="102" t="s">
        <v>1369</v>
      </c>
      <c r="R63" s="108" t="str">
        <f>HYPERLINK("#'마스터_품목'!A258","→ 마스터 R258")</f>
        <v>→ 마스터 R258</v>
      </c>
      <c r="S63" s="109">
        <v>258</v>
      </c>
      <c r="T63" s="109" t="s">
        <v>72</v>
      </c>
    </row>
    <row r="64" spans="1:20" ht="48" customHeight="1" x14ac:dyDescent="0.3">
      <c r="A64" s="87" t="s">
        <v>1347</v>
      </c>
      <c r="B64" s="87" t="s">
        <v>1368</v>
      </c>
      <c r="C64" s="88" t="s">
        <v>198</v>
      </c>
      <c r="D64" s="88" t="s">
        <v>502</v>
      </c>
      <c r="E64" s="88" t="s">
        <v>390</v>
      </c>
      <c r="F64" s="90" t="s">
        <v>71</v>
      </c>
      <c r="G64" s="91"/>
      <c r="H64" s="92"/>
      <c r="I64" s="93" t="str">
        <f>IFERROR(IF(OR($F64="O",$G64="O",$H64="O"),CHOOSE(MATCH($A64,{"튜브","고압","진공","튜닝","조립","출하"},0),"T","H","V","N","A","P")&amp;IF($F64="O","R",IF($G64="O","A",IF($H64="O","F",""))),""),"")</f>
        <v/>
      </c>
      <c r="J64" s="94"/>
      <c r="K64" s="95" t="s">
        <v>71</v>
      </c>
      <c r="L64" s="96"/>
      <c r="M64" s="97"/>
      <c r="N64" s="98"/>
      <c r="O64" s="99"/>
      <c r="P64" s="100" t="str">
        <f t="shared" si="0"/>
        <v/>
      </c>
      <c r="Q64" s="102" t="s">
        <v>1369</v>
      </c>
      <c r="R64" s="108" t="str">
        <f>HYPERLINK("#'마스터_품목'!A259","→ 마스터 R259")</f>
        <v>→ 마스터 R259</v>
      </c>
      <c r="S64" s="109">
        <v>259</v>
      </c>
      <c r="T64" s="109" t="s">
        <v>72</v>
      </c>
    </row>
    <row r="65" spans="1:20" ht="48" customHeight="1" x14ac:dyDescent="0.3">
      <c r="A65" s="87" t="s">
        <v>1347</v>
      </c>
      <c r="B65" s="87" t="s">
        <v>1368</v>
      </c>
      <c r="C65" s="88" t="s">
        <v>198</v>
      </c>
      <c r="D65" s="88" t="s">
        <v>503</v>
      </c>
      <c r="E65" s="88" t="s">
        <v>393</v>
      </c>
      <c r="F65" s="90" t="s">
        <v>71</v>
      </c>
      <c r="G65" s="91"/>
      <c r="H65" s="92"/>
      <c r="I65" s="93" t="str">
        <f>IFERROR(IF(OR($F65="O",$G65="O",$H65="O"),CHOOSE(MATCH($A65,{"튜브","고압","진공","튜닝","조립","출하"},0),"T","H","V","N","A","P")&amp;IF($F65="O","R",IF($G65="O","A",IF($H65="O","F",""))),""),"")</f>
        <v/>
      </c>
      <c r="J65" s="94"/>
      <c r="K65" s="95" t="s">
        <v>71</v>
      </c>
      <c r="L65" s="96"/>
      <c r="M65" s="97"/>
      <c r="N65" s="98"/>
      <c r="O65" s="99"/>
      <c r="P65" s="100" t="str">
        <f t="shared" si="0"/>
        <v/>
      </c>
      <c r="Q65" s="102" t="s">
        <v>1369</v>
      </c>
      <c r="R65" s="108" t="str">
        <f>HYPERLINK("#'마스터_품목'!A260","→ 마스터 R260")</f>
        <v>→ 마스터 R260</v>
      </c>
      <c r="S65" s="109">
        <v>260</v>
      </c>
      <c r="T65" s="109" t="s">
        <v>72</v>
      </c>
    </row>
    <row r="66" spans="1:20" ht="48" customHeight="1" x14ac:dyDescent="0.3">
      <c r="A66" s="87" t="s">
        <v>1347</v>
      </c>
      <c r="B66" s="87" t="s">
        <v>1383</v>
      </c>
      <c r="C66" s="88" t="s">
        <v>198</v>
      </c>
      <c r="D66" s="88" t="s">
        <v>524</v>
      </c>
      <c r="E66" s="88" t="s">
        <v>523</v>
      </c>
      <c r="F66" s="90" t="s">
        <v>71</v>
      </c>
      <c r="G66" s="91"/>
      <c r="H66" s="92"/>
      <c r="I66" s="93" t="str">
        <f>IFERROR(IF(OR($F66="O",$G66="O",$H66="O"),CHOOSE(MATCH($A66,{"튜브","고압","진공","튜닝","조립","출하"},0),"T","H","V","N","A","P")&amp;IF($F66="O","R",IF($G66="O","A",IF($H66="O","F",""))),""),"")</f>
        <v/>
      </c>
      <c r="J66" s="94"/>
      <c r="K66" s="95" t="s">
        <v>71</v>
      </c>
      <c r="L66" s="96" t="s">
        <v>71</v>
      </c>
      <c r="M66" s="97"/>
      <c r="N66" s="98"/>
      <c r="O66" s="99"/>
      <c r="P66" s="100" t="str">
        <f t="shared" ref="P66:P129" si="1">IF($I66="","",IF($J66="O","3","")&amp;IF($K66="O","4","")&amp;IF($L66="O","6","")&amp;IF($M66="O","7","")&amp;IF($N66="O","8","")&amp;IF($O66="O","?","")&amp;IF(OR($J66="O",$K66="O",$L66="O",$M66="O",$N66="O",$O66="O"),"-","")&amp;$I66)</f>
        <v/>
      </c>
      <c r="Q66" s="102" t="s">
        <v>1384</v>
      </c>
      <c r="R66" s="108" t="str">
        <f>HYPERLINK("#'마스터_품목'!A270","→ 마스터 R270")</f>
        <v>→ 마스터 R270</v>
      </c>
      <c r="S66" s="109">
        <v>270</v>
      </c>
      <c r="T66" s="109" t="s">
        <v>72</v>
      </c>
    </row>
    <row r="67" spans="1:20" ht="48" customHeight="1" x14ac:dyDescent="0.3">
      <c r="A67" s="87" t="s">
        <v>1347</v>
      </c>
      <c r="B67" s="87" t="s">
        <v>1365</v>
      </c>
      <c r="C67" s="88" t="s">
        <v>1366</v>
      </c>
      <c r="D67" s="88" t="s">
        <v>273</v>
      </c>
      <c r="E67" s="88" t="s">
        <v>272</v>
      </c>
      <c r="F67" s="90" t="s">
        <v>71</v>
      </c>
      <c r="G67" s="91"/>
      <c r="H67" s="92"/>
      <c r="I67" s="93" t="str">
        <f>IFERROR(IF(OR($F67="O",$G67="O",$H67="O"),CHOOSE(MATCH($A67,{"튜브","고압","진공","튜닝","조립","출하"},0),"T","H","V","N","A","P")&amp;IF($F67="O","R",IF($G67="O","A",IF($H67="O","F",""))),""),"")</f>
        <v/>
      </c>
      <c r="J67" s="94" t="s">
        <v>71</v>
      </c>
      <c r="K67" s="95" t="s">
        <v>71</v>
      </c>
      <c r="L67" s="96"/>
      <c r="M67" s="97"/>
      <c r="N67" s="98"/>
      <c r="O67" s="99"/>
      <c r="P67" s="100" t="str">
        <f t="shared" si="1"/>
        <v/>
      </c>
      <c r="Q67" s="102" t="s">
        <v>1367</v>
      </c>
      <c r="R67" s="108" t="str">
        <f>HYPERLINK("#'마스터_품목'!A109","→ 마스터 R109")</f>
        <v>→ 마스터 R109</v>
      </c>
      <c r="S67" s="109">
        <v>109</v>
      </c>
      <c r="T67" s="109" t="s">
        <v>72</v>
      </c>
    </row>
    <row r="68" spans="1:20" ht="48" customHeight="1" x14ac:dyDescent="0.3">
      <c r="A68" s="87" t="s">
        <v>1347</v>
      </c>
      <c r="B68" s="87" t="s">
        <v>1383</v>
      </c>
      <c r="C68" s="88" t="s">
        <v>198</v>
      </c>
      <c r="D68" s="88" t="s">
        <v>530</v>
      </c>
      <c r="E68" s="88" t="s">
        <v>529</v>
      </c>
      <c r="F68" s="90" t="s">
        <v>71</v>
      </c>
      <c r="G68" s="91"/>
      <c r="H68" s="92"/>
      <c r="I68" s="93" t="str">
        <f>IFERROR(IF(OR($F68="O",$G68="O",$H68="O"),CHOOSE(MATCH($A68,{"튜브","고압","진공","튜닝","조립","출하"},0),"T","H","V","N","A","P")&amp;IF($F68="O","R",IF($G68="O","A",IF($H68="O","F",""))),""),"")</f>
        <v/>
      </c>
      <c r="J68" s="94"/>
      <c r="K68" s="95" t="s">
        <v>71</v>
      </c>
      <c r="L68" s="96" t="s">
        <v>71</v>
      </c>
      <c r="M68" s="97"/>
      <c r="N68" s="98"/>
      <c r="O68" s="99"/>
      <c r="P68" s="100" t="str">
        <f t="shared" si="1"/>
        <v/>
      </c>
      <c r="Q68" s="102" t="s">
        <v>1384</v>
      </c>
      <c r="R68" s="108" t="str">
        <f>HYPERLINK("#'마스터_품목'!A273","→ 마스터 R273")</f>
        <v>→ 마스터 R273</v>
      </c>
      <c r="S68" s="109">
        <v>273</v>
      </c>
      <c r="T68" s="109" t="s">
        <v>72</v>
      </c>
    </row>
    <row r="69" spans="1:20" ht="48" customHeight="1" x14ac:dyDescent="0.3">
      <c r="A69" s="87" t="s">
        <v>1347</v>
      </c>
      <c r="B69" s="87" t="s">
        <v>1385</v>
      </c>
      <c r="C69" s="88" t="s">
        <v>198</v>
      </c>
      <c r="D69" s="88" t="s">
        <v>526</v>
      </c>
      <c r="E69" s="88" t="s">
        <v>525</v>
      </c>
      <c r="F69" s="90" t="s">
        <v>71</v>
      </c>
      <c r="G69" s="91"/>
      <c r="H69" s="92"/>
      <c r="I69" s="93" t="str">
        <f>IFERROR(IF(OR($F69="O",$G69="O",$H69="O"),CHOOSE(MATCH($A69,{"튜브","고압","진공","튜닝","조립","출하"},0),"T","H","V","N","A","P")&amp;IF($F69="O","R",IF($G69="O","A",IF($H69="O","F",""))),""),"")</f>
        <v/>
      </c>
      <c r="J69" s="94"/>
      <c r="K69" s="95" t="s">
        <v>71</v>
      </c>
      <c r="L69" s="96" t="s">
        <v>71</v>
      </c>
      <c r="M69" s="97"/>
      <c r="N69" s="98"/>
      <c r="O69" s="99"/>
      <c r="P69" s="100" t="str">
        <f t="shared" si="1"/>
        <v/>
      </c>
      <c r="Q69" s="102" t="s">
        <v>1386</v>
      </c>
      <c r="R69" s="108" t="str">
        <f>HYPERLINK("#'마스터_품목'!A271","→ 마스터 R271")</f>
        <v>→ 마스터 R271</v>
      </c>
      <c r="S69" s="109">
        <v>271</v>
      </c>
      <c r="T69" s="109" t="s">
        <v>72</v>
      </c>
    </row>
    <row r="70" spans="1:20" ht="48" customHeight="1" x14ac:dyDescent="0.3">
      <c r="A70" s="87" t="s">
        <v>1347</v>
      </c>
      <c r="B70" s="87" t="s">
        <v>1385</v>
      </c>
      <c r="C70" s="88" t="s">
        <v>198</v>
      </c>
      <c r="D70" s="88" t="s">
        <v>532</v>
      </c>
      <c r="E70" s="88" t="s">
        <v>531</v>
      </c>
      <c r="F70" s="90" t="s">
        <v>71</v>
      </c>
      <c r="G70" s="91"/>
      <c r="H70" s="92"/>
      <c r="I70" s="93" t="str">
        <f>IFERROR(IF(OR($F70="O",$G70="O",$H70="O"),CHOOSE(MATCH($A70,{"튜브","고압","진공","튜닝","조립","출하"},0),"T","H","V","N","A","P")&amp;IF($F70="O","R",IF($G70="O","A",IF($H70="O","F",""))),""),"")</f>
        <v/>
      </c>
      <c r="J70" s="94"/>
      <c r="K70" s="95" t="s">
        <v>71</v>
      </c>
      <c r="L70" s="96" t="s">
        <v>71</v>
      </c>
      <c r="M70" s="97"/>
      <c r="N70" s="98"/>
      <c r="O70" s="99"/>
      <c r="P70" s="100" t="str">
        <f t="shared" si="1"/>
        <v/>
      </c>
      <c r="Q70" s="102" t="s">
        <v>1386</v>
      </c>
      <c r="R70" s="108" t="str">
        <f>HYPERLINK("#'마스터_품목'!A274","→ 마스터 R274")</f>
        <v>→ 마스터 R274</v>
      </c>
      <c r="S70" s="109">
        <v>274</v>
      </c>
      <c r="T70" s="109" t="s">
        <v>72</v>
      </c>
    </row>
    <row r="71" spans="1:20" ht="48" customHeight="1" x14ac:dyDescent="0.3">
      <c r="A71" s="87" t="s">
        <v>1347</v>
      </c>
      <c r="B71" s="87" t="s">
        <v>1245</v>
      </c>
      <c r="C71" s="88" t="s">
        <v>195</v>
      </c>
      <c r="D71" s="88" t="s">
        <v>289</v>
      </c>
      <c r="E71" s="88" t="s">
        <v>288</v>
      </c>
      <c r="F71" s="90" t="s">
        <v>71</v>
      </c>
      <c r="G71" s="91"/>
      <c r="H71" s="92"/>
      <c r="I71" s="93" t="str">
        <f>IFERROR(IF(OR($F71="O",$G71="O",$H71="O"),CHOOSE(MATCH($A71,{"튜브","고압","진공","튜닝","조립","출하"},0),"T","H","V","N","A","P")&amp;IF($F71="O","R",IF($G71="O","A",IF($H71="O","F",""))),""),"")</f>
        <v/>
      </c>
      <c r="J71" s="94" t="s">
        <v>71</v>
      </c>
      <c r="K71" s="95"/>
      <c r="L71" s="96"/>
      <c r="M71" s="97"/>
      <c r="N71" s="98"/>
      <c r="O71" s="99"/>
      <c r="P71" s="100" t="str">
        <f t="shared" si="1"/>
        <v/>
      </c>
      <c r="Q71" s="102" t="s">
        <v>1350</v>
      </c>
      <c r="R71" s="108" t="str">
        <f>HYPERLINK("#'마스터_품목'!A121","→ 마스터 R121")</f>
        <v>→ 마스터 R121</v>
      </c>
      <c r="S71" s="109">
        <v>121</v>
      </c>
      <c r="T71" s="109" t="s">
        <v>72</v>
      </c>
    </row>
    <row r="72" spans="1:20" ht="48" customHeight="1" x14ac:dyDescent="0.3">
      <c r="A72" s="87" t="s">
        <v>1347</v>
      </c>
      <c r="B72" s="87" t="s">
        <v>1387</v>
      </c>
      <c r="C72" s="88" t="s">
        <v>198</v>
      </c>
      <c r="D72" s="88" t="s">
        <v>528</v>
      </c>
      <c r="E72" s="88" t="s">
        <v>527</v>
      </c>
      <c r="F72" s="90" t="s">
        <v>71</v>
      </c>
      <c r="G72" s="91"/>
      <c r="H72" s="92"/>
      <c r="I72" s="93" t="str">
        <f>IFERROR(IF(OR($F72="O",$G72="O",$H72="O"),CHOOSE(MATCH($A72,{"튜브","고압","진공","튜닝","조립","출하"},0),"T","H","V","N","A","P")&amp;IF($F72="O","R",IF($G72="O","A",IF($H72="O","F",""))),""),"")</f>
        <v/>
      </c>
      <c r="J72" s="94"/>
      <c r="K72" s="95" t="s">
        <v>71</v>
      </c>
      <c r="L72" s="96" t="s">
        <v>71</v>
      </c>
      <c r="M72" s="97"/>
      <c r="N72" s="98"/>
      <c r="O72" s="99"/>
      <c r="P72" s="100" t="str">
        <f t="shared" si="1"/>
        <v/>
      </c>
      <c r="Q72" s="102" t="s">
        <v>1386</v>
      </c>
      <c r="R72" s="108" t="str">
        <f>HYPERLINK("#'마스터_품목'!A272","→ 마스터 R272")</f>
        <v>→ 마스터 R272</v>
      </c>
      <c r="S72" s="109">
        <v>272</v>
      </c>
      <c r="T72" s="109" t="s">
        <v>72</v>
      </c>
    </row>
    <row r="73" spans="1:20" ht="48" customHeight="1" x14ac:dyDescent="0.3">
      <c r="A73" s="87" t="s">
        <v>1347</v>
      </c>
      <c r="B73" s="87" t="s">
        <v>1388</v>
      </c>
      <c r="C73" s="88" t="s">
        <v>198</v>
      </c>
      <c r="D73" s="88" t="s">
        <v>560</v>
      </c>
      <c r="E73" s="88" t="s">
        <v>559</v>
      </c>
      <c r="F73" s="90" t="s">
        <v>71</v>
      </c>
      <c r="G73" s="91"/>
      <c r="H73" s="92"/>
      <c r="I73" s="93" t="str">
        <f>IFERROR(IF(OR($F73="O",$G73="O",$H73="O"),CHOOSE(MATCH($A73,{"튜브","고압","진공","튜닝","조립","출하"},0),"T","H","V","N","A","P")&amp;IF($F73="O","R",IF($G73="O","A",IF($H73="O","F",""))),""),"")</f>
        <v/>
      </c>
      <c r="J73" s="94"/>
      <c r="K73" s="95" t="s">
        <v>71</v>
      </c>
      <c r="L73" s="96"/>
      <c r="M73" s="97"/>
      <c r="N73" s="98"/>
      <c r="O73" s="99"/>
      <c r="P73" s="100" t="str">
        <f t="shared" si="1"/>
        <v/>
      </c>
      <c r="Q73" s="102" t="s">
        <v>1353</v>
      </c>
      <c r="R73" s="108" t="str">
        <f>HYPERLINK("#'마스터_품목'!A288","→ 마스터 R288")</f>
        <v>→ 마스터 R288</v>
      </c>
      <c r="S73" s="109">
        <v>288</v>
      </c>
      <c r="T73" s="109" t="s">
        <v>72</v>
      </c>
    </row>
    <row r="74" spans="1:20" ht="48" customHeight="1" x14ac:dyDescent="0.3">
      <c r="A74" s="87" t="s">
        <v>1347</v>
      </c>
      <c r="B74" s="87" t="s">
        <v>1388</v>
      </c>
      <c r="C74" s="88" t="s">
        <v>198</v>
      </c>
      <c r="D74" s="88" t="s">
        <v>562</v>
      </c>
      <c r="E74" s="88" t="s">
        <v>561</v>
      </c>
      <c r="F74" s="90" t="s">
        <v>71</v>
      </c>
      <c r="G74" s="91"/>
      <c r="H74" s="92"/>
      <c r="I74" s="93" t="str">
        <f>IFERROR(IF(OR($F74="O",$G74="O",$H74="O"),CHOOSE(MATCH($A74,{"튜브","고압","진공","튜닝","조립","출하"},0),"T","H","V","N","A","P")&amp;IF($F74="O","R",IF($G74="O","A",IF($H74="O","F",""))),""),"")</f>
        <v/>
      </c>
      <c r="J74" s="94"/>
      <c r="K74" s="95" t="s">
        <v>71</v>
      </c>
      <c r="L74" s="96" t="s">
        <v>71</v>
      </c>
      <c r="M74" s="97"/>
      <c r="N74" s="98"/>
      <c r="O74" s="99"/>
      <c r="P74" s="100" t="str">
        <f t="shared" si="1"/>
        <v/>
      </c>
      <c r="Q74" s="102" t="s">
        <v>1353</v>
      </c>
      <c r="R74" s="108" t="str">
        <f>HYPERLINK("#'마스터_품목'!A289","→ 마스터 R289")</f>
        <v>→ 마스터 R289</v>
      </c>
      <c r="S74" s="109">
        <v>289</v>
      </c>
      <c r="T74" s="109" t="s">
        <v>72</v>
      </c>
    </row>
    <row r="75" spans="1:20" ht="48" customHeight="1" x14ac:dyDescent="0.3">
      <c r="A75" s="87" t="s">
        <v>1347</v>
      </c>
      <c r="B75" s="87" t="s">
        <v>1389</v>
      </c>
      <c r="C75" s="88" t="s">
        <v>198</v>
      </c>
      <c r="D75" s="88" t="s">
        <v>520</v>
      </c>
      <c r="E75" s="88" t="s">
        <v>519</v>
      </c>
      <c r="F75" s="90" t="s">
        <v>71</v>
      </c>
      <c r="G75" s="91"/>
      <c r="H75" s="92"/>
      <c r="I75" s="93" t="str">
        <f>IFERROR(IF(OR($F75="O",$G75="O",$H75="O"),CHOOSE(MATCH($A75,{"튜브","고압","진공","튜닝","조립","출하"},0),"T","H","V","N","A","P")&amp;IF($F75="O","R",IF($G75="O","A",IF($H75="O","F",""))),""),"")</f>
        <v/>
      </c>
      <c r="J75" s="94"/>
      <c r="K75" s="95" t="s">
        <v>71</v>
      </c>
      <c r="L75" s="96" t="s">
        <v>71</v>
      </c>
      <c r="M75" s="97"/>
      <c r="N75" s="98"/>
      <c r="O75" s="99"/>
      <c r="P75" s="100" t="str">
        <f t="shared" si="1"/>
        <v/>
      </c>
      <c r="Q75" s="102" t="s">
        <v>1386</v>
      </c>
      <c r="R75" s="108" t="str">
        <f>HYPERLINK("#'마스터_품목'!A268","→ 마스터 R268")</f>
        <v>→ 마스터 R268</v>
      </c>
      <c r="S75" s="109">
        <v>268</v>
      </c>
      <c r="T75" s="109" t="s">
        <v>72</v>
      </c>
    </row>
    <row r="76" spans="1:20" ht="48" customHeight="1" x14ac:dyDescent="0.3">
      <c r="A76" s="87" t="s">
        <v>1347</v>
      </c>
      <c r="B76" s="87" t="s">
        <v>1245</v>
      </c>
      <c r="C76" s="88" t="s">
        <v>1366</v>
      </c>
      <c r="D76" s="88" t="s">
        <v>290</v>
      </c>
      <c r="E76" s="88" t="s">
        <v>279</v>
      </c>
      <c r="F76" s="90" t="s">
        <v>71</v>
      </c>
      <c r="G76" s="91"/>
      <c r="H76" s="92"/>
      <c r="I76" s="93" t="str">
        <f>IFERROR(IF(OR($F76="O",$G76="O",$H76="O"),CHOOSE(MATCH($A76,{"튜브","고압","진공","튜닝","조립","출하"},0),"T","H","V","N","A","P")&amp;IF($F76="O","R",IF($G76="O","A",IF($H76="O","F",""))),""),"")</f>
        <v/>
      </c>
      <c r="J76" s="94" t="s">
        <v>71</v>
      </c>
      <c r="K76" s="95" t="s">
        <v>71</v>
      </c>
      <c r="L76" s="96" t="s">
        <v>71</v>
      </c>
      <c r="M76" s="97"/>
      <c r="N76" s="98"/>
      <c r="O76" s="99"/>
      <c r="P76" s="100" t="str">
        <f t="shared" si="1"/>
        <v/>
      </c>
      <c r="Q76" s="102" t="s">
        <v>1350</v>
      </c>
      <c r="R76" s="108" t="str">
        <f>HYPERLINK("#'마스터_품목'!A122","→ 마스터 R122")</f>
        <v>→ 마스터 R122</v>
      </c>
      <c r="S76" s="109">
        <v>122</v>
      </c>
      <c r="T76" s="109" t="s">
        <v>72</v>
      </c>
    </row>
    <row r="77" spans="1:20" ht="48" customHeight="1" x14ac:dyDescent="0.3">
      <c r="A77" s="87" t="s">
        <v>1347</v>
      </c>
      <c r="B77" s="87" t="s">
        <v>1389</v>
      </c>
      <c r="C77" s="88" t="s">
        <v>198</v>
      </c>
      <c r="D77" s="88" t="s">
        <v>522</v>
      </c>
      <c r="E77" s="88" t="s">
        <v>521</v>
      </c>
      <c r="F77" s="90" t="s">
        <v>71</v>
      </c>
      <c r="G77" s="91"/>
      <c r="H77" s="92"/>
      <c r="I77" s="93" t="str">
        <f>IFERROR(IF(OR($F77="O",$G77="O",$H77="O"),CHOOSE(MATCH($A77,{"튜브","고압","진공","튜닝","조립","출하"},0),"T","H","V","N","A","P")&amp;IF($F77="O","R",IF($G77="O","A",IF($H77="O","F",""))),""),"")</f>
        <v/>
      </c>
      <c r="J77" s="94"/>
      <c r="K77" s="95" t="s">
        <v>71</v>
      </c>
      <c r="L77" s="96" t="s">
        <v>71</v>
      </c>
      <c r="M77" s="97"/>
      <c r="N77" s="98"/>
      <c r="O77" s="99"/>
      <c r="P77" s="100" t="str">
        <f t="shared" si="1"/>
        <v/>
      </c>
      <c r="Q77" s="102" t="s">
        <v>1386</v>
      </c>
      <c r="R77" s="108" t="str">
        <f>HYPERLINK("#'마스터_품목'!A269","→ 마스터 R269")</f>
        <v>→ 마스터 R269</v>
      </c>
      <c r="S77" s="109">
        <v>269</v>
      </c>
      <c r="T77" s="109" t="s">
        <v>72</v>
      </c>
    </row>
    <row r="78" spans="1:20" ht="48" customHeight="1" x14ac:dyDescent="0.3">
      <c r="A78" s="87" t="s">
        <v>1347</v>
      </c>
      <c r="B78" s="87" t="s">
        <v>1389</v>
      </c>
      <c r="C78" s="88" t="s">
        <v>198</v>
      </c>
      <c r="D78" s="88" t="s">
        <v>534</v>
      </c>
      <c r="E78" s="88" t="s">
        <v>533</v>
      </c>
      <c r="F78" s="90" t="s">
        <v>71</v>
      </c>
      <c r="G78" s="91"/>
      <c r="H78" s="92"/>
      <c r="I78" s="93" t="str">
        <f>IFERROR(IF(OR($F78="O",$G78="O",$H78="O"),CHOOSE(MATCH($A78,{"튜브","고압","진공","튜닝","조립","출하"},0),"T","H","V","N","A","P")&amp;IF($F78="O","R",IF($G78="O","A",IF($H78="O","F",""))),""),"")</f>
        <v/>
      </c>
      <c r="J78" s="94"/>
      <c r="K78" s="95" t="s">
        <v>71</v>
      </c>
      <c r="L78" s="96" t="s">
        <v>71</v>
      </c>
      <c r="M78" s="97"/>
      <c r="N78" s="98"/>
      <c r="O78" s="99"/>
      <c r="P78" s="100" t="str">
        <f t="shared" si="1"/>
        <v/>
      </c>
      <c r="Q78" s="102" t="s">
        <v>1390</v>
      </c>
      <c r="R78" s="108" t="str">
        <f>HYPERLINK("#'마스터_품목'!A275","→ 마스터 R275")</f>
        <v>→ 마스터 R275</v>
      </c>
      <c r="S78" s="109">
        <v>275</v>
      </c>
      <c r="T78" s="109" t="s">
        <v>72</v>
      </c>
    </row>
    <row r="79" spans="1:20" ht="48" customHeight="1" x14ac:dyDescent="0.3">
      <c r="A79" s="87" t="s">
        <v>1347</v>
      </c>
      <c r="B79" s="87" t="s">
        <v>1391</v>
      </c>
      <c r="C79" s="88" t="s">
        <v>198</v>
      </c>
      <c r="D79" s="88" t="s">
        <v>518</v>
      </c>
      <c r="E79" s="88" t="s">
        <v>517</v>
      </c>
      <c r="F79" s="90" t="s">
        <v>71</v>
      </c>
      <c r="G79" s="91"/>
      <c r="H79" s="92"/>
      <c r="I79" s="93" t="str">
        <f>IFERROR(IF(OR($F79="O",$G79="O",$H79="O"),CHOOSE(MATCH($A79,{"튜브","고압","진공","튜닝","조립","출하"},0),"T","H","V","N","A","P")&amp;IF($F79="O","R",IF($G79="O","A",IF($H79="O","F",""))),""),"")</f>
        <v/>
      </c>
      <c r="J79" s="94"/>
      <c r="K79" s="95" t="s">
        <v>71</v>
      </c>
      <c r="L79" s="96" t="s">
        <v>71</v>
      </c>
      <c r="M79" s="97"/>
      <c r="N79" s="98"/>
      <c r="O79" s="99"/>
      <c r="P79" s="100" t="str">
        <f t="shared" si="1"/>
        <v/>
      </c>
      <c r="Q79" s="102" t="s">
        <v>1386</v>
      </c>
      <c r="R79" s="108" t="str">
        <f>HYPERLINK("#'마스터_품목'!A267","→ 마스터 R267")</f>
        <v>→ 마스터 R267</v>
      </c>
      <c r="S79" s="109">
        <v>267</v>
      </c>
      <c r="T79" s="109" t="s">
        <v>72</v>
      </c>
    </row>
    <row r="80" spans="1:20" ht="48" customHeight="1" x14ac:dyDescent="0.3">
      <c r="A80" s="87" t="s">
        <v>1347</v>
      </c>
      <c r="B80" s="87" t="s">
        <v>1245</v>
      </c>
      <c r="C80" s="88" t="s">
        <v>68</v>
      </c>
      <c r="D80" s="88" t="s">
        <v>299</v>
      </c>
      <c r="E80" s="88" t="s">
        <v>298</v>
      </c>
      <c r="F80" s="90" t="s">
        <v>71</v>
      </c>
      <c r="G80" s="91"/>
      <c r="H80" s="92"/>
      <c r="I80" s="93" t="str">
        <f>IFERROR(IF(OR($F80="O",$G80="O",$H80="O"),CHOOSE(MATCH($A80,{"튜브","고압","진공","튜닝","조립","출하"},0),"T","H","V","N","A","P")&amp;IF($F80="O","R",IF($G80="O","A",IF($H80="O","F",""))),""),"")</f>
        <v/>
      </c>
      <c r="J80" s="94" t="s">
        <v>71</v>
      </c>
      <c r="K80" s="95" t="s">
        <v>71</v>
      </c>
      <c r="L80" s="96" t="s">
        <v>71</v>
      </c>
      <c r="M80" s="97" t="s">
        <v>71</v>
      </c>
      <c r="N80" s="98" t="s">
        <v>71</v>
      </c>
      <c r="O80" s="99" t="s">
        <v>71</v>
      </c>
      <c r="P80" s="100" t="str">
        <f t="shared" si="1"/>
        <v/>
      </c>
      <c r="Q80" s="102" t="s">
        <v>1350</v>
      </c>
      <c r="R80" s="108" t="str">
        <f>HYPERLINK("#'마스터_품목'!A130","→ 마스터 R130")</f>
        <v>→ 마스터 R130</v>
      </c>
      <c r="S80" s="109">
        <v>130</v>
      </c>
      <c r="T80" s="109" t="s">
        <v>72</v>
      </c>
    </row>
    <row r="81" spans="1:20" ht="48" customHeight="1" x14ac:dyDescent="0.3">
      <c r="A81" s="87" t="s">
        <v>1347</v>
      </c>
      <c r="B81" s="87" t="s">
        <v>1245</v>
      </c>
      <c r="C81" s="88" t="s">
        <v>68</v>
      </c>
      <c r="D81" s="88" t="s">
        <v>301</v>
      </c>
      <c r="E81" s="88" t="s">
        <v>300</v>
      </c>
      <c r="F81" s="90" t="s">
        <v>71</v>
      </c>
      <c r="G81" s="91"/>
      <c r="H81" s="92"/>
      <c r="I81" s="93" t="str">
        <f>IFERROR(IF(OR($F81="O",$G81="O",$H81="O"),CHOOSE(MATCH($A81,{"튜브","고압","진공","튜닝","조립","출하"},0),"T","H","V","N","A","P")&amp;IF($F81="O","R",IF($G81="O","A",IF($H81="O","F",""))),""),"")</f>
        <v/>
      </c>
      <c r="J81" s="94" t="s">
        <v>71</v>
      </c>
      <c r="K81" s="95" t="s">
        <v>71</v>
      </c>
      <c r="L81" s="96" t="s">
        <v>71</v>
      </c>
      <c r="M81" s="97" t="s">
        <v>71</v>
      </c>
      <c r="N81" s="98" t="s">
        <v>71</v>
      </c>
      <c r="O81" s="99" t="s">
        <v>71</v>
      </c>
      <c r="P81" s="100" t="str">
        <f t="shared" si="1"/>
        <v/>
      </c>
      <c r="Q81" s="102" t="s">
        <v>1350</v>
      </c>
      <c r="R81" s="108" t="str">
        <f>HYPERLINK("#'마스터_품목'!A131","→ 마스터 R131")</f>
        <v>→ 마스터 R131</v>
      </c>
      <c r="S81" s="109">
        <v>131</v>
      </c>
      <c r="T81" s="109" t="s">
        <v>72</v>
      </c>
    </row>
    <row r="82" spans="1:20" ht="48" customHeight="1" x14ac:dyDescent="0.3">
      <c r="A82" s="87" t="s">
        <v>1347</v>
      </c>
      <c r="B82" s="87" t="s">
        <v>1383</v>
      </c>
      <c r="C82" s="88" t="s">
        <v>1366</v>
      </c>
      <c r="D82" s="88" t="s">
        <v>170</v>
      </c>
      <c r="E82" s="88" t="s">
        <v>169</v>
      </c>
      <c r="F82" s="90" t="s">
        <v>71</v>
      </c>
      <c r="G82" s="91"/>
      <c r="H82" s="92"/>
      <c r="I82" s="93" t="str">
        <f>IFERROR(IF(OR($F82="O",$G82="O",$H82="O"),CHOOSE(MATCH($A82,{"튜브","고압","진공","튜닝","조립","출하"},0),"T","H","V","N","A","P")&amp;IF($F82="O","R",IF($G82="O","A",IF($H82="O","F",""))),""),"")</f>
        <v/>
      </c>
      <c r="J82" s="94" t="s">
        <v>71</v>
      </c>
      <c r="K82" s="95" t="s">
        <v>71</v>
      </c>
      <c r="L82" s="96"/>
      <c r="M82" s="97" t="s">
        <v>71</v>
      </c>
      <c r="N82" s="98" t="s">
        <v>71</v>
      </c>
      <c r="O82" s="99"/>
      <c r="P82" s="100" t="str">
        <f t="shared" si="1"/>
        <v/>
      </c>
      <c r="Q82" s="102" t="s">
        <v>1392</v>
      </c>
      <c r="R82" s="108" t="str">
        <f>HYPERLINK("#'마스터_품목'!A93","→ 마스터 R93")</f>
        <v>→ 마스터 R93</v>
      </c>
      <c r="S82" s="109">
        <v>93</v>
      </c>
      <c r="T82" s="109" t="s">
        <v>72</v>
      </c>
    </row>
    <row r="83" spans="1:20" ht="48" customHeight="1" x14ac:dyDescent="0.3">
      <c r="A83" s="87" t="s">
        <v>1347</v>
      </c>
      <c r="B83" s="87" t="s">
        <v>1383</v>
      </c>
      <c r="C83" s="88" t="s">
        <v>153</v>
      </c>
      <c r="D83" s="88" t="s">
        <v>168</v>
      </c>
      <c r="E83" s="88" t="s">
        <v>167</v>
      </c>
      <c r="F83" s="90" t="s">
        <v>71</v>
      </c>
      <c r="G83" s="91"/>
      <c r="H83" s="92"/>
      <c r="I83" s="93" t="str">
        <f>IFERROR(IF(OR($F83="O",$G83="O",$H83="O"),CHOOSE(MATCH($A83,{"튜브","고압","진공","튜닝","조립","출하"},0),"T","H","V","N","A","P")&amp;IF($F83="O","R",IF($G83="O","A",IF($H83="O","F",""))),""),"")</f>
        <v/>
      </c>
      <c r="J83" s="94" t="s">
        <v>71</v>
      </c>
      <c r="K83" s="95"/>
      <c r="L83" s="96"/>
      <c r="M83" s="97" t="s">
        <v>71</v>
      </c>
      <c r="N83" s="98"/>
      <c r="O83" s="99"/>
      <c r="P83" s="100" t="str">
        <f t="shared" si="1"/>
        <v/>
      </c>
      <c r="Q83" s="102" t="s">
        <v>1392</v>
      </c>
      <c r="R83" s="108" t="str">
        <f>HYPERLINK("#'마스터_품목'!A92","→ 마스터 R92")</f>
        <v>→ 마스터 R92</v>
      </c>
      <c r="S83" s="109">
        <v>92</v>
      </c>
      <c r="T83" s="109" t="s">
        <v>72</v>
      </c>
    </row>
    <row r="84" spans="1:20" ht="48" customHeight="1" x14ac:dyDescent="0.3">
      <c r="A84" s="87" t="s">
        <v>1347</v>
      </c>
      <c r="B84" s="87" t="s">
        <v>1031</v>
      </c>
      <c r="C84" s="88" t="s">
        <v>198</v>
      </c>
      <c r="D84" s="88" t="s">
        <v>492</v>
      </c>
      <c r="E84" s="88" t="s">
        <v>491</v>
      </c>
      <c r="F84" s="90" t="s">
        <v>71</v>
      </c>
      <c r="G84" s="91"/>
      <c r="H84" s="92"/>
      <c r="I84" s="93" t="str">
        <f>IFERROR(IF(OR($F84="O",$G84="O",$H84="O"),CHOOSE(MATCH($A84,{"튜브","고압","진공","튜닝","조립","출하"},0),"T","H","V","N","A","P")&amp;IF($F84="O","R",IF($G84="O","A",IF($H84="O","F",""))),""),"")</f>
        <v/>
      </c>
      <c r="J84" s="94"/>
      <c r="K84" s="95" t="s">
        <v>71</v>
      </c>
      <c r="L84" s="96"/>
      <c r="M84" s="97"/>
      <c r="N84" s="98"/>
      <c r="O84" s="99"/>
      <c r="P84" s="100" t="str">
        <f t="shared" si="1"/>
        <v/>
      </c>
      <c r="Q84" s="102" t="s">
        <v>1369</v>
      </c>
      <c r="R84" s="108" t="str">
        <f>HYPERLINK("#'마스터_품목'!A253","→ 마스터 R253")</f>
        <v>→ 마스터 R253</v>
      </c>
      <c r="S84" s="109">
        <v>253</v>
      </c>
      <c r="T84" s="109" t="s">
        <v>72</v>
      </c>
    </row>
    <row r="85" spans="1:20" ht="48" customHeight="1" x14ac:dyDescent="0.3">
      <c r="A85" s="87" t="s">
        <v>1347</v>
      </c>
      <c r="B85" s="87" t="s">
        <v>1393</v>
      </c>
      <c r="C85" s="88" t="s">
        <v>68</v>
      </c>
      <c r="D85" s="88" t="s">
        <v>172</v>
      </c>
      <c r="E85" s="88" t="s">
        <v>171</v>
      </c>
      <c r="F85" s="90" t="s">
        <v>71</v>
      </c>
      <c r="G85" s="91"/>
      <c r="H85" s="92"/>
      <c r="I85" s="93" t="str">
        <f>IFERROR(IF(OR($F85="O",$G85="O",$H85="O"),CHOOSE(MATCH($A85,{"튜브","고압","진공","튜닝","조립","출하"},0),"T","H","V","N","A","P")&amp;IF($F85="O","R",IF($G85="O","A",IF($H85="O","F",""))),""),"")</f>
        <v/>
      </c>
      <c r="J85" s="94" t="s">
        <v>71</v>
      </c>
      <c r="K85" s="95" t="s">
        <v>71</v>
      </c>
      <c r="L85" s="96" t="s">
        <v>71</v>
      </c>
      <c r="M85" s="97" t="s">
        <v>71</v>
      </c>
      <c r="N85" s="98" t="s">
        <v>71</v>
      </c>
      <c r="O85" s="99" t="s">
        <v>71</v>
      </c>
      <c r="P85" s="100" t="str">
        <f t="shared" si="1"/>
        <v/>
      </c>
      <c r="R85" s="108" t="str">
        <f>HYPERLINK("#'마스터_품목'!A94","→ 마스터 R94")</f>
        <v>→ 마스터 R94</v>
      </c>
      <c r="S85" s="109">
        <v>94</v>
      </c>
      <c r="T85" s="109" t="s">
        <v>72</v>
      </c>
    </row>
    <row r="86" spans="1:20" ht="48" customHeight="1" x14ac:dyDescent="0.3">
      <c r="A86" s="87" t="s">
        <v>1347</v>
      </c>
      <c r="B86" s="87" t="s">
        <v>1348</v>
      </c>
      <c r="C86" s="88" t="s">
        <v>1361</v>
      </c>
      <c r="D86" s="88" t="s">
        <v>283</v>
      </c>
      <c r="E86" s="88" t="s">
        <v>282</v>
      </c>
      <c r="F86" s="90" t="s">
        <v>71</v>
      </c>
      <c r="G86" s="91"/>
      <c r="H86" s="92"/>
      <c r="I86" s="93" t="str">
        <f>IFERROR(IF(OR($F86="O",$G86="O",$H86="O"),CHOOSE(MATCH($A86,{"튜브","고압","진공","튜닝","조립","출하"},0),"T","H","V","N","A","P")&amp;IF($F86="O","R",IF($G86="O","A",IF($H86="O","F",""))),""),"")</f>
        <v/>
      </c>
      <c r="J86" s="94" t="s">
        <v>71</v>
      </c>
      <c r="K86" s="95" t="s">
        <v>71</v>
      </c>
      <c r="L86" s="96"/>
      <c r="M86" s="97"/>
      <c r="N86" s="98"/>
      <c r="O86" s="99"/>
      <c r="P86" s="100" t="str">
        <f t="shared" si="1"/>
        <v/>
      </c>
      <c r="R86" s="108" t="str">
        <f>HYPERLINK("#'마스터_품목'!A116","→ 마스터 R116")</f>
        <v>→ 마스터 R116</v>
      </c>
      <c r="S86" s="109">
        <v>116</v>
      </c>
      <c r="T86" s="109" t="s">
        <v>72</v>
      </c>
    </row>
    <row r="87" spans="1:20" ht="48" customHeight="1" x14ac:dyDescent="0.3">
      <c r="A87" s="87" t="s">
        <v>1347</v>
      </c>
      <c r="B87" s="87" t="s">
        <v>1348</v>
      </c>
      <c r="C87" s="88" t="s">
        <v>1394</v>
      </c>
      <c r="D87" s="88" t="s">
        <v>285</v>
      </c>
      <c r="E87" s="88" t="s">
        <v>284</v>
      </c>
      <c r="F87" s="90" t="s">
        <v>71</v>
      </c>
      <c r="G87" s="91"/>
      <c r="H87" s="92"/>
      <c r="I87" s="93" t="str">
        <f>IFERROR(IF(OR($F87="O",$G87="O",$H87="O"),CHOOSE(MATCH($A87,{"튜브","고압","진공","튜닝","조립","출하"},0),"T","H","V","N","A","P")&amp;IF($F87="O","R",IF($G87="O","A",IF($H87="O","F",""))),""),"")</f>
        <v/>
      </c>
      <c r="J87" s="94" t="s">
        <v>71</v>
      </c>
      <c r="K87" s="95" t="s">
        <v>71</v>
      </c>
      <c r="L87" s="96"/>
      <c r="M87" s="97" t="s">
        <v>71</v>
      </c>
      <c r="N87" s="98"/>
      <c r="O87" s="99"/>
      <c r="P87" s="100" t="str">
        <f t="shared" si="1"/>
        <v/>
      </c>
      <c r="R87" s="108" t="str">
        <f>HYPERLINK("#'마스터_품목'!A117","→ 마스터 R117")</f>
        <v>→ 마스터 R117</v>
      </c>
      <c r="S87" s="109">
        <v>117</v>
      </c>
      <c r="T87" s="109" t="s">
        <v>72</v>
      </c>
    </row>
    <row r="88" spans="1:20" ht="48" customHeight="1" x14ac:dyDescent="0.3">
      <c r="A88" s="87" t="s">
        <v>1347</v>
      </c>
      <c r="B88" s="87" t="s">
        <v>1348</v>
      </c>
      <c r="C88" s="88" t="s">
        <v>1361</v>
      </c>
      <c r="D88" s="88" t="s">
        <v>222</v>
      </c>
      <c r="E88" s="88" t="s">
        <v>221</v>
      </c>
      <c r="F88" s="90" t="s">
        <v>71</v>
      </c>
      <c r="G88" s="91"/>
      <c r="H88" s="92"/>
      <c r="I88" s="93" t="str">
        <f>IFERROR(IF(OR($F88="O",$G88="O",$H88="O"),CHOOSE(MATCH($A88,{"튜브","고압","진공","튜닝","조립","출하"},0),"T","H","V","N","A","P")&amp;IF($F88="O","R",IF($G88="O","A",IF($H88="O","F",""))),""),"")</f>
        <v/>
      </c>
      <c r="J88" s="94" t="s">
        <v>71</v>
      </c>
      <c r="K88" s="95" t="s">
        <v>71</v>
      </c>
      <c r="L88" s="96"/>
      <c r="M88" s="97"/>
      <c r="N88" s="98"/>
      <c r="O88" s="99"/>
      <c r="P88" s="100" t="str">
        <f t="shared" si="1"/>
        <v/>
      </c>
      <c r="Q88" s="102" t="s">
        <v>1349</v>
      </c>
      <c r="R88" s="108" t="str">
        <f>HYPERLINK("#'마스터_품목'!A95","→ 마스터 R95")</f>
        <v>→ 마스터 R95</v>
      </c>
      <c r="S88" s="109">
        <v>95</v>
      </c>
      <c r="T88" s="109" t="s">
        <v>72</v>
      </c>
    </row>
    <row r="89" spans="1:20" ht="48" customHeight="1" x14ac:dyDescent="0.3">
      <c r="A89" s="87" t="s">
        <v>1347</v>
      </c>
      <c r="B89" s="87" t="s">
        <v>1348</v>
      </c>
      <c r="C89" s="88" t="s">
        <v>195</v>
      </c>
      <c r="D89" s="88" t="s">
        <v>228</v>
      </c>
      <c r="E89" s="88" t="s">
        <v>227</v>
      </c>
      <c r="F89" s="90" t="s">
        <v>71</v>
      </c>
      <c r="G89" s="91"/>
      <c r="H89" s="92"/>
      <c r="I89" s="93" t="str">
        <f>IFERROR(IF(OR($F89="O",$G89="O",$H89="O"),CHOOSE(MATCH($A89,{"튜브","고압","진공","튜닝","조립","출하"},0),"T","H","V","N","A","P")&amp;IF($F89="O","R",IF($G89="O","A",IF($H89="O","F",""))),""),"")</f>
        <v/>
      </c>
      <c r="J89" s="94" t="s">
        <v>71</v>
      </c>
      <c r="K89" s="95"/>
      <c r="L89" s="96"/>
      <c r="M89" s="97"/>
      <c r="N89" s="98"/>
      <c r="O89" s="99"/>
      <c r="P89" s="100" t="str">
        <f t="shared" si="1"/>
        <v/>
      </c>
      <c r="Q89" s="102" t="s">
        <v>1353</v>
      </c>
      <c r="R89" s="108" t="str">
        <f>HYPERLINK("#'마스터_품목'!A99","→ 마스터 R99")</f>
        <v>→ 마스터 R99</v>
      </c>
      <c r="S89" s="109">
        <v>99</v>
      </c>
      <c r="T89" s="109" t="s">
        <v>72</v>
      </c>
    </row>
    <row r="90" spans="1:20" ht="48" customHeight="1" x14ac:dyDescent="0.3">
      <c r="A90" s="87" t="s">
        <v>1347</v>
      </c>
      <c r="B90" s="87" t="s">
        <v>1395</v>
      </c>
      <c r="C90" s="88" t="s">
        <v>198</v>
      </c>
      <c r="D90" s="88" t="s">
        <v>509</v>
      </c>
      <c r="E90" s="88" t="s">
        <v>508</v>
      </c>
      <c r="F90" s="90" t="s">
        <v>71</v>
      </c>
      <c r="G90" s="91"/>
      <c r="H90" s="92"/>
      <c r="I90" s="93" t="str">
        <f>IFERROR(IF(OR($F90="O",$G90="O",$H90="O"),CHOOSE(MATCH($A90,{"튜브","고압","진공","튜닝","조립","출하"},0),"T","H","V","N","A","P")&amp;IF($F90="O","R",IF($G90="O","A",IF($H90="O","F",""))),""),"")</f>
        <v/>
      </c>
      <c r="J90" s="94"/>
      <c r="K90" s="95" t="s">
        <v>71</v>
      </c>
      <c r="L90" s="96"/>
      <c r="M90" s="97"/>
      <c r="N90" s="98"/>
      <c r="O90" s="99"/>
      <c r="P90" s="100" t="str">
        <f t="shared" si="1"/>
        <v/>
      </c>
      <c r="Q90" s="102" t="s">
        <v>1396</v>
      </c>
      <c r="R90" s="108" t="str">
        <f>HYPERLINK("#'마스터_품목'!A263","→ 마스터 R263")</f>
        <v>→ 마스터 R263</v>
      </c>
      <c r="S90" s="109">
        <v>263</v>
      </c>
      <c r="T90" s="109" t="s">
        <v>72</v>
      </c>
    </row>
    <row r="91" spans="1:20" ht="48" customHeight="1" x14ac:dyDescent="0.3">
      <c r="A91" s="87" t="s">
        <v>1347</v>
      </c>
      <c r="B91" s="87" t="s">
        <v>1359</v>
      </c>
      <c r="C91" s="88" t="s">
        <v>1397</v>
      </c>
      <c r="D91" s="88" t="s">
        <v>577</v>
      </c>
      <c r="E91" s="88" t="s">
        <v>1398</v>
      </c>
      <c r="F91" s="90" t="s">
        <v>71</v>
      </c>
      <c r="G91" s="91"/>
      <c r="H91" s="92"/>
      <c r="I91" s="93" t="str">
        <f>IFERROR(IF(OR($F91="O",$G91="O",$H91="O"),CHOOSE(MATCH($A91,{"튜브","고압","진공","튜닝","조립","출하"},0),"T","H","V","N","A","P")&amp;IF($F91="O","R",IF($G91="O","A",IF($H91="O","F",""))),""),"")</f>
        <v/>
      </c>
      <c r="J91" s="94"/>
      <c r="K91" s="95" t="s">
        <v>71</v>
      </c>
      <c r="L91" s="96" t="s">
        <v>71</v>
      </c>
      <c r="M91" s="97"/>
      <c r="N91" s="98"/>
      <c r="O91" s="99"/>
      <c r="P91" s="100" t="str">
        <f t="shared" si="1"/>
        <v/>
      </c>
      <c r="Q91" s="102" t="s">
        <v>1353</v>
      </c>
      <c r="R91" s="108" t="str">
        <f>HYPERLINK("#'마스터_품목'!A296","→ 마스터 R296")</f>
        <v>→ 마스터 R296</v>
      </c>
      <c r="S91" s="109">
        <v>296</v>
      </c>
      <c r="T91" s="109" t="s">
        <v>72</v>
      </c>
    </row>
    <row r="92" spans="1:20" ht="48" customHeight="1" x14ac:dyDescent="0.3">
      <c r="A92" s="87" t="s">
        <v>1347</v>
      </c>
      <c r="B92" s="87" t="s">
        <v>1351</v>
      </c>
      <c r="C92" s="88" t="s">
        <v>195</v>
      </c>
      <c r="D92" s="88" t="s">
        <v>233</v>
      </c>
      <c r="E92" s="88" t="s">
        <v>232</v>
      </c>
      <c r="F92" s="90" t="s">
        <v>71</v>
      </c>
      <c r="G92" s="91"/>
      <c r="H92" s="92"/>
      <c r="I92" s="93" t="str">
        <f>IFERROR(IF(OR($F92="O",$G92="O",$H92="O"),CHOOSE(MATCH($A92,{"튜브","고압","진공","튜닝","조립","출하"},0),"T","H","V","N","A","P")&amp;IF($F92="O","R",IF($G92="O","A",IF($H92="O","F",""))),""),"")</f>
        <v/>
      </c>
      <c r="J92" s="94" t="s">
        <v>71</v>
      </c>
      <c r="K92" s="95"/>
      <c r="L92" s="96"/>
      <c r="M92" s="97"/>
      <c r="N92" s="98"/>
      <c r="O92" s="99"/>
      <c r="P92" s="100" t="str">
        <f t="shared" si="1"/>
        <v/>
      </c>
      <c r="Q92" s="102" t="s">
        <v>1353</v>
      </c>
      <c r="R92" s="108" t="str">
        <f>HYPERLINK("#'마스터_품목'!A103","→ 마스터 R103")</f>
        <v>→ 마스터 R103</v>
      </c>
      <c r="S92" s="109">
        <v>103</v>
      </c>
      <c r="T92" s="109" t="s">
        <v>72</v>
      </c>
    </row>
    <row r="93" spans="1:20" ht="48" customHeight="1" x14ac:dyDescent="0.3">
      <c r="A93" s="87" t="s">
        <v>1347</v>
      </c>
      <c r="B93" s="87" t="s">
        <v>1351</v>
      </c>
      <c r="C93" s="88" t="s">
        <v>195</v>
      </c>
      <c r="D93" s="88" t="s">
        <v>235</v>
      </c>
      <c r="E93" s="88" t="s">
        <v>234</v>
      </c>
      <c r="F93" s="90" t="s">
        <v>71</v>
      </c>
      <c r="G93" s="91"/>
      <c r="H93" s="92"/>
      <c r="I93" s="93" t="str">
        <f>IFERROR(IF(OR($F93="O",$G93="O",$H93="O"),CHOOSE(MATCH($A93,{"튜브","고압","진공","튜닝","조립","출하"},0),"T","H","V","N","A","P")&amp;IF($F93="O","R",IF($G93="O","A",IF($H93="O","F",""))),""),"")</f>
        <v/>
      </c>
      <c r="J93" s="94" t="s">
        <v>71</v>
      </c>
      <c r="K93" s="95"/>
      <c r="L93" s="96"/>
      <c r="M93" s="97"/>
      <c r="N93" s="98"/>
      <c r="O93" s="99"/>
      <c r="P93" s="100" t="str">
        <f t="shared" si="1"/>
        <v/>
      </c>
      <c r="Q93" s="102" t="s">
        <v>1353</v>
      </c>
      <c r="R93" s="108" t="str">
        <f>HYPERLINK("#'마스터_품목'!A104","→ 마스터 R104")</f>
        <v>→ 마스터 R104</v>
      </c>
      <c r="S93" s="109">
        <v>104</v>
      </c>
      <c r="T93" s="109" t="s">
        <v>72</v>
      </c>
    </row>
    <row r="94" spans="1:20" ht="48" customHeight="1" x14ac:dyDescent="0.3">
      <c r="A94" s="87" t="s">
        <v>1347</v>
      </c>
      <c r="B94" s="87" t="s">
        <v>1351</v>
      </c>
      <c r="C94" s="88" t="s">
        <v>195</v>
      </c>
      <c r="D94" s="88" t="s">
        <v>231</v>
      </c>
      <c r="E94" s="88" t="s">
        <v>230</v>
      </c>
      <c r="F94" s="90" t="s">
        <v>71</v>
      </c>
      <c r="G94" s="91"/>
      <c r="H94" s="92"/>
      <c r="I94" s="93" t="str">
        <f>IFERROR(IF(OR($F94="O",$G94="O",$H94="O"),CHOOSE(MATCH($A94,{"튜브","고압","진공","튜닝","조립","출하"},0),"T","H","V","N","A","P")&amp;IF($F94="O","R",IF($G94="O","A",IF($H94="O","F",""))),""),"")</f>
        <v/>
      </c>
      <c r="J94" s="94" t="s">
        <v>71</v>
      </c>
      <c r="K94" s="95"/>
      <c r="L94" s="96"/>
      <c r="M94" s="97"/>
      <c r="N94" s="98"/>
      <c r="O94" s="99"/>
      <c r="P94" s="100" t="str">
        <f t="shared" si="1"/>
        <v/>
      </c>
      <c r="Q94" s="102" t="s">
        <v>1353</v>
      </c>
      <c r="R94" s="108" t="str">
        <f>HYPERLINK("#'마스터_품목'!A102","→ 마스터 R102")</f>
        <v>→ 마스터 R102</v>
      </c>
      <c r="S94" s="109">
        <v>102</v>
      </c>
      <c r="T94" s="109" t="s">
        <v>72</v>
      </c>
    </row>
    <row r="95" spans="1:20" ht="48" customHeight="1" x14ac:dyDescent="0.3">
      <c r="A95" s="87" t="s">
        <v>1347</v>
      </c>
      <c r="B95" s="87" t="s">
        <v>1351</v>
      </c>
      <c r="C95" s="88" t="s">
        <v>195</v>
      </c>
      <c r="D95" s="88" t="s">
        <v>429</v>
      </c>
      <c r="E95" s="88" t="s">
        <v>428</v>
      </c>
      <c r="F95" s="90" t="s">
        <v>71</v>
      </c>
      <c r="G95" s="91"/>
      <c r="H95" s="92"/>
      <c r="I95" s="93" t="str">
        <f>IFERROR(IF(OR($F95="O",$G95="O",$H95="O"),CHOOSE(MATCH($A95,{"튜브","고압","진공","튜닝","조립","출하"},0),"T","H","V","N","A","P")&amp;IF($F95="O","R",IF($G95="O","A",IF($H95="O","F",""))),""),"")</f>
        <v/>
      </c>
      <c r="J95" s="94" t="s">
        <v>71</v>
      </c>
      <c r="K95" s="95"/>
      <c r="L95" s="96"/>
      <c r="M95" s="97"/>
      <c r="N95" s="98"/>
      <c r="O95" s="99"/>
      <c r="P95" s="100" t="str">
        <f t="shared" si="1"/>
        <v/>
      </c>
      <c r="Q95" s="102" t="s">
        <v>1353</v>
      </c>
      <c r="R95" s="108" t="str">
        <f>HYPERLINK("#'마스터_품목'!A212","→ 마스터 R212")</f>
        <v>→ 마스터 R212</v>
      </c>
      <c r="S95" s="109">
        <v>212</v>
      </c>
      <c r="T95" s="109" t="s">
        <v>72</v>
      </c>
    </row>
    <row r="96" spans="1:20" ht="48" customHeight="1" x14ac:dyDescent="0.3">
      <c r="A96" s="87" t="s">
        <v>1347</v>
      </c>
      <c r="B96" s="87" t="s">
        <v>1351</v>
      </c>
      <c r="C96" s="88" t="s">
        <v>195</v>
      </c>
      <c r="D96" s="88" t="s">
        <v>433</v>
      </c>
      <c r="E96" s="88" t="s">
        <v>432</v>
      </c>
      <c r="F96" s="90" t="s">
        <v>71</v>
      </c>
      <c r="G96" s="91"/>
      <c r="H96" s="92"/>
      <c r="I96" s="93" t="str">
        <f>IFERROR(IF(OR($F96="O",$G96="O",$H96="O"),CHOOSE(MATCH($A96,{"튜브","고압","진공","튜닝","조립","출하"},0),"T","H","V","N","A","P")&amp;IF($F96="O","R",IF($G96="O","A",IF($H96="O","F",""))),""),"")</f>
        <v/>
      </c>
      <c r="J96" s="94" t="s">
        <v>71</v>
      </c>
      <c r="K96" s="95"/>
      <c r="L96" s="96"/>
      <c r="M96" s="97"/>
      <c r="N96" s="98"/>
      <c r="O96" s="99"/>
      <c r="P96" s="100" t="str">
        <f t="shared" si="1"/>
        <v/>
      </c>
      <c r="Q96" s="102" t="s">
        <v>1353</v>
      </c>
      <c r="R96" s="108" t="str">
        <f>HYPERLINK("#'마스터_품목'!A214","→ 마스터 R214")</f>
        <v>→ 마스터 R214</v>
      </c>
      <c r="S96" s="109">
        <v>214</v>
      </c>
      <c r="T96" s="109" t="s">
        <v>72</v>
      </c>
    </row>
    <row r="97" spans="1:20" ht="48" customHeight="1" x14ac:dyDescent="0.3">
      <c r="A97" s="87" t="s">
        <v>1347</v>
      </c>
      <c r="B97" s="87" t="s">
        <v>1351</v>
      </c>
      <c r="C97" s="88" t="s">
        <v>195</v>
      </c>
      <c r="D97" s="88" t="s">
        <v>431</v>
      </c>
      <c r="E97" s="88" t="s">
        <v>1399</v>
      </c>
      <c r="F97" s="90" t="s">
        <v>71</v>
      </c>
      <c r="G97" s="91"/>
      <c r="H97" s="92"/>
      <c r="I97" s="93" t="str">
        <f>IFERROR(IF(OR($F97="O",$G97="O",$H97="O"),CHOOSE(MATCH($A97,{"튜브","고압","진공","튜닝","조립","출하"},0),"T","H","V","N","A","P")&amp;IF($F97="O","R",IF($G97="O","A",IF($H97="O","F",""))),""),"")</f>
        <v/>
      </c>
      <c r="J97" s="94" t="s">
        <v>71</v>
      </c>
      <c r="K97" s="95"/>
      <c r="L97" s="96"/>
      <c r="M97" s="97"/>
      <c r="N97" s="98"/>
      <c r="O97" s="99"/>
      <c r="P97" s="100" t="str">
        <f t="shared" si="1"/>
        <v/>
      </c>
      <c r="Q97" s="102" t="s">
        <v>1353</v>
      </c>
      <c r="R97" s="108" t="str">
        <f>HYPERLINK("#'마스터_품목'!A213","→ 마스터 R213")</f>
        <v>→ 마스터 R213</v>
      </c>
      <c r="S97" s="109">
        <v>213</v>
      </c>
      <c r="T97" s="109" t="s">
        <v>72</v>
      </c>
    </row>
    <row r="98" spans="1:20" ht="48" customHeight="1" x14ac:dyDescent="0.3">
      <c r="A98" s="87" t="s">
        <v>1347</v>
      </c>
      <c r="B98" s="87" t="s">
        <v>1359</v>
      </c>
      <c r="C98" s="88" t="s">
        <v>198</v>
      </c>
      <c r="D98" s="88" t="s">
        <v>1070</v>
      </c>
      <c r="E98" s="88" t="s">
        <v>1069</v>
      </c>
      <c r="F98" s="90" t="s">
        <v>71</v>
      </c>
      <c r="G98" s="91"/>
      <c r="H98" s="92"/>
      <c r="I98" s="93" t="str">
        <f>IFERROR(IF(OR($F98="O",$G98="O",$H98="O"),CHOOSE(MATCH($A98,{"튜브","고압","진공","튜닝","조립","출하"},0),"T","H","V","N","A","P")&amp;IF($F98="O","R",IF($G98="O","A",IF($H98="O","F",""))),""),"")</f>
        <v/>
      </c>
      <c r="J98" s="94"/>
      <c r="K98" s="95" t="s">
        <v>71</v>
      </c>
      <c r="L98" s="96"/>
      <c r="M98" s="97"/>
      <c r="N98" s="98"/>
      <c r="O98" s="99"/>
      <c r="P98" s="100" t="str">
        <f t="shared" si="1"/>
        <v/>
      </c>
      <c r="Q98" s="102" t="s">
        <v>1400</v>
      </c>
      <c r="R98" s="108" t="str">
        <f>HYPERLINK("#'마스터_품목'!A623","→ 마스터 R623")</f>
        <v>→ 마스터 R623</v>
      </c>
      <c r="S98" s="109">
        <v>623</v>
      </c>
      <c r="T98" s="109" t="s">
        <v>72</v>
      </c>
    </row>
    <row r="99" spans="1:20" ht="48" customHeight="1" x14ac:dyDescent="0.3">
      <c r="A99" s="87" t="s">
        <v>1347</v>
      </c>
      <c r="B99" s="87" t="s">
        <v>1351</v>
      </c>
      <c r="C99" s="88" t="s">
        <v>195</v>
      </c>
      <c r="D99" s="88" t="s">
        <v>423</v>
      </c>
      <c r="E99" s="88" t="s">
        <v>422</v>
      </c>
      <c r="F99" s="90" t="s">
        <v>71</v>
      </c>
      <c r="G99" s="91"/>
      <c r="H99" s="92"/>
      <c r="I99" s="93" t="str">
        <f>IFERROR(IF(OR($F99="O",$G99="O",$H99="O"),CHOOSE(MATCH($A99,{"튜브","고압","진공","튜닝","조립","출하"},0),"T","H","V","N","A","P")&amp;IF($F99="O","R",IF($G99="O","A",IF($H99="O","F",""))),""),"")</f>
        <v/>
      </c>
      <c r="J99" s="94" t="s">
        <v>71</v>
      </c>
      <c r="K99" s="95"/>
      <c r="L99" s="96"/>
      <c r="M99" s="97"/>
      <c r="N99" s="98"/>
      <c r="O99" s="99"/>
      <c r="P99" s="100" t="str">
        <f t="shared" si="1"/>
        <v/>
      </c>
      <c r="Q99" s="102" t="s">
        <v>1353</v>
      </c>
      <c r="R99" s="108" t="str">
        <f>HYPERLINK("#'마스터_품목'!A209","→ 마스터 R209")</f>
        <v>→ 마스터 R209</v>
      </c>
      <c r="S99" s="109">
        <v>209</v>
      </c>
      <c r="T99" s="109" t="s">
        <v>72</v>
      </c>
    </row>
    <row r="100" spans="1:20" ht="48" customHeight="1" x14ac:dyDescent="0.3">
      <c r="A100" s="87" t="s">
        <v>1347</v>
      </c>
      <c r="B100" s="87" t="s">
        <v>1351</v>
      </c>
      <c r="C100" s="88" t="s">
        <v>195</v>
      </c>
      <c r="D100" s="88" t="s">
        <v>425</v>
      </c>
      <c r="E100" s="88" t="s">
        <v>424</v>
      </c>
      <c r="F100" s="90" t="s">
        <v>71</v>
      </c>
      <c r="G100" s="91"/>
      <c r="H100" s="92"/>
      <c r="I100" s="93" t="str">
        <f>IFERROR(IF(OR($F100="O",$G100="O",$H100="O"),CHOOSE(MATCH($A100,{"튜브","고압","진공","튜닝","조립","출하"},0),"T","H","V","N","A","P")&amp;IF($F100="O","R",IF($G100="O","A",IF($H100="O","F",""))),""),"")</f>
        <v/>
      </c>
      <c r="J100" s="94" t="s">
        <v>71</v>
      </c>
      <c r="K100" s="95"/>
      <c r="L100" s="96"/>
      <c r="M100" s="97"/>
      <c r="N100" s="98"/>
      <c r="O100" s="99"/>
      <c r="P100" s="100" t="str">
        <f t="shared" si="1"/>
        <v/>
      </c>
      <c r="Q100" s="102" t="s">
        <v>1353</v>
      </c>
      <c r="R100" s="108" t="str">
        <f>HYPERLINK("#'마스터_품목'!A210","→ 마스터 R210")</f>
        <v>→ 마스터 R210</v>
      </c>
      <c r="S100" s="109">
        <v>210</v>
      </c>
      <c r="T100" s="109" t="s">
        <v>72</v>
      </c>
    </row>
    <row r="101" spans="1:20" ht="48" customHeight="1" x14ac:dyDescent="0.3">
      <c r="A101" s="87" t="s">
        <v>1347</v>
      </c>
      <c r="B101" s="87" t="s">
        <v>1351</v>
      </c>
      <c r="C101" s="88" t="s">
        <v>195</v>
      </c>
      <c r="D101" s="88" t="s">
        <v>427</v>
      </c>
      <c r="E101" s="88" t="s">
        <v>426</v>
      </c>
      <c r="F101" s="90" t="s">
        <v>71</v>
      </c>
      <c r="G101" s="91"/>
      <c r="H101" s="92"/>
      <c r="I101" s="93" t="str">
        <f>IFERROR(IF(OR($F101="O",$G101="O",$H101="O"),CHOOSE(MATCH($A101,{"튜브","고압","진공","튜닝","조립","출하"},0),"T","H","V","N","A","P")&amp;IF($F101="O","R",IF($G101="O","A",IF($H101="O","F",""))),""),"")</f>
        <v/>
      </c>
      <c r="J101" s="94" t="s">
        <v>71</v>
      </c>
      <c r="K101" s="95"/>
      <c r="L101" s="96"/>
      <c r="M101" s="97"/>
      <c r="N101" s="98"/>
      <c r="O101" s="99"/>
      <c r="P101" s="100" t="str">
        <f t="shared" si="1"/>
        <v/>
      </c>
      <c r="Q101" s="102" t="s">
        <v>1353</v>
      </c>
      <c r="R101" s="108" t="str">
        <f>HYPERLINK("#'마스터_품목'!A211","→ 마스터 R211")</f>
        <v>→ 마스터 R211</v>
      </c>
      <c r="S101" s="109">
        <v>211</v>
      </c>
      <c r="T101" s="109" t="s">
        <v>72</v>
      </c>
    </row>
    <row r="102" spans="1:20" ht="48" customHeight="1" x14ac:dyDescent="0.3">
      <c r="A102" s="87" t="s">
        <v>1347</v>
      </c>
      <c r="B102" s="87" t="s">
        <v>1401</v>
      </c>
      <c r="C102" s="88" t="s">
        <v>198</v>
      </c>
      <c r="D102" s="88" t="s">
        <v>1135</v>
      </c>
      <c r="E102" s="88" t="s">
        <v>1134</v>
      </c>
      <c r="F102" s="90" t="s">
        <v>71</v>
      </c>
      <c r="G102" s="91"/>
      <c r="H102" s="92"/>
      <c r="I102" s="93" t="str">
        <f>IFERROR(IF(OR($F102="O",$G102="O",$H102="O"),CHOOSE(MATCH($A102,{"튜브","고압","진공","튜닝","조립","출하"},0),"T","H","V","N","A","P")&amp;IF($F102="O","R",IF($G102="O","A",IF($H102="O","F",""))),""),"")</f>
        <v/>
      </c>
      <c r="J102" s="94"/>
      <c r="K102" s="95" t="s">
        <v>71</v>
      </c>
      <c r="L102" s="96"/>
      <c r="M102" s="97"/>
      <c r="N102" s="98"/>
      <c r="O102" s="99"/>
      <c r="P102" s="100" t="str">
        <f t="shared" si="1"/>
        <v/>
      </c>
      <c r="Q102" s="102" t="s">
        <v>1396</v>
      </c>
      <c r="R102" s="108" t="str">
        <f>HYPERLINK("#'마스터_품목'!A658","→ 마스터 R658")</f>
        <v>→ 마스터 R658</v>
      </c>
      <c r="S102" s="109">
        <v>658</v>
      </c>
      <c r="T102" s="109" t="s">
        <v>72</v>
      </c>
    </row>
    <row r="103" spans="1:20" ht="48" customHeight="1" x14ac:dyDescent="0.3">
      <c r="A103" s="87" t="s">
        <v>1347</v>
      </c>
      <c r="B103" s="87" t="s">
        <v>1351</v>
      </c>
      <c r="C103" s="88" t="s">
        <v>195</v>
      </c>
      <c r="D103" s="88" t="s">
        <v>435</v>
      </c>
      <c r="E103" s="88" t="s">
        <v>434</v>
      </c>
      <c r="F103" s="90" t="s">
        <v>71</v>
      </c>
      <c r="G103" s="91"/>
      <c r="H103" s="92"/>
      <c r="I103" s="93" t="str">
        <f>IFERROR(IF(OR($F103="O",$G103="O",$H103="O"),CHOOSE(MATCH($A103,{"튜브","고압","진공","튜닝","조립","출하"},0),"T","H","V","N","A","P")&amp;IF($F103="O","R",IF($G103="O","A",IF($H103="O","F",""))),""),"")</f>
        <v/>
      </c>
      <c r="J103" s="94" t="s">
        <v>71</v>
      </c>
      <c r="K103" s="95"/>
      <c r="L103" s="96"/>
      <c r="M103" s="97"/>
      <c r="N103" s="98"/>
      <c r="O103" s="99"/>
      <c r="P103" s="100" t="str">
        <f t="shared" si="1"/>
        <v/>
      </c>
      <c r="Q103" s="102" t="s">
        <v>1353</v>
      </c>
      <c r="R103" s="108" t="str">
        <f>HYPERLINK("#'마스터_품목'!A215","→ 마스터 R215")</f>
        <v>→ 마스터 R215</v>
      </c>
      <c r="S103" s="109">
        <v>215</v>
      </c>
      <c r="T103" s="109" t="s">
        <v>72</v>
      </c>
    </row>
    <row r="104" spans="1:20" ht="48" customHeight="1" x14ac:dyDescent="0.3">
      <c r="A104" s="87" t="s">
        <v>1347</v>
      </c>
      <c r="B104" s="87" t="s">
        <v>1357</v>
      </c>
      <c r="C104" s="88" t="s">
        <v>195</v>
      </c>
      <c r="D104" s="88" t="s">
        <v>357</v>
      </c>
      <c r="E104" s="88" t="s">
        <v>356</v>
      </c>
      <c r="F104" s="90" t="s">
        <v>71</v>
      </c>
      <c r="G104" s="91"/>
      <c r="H104" s="92"/>
      <c r="I104" s="93" t="str">
        <f>IFERROR(IF(OR($F104="O",$G104="O",$H104="O"),CHOOSE(MATCH($A104,{"튜브","고압","진공","튜닝","조립","출하"},0),"T","H","V","N","A","P")&amp;IF($F104="O","R",IF($G104="O","A",IF($H104="O","F",""))),""),"")</f>
        <v/>
      </c>
      <c r="J104" s="94" t="s">
        <v>71</v>
      </c>
      <c r="K104" s="95"/>
      <c r="L104" s="96"/>
      <c r="M104" s="97"/>
      <c r="N104" s="98"/>
      <c r="O104" s="99"/>
      <c r="P104" s="100" t="str">
        <f t="shared" si="1"/>
        <v/>
      </c>
      <c r="Q104" s="102" t="s">
        <v>1353</v>
      </c>
      <c r="R104" s="108" t="str">
        <f>HYPERLINK("#'마스터_품목'!A178","→ 마스터 R178")</f>
        <v>→ 마스터 R178</v>
      </c>
      <c r="S104" s="109">
        <v>178</v>
      </c>
      <c r="T104" s="109" t="s">
        <v>72</v>
      </c>
    </row>
    <row r="105" spans="1:20" ht="48" customHeight="1" x14ac:dyDescent="0.3">
      <c r="A105" s="87" t="s">
        <v>1347</v>
      </c>
      <c r="B105" s="87" t="s">
        <v>1357</v>
      </c>
      <c r="C105" s="88" t="s">
        <v>1402</v>
      </c>
      <c r="D105" s="88" t="s">
        <v>359</v>
      </c>
      <c r="E105" s="88" t="s">
        <v>358</v>
      </c>
      <c r="F105" s="90" t="s">
        <v>71</v>
      </c>
      <c r="G105" s="91"/>
      <c r="H105" s="92"/>
      <c r="I105" s="93" t="str">
        <f>IFERROR(IF(OR($F105="O",$G105="O",$H105="O"),CHOOSE(MATCH($A105,{"튜브","고압","진공","튜닝","조립","출하"},0),"T","H","V","N","A","P")&amp;IF($F105="O","R",IF($G105="O","A",IF($H105="O","F",""))),""),"")</f>
        <v/>
      </c>
      <c r="J105" s="94" t="s">
        <v>71</v>
      </c>
      <c r="K105" s="95"/>
      <c r="L105" s="96"/>
      <c r="M105" s="97"/>
      <c r="N105" s="98" t="s">
        <v>71</v>
      </c>
      <c r="O105" s="99"/>
      <c r="P105" s="100" t="str">
        <f t="shared" si="1"/>
        <v/>
      </c>
      <c r="Q105" s="102" t="s">
        <v>1403</v>
      </c>
      <c r="R105" s="108" t="str">
        <f>HYPERLINK("#'마스터_품목'!A179","→ 마스터 R179")</f>
        <v>→ 마스터 R179</v>
      </c>
      <c r="S105" s="109">
        <v>179</v>
      </c>
      <c r="T105" s="109" t="s">
        <v>72</v>
      </c>
    </row>
    <row r="106" spans="1:20" ht="48" customHeight="1" x14ac:dyDescent="0.3">
      <c r="A106" s="87" t="s">
        <v>1347</v>
      </c>
      <c r="B106" s="87" t="s">
        <v>1359</v>
      </c>
      <c r="C106" s="88" t="s">
        <v>195</v>
      </c>
      <c r="D106" s="88" t="s">
        <v>419</v>
      </c>
      <c r="E106" s="88" t="s">
        <v>418</v>
      </c>
      <c r="F106" s="90" t="s">
        <v>71</v>
      </c>
      <c r="G106" s="91"/>
      <c r="H106" s="92"/>
      <c r="I106" s="93" t="str">
        <f>IFERROR(IF(OR($F106="O",$G106="O",$H106="O"),CHOOSE(MATCH($A106,{"튜브","고압","진공","튜닝","조립","출하"},0),"T","H","V","N","A","P")&amp;IF($F106="O","R",IF($G106="O","A",IF($H106="O","F",""))),""),"")</f>
        <v/>
      </c>
      <c r="J106" s="94" t="s">
        <v>71</v>
      </c>
      <c r="K106" s="95"/>
      <c r="L106" s="96"/>
      <c r="M106" s="97"/>
      <c r="N106" s="98"/>
      <c r="O106" s="99"/>
      <c r="P106" s="100" t="str">
        <f t="shared" si="1"/>
        <v/>
      </c>
      <c r="Q106" s="102" t="s">
        <v>1353</v>
      </c>
      <c r="R106" s="108" t="str">
        <f>HYPERLINK("#'마스터_품목'!A207","→ 마스터 R207")</f>
        <v>→ 마스터 R207</v>
      </c>
      <c r="S106" s="109">
        <v>207</v>
      </c>
      <c r="T106" s="109" t="s">
        <v>72</v>
      </c>
    </row>
    <row r="107" spans="1:20" ht="48" customHeight="1" x14ac:dyDescent="0.3">
      <c r="A107" s="87" t="s">
        <v>1347</v>
      </c>
      <c r="B107" s="87" t="s">
        <v>1401</v>
      </c>
      <c r="C107" s="88" t="s">
        <v>198</v>
      </c>
      <c r="D107" s="88" t="s">
        <v>1137</v>
      </c>
      <c r="E107" s="88" t="s">
        <v>1136</v>
      </c>
      <c r="F107" s="90" t="s">
        <v>71</v>
      </c>
      <c r="G107" s="91"/>
      <c r="H107" s="92"/>
      <c r="I107" s="93" t="str">
        <f>IFERROR(IF(OR($F107="O",$G107="O",$H107="O"),CHOOSE(MATCH($A107,{"튜브","고압","진공","튜닝","조립","출하"},0),"T","H","V","N","A","P")&amp;IF($F107="O","R",IF($G107="O","A",IF($H107="O","F",""))),""),"")</f>
        <v/>
      </c>
      <c r="J107" s="94"/>
      <c r="K107" s="95" t="s">
        <v>71</v>
      </c>
      <c r="L107" s="96"/>
      <c r="M107" s="97"/>
      <c r="N107" s="98"/>
      <c r="O107" s="99"/>
      <c r="P107" s="100" t="str">
        <f t="shared" si="1"/>
        <v/>
      </c>
      <c r="Q107" s="102" t="s">
        <v>1396</v>
      </c>
      <c r="R107" s="108" t="str">
        <f>HYPERLINK("#'마스터_품목'!A659","→ 마스터 R659")</f>
        <v>→ 마스터 R659</v>
      </c>
      <c r="S107" s="109">
        <v>659</v>
      </c>
      <c r="T107" s="109" t="s">
        <v>72</v>
      </c>
    </row>
    <row r="108" spans="1:20" ht="48" customHeight="1" x14ac:dyDescent="0.3">
      <c r="A108" s="87" t="s">
        <v>1347</v>
      </c>
      <c r="B108" s="87" t="s">
        <v>1359</v>
      </c>
      <c r="C108" s="88" t="s">
        <v>195</v>
      </c>
      <c r="D108" s="88" t="s">
        <v>421</v>
      </c>
      <c r="E108" s="88" t="s">
        <v>420</v>
      </c>
      <c r="F108" s="90" t="s">
        <v>71</v>
      </c>
      <c r="G108" s="91"/>
      <c r="H108" s="92"/>
      <c r="I108" s="93" t="str">
        <f>IFERROR(IF(OR($F108="O",$G108="O",$H108="O"),CHOOSE(MATCH($A108,{"튜브","고압","진공","튜닝","조립","출하"},0),"T","H","V","N","A","P")&amp;IF($F108="O","R",IF($G108="O","A",IF($H108="O","F",""))),""),"")</f>
        <v/>
      </c>
      <c r="J108" s="94" t="s">
        <v>71</v>
      </c>
      <c r="K108" s="95"/>
      <c r="L108" s="96"/>
      <c r="M108" s="97"/>
      <c r="N108" s="98"/>
      <c r="O108" s="99"/>
      <c r="P108" s="100" t="str">
        <f t="shared" si="1"/>
        <v/>
      </c>
      <c r="Q108" s="102" t="s">
        <v>1353</v>
      </c>
      <c r="R108" s="108" t="str">
        <f>HYPERLINK("#'마스터_품목'!A208","→ 마스터 R208")</f>
        <v>→ 마스터 R208</v>
      </c>
      <c r="S108" s="109">
        <v>208</v>
      </c>
      <c r="T108" s="109" t="s">
        <v>72</v>
      </c>
    </row>
    <row r="109" spans="1:20" ht="48" customHeight="1" x14ac:dyDescent="0.3">
      <c r="A109" s="87" t="s">
        <v>1347</v>
      </c>
      <c r="B109" s="87" t="s">
        <v>1393</v>
      </c>
      <c r="C109" s="88" t="s">
        <v>198</v>
      </c>
      <c r="D109" s="88" t="s">
        <v>1038</v>
      </c>
      <c r="E109" s="88" t="s">
        <v>1037</v>
      </c>
      <c r="F109" s="90" t="s">
        <v>71</v>
      </c>
      <c r="G109" s="91"/>
      <c r="H109" s="92"/>
      <c r="I109" s="93" t="str">
        <f>IFERROR(IF(OR($F109="O",$G109="O",$H109="O"),CHOOSE(MATCH($A109,{"튜브","고압","진공","튜닝","조립","출하"},0),"T","H","V","N","A","P")&amp;IF($F109="O","R",IF($G109="O","A",IF($H109="O","F",""))),""),"")</f>
        <v/>
      </c>
      <c r="J109" s="94"/>
      <c r="K109" s="95" t="s">
        <v>71</v>
      </c>
      <c r="L109" s="96"/>
      <c r="M109" s="97"/>
      <c r="N109" s="98"/>
      <c r="O109" s="99"/>
      <c r="P109" s="100" t="str">
        <f t="shared" si="1"/>
        <v/>
      </c>
      <c r="Q109" s="102" t="s">
        <v>1386</v>
      </c>
      <c r="R109" s="108" t="str">
        <f>HYPERLINK("#'마스터_품목'!A607","→ 마스터 R607")</f>
        <v>→ 마스터 R607</v>
      </c>
      <c r="S109" s="109">
        <v>607</v>
      </c>
      <c r="T109" s="109" t="s">
        <v>72</v>
      </c>
    </row>
    <row r="110" spans="1:20" ht="48" customHeight="1" x14ac:dyDescent="0.3">
      <c r="A110" s="87" t="s">
        <v>1347</v>
      </c>
      <c r="B110" s="87" t="s">
        <v>1359</v>
      </c>
      <c r="C110" s="88" t="s">
        <v>195</v>
      </c>
      <c r="D110" s="88" t="s">
        <v>417</v>
      </c>
      <c r="E110" s="88" t="s">
        <v>1404</v>
      </c>
      <c r="F110" s="90" t="s">
        <v>71</v>
      </c>
      <c r="G110" s="91"/>
      <c r="H110" s="92"/>
      <c r="I110" s="93" t="str">
        <f>IFERROR(IF(OR($F110="O",$G110="O",$H110="O"),CHOOSE(MATCH($A110,{"튜브","고압","진공","튜닝","조립","출하"},0),"T","H","V","N","A","P")&amp;IF($F110="O","R",IF($G110="O","A",IF($H110="O","F",""))),""),"")</f>
        <v/>
      </c>
      <c r="J110" s="94" t="s">
        <v>71</v>
      </c>
      <c r="K110" s="95"/>
      <c r="L110" s="96"/>
      <c r="M110" s="97"/>
      <c r="N110" s="98"/>
      <c r="O110" s="99"/>
      <c r="P110" s="100" t="str">
        <f t="shared" si="1"/>
        <v/>
      </c>
      <c r="Q110" s="102" t="s">
        <v>1353</v>
      </c>
      <c r="R110" s="108" t="str">
        <f>HYPERLINK("#'마스터_품목'!A206","→ 마스터 R206")</f>
        <v>→ 마스터 R206</v>
      </c>
      <c r="S110" s="109">
        <v>206</v>
      </c>
      <c r="T110" s="109" t="s">
        <v>72</v>
      </c>
    </row>
    <row r="111" spans="1:20" ht="48" customHeight="1" x14ac:dyDescent="0.3">
      <c r="A111" s="87" t="s">
        <v>1347</v>
      </c>
      <c r="B111" s="87" t="s">
        <v>1368</v>
      </c>
      <c r="C111" s="88" t="s">
        <v>195</v>
      </c>
      <c r="D111" s="88" t="s">
        <v>362</v>
      </c>
      <c r="E111" s="88" t="s">
        <v>361</v>
      </c>
      <c r="F111" s="90" t="s">
        <v>71</v>
      </c>
      <c r="G111" s="91"/>
      <c r="H111" s="92"/>
      <c r="I111" s="93" t="str">
        <f>IFERROR(IF(OR($F111="O",$G111="O",$H111="O"),CHOOSE(MATCH($A111,{"튜브","고압","진공","튜닝","조립","출하"},0),"T","H","V","N","A","P")&amp;IF($F111="O","R",IF($G111="O","A",IF($H111="O","F",""))),""),"")</f>
        <v/>
      </c>
      <c r="J111" s="94" t="s">
        <v>71</v>
      </c>
      <c r="K111" s="95"/>
      <c r="L111" s="96"/>
      <c r="M111" s="97"/>
      <c r="N111" s="98"/>
      <c r="O111" s="99"/>
      <c r="P111" s="100" t="str">
        <f t="shared" si="1"/>
        <v/>
      </c>
      <c r="Q111" s="102" t="s">
        <v>1369</v>
      </c>
      <c r="R111" s="108" t="str">
        <f>HYPERLINK("#'마스터_품목'!A180","→ 마스터 R180")</f>
        <v>→ 마스터 R180</v>
      </c>
      <c r="S111" s="109">
        <v>180</v>
      </c>
      <c r="T111" s="109" t="s">
        <v>72</v>
      </c>
    </row>
    <row r="112" spans="1:20" ht="48" customHeight="1" x14ac:dyDescent="0.3">
      <c r="A112" s="87" t="s">
        <v>1347</v>
      </c>
      <c r="B112" s="87" t="s">
        <v>1405</v>
      </c>
      <c r="C112" s="88" t="s">
        <v>198</v>
      </c>
      <c r="D112" s="88" t="s">
        <v>1054</v>
      </c>
      <c r="E112" s="88" t="s">
        <v>1053</v>
      </c>
      <c r="F112" s="90" t="s">
        <v>71</v>
      </c>
      <c r="G112" s="91"/>
      <c r="H112" s="92"/>
      <c r="I112" s="93" t="str">
        <f>IFERROR(IF(OR($F112="O",$G112="O",$H112="O"),CHOOSE(MATCH($A112,{"튜브","고압","진공","튜닝","조립","출하"},0),"T","H","V","N","A","P")&amp;IF($F112="O","R",IF($G112="O","A",IF($H112="O","F",""))),""),"")</f>
        <v/>
      </c>
      <c r="J112" s="94"/>
      <c r="K112" s="95" t="s">
        <v>71</v>
      </c>
      <c r="L112" s="96"/>
      <c r="M112" s="97"/>
      <c r="N112" s="98"/>
      <c r="O112" s="99"/>
      <c r="P112" s="100" t="str">
        <f t="shared" si="1"/>
        <v/>
      </c>
      <c r="Q112" s="102" t="s">
        <v>1406</v>
      </c>
      <c r="R112" s="108" t="str">
        <f>HYPERLINK("#'마스터_품목'!A615","→ 마스터 R615")</f>
        <v>→ 마스터 R615</v>
      </c>
      <c r="S112" s="109">
        <v>615</v>
      </c>
      <c r="T112" s="109" t="s">
        <v>72</v>
      </c>
    </row>
    <row r="113" spans="1:20" ht="48" customHeight="1" x14ac:dyDescent="0.3">
      <c r="A113" s="87" t="s">
        <v>1347</v>
      </c>
      <c r="B113" s="87" t="s">
        <v>1368</v>
      </c>
      <c r="C113" s="88" t="s">
        <v>195</v>
      </c>
      <c r="D113" s="88" t="s">
        <v>371</v>
      </c>
      <c r="E113" s="88" t="s">
        <v>370</v>
      </c>
      <c r="F113" s="90" t="s">
        <v>71</v>
      </c>
      <c r="G113" s="91"/>
      <c r="H113" s="92"/>
      <c r="I113" s="93" t="str">
        <f>IFERROR(IF(OR($F113="O",$G113="O",$H113="O"),CHOOSE(MATCH($A113,{"튜브","고압","진공","튜닝","조립","출하"},0),"T","H","V","N","A","P")&amp;IF($F113="O","R",IF($G113="O","A",IF($H113="O","F",""))),""),"")</f>
        <v/>
      </c>
      <c r="J113" s="94" t="s">
        <v>71</v>
      </c>
      <c r="K113" s="95"/>
      <c r="L113" s="96"/>
      <c r="M113" s="97"/>
      <c r="N113" s="98"/>
      <c r="O113" s="99"/>
      <c r="P113" s="100" t="str">
        <f t="shared" si="1"/>
        <v/>
      </c>
      <c r="Q113" s="102" t="s">
        <v>1369</v>
      </c>
      <c r="R113" s="108" t="str">
        <f>HYPERLINK("#'마스터_품목'!A184","→ 마스터 R184")</f>
        <v>→ 마스터 R184</v>
      </c>
      <c r="S113" s="109">
        <v>184</v>
      </c>
      <c r="T113" s="109" t="s">
        <v>72</v>
      </c>
    </row>
    <row r="114" spans="1:20" ht="48" customHeight="1" x14ac:dyDescent="0.3">
      <c r="A114" s="87" t="s">
        <v>1347</v>
      </c>
      <c r="B114" s="87" t="s">
        <v>1407</v>
      </c>
      <c r="C114" s="88" t="s">
        <v>198</v>
      </c>
      <c r="D114" s="88" t="s">
        <v>817</v>
      </c>
      <c r="E114" s="88" t="s">
        <v>815</v>
      </c>
      <c r="F114" s="90" t="s">
        <v>71</v>
      </c>
      <c r="G114" s="91"/>
      <c r="H114" s="92"/>
      <c r="I114" s="93" t="str">
        <f>IFERROR(IF(OR($F114="O",$G114="O",$H114="O"),CHOOSE(MATCH($A114,{"튜브","고압","진공","튜닝","조립","출하"},0),"T","H","V","N","A","P")&amp;IF($F114="O","R",IF($G114="O","A",IF($H114="O","F",""))),""),"")</f>
        <v/>
      </c>
      <c r="J114" s="94"/>
      <c r="K114" s="95" t="s">
        <v>71</v>
      </c>
      <c r="L114" s="96"/>
      <c r="M114" s="97"/>
      <c r="N114" s="98"/>
      <c r="O114" s="99"/>
      <c r="P114" s="100" t="str">
        <f t="shared" si="1"/>
        <v/>
      </c>
      <c r="Q114" s="102" t="s">
        <v>1408</v>
      </c>
      <c r="R114" s="108" t="str">
        <f>HYPERLINK("#'마스터_품목'!A581","→ 마스터 R581")</f>
        <v>→ 마스터 R581</v>
      </c>
      <c r="S114" s="109">
        <v>581</v>
      </c>
      <c r="T114" s="109" t="s">
        <v>72</v>
      </c>
    </row>
    <row r="115" spans="1:20" ht="48" customHeight="1" x14ac:dyDescent="0.3">
      <c r="A115" s="87" t="s">
        <v>1347</v>
      </c>
      <c r="B115" s="87" t="s">
        <v>1368</v>
      </c>
      <c r="C115" s="88" t="s">
        <v>195</v>
      </c>
      <c r="D115" s="88" t="s">
        <v>373</v>
      </c>
      <c r="E115" s="88" t="s">
        <v>370</v>
      </c>
      <c r="F115" s="90" t="s">
        <v>71</v>
      </c>
      <c r="G115" s="91"/>
      <c r="H115" s="92"/>
      <c r="I115" s="93" t="str">
        <f>IFERROR(IF(OR($F115="O",$G115="O",$H115="O"),CHOOSE(MATCH($A115,{"튜브","고압","진공","튜닝","조립","출하"},0),"T","H","V","N","A","P")&amp;IF($F115="O","R",IF($G115="O","A",IF($H115="O","F",""))),""),"")</f>
        <v/>
      </c>
      <c r="J115" s="94" t="s">
        <v>71</v>
      </c>
      <c r="K115" s="95"/>
      <c r="L115" s="96"/>
      <c r="M115" s="97"/>
      <c r="N115" s="98"/>
      <c r="O115" s="99"/>
      <c r="P115" s="100" t="str">
        <f t="shared" si="1"/>
        <v/>
      </c>
      <c r="Q115" s="102" t="s">
        <v>1369</v>
      </c>
      <c r="R115" s="108" t="str">
        <f>HYPERLINK("#'마스터_품목'!A185","→ 마스터 R185")</f>
        <v>→ 마스터 R185</v>
      </c>
      <c r="S115" s="109">
        <v>185</v>
      </c>
      <c r="T115" s="109" t="s">
        <v>72</v>
      </c>
    </row>
    <row r="116" spans="1:20" ht="48" customHeight="1" x14ac:dyDescent="0.3">
      <c r="A116" s="87" t="s">
        <v>1347</v>
      </c>
      <c r="B116" s="87" t="s">
        <v>1368</v>
      </c>
      <c r="C116" s="88" t="s">
        <v>195</v>
      </c>
      <c r="D116" s="88" t="s">
        <v>376</v>
      </c>
      <c r="E116" s="88" t="s">
        <v>375</v>
      </c>
      <c r="F116" s="90" t="s">
        <v>71</v>
      </c>
      <c r="G116" s="91"/>
      <c r="H116" s="92"/>
      <c r="I116" s="93" t="str">
        <f>IFERROR(IF(OR($F116="O",$G116="O",$H116="O"),CHOOSE(MATCH($A116,{"튜브","고압","진공","튜닝","조립","출하"},0),"T","H","V","N","A","P")&amp;IF($F116="O","R",IF($G116="O","A",IF($H116="O","F",""))),""),"")</f>
        <v/>
      </c>
      <c r="J116" s="94" t="s">
        <v>71</v>
      </c>
      <c r="K116" s="95"/>
      <c r="L116" s="96"/>
      <c r="M116" s="97"/>
      <c r="N116" s="98"/>
      <c r="O116" s="99"/>
      <c r="P116" s="100" t="str">
        <f t="shared" si="1"/>
        <v/>
      </c>
      <c r="Q116" s="102" t="s">
        <v>1369</v>
      </c>
      <c r="R116" s="108" t="str">
        <f>HYPERLINK("#'마스터_품목'!A186","→ 마스터 R186")</f>
        <v>→ 마스터 R186</v>
      </c>
      <c r="S116" s="109">
        <v>186</v>
      </c>
      <c r="T116" s="109" t="s">
        <v>72</v>
      </c>
    </row>
    <row r="117" spans="1:20" ht="48" customHeight="1" x14ac:dyDescent="0.3">
      <c r="A117" s="87" t="s">
        <v>1347</v>
      </c>
      <c r="B117" s="87" t="s">
        <v>1368</v>
      </c>
      <c r="C117" s="88" t="s">
        <v>195</v>
      </c>
      <c r="D117" s="88" t="s">
        <v>377</v>
      </c>
      <c r="E117" s="88" t="s">
        <v>375</v>
      </c>
      <c r="F117" s="90" t="s">
        <v>71</v>
      </c>
      <c r="G117" s="91"/>
      <c r="H117" s="92"/>
      <c r="I117" s="93" t="str">
        <f>IFERROR(IF(OR($F117="O",$G117="O",$H117="O"),CHOOSE(MATCH($A117,{"튜브","고압","진공","튜닝","조립","출하"},0),"T","H","V","N","A","P")&amp;IF($F117="O","R",IF($G117="O","A",IF($H117="O","F",""))),""),"")</f>
        <v/>
      </c>
      <c r="J117" s="94" t="s">
        <v>71</v>
      </c>
      <c r="K117" s="95"/>
      <c r="L117" s="96"/>
      <c r="M117" s="97"/>
      <c r="N117" s="98"/>
      <c r="O117" s="99"/>
      <c r="P117" s="100" t="str">
        <f t="shared" si="1"/>
        <v/>
      </c>
      <c r="Q117" s="102" t="s">
        <v>1369</v>
      </c>
      <c r="R117" s="108" t="str">
        <f>HYPERLINK("#'마스터_품목'!A187","→ 마스터 R187")</f>
        <v>→ 마스터 R187</v>
      </c>
      <c r="S117" s="109">
        <v>187</v>
      </c>
      <c r="T117" s="109" t="s">
        <v>72</v>
      </c>
    </row>
    <row r="118" spans="1:20" ht="48" customHeight="1" x14ac:dyDescent="0.3">
      <c r="A118" s="87" t="s">
        <v>1347</v>
      </c>
      <c r="B118" s="87" t="s">
        <v>1368</v>
      </c>
      <c r="C118" s="88" t="s">
        <v>195</v>
      </c>
      <c r="D118" s="88" t="s">
        <v>410</v>
      </c>
      <c r="E118" s="88" t="s">
        <v>407</v>
      </c>
      <c r="F118" s="90" t="s">
        <v>71</v>
      </c>
      <c r="G118" s="91"/>
      <c r="H118" s="92"/>
      <c r="I118" s="93" t="str">
        <f>IFERROR(IF(OR($F118="O",$G118="O",$H118="O"),CHOOSE(MATCH($A118,{"튜브","고압","진공","튜닝","조립","출하"},0),"T","H","V","N","A","P")&amp;IF($F118="O","R",IF($G118="O","A",IF($H118="O","F",""))),""),"")</f>
        <v/>
      </c>
      <c r="J118" s="94" t="s">
        <v>71</v>
      </c>
      <c r="K118" s="95"/>
      <c r="L118" s="96"/>
      <c r="M118" s="97"/>
      <c r="N118" s="98"/>
      <c r="O118" s="99"/>
      <c r="P118" s="100" t="str">
        <f t="shared" si="1"/>
        <v/>
      </c>
      <c r="Q118" s="102" t="s">
        <v>1369</v>
      </c>
      <c r="R118" s="108" t="str">
        <f>HYPERLINK("#'마스터_품목'!A203","→ 마스터 R203")</f>
        <v>→ 마스터 R203</v>
      </c>
      <c r="S118" s="109">
        <v>203</v>
      </c>
      <c r="T118" s="109" t="s">
        <v>72</v>
      </c>
    </row>
    <row r="119" spans="1:20" ht="48" customHeight="1" x14ac:dyDescent="0.3">
      <c r="A119" s="87" t="s">
        <v>1347</v>
      </c>
      <c r="B119" s="87" t="s">
        <v>1368</v>
      </c>
      <c r="C119" s="88" t="s">
        <v>195</v>
      </c>
      <c r="D119" s="88" t="s">
        <v>408</v>
      </c>
      <c r="E119" s="88" t="s">
        <v>407</v>
      </c>
      <c r="F119" s="90" t="s">
        <v>71</v>
      </c>
      <c r="G119" s="91"/>
      <c r="H119" s="92"/>
      <c r="I119" s="93" t="str">
        <f>IFERROR(IF(OR($F119="O",$G119="O",$H119="O"),CHOOSE(MATCH($A119,{"튜브","고압","진공","튜닝","조립","출하"},0),"T","H","V","N","A","P")&amp;IF($F119="O","R",IF($G119="O","A",IF($H119="O","F",""))),""),"")</f>
        <v/>
      </c>
      <c r="J119" s="94" t="s">
        <v>71</v>
      </c>
      <c r="K119" s="95"/>
      <c r="L119" s="96"/>
      <c r="M119" s="97"/>
      <c r="N119" s="98"/>
      <c r="O119" s="99"/>
      <c r="P119" s="100" t="str">
        <f t="shared" si="1"/>
        <v/>
      </c>
      <c r="Q119" s="102" t="s">
        <v>1369</v>
      </c>
      <c r="R119" s="108" t="str">
        <f>HYPERLINK("#'마스터_품목'!A202","→ 마스터 R202")</f>
        <v>→ 마스터 R202</v>
      </c>
      <c r="S119" s="109">
        <v>202</v>
      </c>
      <c r="T119" s="109" t="s">
        <v>72</v>
      </c>
    </row>
    <row r="120" spans="1:20" ht="48" customHeight="1" x14ac:dyDescent="0.3">
      <c r="A120" s="87" t="s">
        <v>1347</v>
      </c>
      <c r="B120" s="87" t="s">
        <v>1368</v>
      </c>
      <c r="C120" s="88" t="s">
        <v>195</v>
      </c>
      <c r="D120" s="88" t="s">
        <v>368</v>
      </c>
      <c r="E120" s="88" t="s">
        <v>367</v>
      </c>
      <c r="F120" s="90" t="s">
        <v>71</v>
      </c>
      <c r="G120" s="91"/>
      <c r="H120" s="92"/>
      <c r="I120" s="93" t="str">
        <f>IFERROR(IF(OR($F120="O",$G120="O",$H120="O"),CHOOSE(MATCH($A120,{"튜브","고압","진공","튜닝","조립","출하"},0),"T","H","V","N","A","P")&amp;IF($F120="O","R",IF($G120="O","A",IF($H120="O","F",""))),""),"")</f>
        <v/>
      </c>
      <c r="J120" s="94" t="s">
        <v>71</v>
      </c>
      <c r="K120" s="95"/>
      <c r="L120" s="96"/>
      <c r="M120" s="97"/>
      <c r="N120" s="98"/>
      <c r="O120" s="99"/>
      <c r="P120" s="100" t="str">
        <f t="shared" si="1"/>
        <v/>
      </c>
      <c r="Q120" s="102" t="s">
        <v>1369</v>
      </c>
      <c r="R120" s="108" t="str">
        <f>HYPERLINK("#'마스터_품목'!A183","→ 마스터 R183")</f>
        <v>→ 마스터 R183</v>
      </c>
      <c r="S120" s="109">
        <v>183</v>
      </c>
      <c r="T120" s="109" t="s">
        <v>72</v>
      </c>
    </row>
    <row r="121" spans="1:20" ht="48" customHeight="1" x14ac:dyDescent="0.3">
      <c r="A121" s="87" t="s">
        <v>1347</v>
      </c>
      <c r="B121" s="87" t="s">
        <v>1368</v>
      </c>
      <c r="C121" s="88" t="s">
        <v>195</v>
      </c>
      <c r="D121" s="88" t="s">
        <v>385</v>
      </c>
      <c r="E121" s="88" t="s">
        <v>384</v>
      </c>
      <c r="F121" s="90" t="s">
        <v>71</v>
      </c>
      <c r="G121" s="91"/>
      <c r="H121" s="92"/>
      <c r="I121" s="93" t="str">
        <f>IFERROR(IF(OR($F121="O",$G121="O",$H121="O"),CHOOSE(MATCH($A121,{"튜브","고압","진공","튜닝","조립","출하"},0),"T","H","V","N","A","P")&amp;IF($F121="O","R",IF($G121="O","A",IF($H121="O","F",""))),""),"")</f>
        <v/>
      </c>
      <c r="J121" s="94" t="s">
        <v>71</v>
      </c>
      <c r="K121" s="95"/>
      <c r="L121" s="96"/>
      <c r="M121" s="97"/>
      <c r="N121" s="98"/>
      <c r="O121" s="99"/>
      <c r="P121" s="100" t="str">
        <f t="shared" si="1"/>
        <v/>
      </c>
      <c r="Q121" s="102" t="s">
        <v>1369</v>
      </c>
      <c r="R121" s="108" t="str">
        <f>HYPERLINK("#'마스터_품목'!A191","→ 마스터 R191")</f>
        <v>→ 마스터 R191</v>
      </c>
      <c r="S121" s="109">
        <v>191</v>
      </c>
      <c r="T121" s="109" t="s">
        <v>72</v>
      </c>
    </row>
    <row r="122" spans="1:20" ht="48" customHeight="1" x14ac:dyDescent="0.3">
      <c r="A122" s="87" t="s">
        <v>1347</v>
      </c>
      <c r="B122" s="87" t="s">
        <v>1368</v>
      </c>
      <c r="C122" s="88" t="s">
        <v>195</v>
      </c>
      <c r="D122" s="88" t="s">
        <v>364</v>
      </c>
      <c r="E122" s="88" t="s">
        <v>363</v>
      </c>
      <c r="F122" s="90" t="s">
        <v>71</v>
      </c>
      <c r="G122" s="91"/>
      <c r="H122" s="92"/>
      <c r="I122" s="93" t="str">
        <f>IFERROR(IF(OR($F122="O",$G122="O",$H122="O"),CHOOSE(MATCH($A122,{"튜브","고압","진공","튜닝","조립","출하"},0),"T","H","V","N","A","P")&amp;IF($F122="O","R",IF($G122="O","A",IF($H122="O","F",""))),""),"")</f>
        <v/>
      </c>
      <c r="J122" s="94" t="s">
        <v>71</v>
      </c>
      <c r="K122" s="95"/>
      <c r="L122" s="96"/>
      <c r="M122" s="97"/>
      <c r="N122" s="98"/>
      <c r="O122" s="99"/>
      <c r="P122" s="100" t="str">
        <f t="shared" si="1"/>
        <v/>
      </c>
      <c r="Q122" s="102" t="s">
        <v>1369</v>
      </c>
      <c r="R122" s="108" t="str">
        <f>HYPERLINK("#'마스터_품목'!A181","→ 마스터 R181")</f>
        <v>→ 마스터 R181</v>
      </c>
      <c r="S122" s="109">
        <v>181</v>
      </c>
      <c r="T122" s="109" t="s">
        <v>72</v>
      </c>
    </row>
    <row r="123" spans="1:20" ht="48" customHeight="1" x14ac:dyDescent="0.3">
      <c r="A123" s="87" t="s">
        <v>1347</v>
      </c>
      <c r="B123" s="87" t="s">
        <v>1368</v>
      </c>
      <c r="C123" s="88" t="s">
        <v>195</v>
      </c>
      <c r="D123" s="88" t="s">
        <v>412</v>
      </c>
      <c r="E123" s="88" t="s">
        <v>411</v>
      </c>
      <c r="F123" s="90" t="s">
        <v>71</v>
      </c>
      <c r="G123" s="91"/>
      <c r="H123" s="92"/>
      <c r="I123" s="93" t="str">
        <f>IFERROR(IF(OR($F123="O",$G123="O",$H123="O"),CHOOSE(MATCH($A123,{"튜브","고압","진공","튜닝","조립","출하"},0),"T","H","V","N","A","P")&amp;IF($F123="O","R",IF($G123="O","A",IF($H123="O","F",""))),""),"")</f>
        <v/>
      </c>
      <c r="J123" s="94" t="s">
        <v>71</v>
      </c>
      <c r="K123" s="95"/>
      <c r="L123" s="96"/>
      <c r="M123" s="97"/>
      <c r="N123" s="98"/>
      <c r="O123" s="99"/>
      <c r="P123" s="100" t="str">
        <f t="shared" si="1"/>
        <v/>
      </c>
      <c r="Q123" s="102" t="s">
        <v>1369</v>
      </c>
      <c r="R123" s="108" t="str">
        <f>HYPERLINK("#'마스터_품목'!A204","→ 마스터 R204")</f>
        <v>→ 마스터 R204</v>
      </c>
      <c r="S123" s="109">
        <v>204</v>
      </c>
      <c r="T123" s="109" t="s">
        <v>72</v>
      </c>
    </row>
    <row r="124" spans="1:20" ht="48" customHeight="1" x14ac:dyDescent="0.3">
      <c r="A124" s="87" t="s">
        <v>1347</v>
      </c>
      <c r="B124" s="87" t="s">
        <v>1368</v>
      </c>
      <c r="C124" s="88" t="s">
        <v>195</v>
      </c>
      <c r="D124" s="88" t="s">
        <v>392</v>
      </c>
      <c r="E124" s="88" t="s">
        <v>390</v>
      </c>
      <c r="F124" s="90" t="s">
        <v>71</v>
      </c>
      <c r="G124" s="91"/>
      <c r="H124" s="92"/>
      <c r="I124" s="93" t="str">
        <f>IFERROR(IF(OR($F124="O",$G124="O",$H124="O"),CHOOSE(MATCH($A124,{"튜브","고압","진공","튜닝","조립","출하"},0),"T","H","V","N","A","P")&amp;IF($F124="O","R",IF($G124="O","A",IF($H124="O","F",""))),""),"")</f>
        <v/>
      </c>
      <c r="J124" s="94" t="s">
        <v>71</v>
      </c>
      <c r="K124" s="95"/>
      <c r="L124" s="96"/>
      <c r="M124" s="97"/>
      <c r="N124" s="98"/>
      <c r="O124" s="99"/>
      <c r="P124" s="100" t="str">
        <f t="shared" si="1"/>
        <v/>
      </c>
      <c r="Q124" s="102" t="s">
        <v>1369</v>
      </c>
      <c r="R124" s="108" t="str">
        <f>HYPERLINK("#'마스터_품목'!A195","→ 마스터 R195")</f>
        <v>→ 마스터 R195</v>
      </c>
      <c r="S124" s="109">
        <v>195</v>
      </c>
      <c r="T124" s="109" t="s">
        <v>72</v>
      </c>
    </row>
    <row r="125" spans="1:20" ht="48" customHeight="1" x14ac:dyDescent="0.3">
      <c r="A125" s="87" t="s">
        <v>1347</v>
      </c>
      <c r="B125" s="87" t="s">
        <v>1368</v>
      </c>
      <c r="C125" s="88" t="s">
        <v>195</v>
      </c>
      <c r="D125" s="88" t="s">
        <v>391</v>
      </c>
      <c r="E125" s="88" t="s">
        <v>390</v>
      </c>
      <c r="F125" s="90" t="s">
        <v>71</v>
      </c>
      <c r="G125" s="91"/>
      <c r="H125" s="92"/>
      <c r="I125" s="93" t="str">
        <f>IFERROR(IF(OR($F125="O",$G125="O",$H125="O"),CHOOSE(MATCH($A125,{"튜브","고압","진공","튜닝","조립","출하"},0),"T","H","V","N","A","P")&amp;IF($F125="O","R",IF($G125="O","A",IF($H125="O","F",""))),""),"")</f>
        <v/>
      </c>
      <c r="J125" s="94" t="s">
        <v>71</v>
      </c>
      <c r="K125" s="95"/>
      <c r="L125" s="96"/>
      <c r="M125" s="97"/>
      <c r="N125" s="98"/>
      <c r="O125" s="99"/>
      <c r="P125" s="100" t="str">
        <f t="shared" si="1"/>
        <v/>
      </c>
      <c r="Q125" s="102" t="s">
        <v>1369</v>
      </c>
      <c r="R125" s="108" t="str">
        <f>HYPERLINK("#'마스터_품목'!A194","→ 마스터 R194")</f>
        <v>→ 마스터 R194</v>
      </c>
      <c r="S125" s="109">
        <v>194</v>
      </c>
      <c r="T125" s="109" t="s">
        <v>72</v>
      </c>
    </row>
    <row r="126" spans="1:20" ht="48" customHeight="1" x14ac:dyDescent="0.3">
      <c r="A126" s="87" t="s">
        <v>1347</v>
      </c>
      <c r="B126" s="87" t="s">
        <v>1368</v>
      </c>
      <c r="C126" s="88" t="s">
        <v>195</v>
      </c>
      <c r="D126" s="88" t="s">
        <v>394</v>
      </c>
      <c r="E126" s="88" t="s">
        <v>393</v>
      </c>
      <c r="F126" s="90" t="s">
        <v>71</v>
      </c>
      <c r="G126" s="91"/>
      <c r="H126" s="92"/>
      <c r="I126" s="93" t="str">
        <f>IFERROR(IF(OR($F126="O",$G126="O",$H126="O"),CHOOSE(MATCH($A126,{"튜브","고압","진공","튜닝","조립","출하"},0),"T","H","V","N","A","P")&amp;IF($F126="O","R",IF($G126="O","A",IF($H126="O","F",""))),""),"")</f>
        <v/>
      </c>
      <c r="J126" s="94" t="s">
        <v>71</v>
      </c>
      <c r="K126" s="95"/>
      <c r="L126" s="96"/>
      <c r="M126" s="97"/>
      <c r="N126" s="98"/>
      <c r="O126" s="99"/>
      <c r="P126" s="100" t="str">
        <f t="shared" si="1"/>
        <v/>
      </c>
      <c r="Q126" s="102" t="s">
        <v>1369</v>
      </c>
      <c r="R126" s="108" t="str">
        <f>HYPERLINK("#'마스터_품목'!A196","→ 마스터 R196")</f>
        <v>→ 마스터 R196</v>
      </c>
      <c r="S126" s="109">
        <v>196</v>
      </c>
      <c r="T126" s="109" t="s">
        <v>72</v>
      </c>
    </row>
    <row r="127" spans="1:20" ht="48" customHeight="1" x14ac:dyDescent="0.3">
      <c r="A127" s="87" t="s">
        <v>1347</v>
      </c>
      <c r="B127" s="87" t="s">
        <v>1368</v>
      </c>
      <c r="C127" s="88" t="s">
        <v>195</v>
      </c>
      <c r="D127" s="88" t="s">
        <v>396</v>
      </c>
      <c r="E127" s="88" t="s">
        <v>395</v>
      </c>
      <c r="F127" s="90" t="s">
        <v>71</v>
      </c>
      <c r="G127" s="91"/>
      <c r="H127" s="92"/>
      <c r="I127" s="93" t="str">
        <f>IFERROR(IF(OR($F127="O",$G127="O",$H127="O"),CHOOSE(MATCH($A127,{"튜브","고압","진공","튜닝","조립","출하"},0),"T","H","V","N","A","P")&amp;IF($F127="O","R",IF($G127="O","A",IF($H127="O","F",""))),""),"")</f>
        <v/>
      </c>
      <c r="J127" s="94" t="s">
        <v>71</v>
      </c>
      <c r="K127" s="95"/>
      <c r="L127" s="96"/>
      <c r="M127" s="97"/>
      <c r="N127" s="98"/>
      <c r="O127" s="99"/>
      <c r="P127" s="100" t="str">
        <f t="shared" si="1"/>
        <v/>
      </c>
      <c r="Q127" s="102" t="s">
        <v>1369</v>
      </c>
      <c r="R127" s="108" t="str">
        <f>HYPERLINK("#'마스터_품목'!A197","→ 마스터 R197")</f>
        <v>→ 마스터 R197</v>
      </c>
      <c r="S127" s="109">
        <v>197</v>
      </c>
      <c r="T127" s="109" t="s">
        <v>72</v>
      </c>
    </row>
    <row r="128" spans="1:20" ht="48" customHeight="1" x14ac:dyDescent="0.3">
      <c r="A128" s="87" t="s">
        <v>1347</v>
      </c>
      <c r="B128" s="87" t="s">
        <v>1368</v>
      </c>
      <c r="C128" s="88" t="s">
        <v>195</v>
      </c>
      <c r="D128" s="88" t="s">
        <v>399</v>
      </c>
      <c r="E128" s="88" t="s">
        <v>398</v>
      </c>
      <c r="F128" s="90" t="s">
        <v>71</v>
      </c>
      <c r="G128" s="91"/>
      <c r="H128" s="92"/>
      <c r="I128" s="93" t="str">
        <f>IFERROR(IF(OR($F128="O",$G128="O",$H128="O"),CHOOSE(MATCH($A128,{"튜브","고압","진공","튜닝","조립","출하"},0),"T","H","V","N","A","P")&amp;IF($F128="O","R",IF($G128="O","A",IF($H128="O","F",""))),""),"")</f>
        <v/>
      </c>
      <c r="J128" s="94" t="s">
        <v>71</v>
      </c>
      <c r="K128" s="95" t="s">
        <v>71</v>
      </c>
      <c r="L128" s="96"/>
      <c r="M128" s="97"/>
      <c r="N128" s="98"/>
      <c r="O128" s="99"/>
      <c r="P128" s="100" t="str">
        <f t="shared" si="1"/>
        <v/>
      </c>
      <c r="Q128" s="102" t="s">
        <v>1369</v>
      </c>
      <c r="R128" s="108" t="str">
        <f>HYPERLINK("#'마스터_품목'!A198","→ 마스터 R198")</f>
        <v>→ 마스터 R198</v>
      </c>
      <c r="S128" s="109">
        <v>198</v>
      </c>
      <c r="T128" s="109" t="s">
        <v>72</v>
      </c>
    </row>
    <row r="129" spans="1:20" ht="48" customHeight="1" x14ac:dyDescent="0.3">
      <c r="A129" s="87" t="s">
        <v>1347</v>
      </c>
      <c r="B129" s="87" t="s">
        <v>1407</v>
      </c>
      <c r="C129" s="88" t="s">
        <v>198</v>
      </c>
      <c r="D129" s="88" t="s">
        <v>819</v>
      </c>
      <c r="E129" s="88" t="s">
        <v>818</v>
      </c>
      <c r="F129" s="90" t="s">
        <v>71</v>
      </c>
      <c r="G129" s="91"/>
      <c r="H129" s="92"/>
      <c r="I129" s="93" t="str">
        <f>IFERROR(IF(OR($F129="O",$G129="O",$H129="O"),CHOOSE(MATCH($A129,{"튜브","고압","진공","튜닝","조립","출하"},0),"T","H","V","N","A","P")&amp;IF($F129="O","R",IF($G129="O","A",IF($H129="O","F",""))),""),"")</f>
        <v/>
      </c>
      <c r="J129" s="94"/>
      <c r="K129" s="95" t="s">
        <v>71</v>
      </c>
      <c r="L129" s="96"/>
      <c r="M129" s="97"/>
      <c r="N129" s="98"/>
      <c r="O129" s="99"/>
      <c r="P129" s="100" t="str">
        <f t="shared" si="1"/>
        <v/>
      </c>
      <c r="Q129" s="102" t="s">
        <v>1408</v>
      </c>
      <c r="R129" s="108" t="str">
        <f>HYPERLINK("#'마스터_품목'!A582","→ 마스터 R582")</f>
        <v>→ 마스터 R582</v>
      </c>
      <c r="S129" s="109">
        <v>582</v>
      </c>
      <c r="T129" s="109" t="s">
        <v>72</v>
      </c>
    </row>
    <row r="130" spans="1:20" ht="48" customHeight="1" x14ac:dyDescent="0.3">
      <c r="A130" s="87" t="s">
        <v>1347</v>
      </c>
      <c r="B130" s="87" t="s">
        <v>1409</v>
      </c>
      <c r="C130" s="88" t="s">
        <v>198</v>
      </c>
      <c r="D130" s="88" t="s">
        <v>1059</v>
      </c>
      <c r="E130" s="88" t="s">
        <v>1058</v>
      </c>
      <c r="F130" s="90" t="s">
        <v>71</v>
      </c>
      <c r="G130" s="91"/>
      <c r="H130" s="92"/>
      <c r="I130" s="93" t="str">
        <f>IFERROR(IF(OR($F130="O",$G130="O",$H130="O"),CHOOSE(MATCH($A130,{"튜브","고압","진공","튜닝","조립","출하"},0),"T","H","V","N","A","P")&amp;IF($F130="O","R",IF($G130="O","A",IF($H130="O","F",""))),""),"")</f>
        <v/>
      </c>
      <c r="J130" s="94"/>
      <c r="K130" s="95" t="s">
        <v>71</v>
      </c>
      <c r="L130" s="96"/>
      <c r="M130" s="97"/>
      <c r="N130" s="98"/>
      <c r="O130" s="99"/>
      <c r="P130" s="100" t="str">
        <f t="shared" ref="P130:P193" si="2">IF($I130="","",IF($J130="O","3","")&amp;IF($K130="O","4","")&amp;IF($L130="O","6","")&amp;IF($M130="O","7","")&amp;IF($N130="O","8","")&amp;IF($O130="O","?","")&amp;IF(OR($J130="O",$K130="O",$L130="O",$M130="O",$N130="O",$O130="O"),"-","")&amp;$I130)</f>
        <v/>
      </c>
      <c r="Q130" s="102" t="s">
        <v>1355</v>
      </c>
      <c r="R130" s="108" t="str">
        <f>HYPERLINK("#'마스터_품목'!A617","→ 마스터 R617")</f>
        <v>→ 마스터 R617</v>
      </c>
      <c r="S130" s="109">
        <v>617</v>
      </c>
      <c r="T130" s="109" t="s">
        <v>72</v>
      </c>
    </row>
    <row r="131" spans="1:20" ht="48" customHeight="1" x14ac:dyDescent="0.3">
      <c r="A131" s="87" t="s">
        <v>1347</v>
      </c>
      <c r="B131" s="87" t="s">
        <v>1410</v>
      </c>
      <c r="C131" s="88" t="s">
        <v>1411</v>
      </c>
      <c r="D131" s="88" t="s">
        <v>70</v>
      </c>
      <c r="E131" s="88" t="s">
        <v>69</v>
      </c>
      <c r="F131" s="90" t="s">
        <v>71</v>
      </c>
      <c r="G131" s="91"/>
      <c r="H131" s="92"/>
      <c r="I131" s="93" t="str">
        <f>IFERROR(IF(OR($F131="O",$G131="O",$H131="O"),CHOOSE(MATCH($A131,{"튜브","고압","진공","튜닝","조립","출하"},0),"T","H","V","N","A","P")&amp;IF($F131="O","R",IF($G131="O","A",IF($H131="O","F",""))),""),"")</f>
        <v/>
      </c>
      <c r="J131" s="94"/>
      <c r="K131" s="95"/>
      <c r="L131" s="96"/>
      <c r="M131" s="97" t="s">
        <v>71</v>
      </c>
      <c r="N131" s="98"/>
      <c r="O131" s="99"/>
      <c r="P131" s="100" t="str">
        <f t="shared" si="2"/>
        <v/>
      </c>
      <c r="Q131" s="114"/>
      <c r="R131" s="108" t="str">
        <f>HYPERLINK("#'마스터_품목'!A2","→ 마스터 R2")</f>
        <v>→ 마스터 R2</v>
      </c>
      <c r="S131" s="109">
        <v>2</v>
      </c>
      <c r="T131" s="109" t="s">
        <v>72</v>
      </c>
    </row>
    <row r="132" spans="1:20" ht="48" customHeight="1" x14ac:dyDescent="0.3">
      <c r="A132" s="87" t="s">
        <v>1347</v>
      </c>
      <c r="B132" s="87" t="s">
        <v>1368</v>
      </c>
      <c r="C132" s="88" t="s">
        <v>195</v>
      </c>
      <c r="D132" s="88" t="s">
        <v>455</v>
      </c>
      <c r="E132" s="88" t="s">
        <v>454</v>
      </c>
      <c r="F132" s="90" t="s">
        <v>71</v>
      </c>
      <c r="G132" s="91"/>
      <c r="H132" s="92"/>
      <c r="I132" s="93" t="str">
        <f>IFERROR(IF(OR($F132="O",$G132="O",$H132="O"),CHOOSE(MATCH($A132,{"튜브","고압","진공","튜닝","조립","출하"},0),"T","H","V","N","A","P")&amp;IF($F132="O","R",IF($G132="O","A",IF($H132="O","F",""))),""),"")</f>
        <v/>
      </c>
      <c r="J132" s="94" t="s">
        <v>71</v>
      </c>
      <c r="K132" s="95"/>
      <c r="L132" s="96"/>
      <c r="M132" s="97"/>
      <c r="N132" s="98"/>
      <c r="O132" s="99"/>
      <c r="P132" s="100" t="str">
        <f t="shared" si="2"/>
        <v/>
      </c>
      <c r="Q132" s="102" t="s">
        <v>1412</v>
      </c>
      <c r="R132" s="108" t="str">
        <f>HYPERLINK("#'마스터_품목'!A232","→ 마스터 R232")</f>
        <v>→ 마스터 R232</v>
      </c>
      <c r="S132" s="109">
        <v>232</v>
      </c>
      <c r="T132" s="109" t="s">
        <v>72</v>
      </c>
    </row>
    <row r="133" spans="1:20" ht="48" customHeight="1" x14ac:dyDescent="0.3">
      <c r="A133" s="87" t="s">
        <v>1347</v>
      </c>
      <c r="B133" s="87" t="s">
        <v>1368</v>
      </c>
      <c r="C133" s="88" t="s">
        <v>195</v>
      </c>
      <c r="D133" s="88" t="s">
        <v>457</v>
      </c>
      <c r="E133" s="88" t="s">
        <v>456</v>
      </c>
      <c r="F133" s="90" t="s">
        <v>71</v>
      </c>
      <c r="G133" s="91"/>
      <c r="H133" s="92"/>
      <c r="I133" s="93" t="str">
        <f>IFERROR(IF(OR($F133="O",$G133="O",$H133="O"),CHOOSE(MATCH($A133,{"튜브","고압","진공","튜닝","조립","출하"},0),"T","H","V","N","A","P")&amp;IF($F133="O","R",IF($G133="O","A",IF($H133="O","F",""))),""),"")</f>
        <v/>
      </c>
      <c r="J133" s="94" t="s">
        <v>71</v>
      </c>
      <c r="K133" s="95"/>
      <c r="L133" s="96"/>
      <c r="M133" s="97"/>
      <c r="N133" s="98"/>
      <c r="O133" s="99"/>
      <c r="P133" s="100" t="str">
        <f t="shared" si="2"/>
        <v/>
      </c>
      <c r="Q133" s="102" t="s">
        <v>1412</v>
      </c>
      <c r="R133" s="108" t="str">
        <f>HYPERLINK("#'마스터_품목'!A233","→ 마스터 R233")</f>
        <v>→ 마스터 R233</v>
      </c>
      <c r="S133" s="109">
        <v>233</v>
      </c>
      <c r="T133" s="109" t="s">
        <v>72</v>
      </c>
    </row>
    <row r="134" spans="1:20" ht="48" customHeight="1" x14ac:dyDescent="0.3">
      <c r="A134" s="87" t="s">
        <v>1347</v>
      </c>
      <c r="B134" s="87" t="s">
        <v>1413</v>
      </c>
      <c r="C134" s="88" t="s">
        <v>195</v>
      </c>
      <c r="D134" s="88" t="s">
        <v>405</v>
      </c>
      <c r="E134" s="88" t="s">
        <v>404</v>
      </c>
      <c r="F134" s="90" t="s">
        <v>71</v>
      </c>
      <c r="G134" s="91"/>
      <c r="H134" s="92"/>
      <c r="I134" s="93" t="str">
        <f>IFERROR(IF(OR($F134="O",$G134="O",$H134="O"),CHOOSE(MATCH($A134,{"튜브","고압","진공","튜닝","조립","출하"},0),"T","H","V","N","A","P")&amp;IF($F134="O","R",IF($G134="O","A",IF($H134="O","F",""))),""),"")</f>
        <v/>
      </c>
      <c r="J134" s="94" t="s">
        <v>71</v>
      </c>
      <c r="K134" s="95"/>
      <c r="L134" s="96"/>
      <c r="M134" s="97"/>
      <c r="N134" s="98"/>
      <c r="O134" s="99"/>
      <c r="P134" s="100" t="str">
        <f t="shared" si="2"/>
        <v/>
      </c>
      <c r="Q134" s="102" t="s">
        <v>1369</v>
      </c>
      <c r="R134" s="108" t="str">
        <f>HYPERLINK("#'마스터_품목'!A201","→ 마스터 R201")</f>
        <v>→ 마스터 R201</v>
      </c>
      <c r="S134" s="109">
        <v>201</v>
      </c>
      <c r="T134" s="109" t="s">
        <v>72</v>
      </c>
    </row>
    <row r="135" spans="1:20" ht="48" customHeight="1" x14ac:dyDescent="0.3">
      <c r="A135" s="87" t="s">
        <v>1347</v>
      </c>
      <c r="B135" s="87" t="s">
        <v>1413</v>
      </c>
      <c r="C135" s="88" t="s">
        <v>195</v>
      </c>
      <c r="D135" s="88" t="s">
        <v>379</v>
      </c>
      <c r="E135" s="88" t="s">
        <v>378</v>
      </c>
      <c r="F135" s="90" t="s">
        <v>71</v>
      </c>
      <c r="G135" s="91"/>
      <c r="H135" s="92"/>
      <c r="I135" s="93" t="str">
        <f>IFERROR(IF(OR($F135="O",$G135="O",$H135="O"),CHOOSE(MATCH($A135,{"튜브","고압","진공","튜닝","조립","출하"},0),"T","H","V","N","A","P")&amp;IF($F135="O","R",IF($G135="O","A",IF($H135="O","F",""))),""),"")</f>
        <v/>
      </c>
      <c r="J135" s="94" t="s">
        <v>71</v>
      </c>
      <c r="K135" s="95"/>
      <c r="L135" s="96"/>
      <c r="M135" s="97"/>
      <c r="N135" s="98"/>
      <c r="O135" s="99"/>
      <c r="P135" s="100" t="str">
        <f t="shared" si="2"/>
        <v/>
      </c>
      <c r="Q135" s="102" t="s">
        <v>1369</v>
      </c>
      <c r="R135" s="108" t="str">
        <f>HYPERLINK("#'마스터_품목'!A188","→ 마스터 R188")</f>
        <v>→ 마스터 R188</v>
      </c>
      <c r="S135" s="109">
        <v>188</v>
      </c>
      <c r="T135" s="109" t="s">
        <v>72</v>
      </c>
    </row>
    <row r="136" spans="1:20" ht="48" customHeight="1" x14ac:dyDescent="0.3">
      <c r="A136" s="87" t="s">
        <v>1347</v>
      </c>
      <c r="B136" s="87" t="s">
        <v>1413</v>
      </c>
      <c r="C136" s="88" t="s">
        <v>195</v>
      </c>
      <c r="D136" s="88" t="s">
        <v>366</v>
      </c>
      <c r="E136" s="88" t="s">
        <v>365</v>
      </c>
      <c r="F136" s="90" t="s">
        <v>71</v>
      </c>
      <c r="G136" s="91"/>
      <c r="H136" s="92"/>
      <c r="I136" s="93" t="str">
        <f>IFERROR(IF(OR($F136="O",$G136="O",$H136="O"),CHOOSE(MATCH($A136,{"튜브","고압","진공","튜닝","조립","출하"},0),"T","H","V","N","A","P")&amp;IF($F136="O","R",IF($G136="O","A",IF($H136="O","F",""))),""),"")</f>
        <v/>
      </c>
      <c r="J136" s="94" t="s">
        <v>71</v>
      </c>
      <c r="K136" s="95"/>
      <c r="L136" s="96"/>
      <c r="M136" s="97"/>
      <c r="N136" s="98"/>
      <c r="O136" s="99"/>
      <c r="P136" s="100" t="str">
        <f t="shared" si="2"/>
        <v/>
      </c>
      <c r="Q136" s="102" t="s">
        <v>1369</v>
      </c>
      <c r="R136" s="108" t="str">
        <f>HYPERLINK("#'마스터_품목'!A182","→ 마스터 R182")</f>
        <v>→ 마스터 R182</v>
      </c>
      <c r="S136" s="109">
        <v>182</v>
      </c>
      <c r="T136" s="109" t="s">
        <v>72</v>
      </c>
    </row>
    <row r="137" spans="1:20" ht="48" customHeight="1" x14ac:dyDescent="0.3">
      <c r="A137" s="87" t="s">
        <v>1347</v>
      </c>
      <c r="B137" s="87" t="s">
        <v>1413</v>
      </c>
      <c r="C137" s="88" t="s">
        <v>195</v>
      </c>
      <c r="D137" s="88" t="s">
        <v>381</v>
      </c>
      <c r="E137" s="88" t="s">
        <v>380</v>
      </c>
      <c r="F137" s="90" t="s">
        <v>71</v>
      </c>
      <c r="G137" s="91"/>
      <c r="H137" s="92"/>
      <c r="I137" s="93" t="str">
        <f>IFERROR(IF(OR($F137="O",$G137="O",$H137="O"),CHOOSE(MATCH($A137,{"튜브","고압","진공","튜닝","조립","출하"},0),"T","H","V","N","A","P")&amp;IF($F137="O","R",IF($G137="O","A",IF($H137="O","F",""))),""),"")</f>
        <v/>
      </c>
      <c r="J137" s="94" t="s">
        <v>71</v>
      </c>
      <c r="K137" s="95"/>
      <c r="L137" s="96"/>
      <c r="M137" s="97"/>
      <c r="N137" s="98"/>
      <c r="O137" s="99"/>
      <c r="P137" s="100" t="str">
        <f t="shared" si="2"/>
        <v/>
      </c>
      <c r="Q137" s="102" t="s">
        <v>1369</v>
      </c>
      <c r="R137" s="108" t="str">
        <f>HYPERLINK("#'마스터_품목'!A189","→ 마스터 R189")</f>
        <v>→ 마스터 R189</v>
      </c>
      <c r="S137" s="109">
        <v>189</v>
      </c>
      <c r="T137" s="109" t="s">
        <v>72</v>
      </c>
    </row>
    <row r="138" spans="1:20" ht="48" customHeight="1" x14ac:dyDescent="0.3">
      <c r="A138" s="87" t="s">
        <v>1347</v>
      </c>
      <c r="B138" s="87" t="s">
        <v>1413</v>
      </c>
      <c r="C138" s="88" t="s">
        <v>195</v>
      </c>
      <c r="D138" s="88" t="s">
        <v>383</v>
      </c>
      <c r="E138" s="88" t="s">
        <v>382</v>
      </c>
      <c r="F138" s="90" t="s">
        <v>71</v>
      </c>
      <c r="G138" s="91"/>
      <c r="H138" s="92"/>
      <c r="I138" s="93" t="str">
        <f>IFERROR(IF(OR($F138="O",$G138="O",$H138="O"),CHOOSE(MATCH($A138,{"튜브","고압","진공","튜닝","조립","출하"},0),"T","H","V","N","A","P")&amp;IF($F138="O","R",IF($G138="O","A",IF($H138="O","F",""))),""),"")</f>
        <v/>
      </c>
      <c r="J138" s="94" t="s">
        <v>71</v>
      </c>
      <c r="K138" s="95"/>
      <c r="L138" s="96"/>
      <c r="M138" s="97"/>
      <c r="N138" s="98"/>
      <c r="O138" s="99"/>
      <c r="P138" s="100" t="str">
        <f t="shared" si="2"/>
        <v/>
      </c>
      <c r="Q138" s="102" t="s">
        <v>1369</v>
      </c>
      <c r="R138" s="108" t="str">
        <f>HYPERLINK("#'마스터_품목'!A190","→ 마스터 R190")</f>
        <v>→ 마스터 R190</v>
      </c>
      <c r="S138" s="109">
        <v>190</v>
      </c>
      <c r="T138" s="109" t="s">
        <v>72</v>
      </c>
    </row>
    <row r="139" spans="1:20" ht="48" customHeight="1" x14ac:dyDescent="0.3">
      <c r="A139" s="87" t="s">
        <v>1347</v>
      </c>
      <c r="B139" s="87" t="s">
        <v>1413</v>
      </c>
      <c r="C139" s="88" t="s">
        <v>195</v>
      </c>
      <c r="D139" s="88" t="s">
        <v>459</v>
      </c>
      <c r="E139" s="88" t="s">
        <v>458</v>
      </c>
      <c r="F139" s="90" t="s">
        <v>71</v>
      </c>
      <c r="G139" s="91"/>
      <c r="H139" s="92"/>
      <c r="I139" s="93" t="str">
        <f>IFERROR(IF(OR($F139="O",$G139="O",$H139="O"),CHOOSE(MATCH($A139,{"튜브","고압","진공","튜닝","조립","출하"},0),"T","H","V","N","A","P")&amp;IF($F139="O","R",IF($G139="O","A",IF($H139="O","F",""))),""),"")</f>
        <v/>
      </c>
      <c r="J139" s="94" t="s">
        <v>71</v>
      </c>
      <c r="K139" s="95"/>
      <c r="L139" s="96"/>
      <c r="M139" s="97"/>
      <c r="N139" s="98"/>
      <c r="O139" s="99"/>
      <c r="P139" s="100" t="str">
        <f t="shared" si="2"/>
        <v/>
      </c>
      <c r="R139" s="108" t="str">
        <f>HYPERLINK("#'마스터_품목'!A234","→ 마스터 R234")</f>
        <v>→ 마스터 R234</v>
      </c>
      <c r="S139" s="109">
        <v>234</v>
      </c>
      <c r="T139" s="109" t="s">
        <v>72</v>
      </c>
    </row>
    <row r="140" spans="1:20" ht="48" customHeight="1" x14ac:dyDescent="0.3">
      <c r="A140" s="87" t="s">
        <v>1347</v>
      </c>
      <c r="B140" s="87" t="s">
        <v>1383</v>
      </c>
      <c r="C140" s="88" t="s">
        <v>195</v>
      </c>
      <c r="D140" s="88" t="s">
        <v>414</v>
      </c>
      <c r="E140" s="88" t="s">
        <v>413</v>
      </c>
      <c r="F140" s="90" t="s">
        <v>71</v>
      </c>
      <c r="G140" s="91"/>
      <c r="H140" s="92"/>
      <c r="I140" s="93" t="str">
        <f>IFERROR(IF(OR($F140="O",$G140="O",$H140="O"),CHOOSE(MATCH($A140,{"튜브","고압","진공","튜닝","조립","출하"},0),"T","H","V","N","A","P")&amp;IF($F140="O","R",IF($G140="O","A",IF($H140="O","F",""))),""),"")</f>
        <v/>
      </c>
      <c r="J140" s="94" t="s">
        <v>71</v>
      </c>
      <c r="K140" s="95" t="s">
        <v>71</v>
      </c>
      <c r="L140" s="96"/>
      <c r="M140" s="97"/>
      <c r="N140" s="98"/>
      <c r="O140" s="99"/>
      <c r="P140" s="100" t="str">
        <f t="shared" si="2"/>
        <v/>
      </c>
      <c r="Q140" s="102" t="s">
        <v>1392</v>
      </c>
      <c r="R140" s="108" t="str">
        <f>HYPERLINK("#'마스터_품목'!A205","→ 마스터 R205")</f>
        <v>→ 마스터 R205</v>
      </c>
      <c r="S140" s="109">
        <v>205</v>
      </c>
      <c r="T140" s="109" t="s">
        <v>72</v>
      </c>
    </row>
    <row r="141" spans="1:20" ht="48" customHeight="1" x14ac:dyDescent="0.3">
      <c r="A141" s="87" t="s">
        <v>1347</v>
      </c>
      <c r="B141" s="87" t="s">
        <v>1383</v>
      </c>
      <c r="C141" s="88" t="s">
        <v>195</v>
      </c>
      <c r="D141" s="88" t="s">
        <v>1057</v>
      </c>
      <c r="E141" s="88" t="s">
        <v>1056</v>
      </c>
      <c r="F141" s="90" t="s">
        <v>71</v>
      </c>
      <c r="G141" s="91"/>
      <c r="H141" s="92"/>
      <c r="I141" s="93" t="str">
        <f>IFERROR(IF(OR($F141="O",$G141="O",$H141="O"),CHOOSE(MATCH($A141,{"튜브","고압","진공","튜닝","조립","출하"},0),"T","H","V","N","A","P")&amp;IF($F141="O","R",IF($G141="O","A",IF($H141="O","F",""))),""),"")</f>
        <v/>
      </c>
      <c r="J141" s="94" t="s">
        <v>71</v>
      </c>
      <c r="K141" s="95"/>
      <c r="L141" s="96"/>
      <c r="M141" s="97"/>
      <c r="N141" s="98"/>
      <c r="O141" s="99"/>
      <c r="P141" s="100" t="str">
        <f t="shared" si="2"/>
        <v/>
      </c>
      <c r="Q141" s="102" t="s">
        <v>1392</v>
      </c>
      <c r="R141" s="108" t="str">
        <f>HYPERLINK("#'마스터_품목'!A616","→ 마스터 R616")</f>
        <v>→ 마스터 R616</v>
      </c>
      <c r="S141" s="109">
        <v>616</v>
      </c>
      <c r="T141" s="109" t="s">
        <v>72</v>
      </c>
    </row>
    <row r="142" spans="1:20" ht="48" customHeight="1" x14ac:dyDescent="0.3">
      <c r="A142" s="87" t="s">
        <v>1347</v>
      </c>
      <c r="B142" s="87" t="s">
        <v>1395</v>
      </c>
      <c r="C142" s="88" t="s">
        <v>195</v>
      </c>
      <c r="D142" s="88" t="s">
        <v>387</v>
      </c>
      <c r="E142" s="88" t="s">
        <v>386</v>
      </c>
      <c r="F142" s="90" t="s">
        <v>71</v>
      </c>
      <c r="G142" s="91"/>
      <c r="H142" s="92"/>
      <c r="I142" s="93" t="str">
        <f>IFERROR(IF(OR($F142="O",$G142="O",$H142="O"),CHOOSE(MATCH($A142,{"튜브","고압","진공","튜닝","조립","출하"},0),"T","H","V","N","A","P")&amp;IF($F142="O","R",IF($G142="O","A",IF($H142="O","F",""))),""),"")</f>
        <v/>
      </c>
      <c r="J142" s="94" t="s">
        <v>71</v>
      </c>
      <c r="K142" s="95"/>
      <c r="L142" s="96"/>
      <c r="M142" s="97"/>
      <c r="N142" s="98"/>
      <c r="O142" s="99"/>
      <c r="P142" s="100" t="str">
        <f t="shared" si="2"/>
        <v/>
      </c>
      <c r="Q142" s="102" t="s">
        <v>1396</v>
      </c>
      <c r="R142" s="108" t="str">
        <f>HYPERLINK("#'마스터_품목'!A192","→ 마스터 R192")</f>
        <v>→ 마스터 R192</v>
      </c>
      <c r="S142" s="109">
        <v>192</v>
      </c>
      <c r="T142" s="109" t="s">
        <v>72</v>
      </c>
    </row>
    <row r="143" spans="1:20" ht="48" customHeight="1" x14ac:dyDescent="0.3">
      <c r="A143" s="87" t="s">
        <v>1347</v>
      </c>
      <c r="B143" s="87" t="s">
        <v>1395</v>
      </c>
      <c r="C143" s="88" t="s">
        <v>195</v>
      </c>
      <c r="D143" s="88" t="s">
        <v>389</v>
      </c>
      <c r="E143" s="88" t="s">
        <v>388</v>
      </c>
      <c r="F143" s="90" t="s">
        <v>71</v>
      </c>
      <c r="G143" s="91"/>
      <c r="H143" s="92"/>
      <c r="I143" s="93" t="str">
        <f>IFERROR(IF(OR($F143="O",$G143="O",$H143="O"),CHOOSE(MATCH($A143,{"튜브","고압","진공","튜닝","조립","출하"},0),"T","H","V","N","A","P")&amp;IF($F143="O","R",IF($G143="O","A",IF($H143="O","F",""))),""),"")</f>
        <v/>
      </c>
      <c r="J143" s="94" t="s">
        <v>71</v>
      </c>
      <c r="K143" s="95"/>
      <c r="L143" s="96"/>
      <c r="M143" s="97"/>
      <c r="N143" s="98"/>
      <c r="O143" s="99"/>
      <c r="P143" s="100" t="str">
        <f t="shared" si="2"/>
        <v/>
      </c>
      <c r="Q143" s="102" t="s">
        <v>1396</v>
      </c>
      <c r="R143" s="108" t="str">
        <f>HYPERLINK("#'마스터_품목'!A193","→ 마스터 R193")</f>
        <v>→ 마스터 R193</v>
      </c>
      <c r="S143" s="109">
        <v>193</v>
      </c>
      <c r="T143" s="109" t="s">
        <v>72</v>
      </c>
    </row>
    <row r="144" spans="1:20" ht="48" customHeight="1" x14ac:dyDescent="0.3">
      <c r="A144" s="87" t="s">
        <v>1347</v>
      </c>
      <c r="B144" s="87" t="s">
        <v>1414</v>
      </c>
      <c r="C144" s="88" t="s">
        <v>1361</v>
      </c>
      <c r="D144" s="88" t="s">
        <v>401</v>
      </c>
      <c r="E144" s="88" t="s">
        <v>400</v>
      </c>
      <c r="F144" s="90" t="s">
        <v>71</v>
      </c>
      <c r="G144" s="91"/>
      <c r="H144" s="92"/>
      <c r="I144" s="93" t="str">
        <f>IFERROR(IF(OR($F144="O",$G144="O",$H144="O"),CHOOSE(MATCH($A144,{"튜브","고압","진공","튜닝","조립","출하"},0),"T","H","V","N","A","P")&amp;IF($F144="O","R",IF($G144="O","A",IF($H144="O","F",""))),""),"")</f>
        <v/>
      </c>
      <c r="J144" s="94" t="s">
        <v>71</v>
      </c>
      <c r="K144" s="95" t="s">
        <v>71</v>
      </c>
      <c r="L144" s="96"/>
      <c r="M144" s="97"/>
      <c r="N144" s="98"/>
      <c r="O144" s="99"/>
      <c r="P144" s="100" t="str">
        <f t="shared" si="2"/>
        <v/>
      </c>
      <c r="Q144" s="102" t="s">
        <v>1396</v>
      </c>
      <c r="R144" s="108" t="str">
        <f>HYPERLINK("#'마스터_품목'!A199","→ 마스터 R199")</f>
        <v>→ 마스터 R199</v>
      </c>
      <c r="S144" s="109">
        <v>199</v>
      </c>
      <c r="T144" s="109" t="s">
        <v>72</v>
      </c>
    </row>
    <row r="145" spans="1:20" ht="48" customHeight="1" x14ac:dyDescent="0.3">
      <c r="A145" s="87" t="s">
        <v>1347</v>
      </c>
      <c r="B145" s="87" t="s">
        <v>1414</v>
      </c>
      <c r="C145" s="88" t="s">
        <v>195</v>
      </c>
      <c r="D145" s="88" t="s">
        <v>403</v>
      </c>
      <c r="E145" s="88" t="s">
        <v>402</v>
      </c>
      <c r="F145" s="90" t="s">
        <v>71</v>
      </c>
      <c r="G145" s="91"/>
      <c r="H145" s="92"/>
      <c r="I145" s="93" t="str">
        <f>IFERROR(IF(OR($F145="O",$G145="O",$H145="O"),CHOOSE(MATCH($A145,{"튜브","고압","진공","튜닝","조립","출하"},0),"T","H","V","N","A","P")&amp;IF($F145="O","R",IF($G145="O","A",IF($H145="O","F",""))),""),"")</f>
        <v/>
      </c>
      <c r="J145" s="94" t="s">
        <v>71</v>
      </c>
      <c r="K145" s="95"/>
      <c r="L145" s="96"/>
      <c r="M145" s="97"/>
      <c r="N145" s="98"/>
      <c r="O145" s="99"/>
      <c r="P145" s="100" t="str">
        <f t="shared" si="2"/>
        <v/>
      </c>
      <c r="Q145" s="102" t="s">
        <v>1396</v>
      </c>
      <c r="R145" s="108" t="str">
        <f>HYPERLINK("#'마스터_품목'!A200","→ 마스터 R200")</f>
        <v>→ 마스터 R200</v>
      </c>
      <c r="S145" s="109">
        <v>200</v>
      </c>
      <c r="T145" s="109" t="s">
        <v>72</v>
      </c>
    </row>
    <row r="146" spans="1:20" ht="48" customHeight="1" x14ac:dyDescent="0.3">
      <c r="A146" s="87" t="s">
        <v>1347</v>
      </c>
      <c r="B146" s="87" t="s">
        <v>1415</v>
      </c>
      <c r="C146" s="88" t="s">
        <v>1411</v>
      </c>
      <c r="D146" s="88" t="s">
        <v>74</v>
      </c>
      <c r="E146" s="88" t="s">
        <v>73</v>
      </c>
      <c r="F146" s="90" t="s">
        <v>71</v>
      </c>
      <c r="G146" s="91"/>
      <c r="H146" s="92"/>
      <c r="I146" s="93" t="str">
        <f>IFERROR(IF(OR($F146="O",$G146="O",$H146="O"),CHOOSE(MATCH($A146,{"튜브","고압","진공","튜닝","조립","출하"},0),"T","H","V","N","A","P")&amp;IF($F146="O","R",IF($G146="O","A",IF($H146="O","F",""))),""),"")</f>
        <v/>
      </c>
      <c r="J146" s="94"/>
      <c r="K146" s="95"/>
      <c r="L146" s="96"/>
      <c r="M146" s="97" t="s">
        <v>71</v>
      </c>
      <c r="N146" s="98"/>
      <c r="O146" s="99"/>
      <c r="P146" s="100" t="str">
        <f t="shared" si="2"/>
        <v/>
      </c>
      <c r="Q146" s="114"/>
      <c r="R146" s="108" t="str">
        <f>HYPERLINK("#'마스터_품목'!A3","→ 마스터 R3")</f>
        <v>→ 마스터 R3</v>
      </c>
      <c r="S146" s="109">
        <v>3</v>
      </c>
      <c r="T146" s="109" t="s">
        <v>72</v>
      </c>
    </row>
    <row r="147" spans="1:20" ht="48" customHeight="1" x14ac:dyDescent="0.3">
      <c r="A147" s="87" t="s">
        <v>1347</v>
      </c>
      <c r="B147" s="87" t="s">
        <v>75</v>
      </c>
      <c r="C147" s="88" t="s">
        <v>1416</v>
      </c>
      <c r="D147" s="88" t="s">
        <v>76</v>
      </c>
      <c r="E147" s="88" t="s">
        <v>75</v>
      </c>
      <c r="F147" s="90" t="s">
        <v>71</v>
      </c>
      <c r="G147" s="91"/>
      <c r="H147" s="92"/>
      <c r="I147" s="93" t="str">
        <f>IFERROR(IF(OR($F147="O",$G147="O",$H147="O"),CHOOSE(MATCH($A147,{"튜브","고압","진공","튜닝","조립","출하"},0),"T","H","V","N","A","P")&amp;IF($F147="O","R",IF($G147="O","A",IF($H147="O","F",""))),""),"")</f>
        <v/>
      </c>
      <c r="J147" s="94"/>
      <c r="K147" s="95"/>
      <c r="L147" s="96"/>
      <c r="M147" s="97" t="s">
        <v>71</v>
      </c>
      <c r="N147" s="98"/>
      <c r="O147" s="99"/>
      <c r="P147" s="100" t="str">
        <f t="shared" si="2"/>
        <v/>
      </c>
      <c r="Q147" s="114"/>
      <c r="R147" s="108" t="str">
        <f>HYPERLINK("#'마스터_품목'!A4","→ 마스터 R4")</f>
        <v>→ 마스터 R4</v>
      </c>
      <c r="S147" s="109">
        <v>4</v>
      </c>
      <c r="T147" s="109" t="s">
        <v>72</v>
      </c>
    </row>
    <row r="148" spans="1:20" ht="48" customHeight="1" x14ac:dyDescent="0.3">
      <c r="A148" s="87" t="s">
        <v>1347</v>
      </c>
      <c r="B148" s="87" t="s">
        <v>1417</v>
      </c>
      <c r="C148" s="88" t="s">
        <v>1411</v>
      </c>
      <c r="D148" s="88" t="s">
        <v>81</v>
      </c>
      <c r="E148" s="88" t="s">
        <v>80</v>
      </c>
      <c r="F148" s="90" t="s">
        <v>71</v>
      </c>
      <c r="G148" s="91"/>
      <c r="H148" s="92"/>
      <c r="I148" s="93" t="str">
        <f>IFERROR(IF(OR($F148="O",$G148="O",$H148="O"),CHOOSE(MATCH($A148,{"튜브","고압","진공","튜닝","조립","출하"},0),"T","H","V","N","A","P")&amp;IF($F148="O","R",IF($G148="O","A",IF($H148="O","F",""))),""),"")</f>
        <v/>
      </c>
      <c r="J148" s="94"/>
      <c r="K148" s="95"/>
      <c r="L148" s="96"/>
      <c r="M148" s="97" t="s">
        <v>71</v>
      </c>
      <c r="N148" s="98"/>
      <c r="O148" s="99"/>
      <c r="P148" s="100" t="str">
        <f t="shared" si="2"/>
        <v/>
      </c>
      <c r="Q148" s="114"/>
      <c r="R148" s="108" t="str">
        <f>HYPERLINK("#'마스터_품목'!A6","→ 마스터 R6")</f>
        <v>→ 마스터 R6</v>
      </c>
      <c r="S148" s="109">
        <v>6</v>
      </c>
      <c r="T148" s="109" t="s">
        <v>72</v>
      </c>
    </row>
    <row r="149" spans="1:20" ht="48" customHeight="1" x14ac:dyDescent="0.3">
      <c r="A149" s="87" t="s">
        <v>1347</v>
      </c>
      <c r="B149" s="87" t="s">
        <v>1417</v>
      </c>
      <c r="C149" s="88" t="s">
        <v>1411</v>
      </c>
      <c r="D149" s="88" t="s">
        <v>83</v>
      </c>
      <c r="E149" s="88" t="s">
        <v>82</v>
      </c>
      <c r="F149" s="90" t="s">
        <v>71</v>
      </c>
      <c r="G149" s="91"/>
      <c r="H149" s="92"/>
      <c r="I149" s="93" t="str">
        <f>IFERROR(IF(OR($F149="O",$G149="O",$H149="O"),CHOOSE(MATCH($A149,{"튜브","고압","진공","튜닝","조립","출하"},0),"T","H","V","N","A","P")&amp;IF($F149="O","R",IF($G149="O","A",IF($H149="O","F",""))),""),"")</f>
        <v/>
      </c>
      <c r="J149" s="94"/>
      <c r="K149" s="95"/>
      <c r="L149" s="96"/>
      <c r="M149" s="97" t="s">
        <v>71</v>
      </c>
      <c r="N149" s="98"/>
      <c r="O149" s="99"/>
      <c r="P149" s="100" t="str">
        <f t="shared" si="2"/>
        <v/>
      </c>
      <c r="Q149" s="114"/>
      <c r="R149" s="108" t="str">
        <f>HYPERLINK("#'마스터_품목'!A7","→ 마스터 R7")</f>
        <v>→ 마스터 R7</v>
      </c>
      <c r="S149" s="109">
        <v>7</v>
      </c>
      <c r="T149" s="109" t="s">
        <v>72</v>
      </c>
    </row>
    <row r="150" spans="1:20" ht="48" customHeight="1" x14ac:dyDescent="0.3">
      <c r="A150" s="87" t="s">
        <v>1347</v>
      </c>
      <c r="B150" s="87" t="s">
        <v>1375</v>
      </c>
      <c r="C150" s="88" t="s">
        <v>1411</v>
      </c>
      <c r="D150" s="88" t="s">
        <v>85</v>
      </c>
      <c r="E150" s="88" t="s">
        <v>84</v>
      </c>
      <c r="F150" s="90" t="s">
        <v>71</v>
      </c>
      <c r="G150" s="91"/>
      <c r="H150" s="92"/>
      <c r="I150" s="93" t="str">
        <f>IFERROR(IF(OR($F150="O",$G150="O",$H150="O"),CHOOSE(MATCH($A150,{"튜브","고압","진공","튜닝","조립","출하"},0),"T","H","V","N","A","P")&amp;IF($F150="O","R",IF($G150="O","A",IF($H150="O","F",""))),""),"")</f>
        <v/>
      </c>
      <c r="J150" s="94"/>
      <c r="K150" s="95"/>
      <c r="L150" s="96"/>
      <c r="M150" s="97" t="s">
        <v>71</v>
      </c>
      <c r="N150" s="98"/>
      <c r="O150" s="99"/>
      <c r="P150" s="100" t="str">
        <f t="shared" si="2"/>
        <v/>
      </c>
      <c r="Q150" s="114"/>
      <c r="R150" s="108" t="str">
        <f>HYPERLINK("#'마스터_품목'!A8","→ 마스터 R8")</f>
        <v>→ 마스터 R8</v>
      </c>
      <c r="S150" s="109">
        <v>8</v>
      </c>
      <c r="T150" s="109" t="s">
        <v>72</v>
      </c>
    </row>
    <row r="151" spans="1:20" ht="48" customHeight="1" x14ac:dyDescent="0.3">
      <c r="A151" s="87" t="s">
        <v>1347</v>
      </c>
      <c r="B151" s="87" t="s">
        <v>1375</v>
      </c>
      <c r="C151" s="88" t="s">
        <v>1411</v>
      </c>
      <c r="D151" s="88" t="s">
        <v>87</v>
      </c>
      <c r="E151" s="88" t="s">
        <v>86</v>
      </c>
      <c r="F151" s="90" t="s">
        <v>71</v>
      </c>
      <c r="G151" s="91"/>
      <c r="H151" s="92"/>
      <c r="I151" s="93" t="str">
        <f>IFERROR(IF(OR($F151="O",$G151="O",$H151="O"),CHOOSE(MATCH($A151,{"튜브","고압","진공","튜닝","조립","출하"},0),"T","H","V","N","A","P")&amp;IF($F151="O","R",IF($G151="O","A",IF($H151="O","F",""))),""),"")</f>
        <v/>
      </c>
      <c r="J151" s="94"/>
      <c r="K151" s="95"/>
      <c r="L151" s="96"/>
      <c r="M151" s="97" t="s">
        <v>71</v>
      </c>
      <c r="N151" s="98"/>
      <c r="O151" s="99"/>
      <c r="P151" s="100" t="str">
        <f t="shared" si="2"/>
        <v/>
      </c>
      <c r="Q151" s="114"/>
      <c r="R151" s="108" t="str">
        <f>HYPERLINK("#'마스터_품목'!A9","→ 마스터 R9")</f>
        <v>→ 마스터 R9</v>
      </c>
      <c r="S151" s="109">
        <v>9</v>
      </c>
      <c r="T151" s="109" t="s">
        <v>72</v>
      </c>
    </row>
    <row r="152" spans="1:20" ht="48" customHeight="1" x14ac:dyDescent="0.3">
      <c r="A152" s="87" t="s">
        <v>1347</v>
      </c>
      <c r="B152" s="87" t="s">
        <v>1418</v>
      </c>
      <c r="C152" s="88" t="s">
        <v>1411</v>
      </c>
      <c r="D152" s="88" t="s">
        <v>89</v>
      </c>
      <c r="E152" s="88" t="s">
        <v>88</v>
      </c>
      <c r="F152" s="90" t="s">
        <v>71</v>
      </c>
      <c r="G152" s="91"/>
      <c r="H152" s="92"/>
      <c r="I152" s="93" t="str">
        <f>IFERROR(IF(OR($F152="O",$G152="O",$H152="O"),CHOOSE(MATCH($A152,{"튜브","고압","진공","튜닝","조립","출하"},0),"T","H","V","N","A","P")&amp;IF($F152="O","R",IF($G152="O","A",IF($H152="O","F",""))),""),"")</f>
        <v/>
      </c>
      <c r="J152" s="94"/>
      <c r="K152" s="95"/>
      <c r="L152" s="96"/>
      <c r="M152" s="97" t="s">
        <v>71</v>
      </c>
      <c r="N152" s="98"/>
      <c r="O152" s="99"/>
      <c r="P152" s="100" t="str">
        <f t="shared" si="2"/>
        <v/>
      </c>
      <c r="Q152" s="114"/>
      <c r="R152" s="108" t="str">
        <f>HYPERLINK("#'마스터_품목'!A10","→ 마스터 R10")</f>
        <v>→ 마스터 R10</v>
      </c>
      <c r="S152" s="109">
        <v>10</v>
      </c>
      <c r="T152" s="109" t="s">
        <v>72</v>
      </c>
    </row>
    <row r="153" spans="1:20" ht="48" customHeight="1" x14ac:dyDescent="0.3">
      <c r="A153" s="87" t="s">
        <v>1347</v>
      </c>
      <c r="B153" s="87" t="s">
        <v>1418</v>
      </c>
      <c r="C153" s="88" t="s">
        <v>1411</v>
      </c>
      <c r="D153" s="88" t="s">
        <v>91</v>
      </c>
      <c r="E153" s="88" t="s">
        <v>90</v>
      </c>
      <c r="F153" s="90" t="s">
        <v>71</v>
      </c>
      <c r="G153" s="91"/>
      <c r="H153" s="92"/>
      <c r="I153" s="93" t="str">
        <f>IFERROR(IF(OR($F153="O",$G153="O",$H153="O"),CHOOSE(MATCH($A153,{"튜브","고압","진공","튜닝","조립","출하"},0),"T","H","V","N","A","P")&amp;IF($F153="O","R",IF($G153="O","A",IF($H153="O","F",""))),""),"")</f>
        <v/>
      </c>
      <c r="J153" s="94"/>
      <c r="K153" s="95"/>
      <c r="L153" s="96"/>
      <c r="M153" s="97" t="s">
        <v>71</v>
      </c>
      <c r="N153" s="98"/>
      <c r="O153" s="99"/>
      <c r="P153" s="100" t="str">
        <f t="shared" si="2"/>
        <v/>
      </c>
      <c r="Q153" s="114"/>
      <c r="R153" s="108" t="str">
        <f>HYPERLINK("#'마스터_품목'!A11","→ 마스터 R11")</f>
        <v>→ 마스터 R11</v>
      </c>
      <c r="S153" s="109">
        <v>11</v>
      </c>
      <c r="T153" s="109" t="s">
        <v>72</v>
      </c>
    </row>
    <row r="154" spans="1:20" ht="48" customHeight="1" x14ac:dyDescent="0.3">
      <c r="A154" s="87" t="s">
        <v>1347</v>
      </c>
      <c r="B154" s="87" t="s">
        <v>1410</v>
      </c>
      <c r="C154" s="88" t="s">
        <v>92</v>
      </c>
      <c r="D154" s="88" t="s">
        <v>78</v>
      </c>
      <c r="E154" s="88" t="s">
        <v>77</v>
      </c>
      <c r="F154" s="90" t="s">
        <v>71</v>
      </c>
      <c r="G154" s="91"/>
      <c r="H154" s="92"/>
      <c r="I154" s="93" t="str">
        <f>IFERROR(IF(OR($F154="O",$G154="O",$H154="O"),CHOOSE(MATCH($A154,{"튜브","고압","진공","튜닝","조립","출하"},0),"T","H","V","N","A","P")&amp;IF($F154="O","R",IF($G154="O","A",IF($H154="O","F",""))),""),"")</f>
        <v/>
      </c>
      <c r="J154" s="94"/>
      <c r="K154" s="95"/>
      <c r="L154" s="96"/>
      <c r="M154" s="97" t="s">
        <v>71</v>
      </c>
      <c r="N154" s="98"/>
      <c r="O154" s="99"/>
      <c r="P154" s="100" t="str">
        <f t="shared" si="2"/>
        <v/>
      </c>
      <c r="Q154" s="114"/>
      <c r="R154" s="108" t="str">
        <f>HYPERLINK("#'마스터_품목'!A5","→ 마스터 R5")</f>
        <v>→ 마스터 R5</v>
      </c>
      <c r="S154" s="109">
        <v>5</v>
      </c>
      <c r="T154" s="109" t="s">
        <v>72</v>
      </c>
    </row>
    <row r="155" spans="1:20" ht="48" customHeight="1" x14ac:dyDescent="0.3">
      <c r="A155" s="124" t="s">
        <v>67</v>
      </c>
      <c r="B155" s="87" t="s">
        <v>1415</v>
      </c>
      <c r="C155" s="88" t="s">
        <v>92</v>
      </c>
      <c r="D155" s="88" t="s">
        <v>1419</v>
      </c>
      <c r="E155" s="88"/>
      <c r="F155" s="90" t="s">
        <v>71</v>
      </c>
      <c r="G155" s="91"/>
      <c r="H155" s="92"/>
      <c r="I155" s="93" t="str">
        <f>IFERROR(IF(OR($F155="O",$G155="O",$H155="O"),CHOOSE(MATCH($A155,{"튜브","고압","진공","튜닝","조립","출하"},0),"T","H","V","N","A","P")&amp;IF($F155="O","R",IF($G155="O","A",IF($H155="O","F",""))),""),"")</f>
        <v>TR</v>
      </c>
      <c r="J155" s="94"/>
      <c r="K155" s="95"/>
      <c r="L155" s="96"/>
      <c r="M155" s="97"/>
      <c r="N155" s="98"/>
      <c r="O155" s="118" t="s">
        <v>71</v>
      </c>
      <c r="P155" s="100" t="str">
        <f t="shared" si="2"/>
        <v>?-TR</v>
      </c>
      <c r="Q155" s="114"/>
      <c r="R155" s="108" t="str">
        <f>HYPERLINK("#'마스터_품목'!A736","→ 마스터 R736")</f>
        <v>→ 마스터 R736</v>
      </c>
      <c r="S155" s="109">
        <v>736</v>
      </c>
      <c r="T155" s="109" t="s">
        <v>72</v>
      </c>
    </row>
    <row r="156" spans="1:20" ht="48" customHeight="1" x14ac:dyDescent="0.3">
      <c r="A156" s="87" t="s">
        <v>1347</v>
      </c>
      <c r="B156" s="87" t="s">
        <v>1417</v>
      </c>
      <c r="C156" s="88" t="s">
        <v>92</v>
      </c>
      <c r="D156" s="88" t="s">
        <v>94</v>
      </c>
      <c r="E156" s="88" t="s">
        <v>93</v>
      </c>
      <c r="F156" s="90" t="s">
        <v>71</v>
      </c>
      <c r="G156" s="91"/>
      <c r="H156" s="92"/>
      <c r="I156" s="93" t="str">
        <f>IFERROR(IF(OR($F156="O",$G156="O",$H156="O"),CHOOSE(MATCH($A156,{"튜브","고압","진공","튜닝","조립","출하"},0),"T","H","V","N","A","P")&amp;IF($F156="O","R",IF($G156="O","A",IF($H156="O","F",""))),""),"")</f>
        <v/>
      </c>
      <c r="J156" s="94"/>
      <c r="K156" s="95"/>
      <c r="L156" s="96"/>
      <c r="M156" s="97"/>
      <c r="N156" s="98"/>
      <c r="O156" s="99" t="s">
        <v>71</v>
      </c>
      <c r="P156" s="100" t="str">
        <f t="shared" si="2"/>
        <v/>
      </c>
      <c r="Q156" s="114"/>
      <c r="R156" s="108" t="str">
        <f>HYPERLINK("#'마스터_품목'!A12","→ 마스터 R12")</f>
        <v>→ 마스터 R12</v>
      </c>
      <c r="S156" s="109">
        <v>12</v>
      </c>
      <c r="T156" s="109" t="s">
        <v>72</v>
      </c>
    </row>
    <row r="157" spans="1:20" ht="48" customHeight="1" x14ac:dyDescent="0.3">
      <c r="A157" s="87" t="s">
        <v>1347</v>
      </c>
      <c r="B157" s="87" t="s">
        <v>1417</v>
      </c>
      <c r="C157" s="88" t="s">
        <v>92</v>
      </c>
      <c r="D157" s="88" t="s">
        <v>96</v>
      </c>
      <c r="E157" s="88" t="s">
        <v>95</v>
      </c>
      <c r="F157" s="90" t="s">
        <v>71</v>
      </c>
      <c r="G157" s="91"/>
      <c r="H157" s="92"/>
      <c r="I157" s="93" t="str">
        <f>IFERROR(IF(OR($F157="O",$G157="O",$H157="O"),CHOOSE(MATCH($A157,{"튜브","고압","진공","튜닝","조립","출하"},0),"T","H","V","N","A","P")&amp;IF($F157="O","R",IF($G157="O","A",IF($H157="O","F",""))),""),"")</f>
        <v/>
      </c>
      <c r="J157" s="94"/>
      <c r="K157" s="95"/>
      <c r="L157" s="96"/>
      <c r="M157" s="97"/>
      <c r="N157" s="98"/>
      <c r="O157" s="99" t="s">
        <v>71</v>
      </c>
      <c r="P157" s="100" t="str">
        <f t="shared" si="2"/>
        <v/>
      </c>
      <c r="Q157" s="114"/>
      <c r="R157" s="108" t="str">
        <f>HYPERLINK("#'마스터_품목'!A13","→ 마스터 R13")</f>
        <v>→ 마스터 R13</v>
      </c>
      <c r="S157" s="109">
        <v>13</v>
      </c>
      <c r="T157" s="109" t="s">
        <v>72</v>
      </c>
    </row>
    <row r="158" spans="1:20" ht="48" customHeight="1" x14ac:dyDescent="0.3">
      <c r="A158" s="87" t="s">
        <v>1347</v>
      </c>
      <c r="B158" s="87" t="s">
        <v>1417</v>
      </c>
      <c r="C158" s="88" t="s">
        <v>92</v>
      </c>
      <c r="D158" s="88" t="s">
        <v>98</v>
      </c>
      <c r="E158" s="88" t="s">
        <v>97</v>
      </c>
      <c r="F158" s="90" t="s">
        <v>71</v>
      </c>
      <c r="G158" s="91"/>
      <c r="H158" s="92"/>
      <c r="I158" s="93" t="str">
        <f>IFERROR(IF(OR($F158="O",$G158="O",$H158="O"),CHOOSE(MATCH($A158,{"튜브","고압","진공","튜닝","조립","출하"},0),"T","H","V","N","A","P")&amp;IF($F158="O","R",IF($G158="O","A",IF($H158="O","F",""))),""),"")</f>
        <v/>
      </c>
      <c r="J158" s="94"/>
      <c r="K158" s="95"/>
      <c r="L158" s="96"/>
      <c r="M158" s="97"/>
      <c r="N158" s="98"/>
      <c r="O158" s="99" t="s">
        <v>71</v>
      </c>
      <c r="P158" s="100" t="str">
        <f t="shared" si="2"/>
        <v/>
      </c>
      <c r="Q158" s="114"/>
      <c r="R158" s="108" t="str">
        <f>HYPERLINK("#'마스터_품목'!A14","→ 마스터 R14")</f>
        <v>→ 마스터 R14</v>
      </c>
      <c r="S158" s="109">
        <v>14</v>
      </c>
      <c r="T158" s="109" t="s">
        <v>72</v>
      </c>
    </row>
    <row r="159" spans="1:20" ht="48" customHeight="1" x14ac:dyDescent="0.3">
      <c r="A159" s="87" t="s">
        <v>1347</v>
      </c>
      <c r="B159" s="87" t="s">
        <v>1375</v>
      </c>
      <c r="C159" s="88" t="s">
        <v>92</v>
      </c>
      <c r="D159" s="88" t="s">
        <v>100</v>
      </c>
      <c r="E159" s="88" t="s">
        <v>99</v>
      </c>
      <c r="F159" s="90" t="s">
        <v>71</v>
      </c>
      <c r="G159" s="91"/>
      <c r="H159" s="92"/>
      <c r="I159" s="93" t="str">
        <f>IFERROR(IF(OR($F159="O",$G159="O",$H159="O"),CHOOSE(MATCH($A159,{"튜브","고압","진공","튜닝","조립","출하"},0),"T","H","V","N","A","P")&amp;IF($F159="O","R",IF($G159="O","A",IF($H159="O","F",""))),""),"")</f>
        <v/>
      </c>
      <c r="J159" s="94"/>
      <c r="K159" s="95"/>
      <c r="L159" s="96"/>
      <c r="M159" s="97"/>
      <c r="N159" s="98"/>
      <c r="O159" s="99" t="s">
        <v>71</v>
      </c>
      <c r="P159" s="100" t="str">
        <f t="shared" si="2"/>
        <v/>
      </c>
      <c r="Q159" s="114"/>
      <c r="R159" s="108" t="str">
        <f>HYPERLINK("#'마스터_품목'!A15","→ 마스터 R15")</f>
        <v>→ 마스터 R15</v>
      </c>
      <c r="S159" s="109">
        <v>15</v>
      </c>
      <c r="T159" s="109" t="s">
        <v>72</v>
      </c>
    </row>
    <row r="160" spans="1:20" ht="48" customHeight="1" x14ac:dyDescent="0.3">
      <c r="A160" s="87" t="s">
        <v>1347</v>
      </c>
      <c r="B160" s="87" t="s">
        <v>1375</v>
      </c>
      <c r="C160" s="88" t="s">
        <v>92</v>
      </c>
      <c r="D160" s="88" t="s">
        <v>102</v>
      </c>
      <c r="E160" s="88" t="s">
        <v>101</v>
      </c>
      <c r="F160" s="90" t="s">
        <v>71</v>
      </c>
      <c r="G160" s="91"/>
      <c r="H160" s="92"/>
      <c r="I160" s="93" t="str">
        <f>IFERROR(IF(OR($F160="O",$G160="O",$H160="O"),CHOOSE(MATCH($A160,{"튜브","고압","진공","튜닝","조립","출하"},0),"T","H","V","N","A","P")&amp;IF($F160="O","R",IF($G160="O","A",IF($H160="O","F",""))),""),"")</f>
        <v/>
      </c>
      <c r="J160" s="94"/>
      <c r="K160" s="95"/>
      <c r="L160" s="96"/>
      <c r="M160" s="97"/>
      <c r="N160" s="98"/>
      <c r="O160" s="99" t="s">
        <v>71</v>
      </c>
      <c r="P160" s="100" t="str">
        <f t="shared" si="2"/>
        <v/>
      </c>
      <c r="Q160" s="114"/>
      <c r="R160" s="108" t="str">
        <f>HYPERLINK("#'마스터_품목'!A16","→ 마스터 R16")</f>
        <v>→ 마스터 R16</v>
      </c>
      <c r="S160" s="109">
        <v>16</v>
      </c>
      <c r="T160" s="109" t="s">
        <v>72</v>
      </c>
    </row>
    <row r="161" spans="1:20" ht="48" customHeight="1" x14ac:dyDescent="0.3">
      <c r="A161" s="87" t="s">
        <v>1347</v>
      </c>
      <c r="B161" s="87" t="s">
        <v>1418</v>
      </c>
      <c r="C161" s="88" t="s">
        <v>92</v>
      </c>
      <c r="D161" s="88" t="s">
        <v>104</v>
      </c>
      <c r="E161" s="88" t="s">
        <v>103</v>
      </c>
      <c r="F161" s="90" t="s">
        <v>71</v>
      </c>
      <c r="G161" s="91"/>
      <c r="H161" s="92"/>
      <c r="I161" s="93" t="str">
        <f>IFERROR(IF(OR($F161="O",$G161="O",$H161="O"),CHOOSE(MATCH($A161,{"튜브","고압","진공","튜닝","조립","출하"},0),"T","H","V","N","A","P")&amp;IF($F161="O","R",IF($G161="O","A",IF($H161="O","F",""))),""),"")</f>
        <v/>
      </c>
      <c r="J161" s="94"/>
      <c r="K161" s="95"/>
      <c r="L161" s="96"/>
      <c r="M161" s="97"/>
      <c r="N161" s="98"/>
      <c r="O161" s="99" t="s">
        <v>71</v>
      </c>
      <c r="P161" s="100" t="str">
        <f t="shared" si="2"/>
        <v/>
      </c>
      <c r="Q161" s="114"/>
      <c r="R161" s="108" t="str">
        <f>HYPERLINK("#'마스터_품목'!A17","→ 마스터 R17")</f>
        <v>→ 마스터 R17</v>
      </c>
      <c r="S161" s="109">
        <v>17</v>
      </c>
      <c r="T161" s="109" t="s">
        <v>72</v>
      </c>
    </row>
    <row r="162" spans="1:20" ht="48" customHeight="1" x14ac:dyDescent="0.3">
      <c r="A162" s="87" t="s">
        <v>1347</v>
      </c>
      <c r="B162" s="87" t="s">
        <v>1418</v>
      </c>
      <c r="C162" s="88" t="s">
        <v>92</v>
      </c>
      <c r="D162" s="88" t="s">
        <v>106</v>
      </c>
      <c r="E162" s="88" t="s">
        <v>105</v>
      </c>
      <c r="F162" s="90" t="s">
        <v>71</v>
      </c>
      <c r="G162" s="91"/>
      <c r="H162" s="92"/>
      <c r="I162" s="93" t="str">
        <f>IFERROR(IF(OR($F162="O",$G162="O",$H162="O"),CHOOSE(MATCH($A162,{"튜브","고압","진공","튜닝","조립","출하"},0),"T","H","V","N","A","P")&amp;IF($F162="O","R",IF($G162="O","A",IF($H162="O","F",""))),""),"")</f>
        <v/>
      </c>
      <c r="J162" s="94"/>
      <c r="K162" s="95"/>
      <c r="L162" s="96"/>
      <c r="M162" s="97"/>
      <c r="N162" s="98"/>
      <c r="O162" s="99" t="s">
        <v>71</v>
      </c>
      <c r="P162" s="100" t="str">
        <f t="shared" si="2"/>
        <v/>
      </c>
      <c r="Q162" s="114"/>
      <c r="R162" s="108" t="str">
        <f>HYPERLINK("#'마스터_품목'!A18","→ 마스터 R18")</f>
        <v>→ 마스터 R18</v>
      </c>
      <c r="S162" s="109">
        <v>18</v>
      </c>
      <c r="T162" s="109" t="s">
        <v>72</v>
      </c>
    </row>
    <row r="163" spans="1:20" ht="48" customHeight="1" x14ac:dyDescent="0.3">
      <c r="A163" s="87" t="s">
        <v>1347</v>
      </c>
      <c r="B163" s="87" t="s">
        <v>1360</v>
      </c>
      <c r="C163" s="88" t="s">
        <v>153</v>
      </c>
      <c r="D163" s="88" t="s">
        <v>116</v>
      </c>
      <c r="E163" s="88" t="s">
        <v>115</v>
      </c>
      <c r="F163" s="90" t="s">
        <v>71</v>
      </c>
      <c r="G163" s="91"/>
      <c r="H163" s="92"/>
      <c r="I163" s="93" t="str">
        <f>IFERROR(IF(OR($F163="O",$G163="O",$H163="O"),CHOOSE(MATCH($A163,{"튜브","고압","진공","튜닝","조립","출하"},0),"T","H","V","N","A","P")&amp;IF($F163="O","R",IF($G163="O","A",IF($H163="O","F",""))),""),"")</f>
        <v/>
      </c>
      <c r="J163" s="94"/>
      <c r="K163" s="95"/>
      <c r="L163" s="96"/>
      <c r="M163" s="97" t="s">
        <v>71</v>
      </c>
      <c r="N163" s="98" t="s">
        <v>71</v>
      </c>
      <c r="O163" s="99"/>
      <c r="P163" s="100" t="str">
        <f t="shared" si="2"/>
        <v/>
      </c>
      <c r="Q163" s="102" t="s">
        <v>1362</v>
      </c>
      <c r="R163" s="108" t="str">
        <f>HYPERLINK("#'마스터_품목'!A22","→ 마스터 R22")</f>
        <v>→ 마스터 R22</v>
      </c>
      <c r="S163" s="109">
        <v>22</v>
      </c>
      <c r="T163" s="109" t="s">
        <v>72</v>
      </c>
    </row>
    <row r="164" spans="1:20" ht="48" customHeight="1" x14ac:dyDescent="0.3">
      <c r="A164" s="87" t="s">
        <v>1347</v>
      </c>
      <c r="B164" s="87" t="s">
        <v>1360</v>
      </c>
      <c r="C164" s="88" t="s">
        <v>117</v>
      </c>
      <c r="D164" s="88" t="s">
        <v>126</v>
      </c>
      <c r="E164" s="88" t="s">
        <v>125</v>
      </c>
      <c r="F164" s="90" t="s">
        <v>71</v>
      </c>
      <c r="G164" s="91"/>
      <c r="H164" s="92"/>
      <c r="I164" s="93" t="str">
        <f>IFERROR(IF(OR($F164="O",$G164="O",$H164="O"),CHOOSE(MATCH($A164,{"튜브","고압","진공","튜닝","조립","출하"},0),"T","H","V","N","A","P")&amp;IF($F164="O","R",IF($G164="O","A",IF($H164="O","F",""))),""),"")</f>
        <v/>
      </c>
      <c r="J164" s="94"/>
      <c r="K164" s="95"/>
      <c r="L164" s="96" t="s">
        <v>71</v>
      </c>
      <c r="M164" s="97"/>
      <c r="N164" s="98"/>
      <c r="O164" s="99"/>
      <c r="P164" s="100" t="str">
        <f t="shared" si="2"/>
        <v/>
      </c>
      <c r="Q164" s="102" t="s">
        <v>1420</v>
      </c>
      <c r="R164" s="108" t="str">
        <f>HYPERLINK("#'마스터_품목'!A26","→ 마스터 R26")</f>
        <v>→ 마스터 R26</v>
      </c>
      <c r="S164" s="109">
        <v>26</v>
      </c>
      <c r="T164" s="109" t="s">
        <v>72</v>
      </c>
    </row>
    <row r="165" spans="1:20" ht="48" customHeight="1" x14ac:dyDescent="0.3">
      <c r="A165" s="87" t="s">
        <v>1347</v>
      </c>
      <c r="B165" s="87" t="s">
        <v>1360</v>
      </c>
      <c r="C165" s="88" t="s">
        <v>1421</v>
      </c>
      <c r="D165" s="88" t="s">
        <v>124</v>
      </c>
      <c r="E165" s="88" t="s">
        <v>123</v>
      </c>
      <c r="F165" s="90" t="s">
        <v>71</v>
      </c>
      <c r="G165" s="91"/>
      <c r="H165" s="92"/>
      <c r="I165" s="93" t="str">
        <f>IFERROR(IF(OR($F165="O",$G165="O",$H165="O"),CHOOSE(MATCH($A165,{"튜브","고압","진공","튜닝","조립","출하"},0),"T","H","V","N","A","P")&amp;IF($F165="O","R",IF($G165="O","A",IF($H165="O","F",""))),""),"")</f>
        <v/>
      </c>
      <c r="J165" s="94"/>
      <c r="K165" s="95"/>
      <c r="L165" s="96" t="s">
        <v>71</v>
      </c>
      <c r="M165" s="97"/>
      <c r="N165" s="98"/>
      <c r="O165" s="99"/>
      <c r="P165" s="100" t="str">
        <f t="shared" si="2"/>
        <v/>
      </c>
      <c r="Q165" s="114"/>
      <c r="R165" s="108" t="str">
        <f>HYPERLINK("#'마스터_품목'!A25","→ 마스터 R25")</f>
        <v>→ 마스터 R25</v>
      </c>
      <c r="S165" s="109">
        <v>25</v>
      </c>
      <c r="T165" s="109" t="s">
        <v>72</v>
      </c>
    </row>
    <row r="166" spans="1:20" ht="48" customHeight="1" x14ac:dyDescent="0.3">
      <c r="A166" s="87" t="s">
        <v>1347</v>
      </c>
      <c r="B166" s="87" t="s">
        <v>1422</v>
      </c>
      <c r="C166" s="88" t="s">
        <v>153</v>
      </c>
      <c r="D166" s="88" t="s">
        <v>265</v>
      </c>
      <c r="E166" s="88" t="s">
        <v>264</v>
      </c>
      <c r="F166" s="90" t="s">
        <v>71</v>
      </c>
      <c r="G166" s="91"/>
      <c r="H166" s="92"/>
      <c r="I166" s="93" t="str">
        <f>IFERROR(IF(OR($F166="O",$G166="O",$H166="O"),CHOOSE(MATCH($A166,{"튜브","고압","진공","튜닝","조립","출하"},0),"T","H","V","N","A","P")&amp;IF($F166="O","R",IF($G166="O","A",IF($H166="O","F",""))),""),"")</f>
        <v/>
      </c>
      <c r="J166" s="94"/>
      <c r="K166" s="95"/>
      <c r="L166" s="96"/>
      <c r="M166" s="97" t="s">
        <v>71</v>
      </c>
      <c r="N166" s="98" t="s">
        <v>71</v>
      </c>
      <c r="O166" s="99"/>
      <c r="P166" s="100" t="str">
        <f t="shared" si="2"/>
        <v/>
      </c>
      <c r="Q166" s="102" t="s">
        <v>1367</v>
      </c>
      <c r="R166" s="108" t="str">
        <f>HYPERLINK("#'마스터_품목'!A87","→ 마스터 R87")</f>
        <v>→ 마스터 R87</v>
      </c>
      <c r="S166" s="109">
        <v>87</v>
      </c>
      <c r="T166" s="109" t="s">
        <v>72</v>
      </c>
    </row>
    <row r="167" spans="1:20" ht="48" customHeight="1" x14ac:dyDescent="0.3">
      <c r="A167" s="87" t="s">
        <v>1347</v>
      </c>
      <c r="B167" s="87" t="s">
        <v>1422</v>
      </c>
      <c r="C167" s="88" t="s">
        <v>182</v>
      </c>
      <c r="D167" s="88" t="s">
        <v>269</v>
      </c>
      <c r="E167" s="88" t="s">
        <v>268</v>
      </c>
      <c r="F167" s="90" t="s">
        <v>71</v>
      </c>
      <c r="G167" s="91"/>
      <c r="H167" s="92"/>
      <c r="I167" s="93" t="str">
        <f>IFERROR(IF(OR($F167="O",$G167="O",$H167="O"),CHOOSE(MATCH($A167,{"튜브","고압","진공","튜닝","조립","출하"},0),"T","H","V","N","A","P")&amp;IF($F167="O","R",IF($G167="O","A",IF($H167="O","F",""))),""),"")</f>
        <v/>
      </c>
      <c r="J167" s="94"/>
      <c r="K167" s="95"/>
      <c r="L167" s="96"/>
      <c r="M167" s="97"/>
      <c r="N167" s="98" t="s">
        <v>71</v>
      </c>
      <c r="O167" s="99"/>
      <c r="P167" s="100" t="str">
        <f t="shared" si="2"/>
        <v/>
      </c>
      <c r="Q167" s="102" t="s">
        <v>1367</v>
      </c>
      <c r="R167" s="108" t="str">
        <f>HYPERLINK("#'마스터_품목'!A89","→ 마스터 R89")</f>
        <v>→ 마스터 R89</v>
      </c>
      <c r="S167" s="109">
        <v>89</v>
      </c>
      <c r="T167" s="109" t="s">
        <v>72</v>
      </c>
    </row>
    <row r="168" spans="1:20" ht="48" customHeight="1" x14ac:dyDescent="0.3">
      <c r="A168" s="87" t="s">
        <v>1347</v>
      </c>
      <c r="B168" s="87" t="s">
        <v>1372</v>
      </c>
      <c r="C168" s="88" t="s">
        <v>153</v>
      </c>
      <c r="D168" s="88" t="s">
        <v>163</v>
      </c>
      <c r="E168" s="88" t="s">
        <v>162</v>
      </c>
      <c r="F168" s="90" t="s">
        <v>71</v>
      </c>
      <c r="G168" s="91"/>
      <c r="H168" s="92"/>
      <c r="I168" s="93" t="str">
        <f>IFERROR(IF(OR($F168="O",$G168="O",$H168="O"),CHOOSE(MATCH($A168,{"튜브","고압","진공","튜닝","조립","출하"},0),"T","H","V","N","A","P")&amp;IF($F168="O","R",IF($G168="O","A",IF($H168="O","F",""))),""),"")</f>
        <v/>
      </c>
      <c r="J168" s="94"/>
      <c r="K168" s="95"/>
      <c r="L168" s="96"/>
      <c r="M168" s="97" t="s">
        <v>71</v>
      </c>
      <c r="N168" s="98"/>
      <c r="O168" s="99"/>
      <c r="P168" s="100" t="str">
        <f t="shared" si="2"/>
        <v/>
      </c>
      <c r="Q168" s="102" t="s">
        <v>1373</v>
      </c>
      <c r="R168" s="108" t="str">
        <f>HYPERLINK("#'마스터_품목'!A42","→ 마스터 R42")</f>
        <v>→ 마스터 R42</v>
      </c>
      <c r="S168" s="109">
        <v>42</v>
      </c>
      <c r="T168" s="109" t="s">
        <v>72</v>
      </c>
    </row>
    <row r="169" spans="1:20" ht="48" customHeight="1" x14ac:dyDescent="0.3">
      <c r="A169" s="87" t="s">
        <v>1347</v>
      </c>
      <c r="B169" s="87" t="s">
        <v>1374</v>
      </c>
      <c r="C169" s="88" t="s">
        <v>117</v>
      </c>
      <c r="D169" s="88" t="s">
        <v>141</v>
      </c>
      <c r="E169" s="88" t="s">
        <v>140</v>
      </c>
      <c r="F169" s="90" t="s">
        <v>71</v>
      </c>
      <c r="G169" s="91"/>
      <c r="H169" s="92"/>
      <c r="I169" s="93" t="str">
        <f>IFERROR(IF(OR($F169="O",$G169="O",$H169="O"),CHOOSE(MATCH($A169,{"튜브","고압","진공","튜닝","조립","출하"},0),"T","H","V","N","A","P")&amp;IF($F169="O","R",IF($G169="O","A",IF($H169="O","F",""))),""),"")</f>
        <v/>
      </c>
      <c r="J169" s="94"/>
      <c r="K169" s="95"/>
      <c r="L169" s="96" t="s">
        <v>71</v>
      </c>
      <c r="M169" s="97"/>
      <c r="N169" s="98"/>
      <c r="O169" s="99"/>
      <c r="P169" s="100" t="str">
        <f t="shared" si="2"/>
        <v/>
      </c>
      <c r="Q169" s="102" t="s">
        <v>1353</v>
      </c>
      <c r="R169" s="108" t="str">
        <f>HYPERLINK("#'마스터_품목'!A32","→ 마스터 R32")</f>
        <v>→ 마스터 R32</v>
      </c>
      <c r="S169" s="109">
        <v>32</v>
      </c>
      <c r="T169" s="109" t="s">
        <v>72</v>
      </c>
    </row>
    <row r="170" spans="1:20" ht="48" customHeight="1" x14ac:dyDescent="0.3">
      <c r="A170" s="87" t="s">
        <v>1347</v>
      </c>
      <c r="B170" s="87" t="s">
        <v>1374</v>
      </c>
      <c r="C170" s="88" t="s">
        <v>153</v>
      </c>
      <c r="D170" s="88" t="s">
        <v>155</v>
      </c>
      <c r="E170" s="88" t="s">
        <v>154</v>
      </c>
      <c r="F170" s="90" t="s">
        <v>71</v>
      </c>
      <c r="G170" s="91"/>
      <c r="H170" s="92"/>
      <c r="I170" s="93" t="str">
        <f>IFERROR(IF(OR($F170="O",$G170="O",$H170="O"),CHOOSE(MATCH($A170,{"튜브","고압","진공","튜닝","조립","출하"},0),"T","H","V","N","A","P")&amp;IF($F170="O","R",IF($G170="O","A",IF($H170="O","F",""))),""),"")</f>
        <v/>
      </c>
      <c r="J170" s="94"/>
      <c r="K170" s="95"/>
      <c r="L170" s="96"/>
      <c r="M170" s="97" t="s">
        <v>71</v>
      </c>
      <c r="N170" s="98"/>
      <c r="O170" s="99"/>
      <c r="P170" s="100" t="str">
        <f t="shared" si="2"/>
        <v/>
      </c>
      <c r="Q170" s="102" t="s">
        <v>1373</v>
      </c>
      <c r="R170" s="108" t="str">
        <f>HYPERLINK("#'마스터_품목'!A38","→ 마스터 R38")</f>
        <v>→ 마스터 R38</v>
      </c>
      <c r="S170" s="109">
        <v>38</v>
      </c>
      <c r="T170" s="109" t="s">
        <v>72</v>
      </c>
    </row>
    <row r="171" spans="1:20" ht="48" customHeight="1" x14ac:dyDescent="0.3">
      <c r="A171" s="87" t="s">
        <v>1347</v>
      </c>
      <c r="B171" s="87" t="s">
        <v>1375</v>
      </c>
      <c r="C171" s="88" t="s">
        <v>1423</v>
      </c>
      <c r="D171" s="88" t="s">
        <v>158</v>
      </c>
      <c r="E171" s="88" t="s">
        <v>1424</v>
      </c>
      <c r="F171" s="90" t="s">
        <v>71</v>
      </c>
      <c r="G171" s="91"/>
      <c r="H171" s="92"/>
      <c r="I171" s="93" t="str">
        <f>IFERROR(IF(OR($F171="O",$G171="O",$H171="O"),CHOOSE(MATCH($A171,{"튜브","고압","진공","튜닝","조립","출하"},0),"T","H","V","N","A","P")&amp;IF($F171="O","R",IF($G171="O","A",IF($H171="O","F",""))),""),"")</f>
        <v/>
      </c>
      <c r="J171" s="94"/>
      <c r="K171" s="95"/>
      <c r="L171" s="96" t="s">
        <v>71</v>
      </c>
      <c r="M171" s="97" t="s">
        <v>71</v>
      </c>
      <c r="N171" s="98"/>
      <c r="O171" s="99"/>
      <c r="P171" s="100" t="str">
        <f t="shared" si="2"/>
        <v/>
      </c>
      <c r="Q171" s="102" t="s">
        <v>1376</v>
      </c>
      <c r="R171" s="108" t="str">
        <f>HYPERLINK("#'마스터_품목'!A39","→ 마스터 R39")</f>
        <v>→ 마스터 R39</v>
      </c>
      <c r="S171" s="109">
        <v>39</v>
      </c>
      <c r="T171" s="109" t="s">
        <v>72</v>
      </c>
    </row>
    <row r="172" spans="1:20" ht="48" customHeight="1" x14ac:dyDescent="0.3">
      <c r="A172" s="124" t="s">
        <v>110</v>
      </c>
      <c r="B172" s="87" t="s">
        <v>1375</v>
      </c>
      <c r="C172" s="88" t="s">
        <v>1423</v>
      </c>
      <c r="D172" s="88" t="s">
        <v>1425</v>
      </c>
      <c r="E172" s="88"/>
      <c r="F172" s="90" t="s">
        <v>71</v>
      </c>
      <c r="G172" s="91"/>
      <c r="H172" s="92"/>
      <c r="I172" s="93" t="str">
        <f>IFERROR(IF(OR($F172="O",$G172="O",$H172="O"),CHOOSE(MATCH($A172,{"튜브","고압","진공","튜닝","조립","출하"},0),"T","H","V","N","A","P")&amp;IF($F172="O","R",IF($G172="O","A",IF($H172="O","F",""))),""),"")</f>
        <v>HR</v>
      </c>
      <c r="J172" s="94"/>
      <c r="K172" s="95"/>
      <c r="L172" s="119" t="s">
        <v>71</v>
      </c>
      <c r="M172" s="120" t="s">
        <v>71</v>
      </c>
      <c r="N172" s="98"/>
      <c r="O172" s="99"/>
      <c r="P172" s="100" t="str">
        <f t="shared" si="2"/>
        <v>67-HR</v>
      </c>
      <c r="Q172" s="102" t="s">
        <v>1353</v>
      </c>
      <c r="R172" s="108" t="str">
        <f>HYPERLINK("#'마스터_품목'!A737","→ 마스터 R737")</f>
        <v>→ 마스터 R737</v>
      </c>
      <c r="S172" s="109">
        <v>737</v>
      </c>
      <c r="T172" s="109" t="s">
        <v>72</v>
      </c>
    </row>
    <row r="173" spans="1:20" ht="48" customHeight="1" x14ac:dyDescent="0.3">
      <c r="A173" s="87" t="s">
        <v>1347</v>
      </c>
      <c r="B173" s="87" t="s">
        <v>1096</v>
      </c>
      <c r="C173" s="88" t="s">
        <v>153</v>
      </c>
      <c r="D173" s="88" t="s">
        <v>160</v>
      </c>
      <c r="E173" s="88" t="s">
        <v>159</v>
      </c>
      <c r="F173" s="90" t="s">
        <v>71</v>
      </c>
      <c r="G173" s="91"/>
      <c r="H173" s="92"/>
      <c r="I173" s="93" t="str">
        <f>IFERROR(IF(OR($F173="O",$G173="O",$H173="O"),CHOOSE(MATCH($A173,{"튜브","고압","진공","튜닝","조립","출하"},0),"T","H","V","N","A","P")&amp;IF($F173="O","R",IF($G173="O","A",IF($H173="O","F",""))),""),"")</f>
        <v/>
      </c>
      <c r="J173" s="94"/>
      <c r="K173" s="95"/>
      <c r="L173" s="96"/>
      <c r="M173" s="97" t="s">
        <v>71</v>
      </c>
      <c r="N173" s="98"/>
      <c r="O173" s="99"/>
      <c r="P173" s="100" t="str">
        <f t="shared" si="2"/>
        <v/>
      </c>
      <c r="Q173" s="102" t="s">
        <v>1353</v>
      </c>
      <c r="R173" s="108" t="str">
        <f>HYPERLINK("#'마스터_품목'!A40","→ 마스터 R40")</f>
        <v>→ 마스터 R40</v>
      </c>
      <c r="S173" s="109">
        <v>40</v>
      </c>
      <c r="T173" s="109" t="s">
        <v>72</v>
      </c>
    </row>
    <row r="174" spans="1:20" ht="48" customHeight="1" x14ac:dyDescent="0.3">
      <c r="A174" s="87" t="s">
        <v>1347</v>
      </c>
      <c r="B174" s="87" t="s">
        <v>1377</v>
      </c>
      <c r="C174" s="88" t="s">
        <v>153</v>
      </c>
      <c r="D174" s="88" t="s">
        <v>190</v>
      </c>
      <c r="E174" s="88" t="s">
        <v>188</v>
      </c>
      <c r="F174" s="90" t="s">
        <v>71</v>
      </c>
      <c r="G174" s="91"/>
      <c r="H174" s="92"/>
      <c r="I174" s="93" t="str">
        <f>IFERROR(IF(OR($F174="O",$G174="O",$H174="O"),CHOOSE(MATCH($A174,{"튜브","고압","진공","튜닝","조립","출하"},0),"T","H","V","N","A","P")&amp;IF($F174="O","R",IF($G174="O","A",IF($H174="O","F",""))),""),"")</f>
        <v/>
      </c>
      <c r="J174" s="94"/>
      <c r="K174" s="95"/>
      <c r="L174" s="96"/>
      <c r="M174" s="97" t="s">
        <v>71</v>
      </c>
      <c r="N174" s="98"/>
      <c r="O174" s="99"/>
      <c r="P174" s="100" t="str">
        <f t="shared" si="2"/>
        <v/>
      </c>
      <c r="Q174" s="102" t="s">
        <v>1378</v>
      </c>
      <c r="R174" s="108" t="str">
        <f>HYPERLINK("#'마스터_품목'!A53","→ 마스터 R53")</f>
        <v>→ 마스터 R53</v>
      </c>
      <c r="S174" s="109">
        <v>53</v>
      </c>
      <c r="T174" s="109" t="s">
        <v>72</v>
      </c>
    </row>
    <row r="175" spans="1:20" ht="48" customHeight="1" x14ac:dyDescent="0.3">
      <c r="A175" s="87" t="s">
        <v>1347</v>
      </c>
      <c r="B175" s="87" t="s">
        <v>1377</v>
      </c>
      <c r="C175" s="88" t="s">
        <v>117</v>
      </c>
      <c r="D175" s="88" t="s">
        <v>191</v>
      </c>
      <c r="E175" s="88" t="s">
        <v>188</v>
      </c>
      <c r="F175" s="90" t="s">
        <v>71</v>
      </c>
      <c r="G175" s="91"/>
      <c r="H175" s="92"/>
      <c r="I175" s="93" t="str">
        <f>IFERROR(IF(OR($F175="O",$G175="O",$H175="O"),CHOOSE(MATCH($A175,{"튜브","고압","진공","튜닝","조립","출하"},0),"T","H","V","N","A","P")&amp;IF($F175="O","R",IF($G175="O","A",IF($H175="O","F",""))),""),"")</f>
        <v/>
      </c>
      <c r="J175" s="94"/>
      <c r="K175" s="95"/>
      <c r="L175" s="96" t="s">
        <v>71</v>
      </c>
      <c r="M175" s="97"/>
      <c r="N175" s="98"/>
      <c r="O175" s="99"/>
      <c r="P175" s="100" t="str">
        <f t="shared" si="2"/>
        <v/>
      </c>
      <c r="Q175" s="102" t="s">
        <v>1378</v>
      </c>
      <c r="R175" s="108" t="str">
        <f>HYPERLINK("#'마스터_품목'!A55","→ 마스터 R55")</f>
        <v>→ 마스터 R55</v>
      </c>
      <c r="S175" s="109">
        <v>55</v>
      </c>
      <c r="T175" s="109" t="s">
        <v>72</v>
      </c>
    </row>
    <row r="176" spans="1:20" ht="48" customHeight="1" x14ac:dyDescent="0.3">
      <c r="A176" s="87" t="s">
        <v>1347</v>
      </c>
      <c r="B176" s="87" t="s">
        <v>1379</v>
      </c>
      <c r="C176" s="88" t="s">
        <v>182</v>
      </c>
      <c r="D176" s="88" t="s">
        <v>183</v>
      </c>
      <c r="E176" s="88" t="s">
        <v>180</v>
      </c>
      <c r="F176" s="90" t="s">
        <v>71</v>
      </c>
      <c r="G176" s="91"/>
      <c r="H176" s="92"/>
      <c r="I176" s="93" t="str">
        <f>IFERROR(IF(OR($F176="O",$G176="O",$H176="O"),CHOOSE(MATCH($A176,{"튜브","고압","진공","튜닝","조립","출하"},0),"T","H","V","N","A","P")&amp;IF($F176="O","R",IF($G176="O","A",IF($H176="O","F",""))),""),"")</f>
        <v/>
      </c>
      <c r="J176" s="94"/>
      <c r="K176" s="95"/>
      <c r="L176" s="96"/>
      <c r="M176" s="97"/>
      <c r="N176" s="98" t="s">
        <v>71</v>
      </c>
      <c r="O176" s="99"/>
      <c r="P176" s="100" t="str">
        <f t="shared" si="2"/>
        <v/>
      </c>
      <c r="Q176" s="102" t="s">
        <v>1426</v>
      </c>
      <c r="R176" s="108" t="str">
        <f>HYPERLINK("#'마스터_품목'!A47","→ 마스터 R47")</f>
        <v>→ 마스터 R47</v>
      </c>
      <c r="S176" s="109">
        <v>47</v>
      </c>
      <c r="T176" s="109" t="s">
        <v>72</v>
      </c>
    </row>
    <row r="177" spans="1:20" ht="48" customHeight="1" x14ac:dyDescent="0.3">
      <c r="A177" s="87" t="s">
        <v>1347</v>
      </c>
      <c r="B177" s="87" t="s">
        <v>1379</v>
      </c>
      <c r="C177" s="88" t="s">
        <v>117</v>
      </c>
      <c r="D177" s="88" t="s">
        <v>179</v>
      </c>
      <c r="E177" s="88" t="s">
        <v>178</v>
      </c>
      <c r="F177" s="90" t="s">
        <v>71</v>
      </c>
      <c r="G177" s="91"/>
      <c r="H177" s="92"/>
      <c r="I177" s="93" t="str">
        <f>IFERROR(IF(OR($F177="O",$G177="O",$H177="O"),CHOOSE(MATCH($A177,{"튜브","고압","진공","튜닝","조립","출하"},0),"T","H","V","N","A","P")&amp;IF($F177="O","R",IF($G177="O","A",IF($H177="O","F",""))),""),"")</f>
        <v/>
      </c>
      <c r="J177" s="94"/>
      <c r="K177" s="95"/>
      <c r="L177" s="96" t="s">
        <v>71</v>
      </c>
      <c r="M177" s="97"/>
      <c r="N177" s="98"/>
      <c r="O177" s="99"/>
      <c r="P177" s="100" t="str">
        <f t="shared" si="2"/>
        <v/>
      </c>
      <c r="Q177" s="102" t="s">
        <v>1427</v>
      </c>
      <c r="R177" s="108" t="str">
        <f>HYPERLINK("#'마스터_품목'!A45","→ 마스터 R45")</f>
        <v>→ 마스터 R45</v>
      </c>
      <c r="S177" s="109">
        <v>45</v>
      </c>
      <c r="T177" s="109" t="s">
        <v>72</v>
      </c>
    </row>
    <row r="178" spans="1:20" ht="48" customHeight="1" x14ac:dyDescent="0.3">
      <c r="A178" s="124" t="s">
        <v>110</v>
      </c>
      <c r="B178" s="87" t="s">
        <v>1359</v>
      </c>
      <c r="C178" s="88" t="s">
        <v>182</v>
      </c>
      <c r="D178" s="88" t="s">
        <v>1428</v>
      </c>
      <c r="E178" s="88"/>
      <c r="F178" s="90" t="s">
        <v>71</v>
      </c>
      <c r="G178" s="91"/>
      <c r="H178" s="92"/>
      <c r="I178" s="93" t="str">
        <f>IFERROR(IF(OR($F178="O",$G178="O",$H178="O"),CHOOSE(MATCH($A178,{"튜브","고압","진공","튜닝","조립","출하"},0),"T","H","V","N","A","P")&amp;IF($F178="O","R",IF($G178="O","A",IF($H178="O","F",""))),""),"")</f>
        <v>HR</v>
      </c>
      <c r="J178" s="94"/>
      <c r="K178" s="95"/>
      <c r="L178" s="96"/>
      <c r="M178" s="97"/>
      <c r="N178" s="121" t="s">
        <v>71</v>
      </c>
      <c r="O178" s="99"/>
      <c r="P178" s="100" t="str">
        <f t="shared" si="2"/>
        <v>8-HR</v>
      </c>
      <c r="Q178" s="102" t="s">
        <v>1429</v>
      </c>
      <c r="R178" s="108" t="str">
        <f>HYPERLINK("#'마스터_품목'!A738","→ 마스터 R738")</f>
        <v>→ 마스터 R738</v>
      </c>
      <c r="S178" s="109">
        <v>738</v>
      </c>
      <c r="T178" s="109" t="s">
        <v>72</v>
      </c>
    </row>
    <row r="179" spans="1:20" ht="48" customHeight="1" x14ac:dyDescent="0.3">
      <c r="A179" s="87" t="s">
        <v>1347</v>
      </c>
      <c r="B179" s="87" t="s">
        <v>1348</v>
      </c>
      <c r="C179" s="88" t="s">
        <v>153</v>
      </c>
      <c r="D179" s="88" t="s">
        <v>211</v>
      </c>
      <c r="E179" s="88" t="s">
        <v>210</v>
      </c>
      <c r="F179" s="90" t="s">
        <v>71</v>
      </c>
      <c r="G179" s="91"/>
      <c r="H179" s="92"/>
      <c r="I179" s="93" t="str">
        <f>IFERROR(IF(OR($F179="O",$G179="O",$H179="O"),CHOOSE(MATCH($A179,{"튜브","고압","진공","튜닝","조립","출하"},0),"T","H","V","N","A","P")&amp;IF($F179="O","R",IF($G179="O","A",IF($H179="O","F",""))),""),"")</f>
        <v/>
      </c>
      <c r="J179" s="94"/>
      <c r="K179" s="95"/>
      <c r="L179" s="96"/>
      <c r="M179" s="97" t="s">
        <v>71</v>
      </c>
      <c r="N179" s="98"/>
      <c r="O179" s="99"/>
      <c r="P179" s="100" t="str">
        <f t="shared" si="2"/>
        <v/>
      </c>
      <c r="Q179" s="102" t="s">
        <v>1349</v>
      </c>
      <c r="R179" s="108" t="str">
        <f>HYPERLINK("#'마스터_품목'!A64","→ 마스터 R64")</f>
        <v>→ 마스터 R64</v>
      </c>
      <c r="S179" s="109">
        <v>64</v>
      </c>
      <c r="T179" s="109" t="s">
        <v>72</v>
      </c>
    </row>
    <row r="180" spans="1:20" ht="48" customHeight="1" x14ac:dyDescent="0.3">
      <c r="A180" s="87" t="s">
        <v>1347</v>
      </c>
      <c r="B180" s="87" t="s">
        <v>1348</v>
      </c>
      <c r="C180" s="88" t="s">
        <v>153</v>
      </c>
      <c r="D180" s="88" t="s">
        <v>215</v>
      </c>
      <c r="E180" s="88" t="s">
        <v>214</v>
      </c>
      <c r="F180" s="90" t="s">
        <v>71</v>
      </c>
      <c r="G180" s="91"/>
      <c r="H180" s="92"/>
      <c r="I180" s="93" t="str">
        <f>IFERROR(IF(OR($F180="O",$G180="O",$H180="O"),CHOOSE(MATCH($A180,{"튜브","고압","진공","튜닝","조립","출하"},0),"T","H","V","N","A","P")&amp;IF($F180="O","R",IF($G180="O","A",IF($H180="O","F",""))),""),"")</f>
        <v/>
      </c>
      <c r="J180" s="94"/>
      <c r="K180" s="95"/>
      <c r="L180" s="96"/>
      <c r="M180" s="97" t="s">
        <v>71</v>
      </c>
      <c r="N180" s="98"/>
      <c r="O180" s="99"/>
      <c r="P180" s="100" t="str">
        <f t="shared" si="2"/>
        <v/>
      </c>
      <c r="Q180" s="102" t="s">
        <v>1349</v>
      </c>
      <c r="R180" s="108" t="str">
        <f>HYPERLINK("#'마스터_품목'!A66","→ 마스터 R66")</f>
        <v>→ 마스터 R66</v>
      </c>
      <c r="S180" s="109">
        <v>66</v>
      </c>
      <c r="T180" s="109" t="s">
        <v>72</v>
      </c>
    </row>
    <row r="181" spans="1:20" ht="48" customHeight="1" x14ac:dyDescent="0.3">
      <c r="A181" s="87" t="s">
        <v>1347</v>
      </c>
      <c r="B181" s="87" t="s">
        <v>1348</v>
      </c>
      <c r="C181" s="88" t="s">
        <v>182</v>
      </c>
      <c r="D181" s="88" t="s">
        <v>213</v>
      </c>
      <c r="E181" s="88" t="s">
        <v>212</v>
      </c>
      <c r="F181" s="90" t="s">
        <v>71</v>
      </c>
      <c r="G181" s="91"/>
      <c r="H181" s="92"/>
      <c r="I181" s="93" t="str">
        <f>IFERROR(IF(OR($F181="O",$G181="O",$H181="O"),CHOOSE(MATCH($A181,{"튜브","고압","진공","튜닝","조립","출하"},0),"T","H","V","N","A","P")&amp;IF($F181="O","R",IF($G181="O","A",IF($H181="O","F",""))),""),"")</f>
        <v/>
      </c>
      <c r="J181" s="94"/>
      <c r="K181" s="95"/>
      <c r="L181" s="96"/>
      <c r="M181" s="97"/>
      <c r="N181" s="98" t="s">
        <v>71</v>
      </c>
      <c r="O181" s="99"/>
      <c r="P181" s="100" t="str">
        <f t="shared" si="2"/>
        <v/>
      </c>
      <c r="Q181" s="102" t="s">
        <v>1353</v>
      </c>
      <c r="R181" s="108" t="str">
        <f>HYPERLINK("#'마스터_품목'!A65","→ 마스터 R65")</f>
        <v>→ 마스터 R65</v>
      </c>
      <c r="S181" s="109">
        <v>65</v>
      </c>
      <c r="T181" s="109" t="s">
        <v>72</v>
      </c>
    </row>
    <row r="182" spans="1:20" ht="48" customHeight="1" x14ac:dyDescent="0.3">
      <c r="A182" s="87" t="s">
        <v>1347</v>
      </c>
      <c r="B182" s="87" t="s">
        <v>1348</v>
      </c>
      <c r="C182" s="88" t="s">
        <v>117</v>
      </c>
      <c r="D182" s="88" t="s">
        <v>203</v>
      </c>
      <c r="E182" s="88" t="s">
        <v>202</v>
      </c>
      <c r="F182" s="90" t="s">
        <v>71</v>
      </c>
      <c r="G182" s="91"/>
      <c r="H182" s="92"/>
      <c r="I182" s="93" t="str">
        <f>IFERROR(IF(OR($F182="O",$G182="O",$H182="O"),CHOOSE(MATCH($A182,{"튜브","고압","진공","튜닝","조립","출하"},0),"T","H","V","N","A","P")&amp;IF($F182="O","R",IF($G182="O","A",IF($H182="O","F",""))),""),"")</f>
        <v/>
      </c>
      <c r="J182" s="94"/>
      <c r="K182" s="95"/>
      <c r="L182" s="96" t="s">
        <v>71</v>
      </c>
      <c r="M182" s="97"/>
      <c r="N182" s="98"/>
      <c r="O182" s="99"/>
      <c r="P182" s="100" t="str">
        <f t="shared" si="2"/>
        <v/>
      </c>
      <c r="Q182" s="102" t="s">
        <v>1349</v>
      </c>
      <c r="R182" s="108" t="str">
        <f>HYPERLINK("#'마스터_품목'!A60","→ 마스터 R60")</f>
        <v>→ 마스터 R60</v>
      </c>
      <c r="S182" s="109">
        <v>60</v>
      </c>
      <c r="T182" s="109" t="s">
        <v>72</v>
      </c>
    </row>
    <row r="183" spans="1:20" ht="48" customHeight="1" x14ac:dyDescent="0.3">
      <c r="A183" s="87" t="s">
        <v>1347</v>
      </c>
      <c r="B183" s="87" t="s">
        <v>1348</v>
      </c>
      <c r="C183" s="88" t="s">
        <v>117</v>
      </c>
      <c r="D183" s="88" t="s">
        <v>205</v>
      </c>
      <c r="E183" s="88" t="s">
        <v>204</v>
      </c>
      <c r="F183" s="90" t="s">
        <v>71</v>
      </c>
      <c r="G183" s="91"/>
      <c r="H183" s="92"/>
      <c r="I183" s="93" t="str">
        <f>IFERROR(IF(OR($F183="O",$G183="O",$H183="O"),CHOOSE(MATCH($A183,{"튜브","고압","진공","튜닝","조립","출하"},0),"T","H","V","N","A","P")&amp;IF($F183="O","R",IF($G183="O","A",IF($H183="O","F",""))),""),"")</f>
        <v/>
      </c>
      <c r="J183" s="94"/>
      <c r="K183" s="95"/>
      <c r="L183" s="96" t="s">
        <v>71</v>
      </c>
      <c r="M183" s="97"/>
      <c r="N183" s="98"/>
      <c r="O183" s="99"/>
      <c r="P183" s="100" t="str">
        <f t="shared" si="2"/>
        <v/>
      </c>
      <c r="Q183" s="102" t="s">
        <v>1349</v>
      </c>
      <c r="R183" s="108" t="str">
        <f>HYPERLINK("#'마스터_품목'!A61","→ 마스터 R61")</f>
        <v>→ 마스터 R61</v>
      </c>
      <c r="S183" s="109">
        <v>61</v>
      </c>
      <c r="T183" s="109" t="s">
        <v>72</v>
      </c>
    </row>
    <row r="184" spans="1:20" ht="48" customHeight="1" x14ac:dyDescent="0.3">
      <c r="A184" s="87" t="s">
        <v>1347</v>
      </c>
      <c r="B184" s="87" t="s">
        <v>1348</v>
      </c>
      <c r="C184" s="88" t="s">
        <v>153</v>
      </c>
      <c r="D184" s="88" t="s">
        <v>201</v>
      </c>
      <c r="E184" s="88" t="s">
        <v>200</v>
      </c>
      <c r="F184" s="90" t="s">
        <v>71</v>
      </c>
      <c r="G184" s="91"/>
      <c r="H184" s="92"/>
      <c r="I184" s="93" t="str">
        <f>IFERROR(IF(OR($F184="O",$G184="O",$H184="O"),CHOOSE(MATCH($A184,{"튜브","고압","진공","튜닝","조립","출하"},0),"T","H","V","N","A","P")&amp;IF($F184="O","R",IF($G184="O","A",IF($H184="O","F",""))),""),"")</f>
        <v/>
      </c>
      <c r="J184" s="94"/>
      <c r="K184" s="95"/>
      <c r="L184" s="96"/>
      <c r="M184" s="97" t="s">
        <v>71</v>
      </c>
      <c r="N184" s="98"/>
      <c r="O184" s="99"/>
      <c r="P184" s="100" t="str">
        <f t="shared" si="2"/>
        <v/>
      </c>
      <c r="Q184" s="102" t="s">
        <v>1349</v>
      </c>
      <c r="R184" s="108" t="str">
        <f>HYPERLINK("#'마스터_품목'!A59","→ 마스터 R59")</f>
        <v>→ 마스터 R59</v>
      </c>
      <c r="S184" s="109">
        <v>59</v>
      </c>
      <c r="T184" s="109" t="s">
        <v>72</v>
      </c>
    </row>
    <row r="185" spans="1:20" ht="48" customHeight="1" x14ac:dyDescent="0.3">
      <c r="A185" s="87" t="s">
        <v>1347</v>
      </c>
      <c r="B185" s="87" t="s">
        <v>1348</v>
      </c>
      <c r="C185" s="88" t="s">
        <v>117</v>
      </c>
      <c r="D185" s="88" t="s">
        <v>219</v>
      </c>
      <c r="E185" s="88" t="s">
        <v>193</v>
      </c>
      <c r="F185" s="90" t="s">
        <v>71</v>
      </c>
      <c r="G185" s="91"/>
      <c r="H185" s="92"/>
      <c r="I185" s="93" t="str">
        <f>IFERROR(IF(OR($F185="O",$G185="O",$H185="O"),CHOOSE(MATCH($A185,{"튜브","고압","진공","튜닝","조립","출하"},0),"T","H","V","N","A","P")&amp;IF($F185="O","R",IF($G185="O","A",IF($H185="O","F",""))),""),"")</f>
        <v/>
      </c>
      <c r="J185" s="94"/>
      <c r="K185" s="95"/>
      <c r="L185" s="96" t="s">
        <v>71</v>
      </c>
      <c r="M185" s="97"/>
      <c r="N185" s="98"/>
      <c r="O185" s="99"/>
      <c r="P185" s="100" t="str">
        <f t="shared" si="2"/>
        <v/>
      </c>
      <c r="Q185" s="102" t="s">
        <v>1349</v>
      </c>
      <c r="R185" s="108" t="str">
        <f>HYPERLINK("#'마스터_품목'!A69","→ 마스터 R69")</f>
        <v>→ 마스터 R69</v>
      </c>
      <c r="S185" s="109">
        <v>69</v>
      </c>
      <c r="T185" s="109" t="s">
        <v>72</v>
      </c>
    </row>
    <row r="186" spans="1:20" ht="48" customHeight="1" x14ac:dyDescent="0.3">
      <c r="A186" s="87" t="s">
        <v>1347</v>
      </c>
      <c r="B186" s="87" t="s">
        <v>1348</v>
      </c>
      <c r="C186" s="88" t="s">
        <v>117</v>
      </c>
      <c r="D186" s="88" t="s">
        <v>220</v>
      </c>
      <c r="E186" s="88" t="s">
        <v>196</v>
      </c>
      <c r="F186" s="90" t="s">
        <v>71</v>
      </c>
      <c r="G186" s="91"/>
      <c r="H186" s="92"/>
      <c r="I186" s="93" t="str">
        <f>IFERROR(IF(OR($F186="O",$G186="O",$H186="O"),CHOOSE(MATCH($A186,{"튜브","고압","진공","튜닝","조립","출하"},0),"T","H","V","N","A","P")&amp;IF($F186="O","R",IF($G186="O","A",IF($H186="O","F",""))),""),"")</f>
        <v/>
      </c>
      <c r="J186" s="94"/>
      <c r="K186" s="95"/>
      <c r="L186" s="96" t="s">
        <v>71</v>
      </c>
      <c r="M186" s="97"/>
      <c r="N186" s="98"/>
      <c r="O186" s="99"/>
      <c r="P186" s="100" t="str">
        <f t="shared" si="2"/>
        <v/>
      </c>
      <c r="Q186" s="102" t="s">
        <v>1349</v>
      </c>
      <c r="R186" s="108" t="str">
        <f>HYPERLINK("#'마스터_품목'!A70","→ 마스터 R70")</f>
        <v>→ 마스터 R70</v>
      </c>
      <c r="S186" s="109">
        <v>70</v>
      </c>
      <c r="T186" s="109" t="s">
        <v>72</v>
      </c>
    </row>
    <row r="187" spans="1:20" ht="48" customHeight="1" x14ac:dyDescent="0.3">
      <c r="A187" s="87" t="s">
        <v>1347</v>
      </c>
      <c r="B187" s="87" t="s">
        <v>1422</v>
      </c>
      <c r="C187" s="88" t="s">
        <v>153</v>
      </c>
      <c r="D187" s="88" t="s">
        <v>275</v>
      </c>
      <c r="E187" s="88" t="s">
        <v>274</v>
      </c>
      <c r="F187" s="90" t="s">
        <v>71</v>
      </c>
      <c r="G187" s="91"/>
      <c r="H187" s="92"/>
      <c r="I187" s="93" t="str">
        <f>IFERROR(IF(OR($F187="O",$G187="O",$H187="O"),CHOOSE(MATCH($A187,{"튜브","고압","진공","튜닝","조립","출하"},0),"T","H","V","N","A","P")&amp;IF($F187="O","R",IF($G187="O","A",IF($H187="O","F",""))),""),"")</f>
        <v/>
      </c>
      <c r="J187" s="94"/>
      <c r="K187" s="95"/>
      <c r="L187" s="96"/>
      <c r="M187" s="97" t="s">
        <v>71</v>
      </c>
      <c r="N187" s="98"/>
      <c r="O187" s="99"/>
      <c r="P187" s="100" t="str">
        <f t="shared" si="2"/>
        <v/>
      </c>
      <c r="Q187" s="102" t="s">
        <v>1367</v>
      </c>
      <c r="R187" s="108" t="str">
        <f>HYPERLINK("#'마스터_품목'!A110","→ 마스터 R110")</f>
        <v>→ 마스터 R110</v>
      </c>
      <c r="S187" s="109">
        <v>110</v>
      </c>
      <c r="T187" s="109" t="s">
        <v>72</v>
      </c>
    </row>
    <row r="188" spans="1:20" ht="48" customHeight="1" x14ac:dyDescent="0.3">
      <c r="A188" s="87" t="s">
        <v>1347</v>
      </c>
      <c r="B188" s="87" t="s">
        <v>1422</v>
      </c>
      <c r="C188" s="88" t="s">
        <v>182</v>
      </c>
      <c r="D188" s="88" t="s">
        <v>278</v>
      </c>
      <c r="E188" s="88" t="s">
        <v>274</v>
      </c>
      <c r="F188" s="90" t="s">
        <v>71</v>
      </c>
      <c r="G188" s="91"/>
      <c r="H188" s="92"/>
      <c r="I188" s="93" t="str">
        <f>IFERROR(IF(OR($F188="O",$G188="O",$H188="O"),CHOOSE(MATCH($A188,{"튜브","고압","진공","튜닝","조립","출하"},0),"T","H","V","N","A","P")&amp;IF($F188="O","R",IF($G188="O","A",IF($H188="O","F",""))),""),"")</f>
        <v/>
      </c>
      <c r="J188" s="94"/>
      <c r="K188" s="95"/>
      <c r="L188" s="96"/>
      <c r="M188" s="97"/>
      <c r="N188" s="98" t="s">
        <v>71</v>
      </c>
      <c r="O188" s="99"/>
      <c r="P188" s="100" t="str">
        <f t="shared" si="2"/>
        <v/>
      </c>
      <c r="Q188" s="102" t="s">
        <v>1367</v>
      </c>
      <c r="R188" s="108" t="str">
        <f>HYPERLINK("#'마스터_품목'!A113","→ 마스터 R113")</f>
        <v>→ 마스터 R113</v>
      </c>
      <c r="S188" s="109">
        <v>113</v>
      </c>
      <c r="T188" s="109" t="s">
        <v>72</v>
      </c>
    </row>
    <row r="189" spans="1:20" ht="48" customHeight="1" x14ac:dyDescent="0.3">
      <c r="A189" s="87" t="s">
        <v>1347</v>
      </c>
      <c r="B189" s="87" t="s">
        <v>1422</v>
      </c>
      <c r="C189" s="88" t="s">
        <v>153</v>
      </c>
      <c r="D189" s="88" t="s">
        <v>277</v>
      </c>
      <c r="E189" s="88" t="s">
        <v>276</v>
      </c>
      <c r="F189" s="90" t="s">
        <v>71</v>
      </c>
      <c r="G189" s="91"/>
      <c r="H189" s="92"/>
      <c r="I189" s="93" t="str">
        <f>IFERROR(IF(OR($F189="O",$G189="O",$H189="O"),CHOOSE(MATCH($A189,{"튜브","고압","진공","튜닝","조립","출하"},0),"T","H","V","N","A","P")&amp;IF($F189="O","R",IF($G189="O","A",IF($H189="O","F",""))),""),"")</f>
        <v/>
      </c>
      <c r="J189" s="94"/>
      <c r="K189" s="95"/>
      <c r="L189" s="96"/>
      <c r="M189" s="97" t="s">
        <v>71</v>
      </c>
      <c r="N189" s="98"/>
      <c r="O189" s="99"/>
      <c r="P189" s="100" t="str">
        <f t="shared" si="2"/>
        <v/>
      </c>
      <c r="Q189" s="102" t="s">
        <v>1367</v>
      </c>
      <c r="R189" s="108" t="str">
        <f>HYPERLINK("#'마스터_품목'!A111","→ 마스터 R111")</f>
        <v>→ 마스터 R111</v>
      </c>
      <c r="S189" s="109">
        <v>111</v>
      </c>
      <c r="T189" s="109" t="s">
        <v>72</v>
      </c>
    </row>
    <row r="190" spans="1:20" ht="48" customHeight="1" x14ac:dyDescent="0.3">
      <c r="A190" s="87" t="s">
        <v>1347</v>
      </c>
      <c r="B190" s="87" t="s">
        <v>1245</v>
      </c>
      <c r="C190" s="88" t="s">
        <v>153</v>
      </c>
      <c r="D190" s="88" t="s">
        <v>292</v>
      </c>
      <c r="E190" s="88" t="s">
        <v>288</v>
      </c>
      <c r="F190" s="90" t="s">
        <v>71</v>
      </c>
      <c r="G190" s="91"/>
      <c r="H190" s="92"/>
      <c r="I190" s="93" t="str">
        <f>IFERROR(IF(OR($F190="O",$G190="O",$H190="O"),CHOOSE(MATCH($A190,{"튜브","고압","진공","튜닝","조립","출하"},0),"T","H","V","N","A","P")&amp;IF($F190="O","R",IF($G190="O","A",IF($H190="O","F",""))),""),"")</f>
        <v/>
      </c>
      <c r="J190" s="94"/>
      <c r="K190" s="95"/>
      <c r="L190" s="96"/>
      <c r="M190" s="97" t="s">
        <v>71</v>
      </c>
      <c r="N190" s="98"/>
      <c r="O190" s="99"/>
      <c r="P190" s="100" t="str">
        <f t="shared" si="2"/>
        <v/>
      </c>
      <c r="Q190" s="102" t="s">
        <v>1430</v>
      </c>
      <c r="R190" s="108" t="str">
        <f>HYPERLINK("#'마스터_품목'!A124","→ 마스터 R124")</f>
        <v>→ 마스터 R124</v>
      </c>
      <c r="S190" s="109">
        <v>124</v>
      </c>
      <c r="T190" s="109" t="s">
        <v>72</v>
      </c>
    </row>
    <row r="191" spans="1:20" ht="48" customHeight="1" x14ac:dyDescent="0.3">
      <c r="A191" s="87" t="s">
        <v>1347</v>
      </c>
      <c r="B191" s="87" t="s">
        <v>1245</v>
      </c>
      <c r="C191" s="88" t="s">
        <v>182</v>
      </c>
      <c r="D191" s="88" t="s">
        <v>295</v>
      </c>
      <c r="E191" s="88" t="s">
        <v>288</v>
      </c>
      <c r="F191" s="90" t="s">
        <v>71</v>
      </c>
      <c r="G191" s="91"/>
      <c r="H191" s="92"/>
      <c r="I191" s="93" t="str">
        <f>IFERROR(IF(OR($F191="O",$G191="O",$H191="O"),CHOOSE(MATCH($A191,{"튜브","고압","진공","튜닝","조립","출하"},0),"T","H","V","N","A","P")&amp;IF($F191="O","R",IF($G191="O","A",IF($H191="O","F",""))),""),"")</f>
        <v/>
      </c>
      <c r="J191" s="94"/>
      <c r="K191" s="95"/>
      <c r="L191" s="96"/>
      <c r="M191" s="97"/>
      <c r="N191" s="98" t="s">
        <v>71</v>
      </c>
      <c r="O191" s="99"/>
      <c r="P191" s="100" t="str">
        <f t="shared" si="2"/>
        <v/>
      </c>
      <c r="Q191" s="102" t="s">
        <v>1430</v>
      </c>
      <c r="R191" s="108" t="str">
        <f>HYPERLINK("#'마스터_품목'!A128","→ 마스터 R128")</f>
        <v>→ 마스터 R128</v>
      </c>
      <c r="S191" s="109">
        <v>128</v>
      </c>
      <c r="T191" s="109" t="s">
        <v>72</v>
      </c>
    </row>
    <row r="192" spans="1:20" ht="48" customHeight="1" x14ac:dyDescent="0.3">
      <c r="A192" s="87" t="s">
        <v>1347</v>
      </c>
      <c r="B192" s="87" t="s">
        <v>1245</v>
      </c>
      <c r="C192" s="88" t="s">
        <v>117</v>
      </c>
      <c r="D192" s="88" t="s">
        <v>293</v>
      </c>
      <c r="E192" s="88" t="s">
        <v>288</v>
      </c>
      <c r="F192" s="90" t="s">
        <v>71</v>
      </c>
      <c r="G192" s="91"/>
      <c r="H192" s="92"/>
      <c r="I192" s="93" t="str">
        <f>IFERROR(IF(OR($F192="O",$G192="O",$H192="O"),CHOOSE(MATCH($A192,{"튜브","고압","진공","튜닝","조립","출하"},0),"T","H","V","N","A","P")&amp;IF($F192="O","R",IF($G192="O","A",IF($H192="O","F",""))),""),"")</f>
        <v/>
      </c>
      <c r="J192" s="94"/>
      <c r="K192" s="95"/>
      <c r="L192" s="96" t="s">
        <v>71</v>
      </c>
      <c r="M192" s="97"/>
      <c r="N192" s="98"/>
      <c r="O192" s="99"/>
      <c r="P192" s="100" t="str">
        <f t="shared" si="2"/>
        <v/>
      </c>
      <c r="Q192" s="102" t="s">
        <v>1350</v>
      </c>
      <c r="R192" s="108" t="str">
        <f>HYPERLINK("#'마스터_품목'!A125","→ 마스터 R125")</f>
        <v>→ 마스터 R125</v>
      </c>
      <c r="S192" s="109">
        <v>125</v>
      </c>
      <c r="T192" s="109" t="s">
        <v>72</v>
      </c>
    </row>
    <row r="193" spans="1:20" ht="48" customHeight="1" x14ac:dyDescent="0.3">
      <c r="A193" s="87" t="s">
        <v>1347</v>
      </c>
      <c r="B193" s="87" t="s">
        <v>1245</v>
      </c>
      <c r="C193" s="88" t="s">
        <v>153</v>
      </c>
      <c r="D193" s="88" t="s">
        <v>281</v>
      </c>
      <c r="E193" s="88" t="s">
        <v>279</v>
      </c>
      <c r="F193" s="90" t="s">
        <v>71</v>
      </c>
      <c r="G193" s="91"/>
      <c r="H193" s="92"/>
      <c r="I193" s="93" t="str">
        <f>IFERROR(IF(OR($F193="O",$G193="O",$H193="O"),CHOOSE(MATCH($A193,{"튜브","고압","진공","튜닝","조립","출하"},0),"T","H","V","N","A","P")&amp;IF($F193="O","R",IF($G193="O","A",IF($H193="O","F",""))),""),"")</f>
        <v/>
      </c>
      <c r="J193" s="94"/>
      <c r="K193" s="95"/>
      <c r="L193" s="96"/>
      <c r="M193" s="97" t="s">
        <v>71</v>
      </c>
      <c r="N193" s="98"/>
      <c r="O193" s="99"/>
      <c r="P193" s="100" t="str">
        <f t="shared" si="2"/>
        <v/>
      </c>
      <c r="Q193" s="102" t="s">
        <v>1430</v>
      </c>
      <c r="R193" s="108" t="str">
        <f>HYPERLINK("#'마스터_품목'!A115","→ 마스터 R115")</f>
        <v>→ 마스터 R115</v>
      </c>
      <c r="S193" s="109">
        <v>115</v>
      </c>
      <c r="T193" s="109" t="s">
        <v>72</v>
      </c>
    </row>
    <row r="194" spans="1:20" ht="48" customHeight="1" x14ac:dyDescent="0.3">
      <c r="A194" s="87" t="s">
        <v>1347</v>
      </c>
      <c r="B194" s="87" t="s">
        <v>1245</v>
      </c>
      <c r="C194" s="88" t="s">
        <v>182</v>
      </c>
      <c r="D194" s="88" t="s">
        <v>280</v>
      </c>
      <c r="E194" s="88" t="s">
        <v>279</v>
      </c>
      <c r="F194" s="90" t="s">
        <v>71</v>
      </c>
      <c r="G194" s="91"/>
      <c r="H194" s="92"/>
      <c r="I194" s="93" t="str">
        <f>IFERROR(IF(OR($F194="O",$G194="O",$H194="O"),CHOOSE(MATCH($A194,{"튜브","고압","진공","튜닝","조립","출하"},0),"T","H","V","N","A","P")&amp;IF($F194="O","R",IF($G194="O","A",IF($H194="O","F",""))),""),"")</f>
        <v/>
      </c>
      <c r="J194" s="94"/>
      <c r="K194" s="95"/>
      <c r="L194" s="96"/>
      <c r="M194" s="97"/>
      <c r="N194" s="98" t="s">
        <v>71</v>
      </c>
      <c r="O194" s="99"/>
      <c r="P194" s="100" t="str">
        <f t="shared" ref="P194:P257" si="3">IF($I194="","",IF($J194="O","3","")&amp;IF($K194="O","4","")&amp;IF($L194="O","6","")&amp;IF($M194="O","7","")&amp;IF($N194="O","8","")&amp;IF($O194="O","?","")&amp;IF(OR($J194="O",$K194="O",$L194="O",$M194="O",$N194="O",$O194="O"),"-","")&amp;$I194)</f>
        <v/>
      </c>
      <c r="Q194" s="113" t="s">
        <v>1430</v>
      </c>
      <c r="R194" s="108" t="str">
        <f>HYPERLINK("#'마스터_품목'!A114","→ 마스터 R114")</f>
        <v>→ 마스터 R114</v>
      </c>
      <c r="S194" s="109">
        <v>114</v>
      </c>
      <c r="T194" s="109" t="s">
        <v>72</v>
      </c>
    </row>
    <row r="195" spans="1:20" ht="48" customHeight="1" x14ac:dyDescent="0.3">
      <c r="A195" s="124" t="s">
        <v>164</v>
      </c>
      <c r="B195" s="87" t="s">
        <v>1245</v>
      </c>
      <c r="C195" s="88" t="s">
        <v>68</v>
      </c>
      <c r="D195" s="88" t="s">
        <v>297</v>
      </c>
      <c r="E195" s="88" t="s">
        <v>296</v>
      </c>
      <c r="F195" s="90" t="s">
        <v>71</v>
      </c>
      <c r="G195" s="91"/>
      <c r="H195" s="92"/>
      <c r="I195" s="93" t="str">
        <f>IFERROR(IF(OR($F195="O",$G195="O",$H195="O"),CHOOSE(MATCH($A195,{"튜브","고압","진공","튜닝","조립","출하"},0),"T","H","V","N","A","P")&amp;IF($F195="O","R",IF($G195="O","A",IF($H195="O","F",""))),""),"")</f>
        <v>VR</v>
      </c>
      <c r="J195" s="122"/>
      <c r="K195" s="123"/>
      <c r="L195" s="119"/>
      <c r="M195" s="120"/>
      <c r="N195" s="121"/>
      <c r="O195" s="99"/>
      <c r="P195" s="100" t="str">
        <f t="shared" si="3"/>
        <v>VR</v>
      </c>
      <c r="Q195" s="113" t="s">
        <v>1350</v>
      </c>
      <c r="R195" s="108" t="str">
        <f>HYPERLINK("#'마스터_품목'!A129","→ 마스터 R129")</f>
        <v>→ 마스터 R129</v>
      </c>
      <c r="S195" s="109">
        <v>129</v>
      </c>
      <c r="T195" s="109" t="s">
        <v>72</v>
      </c>
    </row>
    <row r="196" spans="1:20" ht="48" customHeight="1" x14ac:dyDescent="0.3">
      <c r="A196" s="87" t="s">
        <v>1347</v>
      </c>
      <c r="B196" s="87" t="s">
        <v>1383</v>
      </c>
      <c r="C196" s="88" t="s">
        <v>117</v>
      </c>
      <c r="D196" s="88" t="s">
        <v>166</v>
      </c>
      <c r="E196" s="88" t="s">
        <v>165</v>
      </c>
      <c r="F196" s="90" t="s">
        <v>71</v>
      </c>
      <c r="G196" s="91"/>
      <c r="H196" s="92"/>
      <c r="I196" s="93" t="str">
        <f>IFERROR(IF(OR($F196="O",$G196="O",$H196="O"),CHOOSE(MATCH($A196,{"튜브","고압","진공","튜닝","조립","출하"},0),"T","H","V","N","A","P")&amp;IF($F196="O","R",IF($G196="O","A",IF($H196="O","F",""))),""),"")</f>
        <v/>
      </c>
      <c r="J196" s="94"/>
      <c r="K196" s="95"/>
      <c r="L196" s="96" t="s">
        <v>71</v>
      </c>
      <c r="M196" s="97"/>
      <c r="N196" s="98"/>
      <c r="O196" s="99" t="s">
        <v>71</v>
      </c>
      <c r="P196" s="100" t="str">
        <f t="shared" si="3"/>
        <v/>
      </c>
      <c r="Q196" s="113" t="s">
        <v>1392</v>
      </c>
      <c r="R196" s="108" t="str">
        <f>HYPERLINK("#'마스터_품목'!A91","→ 마스터 R91")</f>
        <v>→ 마스터 R91</v>
      </c>
      <c r="S196" s="109">
        <v>91</v>
      </c>
      <c r="T196" s="109" t="s">
        <v>72</v>
      </c>
    </row>
    <row r="197" spans="1:20" ht="48" customHeight="1" x14ac:dyDescent="0.3">
      <c r="A197" s="87" t="s">
        <v>1347</v>
      </c>
      <c r="B197" s="87" t="s">
        <v>1348</v>
      </c>
      <c r="C197" s="88" t="s">
        <v>182</v>
      </c>
      <c r="D197" s="88" t="s">
        <v>229</v>
      </c>
      <c r="E197" s="88" t="s">
        <v>227</v>
      </c>
      <c r="F197" s="90" t="s">
        <v>71</v>
      </c>
      <c r="G197" s="91"/>
      <c r="H197" s="92"/>
      <c r="I197" s="93" t="str">
        <f>IFERROR(IF(OR($F197="O",$G197="O",$H197="O"),CHOOSE(MATCH($A197,{"튜브","고압","진공","튜닝","조립","출하"},0),"T","H","V","N","A","P")&amp;IF($F197="O","R",IF($G197="O","A",IF($H197="O","F",""))),""),"")</f>
        <v/>
      </c>
      <c r="J197" s="94"/>
      <c r="K197" s="95"/>
      <c r="L197" s="96"/>
      <c r="M197" s="97"/>
      <c r="N197" s="98" t="s">
        <v>71</v>
      </c>
      <c r="O197" s="99"/>
      <c r="P197" s="100" t="str">
        <f t="shared" si="3"/>
        <v/>
      </c>
      <c r="Q197" s="113" t="s">
        <v>1349</v>
      </c>
      <c r="R197" s="108" t="str">
        <f>HYPERLINK("#'마스터_품목'!A100","→ 마스터 R100")</f>
        <v>→ 마스터 R100</v>
      </c>
      <c r="S197" s="109">
        <v>100</v>
      </c>
      <c r="T197" s="109" t="s">
        <v>72</v>
      </c>
    </row>
    <row r="198" spans="1:20" ht="48" customHeight="1" x14ac:dyDescent="0.3">
      <c r="A198" s="87" t="s">
        <v>1347</v>
      </c>
      <c r="B198" s="87" t="s">
        <v>1348</v>
      </c>
      <c r="C198" s="88" t="s">
        <v>117</v>
      </c>
      <c r="D198" s="88" t="s">
        <v>226</v>
      </c>
      <c r="E198" s="88" t="s">
        <v>225</v>
      </c>
      <c r="F198" s="90" t="s">
        <v>71</v>
      </c>
      <c r="G198" s="91"/>
      <c r="H198" s="92"/>
      <c r="I198" s="93" t="str">
        <f>IFERROR(IF(OR($F198="O",$G198="O",$H198="O"),CHOOSE(MATCH($A198,{"튜브","고압","진공","튜닝","조립","출하"},0),"T","H","V","N","A","P")&amp;IF($F198="O","R",IF($G198="O","A",IF($H198="O","F",""))),""),"")</f>
        <v/>
      </c>
      <c r="J198" s="94"/>
      <c r="K198" s="95"/>
      <c r="L198" s="96" t="s">
        <v>71</v>
      </c>
      <c r="M198" s="97"/>
      <c r="N198" s="98"/>
      <c r="O198" s="99"/>
      <c r="P198" s="100" t="str">
        <f t="shared" si="3"/>
        <v/>
      </c>
      <c r="Q198" s="113" t="s">
        <v>1349</v>
      </c>
      <c r="R198" s="108" t="str">
        <f>HYPERLINK("#'마스터_품목'!A97","→ 마스터 R97")</f>
        <v>→ 마스터 R97</v>
      </c>
      <c r="S198" s="109">
        <v>97</v>
      </c>
      <c r="T198" s="109" t="s">
        <v>72</v>
      </c>
    </row>
    <row r="199" spans="1:20" ht="48" customHeight="1" x14ac:dyDescent="0.3">
      <c r="A199" s="87" t="s">
        <v>1347</v>
      </c>
      <c r="B199" s="87" t="s">
        <v>1383</v>
      </c>
      <c r="C199" s="88" t="s">
        <v>153</v>
      </c>
      <c r="D199" s="88" t="s">
        <v>907</v>
      </c>
      <c r="E199" s="88" t="s">
        <v>906</v>
      </c>
      <c r="F199" s="90" t="s">
        <v>71</v>
      </c>
      <c r="G199" s="91"/>
      <c r="H199" s="92"/>
      <c r="I199" s="93" t="str">
        <f>IFERROR(IF(OR($F199="O",$G199="O",$H199="O"),CHOOSE(MATCH($A199,{"튜브","고압","진공","튜닝","조립","출하"},0),"T","H","V","N","A","P")&amp;IF($F199="O","R",IF($G199="O","A",IF($H199="O","F",""))),""),"")</f>
        <v/>
      </c>
      <c r="J199" s="94" t="s">
        <v>71</v>
      </c>
      <c r="K199" s="95"/>
      <c r="L199" s="96"/>
      <c r="M199" s="97" t="s">
        <v>71</v>
      </c>
      <c r="N199" s="98"/>
      <c r="O199" s="99"/>
      <c r="P199" s="100" t="str">
        <f t="shared" si="3"/>
        <v/>
      </c>
      <c r="Q199" s="102" t="s">
        <v>1392</v>
      </c>
      <c r="R199" s="108" t="str">
        <f>HYPERLINK("#'마스터_품목'!A454","→ 마스터 R454")</f>
        <v>→ 마스터 R454</v>
      </c>
      <c r="S199" s="109">
        <v>454</v>
      </c>
      <c r="T199" s="109" t="s">
        <v>72</v>
      </c>
    </row>
    <row r="200" spans="1:20" ht="48" customHeight="1" x14ac:dyDescent="0.3">
      <c r="A200" s="124" t="s">
        <v>354</v>
      </c>
      <c r="B200" s="87" t="s">
        <v>1351</v>
      </c>
      <c r="C200" s="88" t="s">
        <v>195</v>
      </c>
      <c r="D200" s="88" t="s">
        <v>1431</v>
      </c>
      <c r="E200" s="88"/>
      <c r="F200" s="90" t="s">
        <v>71</v>
      </c>
      <c r="G200" s="91"/>
      <c r="H200" s="92"/>
      <c r="I200" s="93" t="str">
        <f>IFERROR(IF(OR($F200="O",$G200="O",$H200="O"),CHOOSE(MATCH($A200,{"튜브","고압","진공","튜닝","조립","출하"},0),"T","H","V","N","A","P")&amp;IF($F200="O","R",IF($G200="O","A",IF($H200="O","F",""))),""),"")</f>
        <v>AR</v>
      </c>
      <c r="J200" s="122" t="s">
        <v>71</v>
      </c>
      <c r="K200" s="95"/>
      <c r="L200" s="96"/>
      <c r="M200" s="97"/>
      <c r="N200" s="98"/>
      <c r="O200" s="99"/>
      <c r="P200" s="100" t="str">
        <f t="shared" si="3"/>
        <v>3-AR</v>
      </c>
      <c r="Q200" s="102" t="s">
        <v>1353</v>
      </c>
      <c r="R200" s="108" t="str">
        <f>HYPERLINK("#'마스터_품목'!A739","→ 마스터 R739")</f>
        <v>→ 마스터 R739</v>
      </c>
      <c r="S200" s="109">
        <v>739</v>
      </c>
      <c r="T200" s="109" t="s">
        <v>72</v>
      </c>
    </row>
    <row r="201" spans="1:20" ht="48" customHeight="1" x14ac:dyDescent="0.3">
      <c r="A201" s="124" t="s">
        <v>354</v>
      </c>
      <c r="B201" s="87" t="s">
        <v>1351</v>
      </c>
      <c r="C201" s="88" t="s">
        <v>195</v>
      </c>
      <c r="D201" s="88" t="s">
        <v>1432</v>
      </c>
      <c r="E201" s="88"/>
      <c r="F201" s="90" t="s">
        <v>71</v>
      </c>
      <c r="G201" s="91"/>
      <c r="H201" s="92"/>
      <c r="I201" s="93" t="str">
        <f>IFERROR(IF(OR($F201="O",$G201="O",$H201="O"),CHOOSE(MATCH($A201,{"튜브","고압","진공","튜닝","조립","출하"},0),"T","H","V","N","A","P")&amp;IF($F201="O","R",IF($G201="O","A",IF($H201="O","F",""))),""),"")</f>
        <v>AR</v>
      </c>
      <c r="J201" s="122" t="s">
        <v>71</v>
      </c>
      <c r="K201" s="95"/>
      <c r="L201" s="96"/>
      <c r="M201" s="97"/>
      <c r="N201" s="98"/>
      <c r="O201" s="99"/>
      <c r="P201" s="100" t="str">
        <f t="shared" si="3"/>
        <v>3-AR</v>
      </c>
      <c r="Q201" s="102" t="s">
        <v>1353</v>
      </c>
      <c r="R201" s="108" t="str">
        <f>HYPERLINK("#'마스터_품목'!A740","→ 마스터 R740")</f>
        <v>→ 마스터 R740</v>
      </c>
      <c r="S201" s="109">
        <v>740</v>
      </c>
      <c r="T201" s="109" t="s">
        <v>72</v>
      </c>
    </row>
    <row r="202" spans="1:20" ht="48" customHeight="1" x14ac:dyDescent="0.3">
      <c r="A202" s="124" t="s">
        <v>354</v>
      </c>
      <c r="B202" s="87" t="s">
        <v>1359</v>
      </c>
      <c r="C202" s="88" t="s">
        <v>195</v>
      </c>
      <c r="D202" s="88" t="s">
        <v>1433</v>
      </c>
      <c r="E202" s="88"/>
      <c r="F202" s="90" t="s">
        <v>71</v>
      </c>
      <c r="G202" s="91"/>
      <c r="H202" s="92"/>
      <c r="I202" s="93" t="str">
        <f>IFERROR(IF(OR($F202="O",$G202="O",$H202="O"),CHOOSE(MATCH($A202,{"튜브","고압","진공","튜닝","조립","출하"},0),"T","H","V","N","A","P")&amp;IF($F202="O","R",IF($G202="O","A",IF($H202="O","F",""))),""),"")</f>
        <v>AR</v>
      </c>
      <c r="J202" s="122" t="s">
        <v>71</v>
      </c>
      <c r="K202" s="95"/>
      <c r="L202" s="96"/>
      <c r="M202" s="97"/>
      <c r="N202" s="98"/>
      <c r="O202" s="99"/>
      <c r="P202" s="100" t="str">
        <f t="shared" si="3"/>
        <v>3-AR</v>
      </c>
      <c r="Q202" s="102" t="s">
        <v>1353</v>
      </c>
      <c r="R202" s="108" t="str">
        <f>HYPERLINK("#'마스터_품목'!A741","→ 마스터 R741")</f>
        <v>→ 마스터 R741</v>
      </c>
      <c r="S202" s="109">
        <v>741</v>
      </c>
      <c r="T202" s="109" t="s">
        <v>72</v>
      </c>
    </row>
    <row r="203" spans="1:20" ht="48" customHeight="1" x14ac:dyDescent="0.3">
      <c r="A203" s="124" t="s">
        <v>354</v>
      </c>
      <c r="B203" s="87" t="s">
        <v>1359</v>
      </c>
      <c r="C203" s="88" t="s">
        <v>195</v>
      </c>
      <c r="D203" s="88" t="s">
        <v>1434</v>
      </c>
      <c r="E203" s="88"/>
      <c r="F203" s="90" t="s">
        <v>71</v>
      </c>
      <c r="G203" s="91"/>
      <c r="H203" s="92"/>
      <c r="I203" s="93" t="str">
        <f>IFERROR(IF(OR($F203="O",$G203="O",$H203="O"),CHOOSE(MATCH($A203,{"튜브","고압","진공","튜닝","조립","출하"},0),"T","H","V","N","A","P")&amp;IF($F203="O","R",IF($G203="O","A",IF($H203="O","F",""))),""),"")</f>
        <v>AR</v>
      </c>
      <c r="J203" s="122" t="s">
        <v>71</v>
      </c>
      <c r="K203" s="95"/>
      <c r="L203" s="96"/>
      <c r="M203" s="97"/>
      <c r="N203" s="98"/>
      <c r="O203" s="99"/>
      <c r="P203" s="100" t="str">
        <f t="shared" si="3"/>
        <v>3-AR</v>
      </c>
      <c r="Q203" s="102" t="s">
        <v>1353</v>
      </c>
      <c r="R203" s="108" t="str">
        <f>HYPERLINK("#'마스터_품목'!A742","→ 마스터 R742")</f>
        <v>→ 마스터 R742</v>
      </c>
      <c r="S203" s="109">
        <v>742</v>
      </c>
      <c r="T203" s="109" t="s">
        <v>72</v>
      </c>
    </row>
    <row r="204" spans="1:20" ht="48" customHeight="1" x14ac:dyDescent="0.3">
      <c r="A204" s="124" t="s">
        <v>354</v>
      </c>
      <c r="B204" s="87" t="s">
        <v>1368</v>
      </c>
      <c r="C204" s="88" t="s">
        <v>195</v>
      </c>
      <c r="D204" s="88" t="s">
        <v>1435</v>
      </c>
      <c r="E204" s="88"/>
      <c r="F204" s="90" t="s">
        <v>71</v>
      </c>
      <c r="G204" s="91"/>
      <c r="H204" s="92"/>
      <c r="I204" s="93" t="str">
        <f>IFERROR(IF(OR($F204="O",$G204="O",$H204="O"),CHOOSE(MATCH($A204,{"튜브","고압","진공","튜닝","조립","출하"},0),"T","H","V","N","A","P")&amp;IF($F204="O","R",IF($G204="O","A",IF($H204="O","F",""))),""),"")</f>
        <v>AR</v>
      </c>
      <c r="J204" s="122" t="s">
        <v>71</v>
      </c>
      <c r="K204" s="95"/>
      <c r="L204" s="96"/>
      <c r="M204" s="97"/>
      <c r="N204" s="98"/>
      <c r="O204" s="99"/>
      <c r="P204" s="100" t="str">
        <f t="shared" si="3"/>
        <v>3-AR</v>
      </c>
      <c r="Q204" s="102" t="s">
        <v>1353</v>
      </c>
      <c r="R204" s="108" t="str">
        <f>HYPERLINK("#'마스터_품목'!A743","→ 마스터 R743")</f>
        <v>→ 마스터 R743</v>
      </c>
      <c r="S204" s="109">
        <v>743</v>
      </c>
      <c r="T204" s="109" t="s">
        <v>72</v>
      </c>
    </row>
    <row r="205" spans="1:20" ht="48" customHeight="1" x14ac:dyDescent="0.3">
      <c r="A205" s="124" t="s">
        <v>354</v>
      </c>
      <c r="B205" s="87" t="s">
        <v>1368</v>
      </c>
      <c r="C205" s="88" t="s">
        <v>195</v>
      </c>
      <c r="D205" s="88" t="s">
        <v>1436</v>
      </c>
      <c r="E205" s="88"/>
      <c r="F205" s="90" t="s">
        <v>71</v>
      </c>
      <c r="G205" s="91"/>
      <c r="H205" s="92"/>
      <c r="I205" s="93" t="str">
        <f>IFERROR(IF(OR($F205="O",$G205="O",$H205="O"),CHOOSE(MATCH($A205,{"튜브","고압","진공","튜닝","조립","출하"},0),"T","H","V","N","A","P")&amp;IF($F205="O","R",IF($G205="O","A",IF($H205="O","F",""))),""),"")</f>
        <v>AR</v>
      </c>
      <c r="J205" s="122" t="s">
        <v>71</v>
      </c>
      <c r="K205" s="95"/>
      <c r="L205" s="96"/>
      <c r="M205" s="97"/>
      <c r="N205" s="98"/>
      <c r="O205" s="99"/>
      <c r="P205" s="100" t="str">
        <f t="shared" si="3"/>
        <v>3-AR</v>
      </c>
      <c r="Q205" s="102" t="s">
        <v>1369</v>
      </c>
      <c r="R205" s="108" t="str">
        <f>HYPERLINK("#'마스터_품목'!A744","→ 마스터 R744")</f>
        <v>→ 마스터 R744</v>
      </c>
      <c r="S205" s="109">
        <v>744</v>
      </c>
      <c r="T205" s="109" t="s">
        <v>72</v>
      </c>
    </row>
    <row r="206" spans="1:20" ht="48" customHeight="1" x14ac:dyDescent="0.3">
      <c r="A206" s="124" t="s">
        <v>354</v>
      </c>
      <c r="B206" s="87" t="s">
        <v>1368</v>
      </c>
      <c r="C206" s="88" t="s">
        <v>195</v>
      </c>
      <c r="D206" s="88" t="s">
        <v>1437</v>
      </c>
      <c r="E206" s="88"/>
      <c r="F206" s="90" t="s">
        <v>71</v>
      </c>
      <c r="G206" s="91"/>
      <c r="H206" s="92"/>
      <c r="I206" s="93" t="str">
        <f>IFERROR(IF(OR($F206="O",$G206="O",$H206="O"),CHOOSE(MATCH($A206,{"튜브","고압","진공","튜닝","조립","출하"},0),"T","H","V","N","A","P")&amp;IF($F206="O","R",IF($G206="O","A",IF($H206="O","F",""))),""),"")</f>
        <v>AR</v>
      </c>
      <c r="J206" s="122" t="s">
        <v>71</v>
      </c>
      <c r="K206" s="123" t="s">
        <v>71</v>
      </c>
      <c r="L206" s="96"/>
      <c r="M206" s="97"/>
      <c r="N206" s="98"/>
      <c r="O206" s="99"/>
      <c r="P206" s="100" t="str">
        <f t="shared" si="3"/>
        <v>34-AR</v>
      </c>
      <c r="Q206" s="102" t="s">
        <v>1369</v>
      </c>
      <c r="R206" s="108" t="str">
        <f>HYPERLINK("#'마스터_품목'!A745","→ 마스터 R745")</f>
        <v>→ 마스터 R745</v>
      </c>
      <c r="S206" s="109">
        <v>745</v>
      </c>
      <c r="T206" s="109" t="s">
        <v>72</v>
      </c>
    </row>
    <row r="207" spans="1:20" ht="48" customHeight="1" x14ac:dyDescent="0.3">
      <c r="A207" s="124" t="s">
        <v>354</v>
      </c>
      <c r="B207" s="87" t="s">
        <v>1368</v>
      </c>
      <c r="C207" s="88" t="s">
        <v>195</v>
      </c>
      <c r="D207" s="88" t="s">
        <v>1438</v>
      </c>
      <c r="E207" s="88"/>
      <c r="F207" s="90" t="s">
        <v>71</v>
      </c>
      <c r="G207" s="91"/>
      <c r="H207" s="92"/>
      <c r="I207" s="93" t="str">
        <f>IFERROR(IF(OR($F207="O",$G207="O",$H207="O"),CHOOSE(MATCH($A207,{"튜브","고압","진공","튜닝","조립","출하"},0),"T","H","V","N","A","P")&amp;IF($F207="O","R",IF($G207="O","A",IF($H207="O","F",""))),""),"")</f>
        <v>AR</v>
      </c>
      <c r="J207" s="122" t="s">
        <v>71</v>
      </c>
      <c r="K207" s="123" t="s">
        <v>71</v>
      </c>
      <c r="L207" s="96"/>
      <c r="M207" s="97"/>
      <c r="N207" s="98"/>
      <c r="O207" s="99"/>
      <c r="P207" s="100" t="str">
        <f t="shared" si="3"/>
        <v>34-AR</v>
      </c>
      <c r="Q207" s="102" t="s">
        <v>1369</v>
      </c>
      <c r="R207" s="108" t="str">
        <f>HYPERLINK("#'마스터_품목'!A746","→ 마스터 R746")</f>
        <v>→ 마스터 R746</v>
      </c>
      <c r="S207" s="109">
        <v>746</v>
      </c>
      <c r="T207" s="109" t="s">
        <v>72</v>
      </c>
    </row>
    <row r="208" spans="1:20" ht="48" customHeight="1" x14ac:dyDescent="0.3">
      <c r="A208" s="124" t="s">
        <v>354</v>
      </c>
      <c r="B208" s="87" t="s">
        <v>1368</v>
      </c>
      <c r="C208" s="88" t="s">
        <v>195</v>
      </c>
      <c r="D208" s="88" t="s">
        <v>1439</v>
      </c>
      <c r="E208" s="88"/>
      <c r="F208" s="90" t="s">
        <v>71</v>
      </c>
      <c r="G208" s="91"/>
      <c r="H208" s="92"/>
      <c r="I208" s="93" t="str">
        <f>IFERROR(IF(OR($F208="O",$G208="O",$H208="O"),CHOOSE(MATCH($A208,{"튜브","고압","진공","튜닝","조립","출하"},0),"T","H","V","N","A","P")&amp;IF($F208="O","R",IF($G208="O","A",IF($H208="O","F",""))),""),"")</f>
        <v>AR</v>
      </c>
      <c r="J208" s="122" t="s">
        <v>71</v>
      </c>
      <c r="K208" s="95"/>
      <c r="L208" s="96"/>
      <c r="M208" s="97"/>
      <c r="N208" s="98"/>
      <c r="O208" s="99"/>
      <c r="P208" s="100" t="str">
        <f t="shared" si="3"/>
        <v>3-AR</v>
      </c>
      <c r="Q208" s="102" t="s">
        <v>1369</v>
      </c>
      <c r="R208" s="108" t="str">
        <f>HYPERLINK("#'마스터_품목'!A747","→ 마스터 R747")</f>
        <v>→ 마스터 R747</v>
      </c>
      <c r="S208" s="109">
        <v>747</v>
      </c>
      <c r="T208" s="109" t="s">
        <v>72</v>
      </c>
    </row>
    <row r="209" spans="1:20" ht="48" customHeight="1" x14ac:dyDescent="0.3">
      <c r="A209" s="87" t="s">
        <v>1347</v>
      </c>
      <c r="B209" s="87" t="s">
        <v>1351</v>
      </c>
      <c r="C209" s="88" t="s">
        <v>153</v>
      </c>
      <c r="D209" s="88" t="s">
        <v>243</v>
      </c>
      <c r="E209" s="88" t="s">
        <v>242</v>
      </c>
      <c r="F209" s="90" t="s">
        <v>71</v>
      </c>
      <c r="G209" s="91"/>
      <c r="H209" s="92"/>
      <c r="I209" s="93" t="str">
        <f>IFERROR(IF(OR($F209="O",$G209="O",$H209="O"),CHOOSE(MATCH($A209,{"튜브","고압","진공","튜닝","조립","출하"},0),"T","H","V","N","A","P")&amp;IF($F209="O","R",IF($G209="O","A",IF($H209="O","F",""))),""),"")</f>
        <v/>
      </c>
      <c r="J209" s="94"/>
      <c r="K209" s="95"/>
      <c r="L209" s="96"/>
      <c r="M209" s="97" t="s">
        <v>71</v>
      </c>
      <c r="N209" s="98"/>
      <c r="O209" s="99"/>
      <c r="P209" s="100" t="str">
        <f t="shared" si="3"/>
        <v/>
      </c>
      <c r="Q209" s="102" t="s">
        <v>1353</v>
      </c>
      <c r="R209" s="108" t="str">
        <f>HYPERLINK("#'마스터_품목'!A160","→ 마스터 R160")</f>
        <v>→ 마스터 R160</v>
      </c>
      <c r="S209" s="109">
        <v>160</v>
      </c>
      <c r="T209" s="109" t="s">
        <v>72</v>
      </c>
    </row>
    <row r="210" spans="1:20" ht="48" customHeight="1" x14ac:dyDescent="0.3">
      <c r="A210" s="124" t="s">
        <v>164</v>
      </c>
      <c r="B210" s="87" t="s">
        <v>1351</v>
      </c>
      <c r="C210" s="88" t="s">
        <v>153</v>
      </c>
      <c r="D210" s="88" t="s">
        <v>1440</v>
      </c>
      <c r="E210" s="88"/>
      <c r="F210" s="90" t="s">
        <v>71</v>
      </c>
      <c r="G210" s="91"/>
      <c r="H210" s="92"/>
      <c r="I210" s="93" t="str">
        <f>IFERROR(IF(OR($F210="O",$G210="O",$H210="O"),CHOOSE(MATCH($A210,{"튜브","고압","진공","튜닝","조립","출하"},0),"T","H","V","N","A","P")&amp;IF($F210="O","R",IF($G210="O","A",IF($H210="O","F",""))),""),"")</f>
        <v>VR</v>
      </c>
      <c r="J210" s="94"/>
      <c r="K210" s="95"/>
      <c r="L210" s="96"/>
      <c r="M210" s="120" t="s">
        <v>71</v>
      </c>
      <c r="N210" s="98"/>
      <c r="O210" s="99"/>
      <c r="P210" s="100" t="str">
        <f t="shared" si="3"/>
        <v>7-VR</v>
      </c>
      <c r="Q210" s="102" t="s">
        <v>1353</v>
      </c>
      <c r="R210" s="108" t="str">
        <f>HYPERLINK("#'마스터_품목'!A748","→ 마스터 R748")</f>
        <v>→ 마스터 R748</v>
      </c>
      <c r="S210" s="109">
        <v>748</v>
      </c>
      <c r="T210" s="109" t="s">
        <v>72</v>
      </c>
    </row>
    <row r="211" spans="1:20" ht="48" customHeight="1" x14ac:dyDescent="0.3">
      <c r="A211" s="87" t="s">
        <v>1347</v>
      </c>
      <c r="B211" s="87" t="s">
        <v>1351</v>
      </c>
      <c r="C211" s="88" t="s">
        <v>153</v>
      </c>
      <c r="D211" s="88" t="s">
        <v>923</v>
      </c>
      <c r="E211" s="88" t="s">
        <v>922</v>
      </c>
      <c r="F211" s="90" t="s">
        <v>71</v>
      </c>
      <c r="G211" s="91"/>
      <c r="H211" s="92"/>
      <c r="I211" s="93" t="str">
        <f>IFERROR(IF(OR($F211="O",$G211="O",$H211="O"),CHOOSE(MATCH($A211,{"튜브","고압","진공","튜닝","조립","출하"},0),"T","H","V","N","A","P")&amp;IF($F211="O","R",IF($G211="O","A",IF($H211="O","F",""))),""),"")</f>
        <v/>
      </c>
      <c r="J211" s="94"/>
      <c r="K211" s="95"/>
      <c r="L211" s="96"/>
      <c r="M211" s="97" t="s">
        <v>71</v>
      </c>
      <c r="N211" s="98"/>
      <c r="O211" s="99"/>
      <c r="P211" s="100" t="str">
        <f t="shared" si="3"/>
        <v/>
      </c>
      <c r="Q211" s="102" t="s">
        <v>1353</v>
      </c>
      <c r="R211" s="108" t="str">
        <f>HYPERLINK("#'마스터_품목'!A462","→ 마스터 R462")</f>
        <v>→ 마스터 R462</v>
      </c>
      <c r="S211" s="109">
        <v>462</v>
      </c>
      <c r="T211" s="109" t="s">
        <v>72</v>
      </c>
    </row>
    <row r="212" spans="1:20" ht="48" customHeight="1" x14ac:dyDescent="0.3">
      <c r="A212" s="87" t="s">
        <v>1347</v>
      </c>
      <c r="B212" s="87" t="s">
        <v>1351</v>
      </c>
      <c r="C212" s="88" t="s">
        <v>153</v>
      </c>
      <c r="D212" s="88" t="s">
        <v>963</v>
      </c>
      <c r="E212" s="88" t="s">
        <v>962</v>
      </c>
      <c r="F212" s="90" t="s">
        <v>71</v>
      </c>
      <c r="G212" s="91"/>
      <c r="H212" s="92"/>
      <c r="I212" s="93" t="str">
        <f>IFERROR(IF(OR($F212="O",$G212="O",$H212="O"),CHOOSE(MATCH($A212,{"튜브","고압","진공","튜닝","조립","출하"},0),"T","H","V","N","A","P")&amp;IF($F212="O","R",IF($G212="O","A",IF($H212="O","F",""))),""),"")</f>
        <v/>
      </c>
      <c r="J212" s="94"/>
      <c r="K212" s="95"/>
      <c r="L212" s="96"/>
      <c r="M212" s="97" t="s">
        <v>71</v>
      </c>
      <c r="N212" s="98"/>
      <c r="O212" s="99"/>
      <c r="P212" s="100" t="str">
        <f t="shared" si="3"/>
        <v/>
      </c>
      <c r="Q212" s="102" t="s">
        <v>1353</v>
      </c>
      <c r="R212" s="108" t="str">
        <f>HYPERLINK("#'마스터_품목'!A490","→ 마스터 R490")</f>
        <v>→ 마스터 R490</v>
      </c>
      <c r="S212" s="109">
        <v>490</v>
      </c>
      <c r="T212" s="109" t="s">
        <v>72</v>
      </c>
    </row>
    <row r="213" spans="1:20" ht="48" customHeight="1" x14ac:dyDescent="0.3">
      <c r="A213" s="87" t="s">
        <v>1347</v>
      </c>
      <c r="B213" s="87" t="s">
        <v>1351</v>
      </c>
      <c r="C213" s="88" t="s">
        <v>153</v>
      </c>
      <c r="D213" s="88" t="s">
        <v>925</v>
      </c>
      <c r="E213" s="88" t="s">
        <v>924</v>
      </c>
      <c r="F213" s="90" t="s">
        <v>71</v>
      </c>
      <c r="G213" s="91"/>
      <c r="H213" s="92"/>
      <c r="I213" s="93" t="str">
        <f>IFERROR(IF(OR($F213="O",$G213="O",$H213="O"),CHOOSE(MATCH($A213,{"튜브","고압","진공","튜닝","조립","출하"},0),"T","H","V","N","A","P")&amp;IF($F213="O","R",IF($G213="O","A",IF($H213="O","F",""))),""),"")</f>
        <v/>
      </c>
      <c r="J213" s="94"/>
      <c r="K213" s="95"/>
      <c r="L213" s="96"/>
      <c r="M213" s="97" t="s">
        <v>71</v>
      </c>
      <c r="N213" s="98"/>
      <c r="O213" s="99"/>
      <c r="P213" s="100" t="str">
        <f t="shared" si="3"/>
        <v/>
      </c>
      <c r="Q213" s="102" t="s">
        <v>1353</v>
      </c>
      <c r="R213" s="108" t="str">
        <f>HYPERLINK("#'마스터_품목'!A463","→ 마스터 R463")</f>
        <v>→ 마스터 R463</v>
      </c>
      <c r="S213" s="109">
        <v>463</v>
      </c>
      <c r="T213" s="109" t="s">
        <v>72</v>
      </c>
    </row>
    <row r="214" spans="1:20" ht="48" customHeight="1" x14ac:dyDescent="0.3">
      <c r="A214" s="87" t="s">
        <v>1347</v>
      </c>
      <c r="B214" s="87" t="s">
        <v>1351</v>
      </c>
      <c r="C214" s="88" t="s">
        <v>153</v>
      </c>
      <c r="D214" s="88" t="s">
        <v>927</v>
      </c>
      <c r="E214" s="88" t="s">
        <v>926</v>
      </c>
      <c r="F214" s="90" t="s">
        <v>71</v>
      </c>
      <c r="G214" s="91"/>
      <c r="H214" s="92"/>
      <c r="I214" s="93" t="str">
        <f>IFERROR(IF(OR($F214="O",$G214="O",$H214="O"),CHOOSE(MATCH($A214,{"튜브","고압","진공","튜닝","조립","출하"},0),"T","H","V","N","A","P")&amp;IF($F214="O","R",IF($G214="O","A",IF($H214="O","F",""))),""),"")</f>
        <v/>
      </c>
      <c r="J214" s="94"/>
      <c r="K214" s="95"/>
      <c r="L214" s="96"/>
      <c r="M214" s="97" t="s">
        <v>71</v>
      </c>
      <c r="N214" s="98"/>
      <c r="O214" s="99"/>
      <c r="P214" s="100" t="str">
        <f t="shared" si="3"/>
        <v/>
      </c>
      <c r="Q214" s="102" t="s">
        <v>1353</v>
      </c>
      <c r="R214" s="108" t="str">
        <f>HYPERLINK("#'마스터_품목'!A464","→ 마스터 R464")</f>
        <v>→ 마스터 R464</v>
      </c>
      <c r="S214" s="109">
        <v>464</v>
      </c>
      <c r="T214" s="109" t="s">
        <v>72</v>
      </c>
    </row>
    <row r="215" spans="1:20" ht="48" customHeight="1" x14ac:dyDescent="0.3">
      <c r="A215" s="87" t="s">
        <v>1347</v>
      </c>
      <c r="B215" s="87" t="s">
        <v>1351</v>
      </c>
      <c r="C215" s="88" t="s">
        <v>153</v>
      </c>
      <c r="D215" s="88" t="s">
        <v>929</v>
      </c>
      <c r="E215" s="88" t="s">
        <v>928</v>
      </c>
      <c r="F215" s="90" t="s">
        <v>71</v>
      </c>
      <c r="G215" s="91"/>
      <c r="H215" s="92"/>
      <c r="I215" s="93" t="str">
        <f>IFERROR(IF(OR($F215="O",$G215="O",$H215="O"),CHOOSE(MATCH($A215,{"튜브","고압","진공","튜닝","조립","출하"},0),"T","H","V","N","A","P")&amp;IF($F215="O","R",IF($G215="O","A",IF($H215="O","F",""))),""),"")</f>
        <v/>
      </c>
      <c r="J215" s="94"/>
      <c r="K215" s="95"/>
      <c r="L215" s="96"/>
      <c r="M215" s="97" t="s">
        <v>71</v>
      </c>
      <c r="N215" s="98"/>
      <c r="O215" s="99"/>
      <c r="P215" s="100" t="str">
        <f t="shared" si="3"/>
        <v/>
      </c>
      <c r="Q215" s="102" t="s">
        <v>1353</v>
      </c>
      <c r="R215" s="108" t="str">
        <f>HYPERLINK("#'마스터_품목'!A465","→ 마스터 R465")</f>
        <v>→ 마스터 R465</v>
      </c>
      <c r="S215" s="109">
        <v>465</v>
      </c>
      <c r="T215" s="109" t="s">
        <v>72</v>
      </c>
    </row>
    <row r="216" spans="1:20" ht="48" customHeight="1" x14ac:dyDescent="0.3">
      <c r="A216" s="124" t="s">
        <v>354</v>
      </c>
      <c r="B216" s="87" t="s">
        <v>1351</v>
      </c>
      <c r="C216" s="88" t="s">
        <v>153</v>
      </c>
      <c r="D216" s="88" t="s">
        <v>1441</v>
      </c>
      <c r="E216" s="88"/>
      <c r="F216" s="90" t="s">
        <v>71</v>
      </c>
      <c r="G216" s="91"/>
      <c r="H216" s="92"/>
      <c r="I216" s="93" t="str">
        <f>IFERROR(IF(OR($F216="O",$G216="O",$H216="O"),CHOOSE(MATCH($A216,{"튜브","고압","진공","튜닝","조립","출하"},0),"T","H","V","N","A","P")&amp;IF($F216="O","R",IF($G216="O","A",IF($H216="O","F",""))),""),"")</f>
        <v>AR</v>
      </c>
      <c r="J216" s="94"/>
      <c r="K216" s="95"/>
      <c r="L216" s="96"/>
      <c r="M216" s="120" t="s">
        <v>71</v>
      </c>
      <c r="N216" s="98"/>
      <c r="O216" s="99"/>
      <c r="P216" s="100" t="str">
        <f t="shared" si="3"/>
        <v>7-AR</v>
      </c>
      <c r="Q216" s="102" t="s">
        <v>1353</v>
      </c>
      <c r="R216" s="108" t="str">
        <f>HYPERLINK("#'마스터_품목'!A749","→ 마스터 R749")</f>
        <v>→ 마스터 R749</v>
      </c>
      <c r="S216" s="109">
        <v>749</v>
      </c>
      <c r="T216" s="109" t="s">
        <v>72</v>
      </c>
    </row>
    <row r="217" spans="1:20" ht="48" customHeight="1" x14ac:dyDescent="0.3">
      <c r="A217" s="87" t="s">
        <v>1347</v>
      </c>
      <c r="B217" s="87" t="s">
        <v>1359</v>
      </c>
      <c r="C217" s="88" t="s">
        <v>153</v>
      </c>
      <c r="D217" s="88" t="s">
        <v>909</v>
      </c>
      <c r="E217" s="88" t="s">
        <v>1442</v>
      </c>
      <c r="F217" s="90" t="s">
        <v>71</v>
      </c>
      <c r="G217" s="91"/>
      <c r="H217" s="92"/>
      <c r="I217" s="93" t="str">
        <f>IFERROR(IF(OR($F217="O",$G217="O",$H217="O"),CHOOSE(MATCH($A217,{"튜브","고압","진공","튜닝","조립","출하"},0),"T","H","V","N","A","P")&amp;IF($F217="O","R",IF($G217="O","A",IF($H217="O","F",""))),""),"")</f>
        <v/>
      </c>
      <c r="J217" s="94"/>
      <c r="K217" s="95"/>
      <c r="L217" s="96"/>
      <c r="M217" s="97" t="s">
        <v>71</v>
      </c>
      <c r="N217" s="98"/>
      <c r="O217" s="99"/>
      <c r="P217" s="100" t="str">
        <f t="shared" si="3"/>
        <v/>
      </c>
      <c r="Q217" s="102" t="s">
        <v>1353</v>
      </c>
      <c r="R217" s="108" t="str">
        <f>HYPERLINK("#'마스터_품목'!A455","→ 마스터 R455")</f>
        <v>→ 마스터 R455</v>
      </c>
      <c r="S217" s="109">
        <v>455</v>
      </c>
      <c r="T217" s="109" t="s">
        <v>72</v>
      </c>
    </row>
    <row r="218" spans="1:20" ht="48" customHeight="1" x14ac:dyDescent="0.3">
      <c r="A218" s="87" t="s">
        <v>1347</v>
      </c>
      <c r="B218" s="87" t="s">
        <v>1359</v>
      </c>
      <c r="C218" s="88" t="s">
        <v>153</v>
      </c>
      <c r="D218" s="88" t="s">
        <v>911</v>
      </c>
      <c r="E218" s="88" t="s">
        <v>1443</v>
      </c>
      <c r="F218" s="90" t="s">
        <v>71</v>
      </c>
      <c r="G218" s="91"/>
      <c r="H218" s="92"/>
      <c r="I218" s="93" t="str">
        <f>IFERROR(IF(OR($F218="O",$G218="O",$H218="O"),CHOOSE(MATCH($A218,{"튜브","고압","진공","튜닝","조립","출하"},0),"T","H","V","N","A","P")&amp;IF($F218="O","R",IF($G218="O","A",IF($H218="O","F",""))),""),"")</f>
        <v/>
      </c>
      <c r="J218" s="94"/>
      <c r="K218" s="95"/>
      <c r="L218" s="96"/>
      <c r="M218" s="97" t="s">
        <v>71</v>
      </c>
      <c r="N218" s="98"/>
      <c r="O218" s="99"/>
      <c r="P218" s="100" t="str">
        <f t="shared" si="3"/>
        <v/>
      </c>
      <c r="Q218" s="102" t="s">
        <v>1353</v>
      </c>
      <c r="R218" s="108" t="str">
        <f>HYPERLINK("#'마스터_품목'!A456","→ 마스터 R456")</f>
        <v>→ 마스터 R456</v>
      </c>
      <c r="S218" s="109">
        <v>456</v>
      </c>
      <c r="T218" s="109" t="s">
        <v>72</v>
      </c>
    </row>
    <row r="219" spans="1:20" ht="48" customHeight="1" x14ac:dyDescent="0.3">
      <c r="A219" s="87" t="s">
        <v>1347</v>
      </c>
      <c r="B219" s="87" t="s">
        <v>1359</v>
      </c>
      <c r="C219" s="88" t="s">
        <v>153</v>
      </c>
      <c r="D219" s="88" t="s">
        <v>913</v>
      </c>
      <c r="E219" s="88" t="s">
        <v>1444</v>
      </c>
      <c r="F219" s="90" t="s">
        <v>71</v>
      </c>
      <c r="G219" s="91"/>
      <c r="H219" s="92"/>
      <c r="I219" s="93" t="str">
        <f>IFERROR(IF(OR($F219="O",$G219="O",$H219="O"),CHOOSE(MATCH($A219,{"튜브","고압","진공","튜닝","조립","출하"},0),"T","H","V","N","A","P")&amp;IF($F219="O","R",IF($G219="O","A",IF($H219="O","F",""))),""),"")</f>
        <v/>
      </c>
      <c r="J219" s="94"/>
      <c r="K219" s="95"/>
      <c r="L219" s="96"/>
      <c r="M219" s="97" t="s">
        <v>71</v>
      </c>
      <c r="N219" s="98"/>
      <c r="O219" s="99"/>
      <c r="P219" s="100" t="str">
        <f t="shared" si="3"/>
        <v/>
      </c>
      <c r="Q219" s="102" t="s">
        <v>1353</v>
      </c>
      <c r="R219" s="108" t="str">
        <f>HYPERLINK("#'마스터_품목'!A457","→ 마스터 R457")</f>
        <v>→ 마스터 R457</v>
      </c>
      <c r="S219" s="109">
        <v>457</v>
      </c>
      <c r="T219" s="109" t="s">
        <v>72</v>
      </c>
    </row>
    <row r="220" spans="1:20" ht="48" customHeight="1" x14ac:dyDescent="0.3">
      <c r="A220" s="87" t="s">
        <v>1347</v>
      </c>
      <c r="B220" s="87" t="s">
        <v>1359</v>
      </c>
      <c r="C220" s="88" t="s">
        <v>153</v>
      </c>
      <c r="D220" s="88" t="s">
        <v>915</v>
      </c>
      <c r="E220" s="88" t="s">
        <v>1445</v>
      </c>
      <c r="F220" s="90" t="s">
        <v>71</v>
      </c>
      <c r="G220" s="91"/>
      <c r="H220" s="92"/>
      <c r="I220" s="93" t="str">
        <f>IFERROR(IF(OR($F220="O",$G220="O",$H220="O"),CHOOSE(MATCH($A220,{"튜브","고압","진공","튜닝","조립","출하"},0),"T","H","V","N","A","P")&amp;IF($F220="O","R",IF($G220="O","A",IF($H220="O","F",""))),""),"")</f>
        <v/>
      </c>
      <c r="J220" s="94"/>
      <c r="K220" s="95"/>
      <c r="L220" s="96"/>
      <c r="M220" s="97" t="s">
        <v>71</v>
      </c>
      <c r="N220" s="98"/>
      <c r="O220" s="99"/>
      <c r="P220" s="100" t="str">
        <f t="shared" si="3"/>
        <v/>
      </c>
      <c r="Q220" s="102" t="s">
        <v>1353</v>
      </c>
      <c r="R220" s="108" t="str">
        <f>HYPERLINK("#'마스터_품목'!A458","→ 마스터 R458")</f>
        <v>→ 마스터 R458</v>
      </c>
      <c r="S220" s="109">
        <v>458</v>
      </c>
      <c r="T220" s="109" t="s">
        <v>72</v>
      </c>
    </row>
    <row r="221" spans="1:20" ht="48" customHeight="1" x14ac:dyDescent="0.3">
      <c r="A221" s="87" t="s">
        <v>1347</v>
      </c>
      <c r="B221" s="87" t="s">
        <v>1359</v>
      </c>
      <c r="C221" s="88" t="s">
        <v>153</v>
      </c>
      <c r="D221" s="88" t="s">
        <v>917</v>
      </c>
      <c r="E221" s="88" t="s">
        <v>1446</v>
      </c>
      <c r="F221" s="90" t="s">
        <v>71</v>
      </c>
      <c r="G221" s="91"/>
      <c r="H221" s="92"/>
      <c r="I221" s="93" t="str">
        <f>IFERROR(IF(OR($F221="O",$G221="O",$H221="O"),CHOOSE(MATCH($A221,{"튜브","고압","진공","튜닝","조립","출하"},0),"T","H","V","N","A","P")&amp;IF($F221="O","R",IF($G221="O","A",IF($H221="O","F",""))),""),"")</f>
        <v/>
      </c>
      <c r="J221" s="94"/>
      <c r="K221" s="95"/>
      <c r="L221" s="96"/>
      <c r="M221" s="97" t="s">
        <v>71</v>
      </c>
      <c r="N221" s="98"/>
      <c r="O221" s="99"/>
      <c r="P221" s="100" t="str">
        <f t="shared" si="3"/>
        <v/>
      </c>
      <c r="Q221" s="102" t="s">
        <v>1353</v>
      </c>
      <c r="R221" s="108" t="str">
        <f>HYPERLINK("#'마스터_품목'!A459","→ 마스터 R459")</f>
        <v>→ 마스터 R459</v>
      </c>
      <c r="S221" s="109">
        <v>459</v>
      </c>
      <c r="T221" s="109" t="s">
        <v>72</v>
      </c>
    </row>
    <row r="222" spans="1:20" ht="48" customHeight="1" x14ac:dyDescent="0.3">
      <c r="A222" s="87" t="s">
        <v>1347</v>
      </c>
      <c r="B222" s="87" t="s">
        <v>1359</v>
      </c>
      <c r="C222" s="88" t="s">
        <v>153</v>
      </c>
      <c r="D222" s="88" t="s">
        <v>919</v>
      </c>
      <c r="E222" s="88" t="s">
        <v>1447</v>
      </c>
      <c r="F222" s="90" t="s">
        <v>71</v>
      </c>
      <c r="G222" s="91"/>
      <c r="H222" s="92"/>
      <c r="I222" s="93" t="str">
        <f>IFERROR(IF(OR($F222="O",$G222="O",$H222="O"),CHOOSE(MATCH($A222,{"튜브","고압","진공","튜닝","조립","출하"},0),"T","H","V","N","A","P")&amp;IF($F222="O","R",IF($G222="O","A",IF($H222="O","F",""))),""),"")</f>
        <v/>
      </c>
      <c r="J222" s="94"/>
      <c r="K222" s="95"/>
      <c r="L222" s="96"/>
      <c r="M222" s="97" t="s">
        <v>71</v>
      </c>
      <c r="N222" s="98"/>
      <c r="O222" s="99"/>
      <c r="P222" s="100" t="str">
        <f t="shared" si="3"/>
        <v/>
      </c>
      <c r="Q222" s="102" t="s">
        <v>1353</v>
      </c>
      <c r="R222" s="108" t="str">
        <f>HYPERLINK("#'마스터_품목'!A460","→ 마스터 R460")</f>
        <v>→ 마스터 R460</v>
      </c>
      <c r="S222" s="109">
        <v>460</v>
      </c>
      <c r="T222" s="109" t="s">
        <v>72</v>
      </c>
    </row>
    <row r="223" spans="1:20" ht="48" customHeight="1" x14ac:dyDescent="0.3">
      <c r="A223" s="87" t="s">
        <v>1347</v>
      </c>
      <c r="B223" s="87" t="s">
        <v>1359</v>
      </c>
      <c r="C223" s="88" t="s">
        <v>153</v>
      </c>
      <c r="D223" s="88" t="s">
        <v>921</v>
      </c>
      <c r="E223" s="88" t="s">
        <v>1448</v>
      </c>
      <c r="F223" s="90" t="s">
        <v>71</v>
      </c>
      <c r="G223" s="91"/>
      <c r="H223" s="92"/>
      <c r="I223" s="93" t="str">
        <f>IFERROR(IF(OR($F223="O",$G223="O",$H223="O"),CHOOSE(MATCH($A223,{"튜브","고압","진공","튜닝","조립","출하"},0),"T","H","V","N","A","P")&amp;IF($F223="O","R",IF($G223="O","A",IF($H223="O","F",""))),""),"")</f>
        <v/>
      </c>
      <c r="J223" s="94"/>
      <c r="K223" s="95"/>
      <c r="L223" s="96"/>
      <c r="M223" s="97" t="s">
        <v>71</v>
      </c>
      <c r="N223" s="98"/>
      <c r="O223" s="99"/>
      <c r="P223" s="100" t="str">
        <f t="shared" si="3"/>
        <v/>
      </c>
      <c r="Q223" s="102" t="s">
        <v>1353</v>
      </c>
      <c r="R223" s="108" t="str">
        <f>HYPERLINK("#'마스터_품목'!A461","→ 마스터 R461")</f>
        <v>→ 마스터 R461</v>
      </c>
      <c r="S223" s="109">
        <v>461</v>
      </c>
      <c r="T223" s="109" t="s">
        <v>72</v>
      </c>
    </row>
    <row r="224" spans="1:20" ht="48" customHeight="1" x14ac:dyDescent="0.3">
      <c r="A224" s="87" t="s">
        <v>1347</v>
      </c>
      <c r="B224" s="87" t="s">
        <v>1359</v>
      </c>
      <c r="C224" s="88" t="s">
        <v>153</v>
      </c>
      <c r="D224" s="88" t="s">
        <v>965</v>
      </c>
      <c r="E224" s="88" t="s">
        <v>964</v>
      </c>
      <c r="F224" s="90" t="s">
        <v>71</v>
      </c>
      <c r="G224" s="91"/>
      <c r="H224" s="92"/>
      <c r="I224" s="93" t="str">
        <f>IFERROR(IF(OR($F224="O",$G224="O",$H224="O"),CHOOSE(MATCH($A224,{"튜브","고압","진공","튜닝","조립","출하"},0),"T","H","V","N","A","P")&amp;IF($F224="O","R",IF($G224="O","A",IF($H224="O","F",""))),""),"")</f>
        <v/>
      </c>
      <c r="J224" s="94"/>
      <c r="K224" s="95"/>
      <c r="L224" s="96"/>
      <c r="M224" s="97" t="s">
        <v>71</v>
      </c>
      <c r="N224" s="98"/>
      <c r="O224" s="99"/>
      <c r="P224" s="100" t="str">
        <f t="shared" si="3"/>
        <v/>
      </c>
      <c r="Q224" s="102" t="s">
        <v>1353</v>
      </c>
      <c r="R224" s="108" t="str">
        <f>HYPERLINK("#'마스터_품목'!A491","→ 마스터 R491")</f>
        <v>→ 마스터 R491</v>
      </c>
      <c r="S224" s="109">
        <v>491</v>
      </c>
      <c r="T224" s="109" t="s">
        <v>72</v>
      </c>
    </row>
    <row r="225" spans="1:20" ht="48" customHeight="1" x14ac:dyDescent="0.3">
      <c r="A225" s="87" t="s">
        <v>1347</v>
      </c>
      <c r="B225" s="87" t="s">
        <v>1359</v>
      </c>
      <c r="C225" s="88" t="s">
        <v>153</v>
      </c>
      <c r="D225" s="88" t="s">
        <v>967</v>
      </c>
      <c r="E225" s="88" t="s">
        <v>1449</v>
      </c>
      <c r="F225" s="90" t="s">
        <v>71</v>
      </c>
      <c r="G225" s="91"/>
      <c r="H225" s="92"/>
      <c r="I225" s="93" t="str">
        <f>IFERROR(IF(OR($F225="O",$G225="O",$H225="O"),CHOOSE(MATCH($A225,{"튜브","고압","진공","튜닝","조립","출하"},0),"T","H","V","N","A","P")&amp;IF($F225="O","R",IF($G225="O","A",IF($H225="O","F",""))),""),"")</f>
        <v/>
      </c>
      <c r="J225" s="94"/>
      <c r="K225" s="95"/>
      <c r="L225" s="96"/>
      <c r="M225" s="97" t="s">
        <v>71</v>
      </c>
      <c r="N225" s="98"/>
      <c r="O225" s="99"/>
      <c r="P225" s="100" t="str">
        <f t="shared" si="3"/>
        <v/>
      </c>
      <c r="Q225" s="102" t="s">
        <v>1353</v>
      </c>
      <c r="R225" s="108" t="str">
        <f>HYPERLINK("#'마스터_품목'!A492","→ 마스터 R492")</f>
        <v>→ 마스터 R492</v>
      </c>
      <c r="S225" s="109">
        <v>492</v>
      </c>
      <c r="T225" s="109" t="s">
        <v>72</v>
      </c>
    </row>
    <row r="226" spans="1:20" ht="48" customHeight="1" x14ac:dyDescent="0.3">
      <c r="A226" s="87" t="s">
        <v>1347</v>
      </c>
      <c r="B226" s="87" t="s">
        <v>1357</v>
      </c>
      <c r="C226" s="88" t="s">
        <v>153</v>
      </c>
      <c r="D226" s="88" t="s">
        <v>821</v>
      </c>
      <c r="E226" s="88" t="s">
        <v>820</v>
      </c>
      <c r="F226" s="90" t="s">
        <v>71</v>
      </c>
      <c r="G226" s="91"/>
      <c r="H226" s="92"/>
      <c r="I226" s="93" t="str">
        <f>IFERROR(IF(OR($F226="O",$G226="O",$H226="O"),CHOOSE(MATCH($A226,{"튜브","고압","진공","튜닝","조립","출하"},0),"T","H","V","N","A","P")&amp;IF($F226="O","R",IF($G226="O","A",IF($H226="O","F",""))),""),"")</f>
        <v/>
      </c>
      <c r="J226" s="94"/>
      <c r="K226" s="95"/>
      <c r="L226" s="96"/>
      <c r="M226" s="97" t="s">
        <v>71</v>
      </c>
      <c r="N226" s="98"/>
      <c r="O226" s="99"/>
      <c r="P226" s="100" t="str">
        <f t="shared" si="3"/>
        <v/>
      </c>
      <c r="Q226" s="102" t="s">
        <v>1353</v>
      </c>
      <c r="R226" s="108" t="str">
        <f>HYPERLINK("#'마스터_품목'!A409","→ 마스터 R409")</f>
        <v>→ 마스터 R409</v>
      </c>
      <c r="S226" s="109">
        <v>409</v>
      </c>
      <c r="T226" s="109" t="s">
        <v>72</v>
      </c>
    </row>
    <row r="227" spans="1:20" ht="48" customHeight="1" x14ac:dyDescent="0.3">
      <c r="A227" s="87" t="s">
        <v>1347</v>
      </c>
      <c r="B227" s="87" t="s">
        <v>1368</v>
      </c>
      <c r="C227" s="88" t="s">
        <v>153</v>
      </c>
      <c r="D227" s="88" t="s">
        <v>827</v>
      </c>
      <c r="E227" s="88" t="s">
        <v>826</v>
      </c>
      <c r="F227" s="90" t="s">
        <v>71</v>
      </c>
      <c r="G227" s="91"/>
      <c r="H227" s="92"/>
      <c r="I227" s="93" t="str">
        <f>IFERROR(IF(OR($F227="O",$G227="O",$H227="O"),CHOOSE(MATCH($A227,{"튜브","고압","진공","튜닝","조립","출하"},0),"T","H","V","N","A","P")&amp;IF($F227="O","R",IF($G227="O","A",IF($H227="O","F",""))),""),"")</f>
        <v/>
      </c>
      <c r="J227" s="94"/>
      <c r="K227" s="95"/>
      <c r="L227" s="96"/>
      <c r="M227" s="97" t="s">
        <v>71</v>
      </c>
      <c r="N227" s="98"/>
      <c r="O227" s="99"/>
      <c r="P227" s="100" t="str">
        <f t="shared" si="3"/>
        <v/>
      </c>
      <c r="Q227" s="102" t="s">
        <v>1369</v>
      </c>
      <c r="R227" s="108" t="str">
        <f>HYPERLINK("#'마스터_품목'!A411","→ 마스터 R411")</f>
        <v>→ 마스터 R411</v>
      </c>
      <c r="S227" s="109">
        <v>411</v>
      </c>
      <c r="T227" s="109" t="s">
        <v>72</v>
      </c>
    </row>
    <row r="228" spans="1:20" ht="48" customHeight="1" x14ac:dyDescent="0.3">
      <c r="A228" s="87" t="s">
        <v>1347</v>
      </c>
      <c r="B228" s="87" t="s">
        <v>1368</v>
      </c>
      <c r="C228" s="88" t="s">
        <v>153</v>
      </c>
      <c r="D228" s="88" t="s">
        <v>831</v>
      </c>
      <c r="E228" s="88" t="s">
        <v>830</v>
      </c>
      <c r="F228" s="90" t="s">
        <v>71</v>
      </c>
      <c r="G228" s="91"/>
      <c r="H228" s="92"/>
      <c r="I228" s="93" t="str">
        <f>IFERROR(IF(OR($F228="O",$G228="O",$H228="O"),CHOOSE(MATCH($A228,{"튜브","고압","진공","튜닝","조립","출하"},0),"T","H","V","N","A","P")&amp;IF($F228="O","R",IF($G228="O","A",IF($H228="O","F",""))),""),"")</f>
        <v/>
      </c>
      <c r="J228" s="94"/>
      <c r="K228" s="95"/>
      <c r="L228" s="96"/>
      <c r="M228" s="97" t="s">
        <v>71</v>
      </c>
      <c r="N228" s="98"/>
      <c r="O228" s="99"/>
      <c r="P228" s="100" t="str">
        <f t="shared" si="3"/>
        <v/>
      </c>
      <c r="Q228" s="102" t="s">
        <v>1369</v>
      </c>
      <c r="R228" s="108" t="str">
        <f>HYPERLINK("#'마스터_품목'!A413","→ 마스터 R413")</f>
        <v>→ 마스터 R413</v>
      </c>
      <c r="S228" s="109">
        <v>413</v>
      </c>
      <c r="T228" s="109" t="s">
        <v>72</v>
      </c>
    </row>
    <row r="229" spans="1:20" ht="48" customHeight="1" x14ac:dyDescent="0.3">
      <c r="A229" s="87" t="s">
        <v>1347</v>
      </c>
      <c r="B229" s="87" t="s">
        <v>1368</v>
      </c>
      <c r="C229" s="88" t="s">
        <v>153</v>
      </c>
      <c r="D229" s="88" t="s">
        <v>823</v>
      </c>
      <c r="E229" s="88" t="s">
        <v>822</v>
      </c>
      <c r="F229" s="90" t="s">
        <v>71</v>
      </c>
      <c r="G229" s="91"/>
      <c r="H229" s="92"/>
      <c r="I229" s="93" t="str">
        <f>IFERROR(IF(OR($F229="O",$G229="O",$H229="O"),CHOOSE(MATCH($A229,{"튜브","고압","진공","튜닝","조립","출하"},0),"T","H","V","N","A","P")&amp;IF($F229="O","R",IF($G229="O","A",IF($H229="O","F",""))),""),"")</f>
        <v/>
      </c>
      <c r="J229" s="94"/>
      <c r="K229" s="95"/>
      <c r="L229" s="96"/>
      <c r="M229" s="97" t="s">
        <v>71</v>
      </c>
      <c r="N229" s="98"/>
      <c r="O229" s="99"/>
      <c r="P229" s="100" t="str">
        <f t="shared" si="3"/>
        <v/>
      </c>
      <c r="Q229" s="102" t="s">
        <v>1369</v>
      </c>
      <c r="R229" s="108" t="str">
        <f>HYPERLINK("#'마스터_품목'!A410","→ 마스터 R410")</f>
        <v>→ 마스터 R410</v>
      </c>
      <c r="S229" s="109">
        <v>410</v>
      </c>
      <c r="T229" s="109" t="s">
        <v>72</v>
      </c>
    </row>
    <row r="230" spans="1:20" ht="48" customHeight="1" x14ac:dyDescent="0.3">
      <c r="A230" s="87" t="s">
        <v>1347</v>
      </c>
      <c r="B230" s="87" t="s">
        <v>1368</v>
      </c>
      <c r="C230" s="88" t="s">
        <v>153</v>
      </c>
      <c r="D230" s="88" t="s">
        <v>833</v>
      </c>
      <c r="E230" s="88" t="s">
        <v>832</v>
      </c>
      <c r="F230" s="90" t="s">
        <v>71</v>
      </c>
      <c r="G230" s="91"/>
      <c r="H230" s="92"/>
      <c r="I230" s="93" t="str">
        <f>IFERROR(IF(OR($F230="O",$G230="O",$H230="O"),CHOOSE(MATCH($A230,{"튜브","고압","진공","튜닝","조립","출하"},0),"T","H","V","N","A","P")&amp;IF($F230="O","R",IF($G230="O","A",IF($H230="O","F",""))),""),"")</f>
        <v/>
      </c>
      <c r="J230" s="94"/>
      <c r="K230" s="95"/>
      <c r="L230" s="96"/>
      <c r="M230" s="97" t="s">
        <v>71</v>
      </c>
      <c r="N230" s="98"/>
      <c r="O230" s="99"/>
      <c r="P230" s="100" t="str">
        <f t="shared" si="3"/>
        <v/>
      </c>
      <c r="Q230" s="102" t="s">
        <v>1369</v>
      </c>
      <c r="R230" s="108" t="str">
        <f>HYPERLINK("#'마스터_품목'!A414","→ 마스터 R414")</f>
        <v>→ 마스터 R414</v>
      </c>
      <c r="S230" s="109">
        <v>414</v>
      </c>
      <c r="T230" s="109" t="s">
        <v>72</v>
      </c>
    </row>
    <row r="231" spans="1:20" ht="48" customHeight="1" x14ac:dyDescent="0.3">
      <c r="A231" s="87" t="s">
        <v>1347</v>
      </c>
      <c r="B231" s="87" t="s">
        <v>1368</v>
      </c>
      <c r="C231" s="88" t="s">
        <v>153</v>
      </c>
      <c r="D231" s="88" t="s">
        <v>835</v>
      </c>
      <c r="E231" s="88" t="s">
        <v>834</v>
      </c>
      <c r="F231" s="90" t="s">
        <v>71</v>
      </c>
      <c r="G231" s="91"/>
      <c r="H231" s="92"/>
      <c r="I231" s="93" t="str">
        <f>IFERROR(IF(OR($F231="O",$G231="O",$H231="O"),CHOOSE(MATCH($A231,{"튜브","고압","진공","튜닝","조립","출하"},0),"T","H","V","N","A","P")&amp;IF($F231="O","R",IF($G231="O","A",IF($H231="O","F",""))),""),"")</f>
        <v/>
      </c>
      <c r="J231" s="94"/>
      <c r="K231" s="95"/>
      <c r="L231" s="96"/>
      <c r="M231" s="97" t="s">
        <v>71</v>
      </c>
      <c r="N231" s="98"/>
      <c r="O231" s="99"/>
      <c r="P231" s="100" t="str">
        <f t="shared" si="3"/>
        <v/>
      </c>
      <c r="Q231" s="102" t="s">
        <v>1369</v>
      </c>
      <c r="R231" s="108" t="str">
        <f>HYPERLINK("#'마스터_품목'!A415","→ 마스터 R415")</f>
        <v>→ 마스터 R415</v>
      </c>
      <c r="S231" s="109">
        <v>415</v>
      </c>
      <c r="T231" s="109" t="s">
        <v>72</v>
      </c>
    </row>
    <row r="232" spans="1:20" ht="48" customHeight="1" x14ac:dyDescent="0.3">
      <c r="A232" s="87" t="s">
        <v>1347</v>
      </c>
      <c r="B232" s="87" t="s">
        <v>1368</v>
      </c>
      <c r="C232" s="88" t="s">
        <v>153</v>
      </c>
      <c r="D232" s="88" t="s">
        <v>837</v>
      </c>
      <c r="E232" s="88" t="s">
        <v>836</v>
      </c>
      <c r="F232" s="90" t="s">
        <v>71</v>
      </c>
      <c r="G232" s="91"/>
      <c r="H232" s="92"/>
      <c r="I232" s="93" t="str">
        <f>IFERROR(IF(OR($F232="O",$G232="O",$H232="O"),CHOOSE(MATCH($A232,{"튜브","고압","진공","튜닝","조립","출하"},0),"T","H","V","N","A","P")&amp;IF($F232="O","R",IF($G232="O","A",IF($H232="O","F",""))),""),"")</f>
        <v/>
      </c>
      <c r="J232" s="94"/>
      <c r="K232" s="95"/>
      <c r="L232" s="96"/>
      <c r="M232" s="97" t="s">
        <v>71</v>
      </c>
      <c r="N232" s="98"/>
      <c r="O232" s="99"/>
      <c r="P232" s="100" t="str">
        <f t="shared" si="3"/>
        <v/>
      </c>
      <c r="Q232" s="102" t="s">
        <v>1369</v>
      </c>
      <c r="R232" s="108" t="str">
        <f>HYPERLINK("#'마스터_품목'!A416","→ 마스터 R416")</f>
        <v>→ 마스터 R416</v>
      </c>
      <c r="S232" s="109">
        <v>416</v>
      </c>
      <c r="T232" s="109" t="s">
        <v>72</v>
      </c>
    </row>
    <row r="233" spans="1:20" ht="48" customHeight="1" x14ac:dyDescent="0.3">
      <c r="A233" s="87" t="s">
        <v>1347</v>
      </c>
      <c r="B233" s="87" t="s">
        <v>1368</v>
      </c>
      <c r="C233" s="88" t="s">
        <v>153</v>
      </c>
      <c r="D233" s="88" t="s">
        <v>842</v>
      </c>
      <c r="E233" s="88" t="s">
        <v>841</v>
      </c>
      <c r="F233" s="90" t="s">
        <v>71</v>
      </c>
      <c r="G233" s="91"/>
      <c r="H233" s="92"/>
      <c r="I233" s="93" t="str">
        <f>IFERROR(IF(OR($F233="O",$G233="O",$H233="O"),CHOOSE(MATCH($A233,{"튜브","고압","진공","튜닝","조립","출하"},0),"T","H","V","N","A","P")&amp;IF($F233="O","R",IF($G233="O","A",IF($H233="O","F",""))),""),"")</f>
        <v/>
      </c>
      <c r="J233" s="94"/>
      <c r="K233" s="95"/>
      <c r="L233" s="96"/>
      <c r="M233" s="97" t="s">
        <v>71</v>
      </c>
      <c r="N233" s="98"/>
      <c r="O233" s="99"/>
      <c r="P233" s="100" t="str">
        <f t="shared" si="3"/>
        <v/>
      </c>
      <c r="Q233" s="102" t="s">
        <v>1369</v>
      </c>
      <c r="R233" s="108" t="str">
        <f>HYPERLINK("#'마스터_품목'!A418","→ 마스터 R418")</f>
        <v>→ 마스터 R418</v>
      </c>
      <c r="S233" s="109">
        <v>418</v>
      </c>
      <c r="T233" s="109" t="s">
        <v>72</v>
      </c>
    </row>
    <row r="234" spans="1:20" ht="48" customHeight="1" x14ac:dyDescent="0.3">
      <c r="A234" s="87" t="s">
        <v>1347</v>
      </c>
      <c r="B234" s="87" t="s">
        <v>1368</v>
      </c>
      <c r="C234" s="88" t="s">
        <v>153</v>
      </c>
      <c r="D234" s="88" t="s">
        <v>844</v>
      </c>
      <c r="E234" s="88" t="s">
        <v>843</v>
      </c>
      <c r="F234" s="90" t="s">
        <v>71</v>
      </c>
      <c r="G234" s="91"/>
      <c r="H234" s="92"/>
      <c r="I234" s="93" t="str">
        <f>IFERROR(IF(OR($F234="O",$G234="O",$H234="O"),CHOOSE(MATCH($A234,{"튜브","고압","진공","튜닝","조립","출하"},0),"T","H","V","N","A","P")&amp;IF($F234="O","R",IF($G234="O","A",IF($H234="O","F",""))),""),"")</f>
        <v/>
      </c>
      <c r="J234" s="94"/>
      <c r="K234" s="95"/>
      <c r="L234" s="96"/>
      <c r="M234" s="97" t="s">
        <v>71</v>
      </c>
      <c r="N234" s="98"/>
      <c r="O234" s="99"/>
      <c r="P234" s="100" t="str">
        <f t="shared" si="3"/>
        <v/>
      </c>
      <c r="Q234" s="102" t="s">
        <v>1369</v>
      </c>
      <c r="R234" s="108" t="str">
        <f>HYPERLINK("#'마스터_품목'!A419","→ 마스터 R419")</f>
        <v>→ 마스터 R419</v>
      </c>
      <c r="S234" s="109">
        <v>419</v>
      </c>
      <c r="T234" s="109" t="s">
        <v>72</v>
      </c>
    </row>
    <row r="235" spans="1:20" ht="48" customHeight="1" x14ac:dyDescent="0.3">
      <c r="A235" s="87" t="s">
        <v>1347</v>
      </c>
      <c r="B235" s="87" t="s">
        <v>1368</v>
      </c>
      <c r="C235" s="88" t="s">
        <v>153</v>
      </c>
      <c r="D235" s="88" t="s">
        <v>891</v>
      </c>
      <c r="E235" s="88" t="s">
        <v>890</v>
      </c>
      <c r="F235" s="90" t="s">
        <v>71</v>
      </c>
      <c r="G235" s="91"/>
      <c r="H235" s="92"/>
      <c r="I235" s="93" t="str">
        <f>IFERROR(IF(OR($F235="O",$G235="O",$H235="O"),CHOOSE(MATCH($A235,{"튜브","고압","진공","튜닝","조립","출하"},0),"T","H","V","N","A","P")&amp;IF($F235="O","R",IF($G235="O","A",IF($H235="O","F",""))),""),"")</f>
        <v/>
      </c>
      <c r="J235" s="94"/>
      <c r="K235" s="95"/>
      <c r="L235" s="96"/>
      <c r="M235" s="97" t="s">
        <v>71</v>
      </c>
      <c r="N235" s="98"/>
      <c r="O235" s="99"/>
      <c r="P235" s="100" t="str">
        <f t="shared" si="3"/>
        <v/>
      </c>
      <c r="Q235" s="102" t="s">
        <v>1369</v>
      </c>
      <c r="R235" s="108" t="str">
        <f>HYPERLINK("#'마스터_품목'!A446","→ 마스터 R446")</f>
        <v>→ 마스터 R446</v>
      </c>
      <c r="S235" s="109">
        <v>446</v>
      </c>
      <c r="T235" s="109" t="s">
        <v>72</v>
      </c>
    </row>
    <row r="236" spans="1:20" ht="48" customHeight="1" x14ac:dyDescent="0.3">
      <c r="A236" s="87" t="s">
        <v>1347</v>
      </c>
      <c r="B236" s="87" t="s">
        <v>1368</v>
      </c>
      <c r="C236" s="88" t="s">
        <v>153</v>
      </c>
      <c r="D236" s="88" t="s">
        <v>897</v>
      </c>
      <c r="E236" s="88" t="s">
        <v>896</v>
      </c>
      <c r="F236" s="90" t="s">
        <v>71</v>
      </c>
      <c r="G236" s="91"/>
      <c r="H236" s="92"/>
      <c r="I236" s="93" t="str">
        <f>IFERROR(IF(OR($F236="O",$G236="O",$H236="O"),CHOOSE(MATCH($A236,{"튜브","고압","진공","튜닝","조립","출하"},0),"T","H","V","N","A","P")&amp;IF($F236="O","R",IF($G236="O","A",IF($H236="O","F",""))),""),"")</f>
        <v/>
      </c>
      <c r="J236" s="94"/>
      <c r="K236" s="95"/>
      <c r="L236" s="96"/>
      <c r="M236" s="97" t="s">
        <v>71</v>
      </c>
      <c r="N236" s="98"/>
      <c r="O236" s="99"/>
      <c r="P236" s="100" t="str">
        <f t="shared" si="3"/>
        <v/>
      </c>
      <c r="Q236" s="102" t="s">
        <v>1369</v>
      </c>
      <c r="R236" s="108" t="str">
        <f>HYPERLINK("#'마스터_품목'!A449","→ 마스터 R449")</f>
        <v>→ 마스터 R449</v>
      </c>
      <c r="S236" s="109">
        <v>449</v>
      </c>
      <c r="T236" s="109" t="s">
        <v>72</v>
      </c>
    </row>
    <row r="237" spans="1:20" ht="48" customHeight="1" x14ac:dyDescent="0.3">
      <c r="A237" s="87" t="s">
        <v>1347</v>
      </c>
      <c r="B237" s="87" t="s">
        <v>1368</v>
      </c>
      <c r="C237" s="88" t="s">
        <v>153</v>
      </c>
      <c r="D237" s="88" t="s">
        <v>899</v>
      </c>
      <c r="E237" s="88" t="s">
        <v>898</v>
      </c>
      <c r="F237" s="90" t="s">
        <v>71</v>
      </c>
      <c r="G237" s="91"/>
      <c r="H237" s="92"/>
      <c r="I237" s="93" t="str">
        <f>IFERROR(IF(OR($F237="O",$G237="O",$H237="O"),CHOOSE(MATCH($A237,{"튜브","고압","진공","튜닝","조립","출하"},0),"T","H","V","N","A","P")&amp;IF($F237="O","R",IF($G237="O","A",IF($H237="O","F",""))),""),"")</f>
        <v/>
      </c>
      <c r="J237" s="94"/>
      <c r="K237" s="95"/>
      <c r="L237" s="96"/>
      <c r="M237" s="97" t="s">
        <v>71</v>
      </c>
      <c r="N237" s="98"/>
      <c r="O237" s="99"/>
      <c r="P237" s="100" t="str">
        <f t="shared" si="3"/>
        <v/>
      </c>
      <c r="Q237" s="102" t="s">
        <v>1369</v>
      </c>
      <c r="R237" s="108" t="str">
        <f>HYPERLINK("#'마스터_품목'!A450","→ 마스터 R450")</f>
        <v>→ 마스터 R450</v>
      </c>
      <c r="S237" s="109">
        <v>450</v>
      </c>
      <c r="T237" s="109" t="s">
        <v>72</v>
      </c>
    </row>
    <row r="238" spans="1:20" ht="48" customHeight="1" x14ac:dyDescent="0.3">
      <c r="A238" s="87" t="s">
        <v>1347</v>
      </c>
      <c r="B238" s="87" t="s">
        <v>1368</v>
      </c>
      <c r="C238" s="88" t="s">
        <v>153</v>
      </c>
      <c r="D238" s="88" t="s">
        <v>951</v>
      </c>
      <c r="E238" s="88" t="s">
        <v>950</v>
      </c>
      <c r="F238" s="90" t="s">
        <v>71</v>
      </c>
      <c r="G238" s="91"/>
      <c r="H238" s="92"/>
      <c r="I238" s="93" t="str">
        <f>IFERROR(IF(OR($F238="O",$G238="O",$H238="O"),CHOOSE(MATCH($A238,{"튜브","고압","진공","튜닝","조립","출하"},0),"T","H","V","N","A","P")&amp;IF($F238="O","R",IF($G238="O","A",IF($H238="O","F",""))),""),"")</f>
        <v/>
      </c>
      <c r="J238" s="94"/>
      <c r="K238" s="95"/>
      <c r="L238" s="96"/>
      <c r="M238" s="97" t="s">
        <v>71</v>
      </c>
      <c r="N238" s="98"/>
      <c r="O238" s="99"/>
      <c r="P238" s="100" t="str">
        <f t="shared" si="3"/>
        <v/>
      </c>
      <c r="Q238" s="102" t="s">
        <v>1369</v>
      </c>
      <c r="R238" s="108" t="str">
        <f>HYPERLINK("#'마스터_품목'!A484","→ 마스터 R484")</f>
        <v>→ 마스터 R484</v>
      </c>
      <c r="S238" s="109">
        <v>484</v>
      </c>
      <c r="T238" s="109" t="s">
        <v>72</v>
      </c>
    </row>
    <row r="239" spans="1:20" ht="48" customHeight="1" x14ac:dyDescent="0.3">
      <c r="A239" s="87" t="s">
        <v>1347</v>
      </c>
      <c r="B239" s="87" t="s">
        <v>1368</v>
      </c>
      <c r="C239" s="88" t="s">
        <v>153</v>
      </c>
      <c r="D239" s="88" t="s">
        <v>893</v>
      </c>
      <c r="E239" s="88" t="s">
        <v>892</v>
      </c>
      <c r="F239" s="90" t="s">
        <v>71</v>
      </c>
      <c r="G239" s="91"/>
      <c r="H239" s="92"/>
      <c r="I239" s="93" t="str">
        <f>IFERROR(IF(OR($F239="O",$G239="O",$H239="O"),CHOOSE(MATCH($A239,{"튜브","고압","진공","튜닝","조립","출하"},0),"T","H","V","N","A","P")&amp;IF($F239="O","R",IF($G239="O","A",IF($H239="O","F",""))),""),"")</f>
        <v/>
      </c>
      <c r="J239" s="94"/>
      <c r="K239" s="95"/>
      <c r="L239" s="96"/>
      <c r="M239" s="97" t="s">
        <v>71</v>
      </c>
      <c r="N239" s="98"/>
      <c r="O239" s="99"/>
      <c r="P239" s="100" t="str">
        <f t="shared" si="3"/>
        <v/>
      </c>
      <c r="Q239" s="102" t="s">
        <v>1369</v>
      </c>
      <c r="R239" s="108" t="str">
        <f>HYPERLINK("#'마스터_품목'!A447","→ 마스터 R447")</f>
        <v>→ 마스터 R447</v>
      </c>
      <c r="S239" s="109">
        <v>447</v>
      </c>
      <c r="T239" s="109" t="s">
        <v>72</v>
      </c>
    </row>
    <row r="240" spans="1:20" ht="48" customHeight="1" x14ac:dyDescent="0.3">
      <c r="A240" s="87" t="s">
        <v>1347</v>
      </c>
      <c r="B240" s="87" t="s">
        <v>1368</v>
      </c>
      <c r="C240" s="88" t="s">
        <v>153</v>
      </c>
      <c r="D240" s="88" t="s">
        <v>895</v>
      </c>
      <c r="E240" s="88" t="s">
        <v>894</v>
      </c>
      <c r="F240" s="90" t="s">
        <v>71</v>
      </c>
      <c r="G240" s="91"/>
      <c r="H240" s="92"/>
      <c r="I240" s="93" t="str">
        <f>IFERROR(IF(OR($F240="O",$G240="O",$H240="O"),CHOOSE(MATCH($A240,{"튜브","고압","진공","튜닝","조립","출하"},0),"T","H","V","N","A","P")&amp;IF($F240="O","R",IF($G240="O","A",IF($H240="O","F",""))),""),"")</f>
        <v/>
      </c>
      <c r="J240" s="94"/>
      <c r="K240" s="95"/>
      <c r="L240" s="96"/>
      <c r="M240" s="97" t="s">
        <v>71</v>
      </c>
      <c r="N240" s="98"/>
      <c r="O240" s="99"/>
      <c r="P240" s="100" t="str">
        <f t="shared" si="3"/>
        <v/>
      </c>
      <c r="Q240" s="102" t="s">
        <v>1369</v>
      </c>
      <c r="R240" s="108" t="str">
        <f>HYPERLINK("#'마스터_품목'!A448","→ 마스터 R448")</f>
        <v>→ 마스터 R448</v>
      </c>
      <c r="S240" s="109">
        <v>448</v>
      </c>
      <c r="T240" s="109" t="s">
        <v>72</v>
      </c>
    </row>
    <row r="241" spans="1:20" ht="48" customHeight="1" x14ac:dyDescent="0.3">
      <c r="A241" s="87" t="s">
        <v>1347</v>
      </c>
      <c r="B241" s="87" t="s">
        <v>1368</v>
      </c>
      <c r="C241" s="88" t="s">
        <v>153</v>
      </c>
      <c r="D241" s="88" t="s">
        <v>847</v>
      </c>
      <c r="E241" s="88" t="s">
        <v>846</v>
      </c>
      <c r="F241" s="90" t="s">
        <v>71</v>
      </c>
      <c r="G241" s="91"/>
      <c r="H241" s="92"/>
      <c r="I241" s="93" t="str">
        <f>IFERROR(IF(OR($F241="O",$G241="O",$H241="O"),CHOOSE(MATCH($A241,{"튜브","고압","진공","튜닝","조립","출하"},0),"T","H","V","N","A","P")&amp;IF($F241="O","R",IF($G241="O","A",IF($H241="O","F",""))),""),"")</f>
        <v/>
      </c>
      <c r="J241" s="94"/>
      <c r="K241" s="95"/>
      <c r="L241" s="96"/>
      <c r="M241" s="97" t="s">
        <v>71</v>
      </c>
      <c r="N241" s="98"/>
      <c r="O241" s="99"/>
      <c r="P241" s="100" t="str">
        <f t="shared" si="3"/>
        <v/>
      </c>
      <c r="Q241" s="102" t="s">
        <v>1369</v>
      </c>
      <c r="R241" s="108" t="str">
        <f>HYPERLINK("#'마스터_품목'!A420","→ 마스터 R420")</f>
        <v>→ 마스터 R420</v>
      </c>
      <c r="S241" s="109">
        <v>420</v>
      </c>
      <c r="T241" s="109" t="s">
        <v>72</v>
      </c>
    </row>
    <row r="242" spans="1:20" ht="48" customHeight="1" x14ac:dyDescent="0.3">
      <c r="A242" s="87" t="s">
        <v>1347</v>
      </c>
      <c r="B242" s="87" t="s">
        <v>1368</v>
      </c>
      <c r="C242" s="88" t="s">
        <v>153</v>
      </c>
      <c r="D242" s="88" t="s">
        <v>849</v>
      </c>
      <c r="E242" s="88" t="s">
        <v>848</v>
      </c>
      <c r="F242" s="90" t="s">
        <v>71</v>
      </c>
      <c r="G242" s="91"/>
      <c r="H242" s="92"/>
      <c r="I242" s="93" t="str">
        <f>IFERROR(IF(OR($F242="O",$G242="O",$H242="O"),CHOOSE(MATCH($A242,{"튜브","고압","진공","튜닝","조립","출하"},0),"T","H","V","N","A","P")&amp;IF($F242="O","R",IF($G242="O","A",IF($H242="O","F",""))),""),"")</f>
        <v/>
      </c>
      <c r="J242" s="94"/>
      <c r="K242" s="95"/>
      <c r="L242" s="96"/>
      <c r="M242" s="97" t="s">
        <v>71</v>
      </c>
      <c r="N242" s="98"/>
      <c r="O242" s="99"/>
      <c r="P242" s="100" t="str">
        <f t="shared" si="3"/>
        <v/>
      </c>
      <c r="Q242" s="102" t="s">
        <v>1369</v>
      </c>
      <c r="R242" s="108" t="str">
        <f>HYPERLINK("#'마스터_품목'!A421","→ 마스터 R421")</f>
        <v>→ 마스터 R421</v>
      </c>
      <c r="S242" s="109">
        <v>421</v>
      </c>
      <c r="T242" s="109" t="s">
        <v>72</v>
      </c>
    </row>
    <row r="243" spans="1:20" ht="48" customHeight="1" x14ac:dyDescent="0.3">
      <c r="A243" s="87" t="s">
        <v>1347</v>
      </c>
      <c r="B243" s="87" t="s">
        <v>1368</v>
      </c>
      <c r="C243" s="88" t="s">
        <v>153</v>
      </c>
      <c r="D243" s="88" t="s">
        <v>861</v>
      </c>
      <c r="E243" s="88" t="s">
        <v>860</v>
      </c>
      <c r="F243" s="90" t="s">
        <v>71</v>
      </c>
      <c r="G243" s="91"/>
      <c r="H243" s="92"/>
      <c r="I243" s="93" t="str">
        <f>IFERROR(IF(OR($F243="O",$G243="O",$H243="O"),CHOOSE(MATCH($A243,{"튜브","고압","진공","튜닝","조립","출하"},0),"T","H","V","N","A","P")&amp;IF($F243="O","R",IF($G243="O","A",IF($H243="O","F",""))),""),"")</f>
        <v/>
      </c>
      <c r="J243" s="94"/>
      <c r="K243" s="95"/>
      <c r="L243" s="96"/>
      <c r="M243" s="97" t="s">
        <v>71</v>
      </c>
      <c r="N243" s="98"/>
      <c r="O243" s="99"/>
      <c r="P243" s="100" t="str">
        <f t="shared" si="3"/>
        <v/>
      </c>
      <c r="Q243" s="102" t="s">
        <v>1369</v>
      </c>
      <c r="R243" s="108" t="str">
        <f>HYPERLINK("#'마스터_품목'!A426","→ 마스터 R426")</f>
        <v>→ 마스터 R426</v>
      </c>
      <c r="S243" s="109">
        <v>426</v>
      </c>
      <c r="T243" s="109" t="s">
        <v>72</v>
      </c>
    </row>
    <row r="244" spans="1:20" ht="48" customHeight="1" x14ac:dyDescent="0.3">
      <c r="A244" s="87" t="s">
        <v>1347</v>
      </c>
      <c r="B244" s="87" t="s">
        <v>1368</v>
      </c>
      <c r="C244" s="88" t="s">
        <v>153</v>
      </c>
      <c r="D244" s="88" t="s">
        <v>871</v>
      </c>
      <c r="E244" s="88" t="s">
        <v>870</v>
      </c>
      <c r="F244" s="90" t="s">
        <v>71</v>
      </c>
      <c r="G244" s="91"/>
      <c r="H244" s="92"/>
      <c r="I244" s="93" t="str">
        <f>IFERROR(IF(OR($F244="O",$G244="O",$H244="O"),CHOOSE(MATCH($A244,{"튜브","고압","진공","튜닝","조립","출하"},0),"T","H","V","N","A","P")&amp;IF($F244="O","R",IF($G244="O","A",IF($H244="O","F",""))),""),"")</f>
        <v/>
      </c>
      <c r="J244" s="94"/>
      <c r="K244" s="95"/>
      <c r="L244" s="96"/>
      <c r="M244" s="97" t="s">
        <v>71</v>
      </c>
      <c r="N244" s="98"/>
      <c r="O244" s="99"/>
      <c r="P244" s="100" t="str">
        <f t="shared" si="3"/>
        <v/>
      </c>
      <c r="Q244" s="102" t="s">
        <v>1369</v>
      </c>
      <c r="R244" s="108" t="str">
        <f>HYPERLINK("#'마스터_품목'!A430","→ 마스터 R430")</f>
        <v>→ 마스터 R430</v>
      </c>
      <c r="S244" s="109">
        <v>430</v>
      </c>
      <c r="T244" s="109" t="s">
        <v>72</v>
      </c>
    </row>
    <row r="245" spans="1:20" ht="48" customHeight="1" x14ac:dyDescent="0.3">
      <c r="A245" s="87" t="s">
        <v>1347</v>
      </c>
      <c r="B245" s="87" t="s">
        <v>1368</v>
      </c>
      <c r="C245" s="88" t="s">
        <v>153</v>
      </c>
      <c r="D245" s="88" t="s">
        <v>873</v>
      </c>
      <c r="E245" s="88" t="s">
        <v>872</v>
      </c>
      <c r="F245" s="90" t="s">
        <v>71</v>
      </c>
      <c r="G245" s="91"/>
      <c r="H245" s="92"/>
      <c r="I245" s="93" t="str">
        <f>IFERROR(IF(OR($F245="O",$G245="O",$H245="O"),CHOOSE(MATCH($A245,{"튜브","고압","진공","튜닝","조립","출하"},0),"T","H","V","N","A","P")&amp;IF($F245="O","R",IF($G245="O","A",IF($H245="O","F",""))),""),"")</f>
        <v/>
      </c>
      <c r="J245" s="94"/>
      <c r="K245" s="95"/>
      <c r="L245" s="96"/>
      <c r="M245" s="97" t="s">
        <v>71</v>
      </c>
      <c r="N245" s="98"/>
      <c r="O245" s="99"/>
      <c r="P245" s="100" t="str">
        <f t="shared" si="3"/>
        <v/>
      </c>
      <c r="Q245" s="102" t="s">
        <v>1369</v>
      </c>
      <c r="R245" s="108" t="str">
        <f>HYPERLINK("#'마스터_품목'!A431","→ 마스터 R431")</f>
        <v>→ 마스터 R431</v>
      </c>
      <c r="S245" s="109">
        <v>431</v>
      </c>
      <c r="T245" s="109" t="s">
        <v>72</v>
      </c>
    </row>
    <row r="246" spans="1:20" ht="48" customHeight="1" x14ac:dyDescent="0.3">
      <c r="A246" s="87" t="s">
        <v>1347</v>
      </c>
      <c r="B246" s="87" t="s">
        <v>1450</v>
      </c>
      <c r="C246" s="88" t="s">
        <v>153</v>
      </c>
      <c r="D246" s="88" t="s">
        <v>875</v>
      </c>
      <c r="E246" s="88" t="s">
        <v>874</v>
      </c>
      <c r="F246" s="90" t="s">
        <v>71</v>
      </c>
      <c r="G246" s="91"/>
      <c r="H246" s="92"/>
      <c r="I246" s="93" t="str">
        <f>IFERROR(IF(OR($F246="O",$G246="O",$H246="O"),CHOOSE(MATCH($A246,{"튜브","고압","진공","튜닝","조립","출하"},0),"T","H","V","N","A","P")&amp;IF($F246="O","R",IF($G246="O","A",IF($H246="O","F",""))),""),"")</f>
        <v/>
      </c>
      <c r="J246" s="94"/>
      <c r="K246" s="95"/>
      <c r="L246" s="96"/>
      <c r="M246" s="97" t="s">
        <v>71</v>
      </c>
      <c r="N246" s="98"/>
      <c r="O246" s="99"/>
      <c r="P246" s="100" t="str">
        <f t="shared" si="3"/>
        <v/>
      </c>
      <c r="Q246" s="102" t="s">
        <v>1369</v>
      </c>
      <c r="R246" s="108" t="str">
        <f>HYPERLINK("#'마스터_품목'!A432","→ 마스터 R432")</f>
        <v>→ 마스터 R432</v>
      </c>
      <c r="S246" s="109">
        <v>432</v>
      </c>
      <c r="T246" s="109" t="s">
        <v>72</v>
      </c>
    </row>
    <row r="247" spans="1:20" ht="48" customHeight="1" x14ac:dyDescent="0.3">
      <c r="A247" s="87" t="s">
        <v>1347</v>
      </c>
      <c r="B247" s="87" t="s">
        <v>1368</v>
      </c>
      <c r="C247" s="88" t="s">
        <v>153</v>
      </c>
      <c r="D247" s="88" t="s">
        <v>851</v>
      </c>
      <c r="E247" s="88" t="s">
        <v>850</v>
      </c>
      <c r="F247" s="90" t="s">
        <v>71</v>
      </c>
      <c r="G247" s="91"/>
      <c r="H247" s="92"/>
      <c r="I247" s="93" t="str">
        <f>IFERROR(IF(OR($F247="O",$G247="O",$H247="O"),CHOOSE(MATCH($A247,{"튜브","고압","진공","튜닝","조립","출하"},0),"T","H","V","N","A","P")&amp;IF($F247="O","R",IF($G247="O","A",IF($H247="O","F",""))),""),"")</f>
        <v/>
      </c>
      <c r="J247" s="94"/>
      <c r="K247" s="95"/>
      <c r="L247" s="96"/>
      <c r="M247" s="97" t="s">
        <v>71</v>
      </c>
      <c r="N247" s="98"/>
      <c r="O247" s="99"/>
      <c r="P247" s="100" t="str">
        <f t="shared" si="3"/>
        <v/>
      </c>
      <c r="Q247" s="113" t="s">
        <v>1369</v>
      </c>
      <c r="R247" s="108" t="str">
        <f>HYPERLINK("#'마스터_품목'!A422","→ 마스터 R422")</f>
        <v>→ 마스터 R422</v>
      </c>
      <c r="S247" s="109">
        <v>422</v>
      </c>
      <c r="T247" s="109" t="s">
        <v>72</v>
      </c>
    </row>
    <row r="248" spans="1:20" ht="48" customHeight="1" x14ac:dyDescent="0.3">
      <c r="A248" s="87" t="s">
        <v>1347</v>
      </c>
      <c r="B248" s="87" t="s">
        <v>1368</v>
      </c>
      <c r="C248" s="88" t="s">
        <v>153</v>
      </c>
      <c r="D248" s="88" t="s">
        <v>853</v>
      </c>
      <c r="E248" s="88" t="s">
        <v>852</v>
      </c>
      <c r="F248" s="90" t="s">
        <v>71</v>
      </c>
      <c r="G248" s="91"/>
      <c r="H248" s="92"/>
      <c r="I248" s="93" t="str">
        <f>IFERROR(IF(OR($F248="O",$G248="O",$H248="O"),CHOOSE(MATCH($A248,{"튜브","고압","진공","튜닝","조립","출하"},0),"T","H","V","N","A","P")&amp;IF($F248="O","R",IF($G248="O","A",IF($H248="O","F",""))),""),"")</f>
        <v/>
      </c>
      <c r="J248" s="94"/>
      <c r="K248" s="95"/>
      <c r="L248" s="96"/>
      <c r="M248" s="97" t="s">
        <v>71</v>
      </c>
      <c r="N248" s="98"/>
      <c r="O248" s="99"/>
      <c r="P248" s="100" t="str">
        <f t="shared" si="3"/>
        <v/>
      </c>
      <c r="Q248" s="113" t="s">
        <v>1369</v>
      </c>
      <c r="R248" s="108" t="str">
        <f>HYPERLINK("#'마스터_품목'!A423","→ 마스터 R423")</f>
        <v>→ 마스터 R423</v>
      </c>
      <c r="S248" s="109">
        <v>423</v>
      </c>
      <c r="T248" s="109" t="s">
        <v>72</v>
      </c>
    </row>
    <row r="249" spans="1:20" ht="48" customHeight="1" x14ac:dyDescent="0.3">
      <c r="A249" s="87" t="s">
        <v>1347</v>
      </c>
      <c r="B249" s="87" t="s">
        <v>1368</v>
      </c>
      <c r="C249" s="88" t="s">
        <v>153</v>
      </c>
      <c r="D249" s="88" t="s">
        <v>856</v>
      </c>
      <c r="E249" s="88" t="s">
        <v>855</v>
      </c>
      <c r="F249" s="90" t="s">
        <v>71</v>
      </c>
      <c r="G249" s="91"/>
      <c r="H249" s="92"/>
      <c r="I249" s="93" t="str">
        <f>IFERROR(IF(OR($F249="O",$G249="O",$H249="O"),CHOOSE(MATCH($A249,{"튜브","고압","진공","튜닝","조립","출하"},0),"T","H","V","N","A","P")&amp;IF($F249="O","R",IF($G249="O","A",IF($H249="O","F",""))),""),"")</f>
        <v/>
      </c>
      <c r="J249" s="94"/>
      <c r="K249" s="95"/>
      <c r="L249" s="96"/>
      <c r="M249" s="97" t="s">
        <v>71</v>
      </c>
      <c r="N249" s="98"/>
      <c r="O249" s="99"/>
      <c r="P249" s="100" t="str">
        <f t="shared" si="3"/>
        <v/>
      </c>
      <c r="Q249" s="102" t="s">
        <v>1369</v>
      </c>
      <c r="R249" s="108" t="str">
        <f>HYPERLINK("#'마스터_품목'!A424","→ 마스터 R424")</f>
        <v>→ 마스터 R424</v>
      </c>
      <c r="S249" s="109">
        <v>424</v>
      </c>
      <c r="T249" s="109" t="s">
        <v>72</v>
      </c>
    </row>
    <row r="250" spans="1:20" ht="48" customHeight="1" x14ac:dyDescent="0.3">
      <c r="A250" s="87" t="s">
        <v>1347</v>
      </c>
      <c r="B250" s="87" t="s">
        <v>1368</v>
      </c>
      <c r="C250" s="88" t="s">
        <v>1451</v>
      </c>
      <c r="D250" s="88" t="s">
        <v>467</v>
      </c>
      <c r="E250" s="88" t="s">
        <v>466</v>
      </c>
      <c r="F250" s="90" t="s">
        <v>71</v>
      </c>
      <c r="G250" s="91"/>
      <c r="H250" s="92"/>
      <c r="I250" s="93" t="str">
        <f>IFERROR(IF(OR($F250="O",$G250="O",$H250="O"),CHOOSE(MATCH($A250,{"튜브","고압","진공","튜닝","조립","출하"},0),"T","H","V","N","A","P")&amp;IF($F250="O","R",IF($G250="O","A",IF($H250="O","F",""))),""),"")</f>
        <v/>
      </c>
      <c r="J250" s="94" t="s">
        <v>71</v>
      </c>
      <c r="K250" s="95"/>
      <c r="L250" s="96" t="s">
        <v>71</v>
      </c>
      <c r="M250" s="97"/>
      <c r="N250" s="98" t="s">
        <v>71</v>
      </c>
      <c r="O250" s="99"/>
      <c r="P250" s="100" t="str">
        <f t="shared" si="3"/>
        <v/>
      </c>
      <c r="Q250" s="102" t="s">
        <v>1452</v>
      </c>
      <c r="R250" s="108" t="str">
        <f>HYPERLINK("#'마스터_품목'!A238","→ 마스터 R238")</f>
        <v>→ 마스터 R238</v>
      </c>
      <c r="S250" s="109">
        <v>238</v>
      </c>
      <c r="T250" s="109" t="s">
        <v>72</v>
      </c>
    </row>
    <row r="251" spans="1:20" ht="48" customHeight="1" x14ac:dyDescent="0.3">
      <c r="A251" s="87" t="s">
        <v>1347</v>
      </c>
      <c r="B251" s="87" t="s">
        <v>1413</v>
      </c>
      <c r="C251" s="88" t="s">
        <v>1451</v>
      </c>
      <c r="D251" s="88" t="s">
        <v>461</v>
      </c>
      <c r="E251" s="88" t="s">
        <v>460</v>
      </c>
      <c r="F251" s="90" t="s">
        <v>71</v>
      </c>
      <c r="G251" s="91"/>
      <c r="H251" s="92"/>
      <c r="I251" s="93" t="str">
        <f>IFERROR(IF(OR($F251="O",$G251="O",$H251="O"),CHOOSE(MATCH($A251,{"튜브","고압","진공","튜닝","조립","출하"},0),"T","H","V","N","A","P")&amp;IF($F251="O","R",IF($G251="O","A",IF($H251="O","F",""))),""),"")</f>
        <v/>
      </c>
      <c r="J251" s="94" t="s">
        <v>71</v>
      </c>
      <c r="K251" s="95"/>
      <c r="L251" s="96" t="s">
        <v>71</v>
      </c>
      <c r="M251" s="97"/>
      <c r="N251" s="98" t="s">
        <v>71</v>
      </c>
      <c r="O251" s="99"/>
      <c r="P251" s="100" t="str">
        <f t="shared" si="3"/>
        <v/>
      </c>
      <c r="Q251" s="102" t="s">
        <v>1453</v>
      </c>
      <c r="R251" s="108" t="str">
        <f>HYPERLINK("#'마스터_품목'!A235","→ 마스터 R235")</f>
        <v>→ 마스터 R235</v>
      </c>
      <c r="S251" s="109">
        <v>235</v>
      </c>
      <c r="T251" s="109" t="s">
        <v>72</v>
      </c>
    </row>
    <row r="252" spans="1:20" ht="48" customHeight="1" x14ac:dyDescent="0.3">
      <c r="A252" s="87" t="s">
        <v>1347</v>
      </c>
      <c r="B252" s="87" t="s">
        <v>1351</v>
      </c>
      <c r="C252" s="88" t="s">
        <v>1451</v>
      </c>
      <c r="D252" s="88" t="s">
        <v>465</v>
      </c>
      <c r="E252" s="88" t="s">
        <v>464</v>
      </c>
      <c r="F252" s="90" t="s">
        <v>71</v>
      </c>
      <c r="G252" s="91"/>
      <c r="H252" s="92"/>
      <c r="I252" s="93" t="str">
        <f>IFERROR(IF(OR($F252="O",$G252="O",$H252="O"),CHOOSE(MATCH($A252,{"튜브","고압","진공","튜닝","조립","출하"},0),"T","H","V","N","A","P")&amp;IF($F252="O","R",IF($G252="O","A",IF($H252="O","F",""))),""),"")</f>
        <v/>
      </c>
      <c r="J252" s="94" t="s">
        <v>71</v>
      </c>
      <c r="K252" s="95"/>
      <c r="L252" s="96" t="s">
        <v>71</v>
      </c>
      <c r="M252" s="97"/>
      <c r="N252" s="98" t="s">
        <v>71</v>
      </c>
      <c r="O252" s="99"/>
      <c r="P252" s="100" t="str">
        <f t="shared" si="3"/>
        <v/>
      </c>
      <c r="Q252" s="102" t="s">
        <v>1353</v>
      </c>
      <c r="R252" s="108" t="str">
        <f>HYPERLINK("#'마스터_품목'!A237","→ 마스터 R237")</f>
        <v>→ 마스터 R237</v>
      </c>
      <c r="S252" s="109">
        <v>237</v>
      </c>
      <c r="T252" s="109" t="s">
        <v>72</v>
      </c>
    </row>
    <row r="253" spans="1:20" ht="48" customHeight="1" x14ac:dyDescent="0.3">
      <c r="A253" s="87" t="s">
        <v>1347</v>
      </c>
      <c r="B253" s="87" t="s">
        <v>1383</v>
      </c>
      <c r="C253" s="88" t="s">
        <v>1451</v>
      </c>
      <c r="D253" s="88" t="s">
        <v>463</v>
      </c>
      <c r="E253" s="88" t="s">
        <v>462</v>
      </c>
      <c r="F253" s="90" t="s">
        <v>71</v>
      </c>
      <c r="G253" s="91"/>
      <c r="H253" s="92"/>
      <c r="I253" s="93" t="str">
        <f>IFERROR(IF(OR($F253="O",$G253="O",$H253="O"),CHOOSE(MATCH($A253,{"튜브","고압","진공","튜닝","조립","출하"},0),"T","H","V","N","A","P")&amp;IF($F253="O","R",IF($G253="O","A",IF($H253="O","F",""))),""),"")</f>
        <v/>
      </c>
      <c r="J253" s="94" t="s">
        <v>71</v>
      </c>
      <c r="K253" s="95"/>
      <c r="L253" s="96" t="s">
        <v>71</v>
      </c>
      <c r="M253" s="97"/>
      <c r="N253" s="98" t="s">
        <v>71</v>
      </c>
      <c r="O253" s="99"/>
      <c r="P253" s="100" t="str">
        <f t="shared" si="3"/>
        <v/>
      </c>
      <c r="Q253" s="102" t="s">
        <v>1454</v>
      </c>
      <c r="R253" s="108" t="str">
        <f>HYPERLINK("#'마스터_품목'!A236","→ 마스터 R236")</f>
        <v>→ 마스터 R236</v>
      </c>
      <c r="S253" s="109">
        <v>236</v>
      </c>
      <c r="T253" s="109" t="s">
        <v>72</v>
      </c>
    </row>
    <row r="254" spans="1:20" ht="48" customHeight="1" x14ac:dyDescent="0.3">
      <c r="A254" s="87" t="s">
        <v>1347</v>
      </c>
      <c r="B254" s="87" t="s">
        <v>1368</v>
      </c>
      <c r="C254" s="88" t="s">
        <v>153</v>
      </c>
      <c r="D254" s="88" t="s">
        <v>858</v>
      </c>
      <c r="E254" s="88" t="s">
        <v>857</v>
      </c>
      <c r="F254" s="90" t="s">
        <v>71</v>
      </c>
      <c r="G254" s="91"/>
      <c r="H254" s="92"/>
      <c r="I254" s="93" t="str">
        <f>IFERROR(IF(OR($F254="O",$G254="O",$H254="O"),CHOOSE(MATCH($A254,{"튜브","고압","진공","튜닝","조립","출하"},0),"T","H","V","N","A","P")&amp;IF($F254="O","R",IF($G254="O","A",IF($H254="O","F",""))),""),"")</f>
        <v/>
      </c>
      <c r="J254" s="94"/>
      <c r="K254" s="95"/>
      <c r="L254" s="96"/>
      <c r="M254" s="97" t="s">
        <v>71</v>
      </c>
      <c r="N254" s="98"/>
      <c r="O254" s="99"/>
      <c r="P254" s="100" t="str">
        <f t="shared" si="3"/>
        <v/>
      </c>
      <c r="Q254" s="102" t="s">
        <v>1369</v>
      </c>
      <c r="R254" s="108" t="str">
        <f>HYPERLINK("#'마스터_품목'!A425","→ 마스터 R425")</f>
        <v>→ 마스터 R425</v>
      </c>
      <c r="S254" s="109">
        <v>425</v>
      </c>
      <c r="T254" s="109" t="s">
        <v>72</v>
      </c>
    </row>
    <row r="255" spans="1:20" ht="48" customHeight="1" x14ac:dyDescent="0.3">
      <c r="A255" s="87" t="s">
        <v>1347</v>
      </c>
      <c r="B255" s="87" t="s">
        <v>1368</v>
      </c>
      <c r="C255" s="88" t="s">
        <v>153</v>
      </c>
      <c r="D255" s="88" t="s">
        <v>888</v>
      </c>
      <c r="E255" s="88" t="s">
        <v>887</v>
      </c>
      <c r="F255" s="90" t="s">
        <v>71</v>
      </c>
      <c r="G255" s="91"/>
      <c r="H255" s="92"/>
      <c r="I255" s="93" t="str">
        <f>IFERROR(IF(OR($F255="O",$G255="O",$H255="O"),CHOOSE(MATCH($A255,{"튜브","고압","진공","튜닝","조립","출하"},0),"T","H","V","N","A","P")&amp;IF($F255="O","R",IF($G255="O","A",IF($H255="O","F",""))),""),"")</f>
        <v/>
      </c>
      <c r="J255" s="94"/>
      <c r="K255" s="95"/>
      <c r="L255" s="96"/>
      <c r="M255" s="97" t="s">
        <v>71</v>
      </c>
      <c r="N255" s="98"/>
      <c r="O255" s="99"/>
      <c r="P255" s="100" t="str">
        <f t="shared" si="3"/>
        <v/>
      </c>
      <c r="Q255" s="102" t="s">
        <v>1369</v>
      </c>
      <c r="R255" s="108" t="str">
        <f>HYPERLINK("#'마스터_품목'!A445","→ 마스터 R445")</f>
        <v>→ 마스터 R445</v>
      </c>
      <c r="S255" s="109">
        <v>445</v>
      </c>
      <c r="T255" s="109" t="s">
        <v>72</v>
      </c>
    </row>
    <row r="256" spans="1:20" ht="48" customHeight="1" x14ac:dyDescent="0.3">
      <c r="A256" s="87" t="s">
        <v>1347</v>
      </c>
      <c r="B256" s="87" t="s">
        <v>1368</v>
      </c>
      <c r="C256" s="88" t="s">
        <v>153</v>
      </c>
      <c r="D256" s="88" t="s">
        <v>956</v>
      </c>
      <c r="E256" s="88" t="s">
        <v>955</v>
      </c>
      <c r="F256" s="90" t="s">
        <v>71</v>
      </c>
      <c r="G256" s="91"/>
      <c r="H256" s="92"/>
      <c r="I256" s="93" t="str">
        <f>IFERROR(IF(OR($F256="O",$G256="O",$H256="O"),CHOOSE(MATCH($A256,{"튜브","고압","진공","튜닝","조립","출하"},0),"T","H","V","N","A","P")&amp;IF($F256="O","R",IF($G256="O","A",IF($H256="O","F",""))),""),"")</f>
        <v/>
      </c>
      <c r="J256" s="94"/>
      <c r="K256" s="95"/>
      <c r="L256" s="96"/>
      <c r="M256" s="97" t="s">
        <v>71</v>
      </c>
      <c r="N256" s="98"/>
      <c r="O256" s="99"/>
      <c r="P256" s="100" t="str">
        <f t="shared" si="3"/>
        <v/>
      </c>
      <c r="Q256" s="102" t="s">
        <v>1452</v>
      </c>
      <c r="R256" s="108" t="str">
        <f>HYPERLINK("#'마스터_품목'!A486","→ 마스터 R486")</f>
        <v>→ 마스터 R486</v>
      </c>
      <c r="S256" s="109">
        <v>486</v>
      </c>
      <c r="T256" s="109" t="s">
        <v>72</v>
      </c>
    </row>
    <row r="257" spans="1:20" ht="48" customHeight="1" x14ac:dyDescent="0.3">
      <c r="A257" s="87" t="s">
        <v>1347</v>
      </c>
      <c r="B257" s="87" t="s">
        <v>1368</v>
      </c>
      <c r="C257" s="88" t="s">
        <v>153</v>
      </c>
      <c r="D257" s="88" t="s">
        <v>958</v>
      </c>
      <c r="E257" s="88" t="s">
        <v>957</v>
      </c>
      <c r="F257" s="90" t="s">
        <v>71</v>
      </c>
      <c r="G257" s="91"/>
      <c r="H257" s="92"/>
      <c r="I257" s="93" t="str">
        <f>IFERROR(IF(OR($F257="O",$G257="O",$H257="O"),CHOOSE(MATCH($A257,{"튜브","고압","진공","튜닝","조립","출하"},0),"T","H","V","N","A","P")&amp;IF($F257="O","R",IF($G257="O","A",IF($H257="O","F",""))),""),"")</f>
        <v/>
      </c>
      <c r="J257" s="94"/>
      <c r="K257" s="95"/>
      <c r="L257" s="96"/>
      <c r="M257" s="97" t="s">
        <v>71</v>
      </c>
      <c r="N257" s="98"/>
      <c r="O257" s="99"/>
      <c r="P257" s="100" t="str">
        <f t="shared" si="3"/>
        <v/>
      </c>
      <c r="Q257" s="102" t="s">
        <v>1452</v>
      </c>
      <c r="R257" s="108" t="str">
        <f>HYPERLINK("#'마스터_품목'!A487","→ 마스터 R487")</f>
        <v>→ 마스터 R487</v>
      </c>
      <c r="S257" s="109">
        <v>487</v>
      </c>
      <c r="T257" s="109" t="s">
        <v>72</v>
      </c>
    </row>
    <row r="258" spans="1:20" ht="48" customHeight="1" x14ac:dyDescent="0.3">
      <c r="A258" s="87" t="s">
        <v>1347</v>
      </c>
      <c r="B258" s="87" t="s">
        <v>1368</v>
      </c>
      <c r="C258" s="88" t="s">
        <v>153</v>
      </c>
      <c r="D258" s="88" t="s">
        <v>961</v>
      </c>
      <c r="E258" s="88" t="s">
        <v>960</v>
      </c>
      <c r="F258" s="90" t="s">
        <v>71</v>
      </c>
      <c r="G258" s="91"/>
      <c r="H258" s="92"/>
      <c r="I258" s="93" t="str">
        <f>IFERROR(IF(OR($F258="O",$G258="O",$H258="O"),CHOOSE(MATCH($A258,{"튜브","고압","진공","튜닝","조립","출하"},0),"T","H","V","N","A","P")&amp;IF($F258="O","R",IF($G258="O","A",IF($H258="O","F",""))),""),"")</f>
        <v/>
      </c>
      <c r="J258" s="94"/>
      <c r="K258" s="95"/>
      <c r="L258" s="96"/>
      <c r="M258" s="97" t="s">
        <v>71</v>
      </c>
      <c r="N258" s="98"/>
      <c r="O258" s="99"/>
      <c r="P258" s="100" t="str">
        <f t="shared" ref="P258:P321" si="4">IF($I258="","",IF($J258="O","3","")&amp;IF($K258="O","4","")&amp;IF($L258="O","6","")&amp;IF($M258="O","7","")&amp;IF($N258="O","8","")&amp;IF($O258="O","?","")&amp;IF(OR($J258="O",$K258="O",$L258="O",$M258="O",$N258="O",$O258="O"),"-","")&amp;$I258)</f>
        <v/>
      </c>
      <c r="Q258" s="102" t="s">
        <v>1384</v>
      </c>
      <c r="R258" s="108" t="str">
        <f>HYPERLINK("#'마스터_품목'!A489","→ 마스터 R489")</f>
        <v>→ 마스터 R489</v>
      </c>
      <c r="S258" s="109">
        <v>489</v>
      </c>
      <c r="T258" s="109" t="s">
        <v>72</v>
      </c>
    </row>
    <row r="259" spans="1:20" ht="48" customHeight="1" x14ac:dyDescent="0.3">
      <c r="A259" s="87" t="s">
        <v>1347</v>
      </c>
      <c r="B259" s="87" t="s">
        <v>1413</v>
      </c>
      <c r="C259" s="88" t="s">
        <v>153</v>
      </c>
      <c r="D259" s="88" t="s">
        <v>901</v>
      </c>
      <c r="E259" s="88" t="s">
        <v>900</v>
      </c>
      <c r="F259" s="90" t="s">
        <v>71</v>
      </c>
      <c r="G259" s="91"/>
      <c r="H259" s="92"/>
      <c r="I259" s="93" t="str">
        <f>IFERROR(IF(OR($F259="O",$G259="O",$H259="O"),CHOOSE(MATCH($A259,{"튜브","고압","진공","튜닝","조립","출하"},0),"T","H","V","N","A","P")&amp;IF($F259="O","R",IF($G259="O","A",IF($H259="O","F",""))),""),"")</f>
        <v/>
      </c>
      <c r="J259" s="94"/>
      <c r="K259" s="95"/>
      <c r="L259" s="96"/>
      <c r="M259" s="97" t="s">
        <v>71</v>
      </c>
      <c r="N259" s="98"/>
      <c r="O259" s="99"/>
      <c r="P259" s="100" t="str">
        <f t="shared" si="4"/>
        <v/>
      </c>
      <c r="Q259" s="102" t="s">
        <v>1455</v>
      </c>
      <c r="R259" s="108" t="str">
        <f>HYPERLINK("#'마스터_품목'!A451","→ 마스터 R451")</f>
        <v>→ 마스터 R451</v>
      </c>
      <c r="S259" s="109">
        <v>451</v>
      </c>
      <c r="T259" s="109" t="s">
        <v>72</v>
      </c>
    </row>
    <row r="260" spans="1:20" ht="48" customHeight="1" x14ac:dyDescent="0.3">
      <c r="A260" s="87" t="s">
        <v>1347</v>
      </c>
      <c r="B260" s="87" t="s">
        <v>1413</v>
      </c>
      <c r="C260" s="88" t="s">
        <v>153</v>
      </c>
      <c r="D260" s="88" t="s">
        <v>903</v>
      </c>
      <c r="E260" s="88" t="s">
        <v>902</v>
      </c>
      <c r="F260" s="90" t="s">
        <v>71</v>
      </c>
      <c r="G260" s="91"/>
      <c r="H260" s="92"/>
      <c r="I260" s="93" t="str">
        <f>IFERROR(IF(OR($F260="O",$G260="O",$H260="O"),CHOOSE(MATCH($A260,{"튜브","고압","진공","튜닝","조립","출하"},0),"T","H","V","N","A","P")&amp;IF($F260="O","R",IF($G260="O","A",IF($H260="O","F",""))),""),"")</f>
        <v/>
      </c>
      <c r="J260" s="94"/>
      <c r="K260" s="95"/>
      <c r="L260" s="96"/>
      <c r="M260" s="97" t="s">
        <v>71</v>
      </c>
      <c r="N260" s="98"/>
      <c r="O260" s="99"/>
      <c r="P260" s="100" t="str">
        <f t="shared" si="4"/>
        <v/>
      </c>
      <c r="Q260" s="102" t="s">
        <v>1455</v>
      </c>
      <c r="R260" s="108" t="str">
        <f>HYPERLINK("#'마스터_품목'!A452","→ 마스터 R452")</f>
        <v>→ 마스터 R452</v>
      </c>
      <c r="S260" s="109">
        <v>452</v>
      </c>
      <c r="T260" s="109" t="s">
        <v>72</v>
      </c>
    </row>
    <row r="261" spans="1:20" ht="48" customHeight="1" x14ac:dyDescent="0.3">
      <c r="A261" s="87" t="s">
        <v>1347</v>
      </c>
      <c r="B261" s="87" t="s">
        <v>1413</v>
      </c>
      <c r="C261" s="88" t="s">
        <v>153</v>
      </c>
      <c r="D261" s="88" t="s">
        <v>953</v>
      </c>
      <c r="E261" s="88" t="s">
        <v>952</v>
      </c>
      <c r="F261" s="90" t="s">
        <v>71</v>
      </c>
      <c r="G261" s="91"/>
      <c r="H261" s="92"/>
      <c r="I261" s="93" t="str">
        <f>IFERROR(IF(OR($F261="O",$G261="O",$H261="O"),CHOOSE(MATCH($A261,{"튜브","고압","진공","튜닝","조립","출하"},0),"T","H","V","N","A","P")&amp;IF($F261="O","R",IF($G261="O","A",IF($H261="O","F",""))),""),"")</f>
        <v/>
      </c>
      <c r="J261" s="94"/>
      <c r="K261" s="95"/>
      <c r="L261" s="96"/>
      <c r="M261" s="97" t="s">
        <v>71</v>
      </c>
      <c r="N261" s="98"/>
      <c r="O261" s="99"/>
      <c r="P261" s="100" t="str">
        <f t="shared" si="4"/>
        <v/>
      </c>
      <c r="Q261" s="114"/>
      <c r="R261" s="108" t="str">
        <f>HYPERLINK("#'마스터_품목'!A485","→ 마스터 R485")</f>
        <v>→ 마스터 R485</v>
      </c>
      <c r="S261" s="109">
        <v>485</v>
      </c>
      <c r="T261" s="109" t="s">
        <v>72</v>
      </c>
    </row>
    <row r="262" spans="1:20" ht="48" customHeight="1" x14ac:dyDescent="0.3">
      <c r="A262" s="87" t="s">
        <v>1347</v>
      </c>
      <c r="B262" s="87" t="s">
        <v>1413</v>
      </c>
      <c r="C262" s="88" t="s">
        <v>153</v>
      </c>
      <c r="D262" s="88" t="s">
        <v>943</v>
      </c>
      <c r="E262" s="88" t="s">
        <v>942</v>
      </c>
      <c r="F262" s="90" t="s">
        <v>71</v>
      </c>
      <c r="G262" s="91"/>
      <c r="H262" s="92"/>
      <c r="I262" s="93" t="str">
        <f>IFERROR(IF(OR($F262="O",$G262="O",$H262="O"),CHOOSE(MATCH($A262,{"튜브","고압","진공","튜닝","조립","출하"},0),"T","H","V","N","A","P")&amp;IF($F262="O","R",IF($G262="O","A",IF($H262="O","F",""))),""),"")</f>
        <v/>
      </c>
      <c r="J262" s="94"/>
      <c r="K262" s="95"/>
      <c r="L262" s="96"/>
      <c r="M262" s="97" t="s">
        <v>71</v>
      </c>
      <c r="N262" s="98" t="s">
        <v>71</v>
      </c>
      <c r="O262" s="99"/>
      <c r="P262" s="100" t="str">
        <f t="shared" si="4"/>
        <v/>
      </c>
      <c r="Q262" s="114"/>
      <c r="R262" s="108" t="str">
        <f>HYPERLINK("#'마스터_품목'!A480","→ 마스터 R480")</f>
        <v>→ 마스터 R480</v>
      </c>
      <c r="S262" s="109">
        <v>480</v>
      </c>
      <c r="T262" s="109" t="s">
        <v>72</v>
      </c>
    </row>
    <row r="263" spans="1:20" ht="48" customHeight="1" x14ac:dyDescent="0.3">
      <c r="A263" s="87" t="s">
        <v>1347</v>
      </c>
      <c r="B263" s="87" t="s">
        <v>1413</v>
      </c>
      <c r="C263" s="88" t="s">
        <v>153</v>
      </c>
      <c r="D263" s="88" t="s">
        <v>945</v>
      </c>
      <c r="E263" s="88" t="s">
        <v>944</v>
      </c>
      <c r="F263" s="90" t="s">
        <v>71</v>
      </c>
      <c r="G263" s="91"/>
      <c r="H263" s="92"/>
      <c r="I263" s="93" t="str">
        <f>IFERROR(IF(OR($F263="O",$G263="O",$H263="O"),CHOOSE(MATCH($A263,{"튜브","고압","진공","튜닝","조립","출하"},0),"T","H","V","N","A","P")&amp;IF($F263="O","R",IF($G263="O","A",IF($H263="O","F",""))),""),"")</f>
        <v/>
      </c>
      <c r="J263" s="94"/>
      <c r="K263" s="95"/>
      <c r="L263" s="96"/>
      <c r="M263" s="97" t="s">
        <v>71</v>
      </c>
      <c r="N263" s="98" t="s">
        <v>71</v>
      </c>
      <c r="O263" s="99"/>
      <c r="P263" s="100" t="str">
        <f t="shared" si="4"/>
        <v/>
      </c>
      <c r="Q263" s="114"/>
      <c r="R263" s="108" t="str">
        <f>HYPERLINK("#'마스터_품목'!A481","→ 마스터 R481")</f>
        <v>→ 마스터 R481</v>
      </c>
      <c r="S263" s="109">
        <v>481</v>
      </c>
      <c r="T263" s="109" t="s">
        <v>72</v>
      </c>
    </row>
    <row r="264" spans="1:20" ht="48" customHeight="1" x14ac:dyDescent="0.3">
      <c r="A264" s="87" t="s">
        <v>1347</v>
      </c>
      <c r="B264" s="87" t="s">
        <v>1413</v>
      </c>
      <c r="C264" s="88" t="s">
        <v>153</v>
      </c>
      <c r="D264" s="88" t="s">
        <v>947</v>
      </c>
      <c r="E264" s="88" t="s">
        <v>946</v>
      </c>
      <c r="F264" s="90" t="s">
        <v>71</v>
      </c>
      <c r="G264" s="91"/>
      <c r="H264" s="92"/>
      <c r="I264" s="93" t="str">
        <f>IFERROR(IF(OR($F264="O",$G264="O",$H264="O"),CHOOSE(MATCH($A264,{"튜브","고압","진공","튜닝","조립","출하"},0),"T","H","V","N","A","P")&amp;IF($F264="O","R",IF($G264="O","A",IF($H264="O","F",""))),""),"")</f>
        <v/>
      </c>
      <c r="J264" s="94"/>
      <c r="K264" s="95"/>
      <c r="L264" s="96"/>
      <c r="M264" s="97" t="s">
        <v>71</v>
      </c>
      <c r="N264" s="98" t="s">
        <v>71</v>
      </c>
      <c r="O264" s="99"/>
      <c r="P264" s="100" t="str">
        <f t="shared" si="4"/>
        <v/>
      </c>
      <c r="Q264" s="114"/>
      <c r="R264" s="108" t="str">
        <f>HYPERLINK("#'마스터_품목'!A482","→ 마스터 R482")</f>
        <v>→ 마스터 R482</v>
      </c>
      <c r="S264" s="109">
        <v>482</v>
      </c>
      <c r="T264" s="109" t="s">
        <v>72</v>
      </c>
    </row>
    <row r="265" spans="1:20" ht="48" customHeight="1" x14ac:dyDescent="0.3">
      <c r="A265" s="87" t="s">
        <v>1347</v>
      </c>
      <c r="B265" s="87" t="s">
        <v>1413</v>
      </c>
      <c r="C265" s="88" t="s">
        <v>153</v>
      </c>
      <c r="D265" s="88" t="s">
        <v>949</v>
      </c>
      <c r="E265" s="88" t="s">
        <v>948</v>
      </c>
      <c r="F265" s="90" t="s">
        <v>71</v>
      </c>
      <c r="G265" s="91"/>
      <c r="H265" s="92"/>
      <c r="I265" s="93" t="str">
        <f>IFERROR(IF(OR($F265="O",$G265="O",$H265="O"),CHOOSE(MATCH($A265,{"튜브","고압","진공","튜닝","조립","출하"},0),"T","H","V","N","A","P")&amp;IF($F265="O","R",IF($G265="O","A",IF($H265="O","F",""))),""),"")</f>
        <v/>
      </c>
      <c r="J265" s="94"/>
      <c r="K265" s="95"/>
      <c r="L265" s="96"/>
      <c r="M265" s="97" t="s">
        <v>71</v>
      </c>
      <c r="N265" s="98" t="s">
        <v>71</v>
      </c>
      <c r="O265" s="99"/>
      <c r="P265" s="100" t="str">
        <f t="shared" si="4"/>
        <v/>
      </c>
      <c r="Q265" s="114"/>
      <c r="R265" s="108" t="str">
        <f>HYPERLINK("#'마스터_품목'!A483","→ 마스터 R483")</f>
        <v>→ 마스터 R483</v>
      </c>
      <c r="S265" s="109">
        <v>483</v>
      </c>
      <c r="T265" s="109" t="s">
        <v>72</v>
      </c>
    </row>
    <row r="266" spans="1:20" ht="48" customHeight="1" x14ac:dyDescent="0.3">
      <c r="A266" s="87" t="s">
        <v>1347</v>
      </c>
      <c r="B266" s="87" t="s">
        <v>1456</v>
      </c>
      <c r="C266" s="88" t="s">
        <v>153</v>
      </c>
      <c r="D266" s="88" t="s">
        <v>865</v>
      </c>
      <c r="E266" s="88" t="s">
        <v>864</v>
      </c>
      <c r="F266" s="90" t="s">
        <v>71</v>
      </c>
      <c r="G266" s="91"/>
      <c r="H266" s="92"/>
      <c r="I266" s="93" t="str">
        <f>IFERROR(IF(OR($F266="O",$G266="O",$H266="O"),CHOOSE(MATCH($A266,{"튜브","고압","진공","튜닝","조립","출하"},0),"T","H","V","N","A","P")&amp;IF($F266="O","R",IF($G266="O","A",IF($H266="O","F",""))),""),"")</f>
        <v/>
      </c>
      <c r="J266" s="94"/>
      <c r="K266" s="95"/>
      <c r="L266" s="96"/>
      <c r="M266" s="97" t="s">
        <v>71</v>
      </c>
      <c r="N266" s="98"/>
      <c r="O266" s="99"/>
      <c r="P266" s="100" t="str">
        <f t="shared" si="4"/>
        <v/>
      </c>
      <c r="Q266" s="102" t="s">
        <v>1457</v>
      </c>
      <c r="R266" s="108" t="str">
        <f>HYPERLINK("#'마스터_품목'!A428","→ 마스터 R428")</f>
        <v>→ 마스터 R428</v>
      </c>
      <c r="S266" s="109">
        <v>428</v>
      </c>
      <c r="T266" s="109" t="s">
        <v>72</v>
      </c>
    </row>
    <row r="267" spans="1:20" ht="48" customHeight="1" x14ac:dyDescent="0.3">
      <c r="A267" s="87" t="s">
        <v>1347</v>
      </c>
      <c r="B267" s="87" t="s">
        <v>1456</v>
      </c>
      <c r="C267" s="88" t="s">
        <v>153</v>
      </c>
      <c r="D267" s="88" t="s">
        <v>881</v>
      </c>
      <c r="E267" s="88" t="s">
        <v>880</v>
      </c>
      <c r="F267" s="90" t="s">
        <v>71</v>
      </c>
      <c r="G267" s="91"/>
      <c r="H267" s="92"/>
      <c r="I267" s="93" t="str">
        <f>IFERROR(IF(OR($F267="O",$G267="O",$H267="O"),CHOOSE(MATCH($A267,{"튜브","고압","진공","튜닝","조립","출하"},0),"T","H","V","N","A","P")&amp;IF($F267="O","R",IF($G267="O","A",IF($H267="O","F",""))),""),"")</f>
        <v/>
      </c>
      <c r="J267" s="94"/>
      <c r="K267" s="95"/>
      <c r="L267" s="96"/>
      <c r="M267" s="97" t="s">
        <v>71</v>
      </c>
      <c r="N267" s="98"/>
      <c r="O267" s="99"/>
      <c r="P267" s="100" t="str">
        <f t="shared" si="4"/>
        <v/>
      </c>
      <c r="Q267" s="102" t="s">
        <v>1457</v>
      </c>
      <c r="R267" s="108" t="str">
        <f>HYPERLINK("#'마스터_품목'!A435","→ 마스터 R435")</f>
        <v>→ 마스터 R435</v>
      </c>
      <c r="S267" s="109">
        <v>435</v>
      </c>
      <c r="T267" s="109" t="s">
        <v>72</v>
      </c>
    </row>
    <row r="268" spans="1:20" ht="48" customHeight="1" x14ac:dyDescent="0.3">
      <c r="A268" s="87" t="s">
        <v>1347</v>
      </c>
      <c r="B268" s="87" t="s">
        <v>1458</v>
      </c>
      <c r="C268" s="88" t="s">
        <v>153</v>
      </c>
      <c r="D268" s="88" t="s">
        <v>877</v>
      </c>
      <c r="E268" s="88" t="s">
        <v>876</v>
      </c>
      <c r="F268" s="90" t="s">
        <v>71</v>
      </c>
      <c r="G268" s="91"/>
      <c r="H268" s="92"/>
      <c r="I268" s="93" t="str">
        <f>IFERROR(IF(OR($F268="O",$G268="O",$H268="O"),CHOOSE(MATCH($A268,{"튜브","고압","진공","튜닝","조립","출하"},0),"T","H","V","N","A","P")&amp;IF($F268="O","R",IF($G268="O","A",IF($H268="O","F",""))),""),"")</f>
        <v/>
      </c>
      <c r="J268" s="94"/>
      <c r="K268" s="95"/>
      <c r="L268" s="96"/>
      <c r="M268" s="97" t="s">
        <v>71</v>
      </c>
      <c r="N268" s="98"/>
      <c r="O268" s="99"/>
      <c r="P268" s="100" t="str">
        <f t="shared" si="4"/>
        <v/>
      </c>
      <c r="Q268" s="102" t="s">
        <v>1384</v>
      </c>
      <c r="R268" s="108" t="str">
        <f>HYPERLINK("#'마스터_품목'!A433","→ 마스터 R433")</f>
        <v>→ 마스터 R433</v>
      </c>
      <c r="S268" s="109">
        <v>433</v>
      </c>
      <c r="T268" s="109" t="s">
        <v>72</v>
      </c>
    </row>
    <row r="269" spans="1:20" ht="48" customHeight="1" x14ac:dyDescent="0.3">
      <c r="A269" s="87" t="s">
        <v>1347</v>
      </c>
      <c r="B269" s="87" t="s">
        <v>1459</v>
      </c>
      <c r="C269" s="88" t="s">
        <v>153</v>
      </c>
      <c r="D269" s="88" t="s">
        <v>863</v>
      </c>
      <c r="E269" s="88" t="s">
        <v>862</v>
      </c>
      <c r="F269" s="90" t="s">
        <v>71</v>
      </c>
      <c r="G269" s="91"/>
      <c r="H269" s="92"/>
      <c r="I269" s="93" t="str">
        <f>IFERROR(IF(OR($F269="O",$G269="O",$H269="O"),CHOOSE(MATCH($A269,{"튜브","고압","진공","튜닝","조립","출하"},0),"T","H","V","N","A","P")&amp;IF($F269="O","R",IF($G269="O","A",IF($H269="O","F",""))),""),"")</f>
        <v/>
      </c>
      <c r="J269" s="94"/>
      <c r="K269" s="95"/>
      <c r="L269" s="96"/>
      <c r="M269" s="97" t="s">
        <v>71</v>
      </c>
      <c r="N269" s="98"/>
      <c r="O269" s="99"/>
      <c r="P269" s="100" t="str">
        <f t="shared" si="4"/>
        <v/>
      </c>
      <c r="Q269" s="102" t="s">
        <v>1460</v>
      </c>
      <c r="R269" s="108" t="str">
        <f>HYPERLINK("#'마스터_품목'!A427","→ 마스터 R427")</f>
        <v>→ 마스터 R427</v>
      </c>
      <c r="S269" s="109">
        <v>427</v>
      </c>
      <c r="T269" s="109" t="s">
        <v>72</v>
      </c>
    </row>
    <row r="270" spans="1:20" ht="48" customHeight="1" x14ac:dyDescent="0.3">
      <c r="A270" s="87" t="s">
        <v>1347</v>
      </c>
      <c r="B270" s="87" t="s">
        <v>1459</v>
      </c>
      <c r="C270" s="88" t="s">
        <v>153</v>
      </c>
      <c r="D270" s="88" t="s">
        <v>879</v>
      </c>
      <c r="E270" s="88" t="s">
        <v>878</v>
      </c>
      <c r="F270" s="90" t="s">
        <v>71</v>
      </c>
      <c r="G270" s="91"/>
      <c r="H270" s="92"/>
      <c r="I270" s="93" t="str">
        <f>IFERROR(IF(OR($F270="O",$G270="O",$H270="O"),CHOOSE(MATCH($A270,{"튜브","고압","진공","튜닝","조립","출하"},0),"T","H","V","N","A","P")&amp;IF($F270="O","R",IF($G270="O","A",IF($H270="O","F",""))),""),"")</f>
        <v/>
      </c>
      <c r="J270" s="94"/>
      <c r="K270" s="95"/>
      <c r="L270" s="96"/>
      <c r="M270" s="97" t="s">
        <v>71</v>
      </c>
      <c r="N270" s="98"/>
      <c r="O270" s="99"/>
      <c r="P270" s="100" t="str">
        <f t="shared" si="4"/>
        <v/>
      </c>
      <c r="Q270" s="102" t="s">
        <v>1460</v>
      </c>
      <c r="R270" s="108" t="str">
        <f>HYPERLINK("#'마스터_품목'!A434","→ 마스터 R434")</f>
        <v>→ 마스터 R434</v>
      </c>
      <c r="S270" s="109">
        <v>434</v>
      </c>
      <c r="T270" s="109" t="s">
        <v>72</v>
      </c>
    </row>
    <row r="271" spans="1:20" ht="48" customHeight="1" x14ac:dyDescent="0.3">
      <c r="A271" s="87" t="s">
        <v>1347</v>
      </c>
      <c r="B271" s="87" t="s">
        <v>1414</v>
      </c>
      <c r="C271" s="88" t="s">
        <v>153</v>
      </c>
      <c r="D271" s="88" t="s">
        <v>839</v>
      </c>
      <c r="E271" s="88" t="s">
        <v>838</v>
      </c>
      <c r="F271" s="90" t="s">
        <v>71</v>
      </c>
      <c r="G271" s="91"/>
      <c r="H271" s="92"/>
      <c r="I271" s="93" t="str">
        <f>IFERROR(IF(OR($F271="O",$G271="O",$H271="O"),CHOOSE(MATCH($A271,{"튜브","고압","진공","튜닝","조립","출하"},0),"T","H","V","N","A","P")&amp;IF($F271="O","R",IF($G271="O","A",IF($H271="O","F",""))),""),"")</f>
        <v/>
      </c>
      <c r="J271" s="94"/>
      <c r="K271" s="95"/>
      <c r="L271" s="96"/>
      <c r="M271" s="97" t="s">
        <v>71</v>
      </c>
      <c r="N271" s="98"/>
      <c r="O271" s="99"/>
      <c r="P271" s="100" t="str">
        <f t="shared" si="4"/>
        <v/>
      </c>
      <c r="Q271" s="102" t="s">
        <v>1396</v>
      </c>
      <c r="R271" s="108" t="str">
        <f>HYPERLINK("#'마스터_품목'!A417","→ 마스터 R417")</f>
        <v>→ 마스터 R417</v>
      </c>
      <c r="S271" s="109">
        <v>417</v>
      </c>
      <c r="T271" s="109" t="s">
        <v>72</v>
      </c>
    </row>
    <row r="272" spans="1:20" ht="48" customHeight="1" x14ac:dyDescent="0.3">
      <c r="A272" s="87" t="s">
        <v>1347</v>
      </c>
      <c r="B272" s="87" t="s">
        <v>1461</v>
      </c>
      <c r="C272" s="88" t="s">
        <v>153</v>
      </c>
      <c r="D272" s="88" t="s">
        <v>905</v>
      </c>
      <c r="E272" s="88" t="s">
        <v>904</v>
      </c>
      <c r="F272" s="90" t="s">
        <v>71</v>
      </c>
      <c r="G272" s="91"/>
      <c r="H272" s="92"/>
      <c r="I272" s="93" t="str">
        <f>IFERROR(IF(OR($F272="O",$G272="O",$H272="O"),CHOOSE(MATCH($A272,{"튜브","고압","진공","튜닝","조립","출하"},0),"T","H","V","N","A","P")&amp;IF($F272="O","R",IF($G272="O","A",IF($H272="O","F",""))),""),"")</f>
        <v/>
      </c>
      <c r="J272" s="94"/>
      <c r="K272" s="95"/>
      <c r="L272" s="96" t="s">
        <v>71</v>
      </c>
      <c r="M272" s="97" t="s">
        <v>71</v>
      </c>
      <c r="N272" s="98"/>
      <c r="O272" s="99"/>
      <c r="P272" s="100" t="str">
        <f t="shared" si="4"/>
        <v/>
      </c>
      <c r="Q272" s="102" t="s">
        <v>1462</v>
      </c>
      <c r="R272" s="108" t="str">
        <f>HYPERLINK("#'마스터_품목'!A453","→ 마스터 R453")</f>
        <v>→ 마스터 R453</v>
      </c>
      <c r="S272" s="109">
        <v>453</v>
      </c>
      <c r="T272" s="109" t="s">
        <v>72</v>
      </c>
    </row>
    <row r="273" spans="1:20" ht="48" customHeight="1" x14ac:dyDescent="0.3">
      <c r="A273" s="124" t="s">
        <v>354</v>
      </c>
      <c r="B273" s="87" t="s">
        <v>1368</v>
      </c>
      <c r="C273" s="88" t="s">
        <v>153</v>
      </c>
      <c r="D273" s="88" t="s">
        <v>1463</v>
      </c>
      <c r="E273" s="88"/>
      <c r="F273" s="90" t="s">
        <v>71</v>
      </c>
      <c r="G273" s="91"/>
      <c r="H273" s="92"/>
      <c r="I273" s="93" t="str">
        <f>IFERROR(IF(OR($F273="O",$G273="O",$H273="O"),CHOOSE(MATCH($A273,{"튜브","고압","진공","튜닝","조립","출하"},0),"T","H","V","N","A","P")&amp;IF($F273="O","R",IF($G273="O","A",IF($H273="O","F",""))),""),"")</f>
        <v>AR</v>
      </c>
      <c r="J273" s="94"/>
      <c r="K273" s="95"/>
      <c r="L273" s="96"/>
      <c r="M273" s="120" t="s">
        <v>71</v>
      </c>
      <c r="N273" s="98"/>
      <c r="O273" s="99"/>
      <c r="P273" s="100" t="str">
        <f t="shared" si="4"/>
        <v>7-AR</v>
      </c>
      <c r="Q273" s="102" t="s">
        <v>1369</v>
      </c>
      <c r="R273" s="108" t="str">
        <f>HYPERLINK("#'마스터_품목'!A750","→ 마스터 R750")</f>
        <v>→ 마스터 R750</v>
      </c>
      <c r="S273" s="109">
        <v>750</v>
      </c>
      <c r="T273" s="109" t="s">
        <v>72</v>
      </c>
    </row>
    <row r="274" spans="1:20" ht="48" customHeight="1" x14ac:dyDescent="0.3">
      <c r="A274" s="87" t="s">
        <v>1347</v>
      </c>
      <c r="B274" s="87" t="s">
        <v>1368</v>
      </c>
      <c r="C274" s="88" t="s">
        <v>153</v>
      </c>
      <c r="D274" s="88" t="s">
        <v>976</v>
      </c>
      <c r="E274" s="88" t="s">
        <v>975</v>
      </c>
      <c r="F274" s="90" t="s">
        <v>71</v>
      </c>
      <c r="G274" s="91"/>
      <c r="H274" s="92"/>
      <c r="I274" s="93" t="str">
        <f>IFERROR(IF(OR($F274="O",$G274="O",$H274="O"),CHOOSE(MATCH($A274,{"튜브","고압","진공","튜닝","조립","출하"},0),"T","H","V","N","A","P")&amp;IF($F274="O","R",IF($G274="O","A",IF($H274="O","F",""))),""),"")</f>
        <v/>
      </c>
      <c r="J274" s="94"/>
      <c r="K274" s="95"/>
      <c r="L274" s="96"/>
      <c r="M274" s="97" t="s">
        <v>71</v>
      </c>
      <c r="N274" s="98"/>
      <c r="O274" s="99"/>
      <c r="P274" s="100" t="str">
        <f t="shared" si="4"/>
        <v/>
      </c>
      <c r="Q274" s="102" t="s">
        <v>1369</v>
      </c>
      <c r="R274" s="108" t="str">
        <f>HYPERLINK("#'마스터_품목'!A498","→ 마스터 R498")</f>
        <v>→ 마스터 R498</v>
      </c>
      <c r="S274" s="109">
        <v>498</v>
      </c>
      <c r="T274" s="109" t="s">
        <v>72</v>
      </c>
    </row>
    <row r="275" spans="1:20" ht="48" customHeight="1" x14ac:dyDescent="0.3">
      <c r="A275" s="87" t="s">
        <v>1347</v>
      </c>
      <c r="B275" s="87" t="s">
        <v>1368</v>
      </c>
      <c r="C275" s="88" t="s">
        <v>153</v>
      </c>
      <c r="D275" s="88" t="s">
        <v>977</v>
      </c>
      <c r="E275" s="88" t="s">
        <v>898</v>
      </c>
      <c r="F275" s="90" t="s">
        <v>71</v>
      </c>
      <c r="G275" s="91"/>
      <c r="H275" s="92"/>
      <c r="I275" s="93" t="str">
        <f>IFERROR(IF(OR($F275="O",$G275="O",$H275="O"),CHOOSE(MATCH($A275,{"튜브","고압","진공","튜닝","조립","출하"},0),"T","H","V","N","A","P")&amp;IF($F275="O","R",IF($G275="O","A",IF($H275="O","F",""))),""),"")</f>
        <v/>
      </c>
      <c r="J275" s="94"/>
      <c r="K275" s="95"/>
      <c r="L275" s="96"/>
      <c r="M275" s="97" t="s">
        <v>71</v>
      </c>
      <c r="N275" s="98"/>
      <c r="O275" s="99"/>
      <c r="P275" s="100" t="str">
        <f t="shared" si="4"/>
        <v/>
      </c>
      <c r="Q275" s="102" t="s">
        <v>1369</v>
      </c>
      <c r="R275" s="108" t="str">
        <f>HYPERLINK("#'마스터_품목'!A499","→ 마스터 R499")</f>
        <v>→ 마스터 R499</v>
      </c>
      <c r="S275" s="109">
        <v>499</v>
      </c>
      <c r="T275" s="109" t="s">
        <v>72</v>
      </c>
    </row>
    <row r="276" spans="1:20" ht="48" customHeight="1" x14ac:dyDescent="0.3">
      <c r="A276" s="87" t="s">
        <v>1347</v>
      </c>
      <c r="B276" s="87" t="s">
        <v>1368</v>
      </c>
      <c r="C276" s="88" t="s">
        <v>153</v>
      </c>
      <c r="D276" s="88" t="s">
        <v>978</v>
      </c>
      <c r="E276" s="88" t="s">
        <v>950</v>
      </c>
      <c r="F276" s="90" t="s">
        <v>71</v>
      </c>
      <c r="G276" s="91"/>
      <c r="H276" s="92"/>
      <c r="I276" s="93" t="str">
        <f>IFERROR(IF(OR($F276="O",$G276="O",$H276="O"),CHOOSE(MATCH($A276,{"튜브","고압","진공","튜닝","조립","출하"},0),"T","H","V","N","A","P")&amp;IF($F276="O","R",IF($G276="O","A",IF($H276="O","F",""))),""),"")</f>
        <v/>
      </c>
      <c r="J276" s="94"/>
      <c r="K276" s="95"/>
      <c r="L276" s="96"/>
      <c r="M276" s="97" t="s">
        <v>71</v>
      </c>
      <c r="N276" s="98" t="s">
        <v>71</v>
      </c>
      <c r="O276" s="99"/>
      <c r="P276" s="100" t="str">
        <f t="shared" si="4"/>
        <v/>
      </c>
      <c r="Q276" s="102" t="s">
        <v>1369</v>
      </c>
      <c r="R276" s="108" t="str">
        <f>HYPERLINK("#'마스터_품목'!A500","→ 마스터 R500")</f>
        <v>→ 마스터 R500</v>
      </c>
      <c r="S276" s="109">
        <v>500</v>
      </c>
      <c r="T276" s="109" t="s">
        <v>72</v>
      </c>
    </row>
    <row r="277" spans="1:20" ht="48" customHeight="1" x14ac:dyDescent="0.3">
      <c r="A277" s="87" t="s">
        <v>1347</v>
      </c>
      <c r="B277" s="87" t="s">
        <v>1368</v>
      </c>
      <c r="C277" s="88" t="s">
        <v>153</v>
      </c>
      <c r="D277" s="88" t="s">
        <v>974</v>
      </c>
      <c r="E277" s="88" t="s">
        <v>860</v>
      </c>
      <c r="F277" s="90" t="s">
        <v>71</v>
      </c>
      <c r="G277" s="91"/>
      <c r="H277" s="92"/>
      <c r="I277" s="93" t="str">
        <f>IFERROR(IF(OR($F277="O",$G277="O",$H277="O"),CHOOSE(MATCH($A277,{"튜브","고압","진공","튜닝","조립","출하"},0),"T","H","V","N","A","P")&amp;IF($F277="O","R",IF($G277="O","A",IF($H277="O","F",""))),""),"")</f>
        <v/>
      </c>
      <c r="J277" s="94"/>
      <c r="K277" s="95"/>
      <c r="L277" s="96"/>
      <c r="M277" s="97" t="s">
        <v>71</v>
      </c>
      <c r="N277" s="98"/>
      <c r="O277" s="99"/>
      <c r="P277" s="100" t="str">
        <f t="shared" si="4"/>
        <v/>
      </c>
      <c r="Q277" s="102" t="s">
        <v>1369</v>
      </c>
      <c r="R277" s="108" t="str">
        <f>HYPERLINK("#'마스터_품목'!A497","→ 마스터 R497")</f>
        <v>→ 마스터 R497</v>
      </c>
      <c r="S277" s="109">
        <v>497</v>
      </c>
      <c r="T277" s="109" t="s">
        <v>72</v>
      </c>
    </row>
    <row r="278" spans="1:20" ht="48" customHeight="1" x14ac:dyDescent="0.3">
      <c r="A278" s="87" t="s">
        <v>1347</v>
      </c>
      <c r="B278" s="87" t="s">
        <v>1351</v>
      </c>
      <c r="C278" s="88" t="s">
        <v>182</v>
      </c>
      <c r="D278" s="88" t="s">
        <v>1257</v>
      </c>
      <c r="E278" s="88" t="s">
        <v>1256</v>
      </c>
      <c r="F278" s="90" t="s">
        <v>71</v>
      </c>
      <c r="G278" s="91"/>
      <c r="H278" s="92"/>
      <c r="I278" s="93" t="str">
        <f>IFERROR(IF(OR($F278="O",$G278="O",$H278="O"),CHOOSE(MATCH($A278,{"튜브","고압","진공","튜닝","조립","출하"},0),"T","H","V","N","A","P")&amp;IF($F278="O","R",IF($G278="O","A",IF($H278="O","F",""))),""),"")</f>
        <v/>
      </c>
      <c r="J278" s="94"/>
      <c r="K278" s="95"/>
      <c r="L278" s="96"/>
      <c r="M278" s="97"/>
      <c r="N278" s="98" t="s">
        <v>71</v>
      </c>
      <c r="O278" s="99"/>
      <c r="P278" s="100" t="str">
        <f t="shared" si="4"/>
        <v/>
      </c>
      <c r="Q278" s="102" t="s">
        <v>1353</v>
      </c>
      <c r="R278" s="108" t="str">
        <f>HYPERLINK("#'마스터_품목'!A542","→ 마스터 R542")</f>
        <v>→ 마스터 R542</v>
      </c>
      <c r="S278" s="109">
        <v>542</v>
      </c>
      <c r="T278" s="109" t="s">
        <v>72</v>
      </c>
    </row>
    <row r="279" spans="1:20" ht="48" customHeight="1" x14ac:dyDescent="0.3">
      <c r="A279" s="87" t="s">
        <v>1347</v>
      </c>
      <c r="B279" s="87" t="s">
        <v>1351</v>
      </c>
      <c r="C279" s="88" t="s">
        <v>182</v>
      </c>
      <c r="D279" s="88" t="s">
        <v>1255</v>
      </c>
      <c r="E279" s="88" t="s">
        <v>1254</v>
      </c>
      <c r="F279" s="90" t="s">
        <v>71</v>
      </c>
      <c r="G279" s="91"/>
      <c r="H279" s="92"/>
      <c r="I279" s="93" t="str">
        <f>IFERROR(IF(OR($F279="O",$G279="O",$H279="O"),CHOOSE(MATCH($A279,{"튜브","고압","진공","튜닝","조립","출하"},0),"T","H","V","N","A","P")&amp;IF($F279="O","R",IF($G279="O","A",IF($H279="O","F",""))),""),"")</f>
        <v/>
      </c>
      <c r="J279" s="94"/>
      <c r="K279" s="95"/>
      <c r="L279" s="96"/>
      <c r="M279" s="97"/>
      <c r="N279" s="98" t="s">
        <v>71</v>
      </c>
      <c r="O279" s="99"/>
      <c r="P279" s="100" t="str">
        <f t="shared" si="4"/>
        <v/>
      </c>
      <c r="Q279" s="102" t="s">
        <v>1353</v>
      </c>
      <c r="R279" s="108" t="str">
        <f>HYPERLINK("#'마스터_품목'!A541","→ 마스터 R541")</f>
        <v>→ 마스터 R541</v>
      </c>
      <c r="S279" s="109">
        <v>541</v>
      </c>
      <c r="T279" s="109" t="s">
        <v>72</v>
      </c>
    </row>
    <row r="280" spans="1:20" ht="48" customHeight="1" x14ac:dyDescent="0.3">
      <c r="A280" s="87" t="s">
        <v>1347</v>
      </c>
      <c r="B280" s="87" t="s">
        <v>1351</v>
      </c>
      <c r="C280" s="88" t="s">
        <v>182</v>
      </c>
      <c r="D280" s="88" t="s">
        <v>1253</v>
      </c>
      <c r="E280" s="88" t="s">
        <v>1252</v>
      </c>
      <c r="F280" s="90" t="s">
        <v>71</v>
      </c>
      <c r="G280" s="91"/>
      <c r="H280" s="92"/>
      <c r="I280" s="93" t="str">
        <f>IFERROR(IF(OR($F280="O",$G280="O",$H280="O"),CHOOSE(MATCH($A280,{"튜브","고압","진공","튜닝","조립","출하"},0),"T","H","V","N","A","P")&amp;IF($F280="O","R",IF($G280="O","A",IF($H280="O","F",""))),""),"")</f>
        <v/>
      </c>
      <c r="J280" s="94"/>
      <c r="K280" s="95"/>
      <c r="L280" s="96"/>
      <c r="M280" s="97"/>
      <c r="N280" s="98" t="s">
        <v>71</v>
      </c>
      <c r="O280" s="99"/>
      <c r="P280" s="100" t="str">
        <f t="shared" si="4"/>
        <v/>
      </c>
      <c r="Q280" s="102" t="s">
        <v>1353</v>
      </c>
      <c r="R280" s="108" t="str">
        <f>HYPERLINK("#'마스터_품목'!A540","→ 마스터 R540")</f>
        <v>→ 마스터 R540</v>
      </c>
      <c r="S280" s="109">
        <v>540</v>
      </c>
      <c r="T280" s="109" t="s">
        <v>72</v>
      </c>
    </row>
    <row r="281" spans="1:20" ht="48" customHeight="1" x14ac:dyDescent="0.3">
      <c r="A281" s="87" t="s">
        <v>1347</v>
      </c>
      <c r="B281" s="87" t="s">
        <v>1351</v>
      </c>
      <c r="C281" s="88" t="s">
        <v>182</v>
      </c>
      <c r="D281" s="88" t="s">
        <v>1259</v>
      </c>
      <c r="E281" s="88" t="s">
        <v>1258</v>
      </c>
      <c r="F281" s="90" t="s">
        <v>71</v>
      </c>
      <c r="G281" s="91"/>
      <c r="H281" s="92"/>
      <c r="I281" s="93" t="str">
        <f>IFERROR(IF(OR($F281="O",$G281="O",$H281="O"),CHOOSE(MATCH($A281,{"튜브","고압","진공","튜닝","조립","출하"},0),"T","H","V","N","A","P")&amp;IF($F281="O","R",IF($G281="O","A",IF($H281="O","F",""))),""),"")</f>
        <v/>
      </c>
      <c r="J281" s="94"/>
      <c r="K281" s="95"/>
      <c r="L281" s="96"/>
      <c r="M281" s="97"/>
      <c r="N281" s="98" t="s">
        <v>71</v>
      </c>
      <c r="O281" s="99"/>
      <c r="P281" s="100" t="str">
        <f t="shared" si="4"/>
        <v/>
      </c>
      <c r="Q281" s="102" t="s">
        <v>1353</v>
      </c>
      <c r="R281" s="108" t="str">
        <f>HYPERLINK("#'마스터_품목'!A543","→ 마스터 R543")</f>
        <v>→ 마스터 R543</v>
      </c>
      <c r="S281" s="109">
        <v>543</v>
      </c>
      <c r="T281" s="109" t="s">
        <v>72</v>
      </c>
    </row>
    <row r="282" spans="1:20" ht="48" customHeight="1" x14ac:dyDescent="0.3">
      <c r="A282" s="87" t="s">
        <v>1347</v>
      </c>
      <c r="B282" s="87" t="s">
        <v>1351</v>
      </c>
      <c r="C282" s="88" t="s">
        <v>182</v>
      </c>
      <c r="D282" s="88" t="s">
        <v>1261</v>
      </c>
      <c r="E282" s="88" t="s">
        <v>1260</v>
      </c>
      <c r="F282" s="90" t="s">
        <v>71</v>
      </c>
      <c r="G282" s="91"/>
      <c r="H282" s="92"/>
      <c r="I282" s="93" t="str">
        <f>IFERROR(IF(OR($F282="O",$G282="O",$H282="O"),CHOOSE(MATCH($A282,{"튜브","고압","진공","튜닝","조립","출하"},0),"T","H","V","N","A","P")&amp;IF($F282="O","R",IF($G282="O","A",IF($H282="O","F",""))),""),"")</f>
        <v/>
      </c>
      <c r="J282" s="94"/>
      <c r="K282" s="95"/>
      <c r="L282" s="96"/>
      <c r="M282" s="97"/>
      <c r="N282" s="98" t="s">
        <v>71</v>
      </c>
      <c r="O282" s="99"/>
      <c r="P282" s="100" t="str">
        <f t="shared" si="4"/>
        <v/>
      </c>
      <c r="Q282" s="102" t="s">
        <v>1353</v>
      </c>
      <c r="R282" s="108" t="str">
        <f>HYPERLINK("#'마스터_품목'!A544","→ 마스터 R544")</f>
        <v>→ 마스터 R544</v>
      </c>
      <c r="S282" s="109">
        <v>544</v>
      </c>
      <c r="T282" s="109" t="s">
        <v>72</v>
      </c>
    </row>
    <row r="283" spans="1:20" ht="48" customHeight="1" x14ac:dyDescent="0.3">
      <c r="A283" s="87" t="s">
        <v>1347</v>
      </c>
      <c r="B283" s="87" t="s">
        <v>1351</v>
      </c>
      <c r="C283" s="88" t="s">
        <v>182</v>
      </c>
      <c r="D283" s="88" t="s">
        <v>1263</v>
      </c>
      <c r="E283" s="88" t="s">
        <v>1262</v>
      </c>
      <c r="F283" s="90" t="s">
        <v>71</v>
      </c>
      <c r="G283" s="91"/>
      <c r="H283" s="92"/>
      <c r="I283" s="93" t="str">
        <f>IFERROR(IF(OR($F283="O",$G283="O",$H283="O"),CHOOSE(MATCH($A283,{"튜브","고압","진공","튜닝","조립","출하"},0),"T","H","V","N","A","P")&amp;IF($F283="O","R",IF($G283="O","A",IF($H283="O","F",""))),""),"")</f>
        <v/>
      </c>
      <c r="J283" s="94"/>
      <c r="K283" s="95"/>
      <c r="L283" s="96"/>
      <c r="M283" s="97"/>
      <c r="N283" s="98" t="s">
        <v>71</v>
      </c>
      <c r="O283" s="99"/>
      <c r="P283" s="100" t="str">
        <f t="shared" si="4"/>
        <v/>
      </c>
      <c r="Q283" s="102" t="s">
        <v>1353</v>
      </c>
      <c r="R283" s="108" t="str">
        <f>HYPERLINK("#'마스터_품목'!A545","→ 마스터 R545")</f>
        <v>→ 마스터 R545</v>
      </c>
      <c r="S283" s="109">
        <v>545</v>
      </c>
      <c r="T283" s="109" t="s">
        <v>72</v>
      </c>
    </row>
    <row r="284" spans="1:20" ht="48" customHeight="1" x14ac:dyDescent="0.3">
      <c r="A284" s="87" t="s">
        <v>1347</v>
      </c>
      <c r="B284" s="87" t="s">
        <v>1351</v>
      </c>
      <c r="C284" s="88" t="s">
        <v>182</v>
      </c>
      <c r="D284" s="88" t="s">
        <v>1265</v>
      </c>
      <c r="E284" s="88" t="s">
        <v>1264</v>
      </c>
      <c r="F284" s="90" t="s">
        <v>71</v>
      </c>
      <c r="G284" s="91"/>
      <c r="H284" s="92"/>
      <c r="I284" s="93" t="str">
        <f>IFERROR(IF(OR($F284="O",$G284="O",$H284="O"),CHOOSE(MATCH($A284,{"튜브","고압","진공","튜닝","조립","출하"},0),"T","H","V","N","A","P")&amp;IF($F284="O","R",IF($G284="O","A",IF($H284="O","F",""))),""),"")</f>
        <v/>
      </c>
      <c r="J284" s="94"/>
      <c r="K284" s="95"/>
      <c r="L284" s="96"/>
      <c r="M284" s="97"/>
      <c r="N284" s="98" t="s">
        <v>71</v>
      </c>
      <c r="O284" s="99"/>
      <c r="P284" s="100" t="str">
        <f t="shared" si="4"/>
        <v/>
      </c>
      <c r="Q284" s="102" t="s">
        <v>1353</v>
      </c>
      <c r="R284" s="108" t="str">
        <f>HYPERLINK("#'마스터_품목'!A546","→ 마스터 R546")</f>
        <v>→ 마스터 R546</v>
      </c>
      <c r="S284" s="109">
        <v>546</v>
      </c>
      <c r="T284" s="109" t="s">
        <v>72</v>
      </c>
    </row>
    <row r="285" spans="1:20" ht="48" customHeight="1" x14ac:dyDescent="0.3">
      <c r="A285" s="87" t="s">
        <v>1347</v>
      </c>
      <c r="B285" s="87" t="s">
        <v>1359</v>
      </c>
      <c r="C285" s="88" t="s">
        <v>182</v>
      </c>
      <c r="D285" s="88" t="s">
        <v>1271</v>
      </c>
      <c r="E285" s="88" t="s">
        <v>1464</v>
      </c>
      <c r="F285" s="90" t="s">
        <v>71</v>
      </c>
      <c r="G285" s="91"/>
      <c r="H285" s="92"/>
      <c r="I285" s="93" t="str">
        <f>IFERROR(IF(OR($F285="O",$G285="O",$H285="O"),CHOOSE(MATCH($A285,{"튜브","고압","진공","튜닝","조립","출하"},0),"T","H","V","N","A","P")&amp;IF($F285="O","R",IF($G285="O","A",IF($H285="O","F",""))),""),"")</f>
        <v/>
      </c>
      <c r="J285" s="94"/>
      <c r="K285" s="95"/>
      <c r="L285" s="96"/>
      <c r="M285" s="97"/>
      <c r="N285" s="98" t="s">
        <v>71</v>
      </c>
      <c r="O285" s="99"/>
      <c r="P285" s="100" t="str">
        <f t="shared" si="4"/>
        <v/>
      </c>
      <c r="Q285" s="102" t="s">
        <v>1353</v>
      </c>
      <c r="R285" s="108" t="str">
        <f>HYPERLINK("#'마스터_품목'!A549","→ 마스터 R549")</f>
        <v>→ 마스터 R549</v>
      </c>
      <c r="S285" s="109">
        <v>549</v>
      </c>
      <c r="T285" s="109" t="s">
        <v>72</v>
      </c>
    </row>
    <row r="286" spans="1:20" ht="48" customHeight="1" x14ac:dyDescent="0.3">
      <c r="A286" s="87" t="s">
        <v>1347</v>
      </c>
      <c r="B286" s="87" t="s">
        <v>1359</v>
      </c>
      <c r="C286" s="88" t="s">
        <v>182</v>
      </c>
      <c r="D286" s="88" t="s">
        <v>1267</v>
      </c>
      <c r="E286" s="88" t="s">
        <v>1465</v>
      </c>
      <c r="F286" s="90" t="s">
        <v>71</v>
      </c>
      <c r="G286" s="91"/>
      <c r="H286" s="92"/>
      <c r="I286" s="93" t="str">
        <f>IFERROR(IF(OR($F286="O",$G286="O",$H286="O"),CHOOSE(MATCH($A286,{"튜브","고압","진공","튜닝","조립","출하"},0),"T","H","V","N","A","P")&amp;IF($F286="O","R",IF($G286="O","A",IF($H286="O","F",""))),""),"")</f>
        <v/>
      </c>
      <c r="J286" s="94"/>
      <c r="K286" s="95"/>
      <c r="L286" s="96"/>
      <c r="M286" s="97"/>
      <c r="N286" s="98" t="s">
        <v>71</v>
      </c>
      <c r="O286" s="99"/>
      <c r="P286" s="100" t="str">
        <f t="shared" si="4"/>
        <v/>
      </c>
      <c r="Q286" s="102" t="s">
        <v>1353</v>
      </c>
      <c r="R286" s="108" t="str">
        <f>HYPERLINK("#'마스터_품목'!A547","→ 마스터 R547")</f>
        <v>→ 마스터 R547</v>
      </c>
      <c r="S286" s="109">
        <v>547</v>
      </c>
      <c r="T286" s="109" t="s">
        <v>72</v>
      </c>
    </row>
    <row r="287" spans="1:20" ht="48" customHeight="1" x14ac:dyDescent="0.3">
      <c r="A287" s="87" t="s">
        <v>1347</v>
      </c>
      <c r="B287" s="87" t="s">
        <v>1359</v>
      </c>
      <c r="C287" s="88" t="s">
        <v>182</v>
      </c>
      <c r="D287" s="88" t="s">
        <v>1273</v>
      </c>
      <c r="E287" s="88" t="s">
        <v>1466</v>
      </c>
      <c r="F287" s="90" t="s">
        <v>71</v>
      </c>
      <c r="G287" s="91"/>
      <c r="H287" s="92"/>
      <c r="I287" s="93" t="str">
        <f>IFERROR(IF(OR($F287="O",$G287="O",$H287="O"),CHOOSE(MATCH($A287,{"튜브","고압","진공","튜닝","조립","출하"},0),"T","H","V","N","A","P")&amp;IF($F287="O","R",IF($G287="O","A",IF($H287="O","F",""))),""),"")</f>
        <v/>
      </c>
      <c r="J287" s="94"/>
      <c r="K287" s="95"/>
      <c r="L287" s="96"/>
      <c r="M287" s="97"/>
      <c r="N287" s="98" t="s">
        <v>71</v>
      </c>
      <c r="O287" s="99"/>
      <c r="P287" s="100" t="str">
        <f t="shared" si="4"/>
        <v/>
      </c>
      <c r="Q287" s="102" t="s">
        <v>1353</v>
      </c>
      <c r="R287" s="108" t="str">
        <f>HYPERLINK("#'마스터_품목'!A550","→ 마스터 R550")</f>
        <v>→ 마스터 R550</v>
      </c>
      <c r="S287" s="109">
        <v>550</v>
      </c>
      <c r="T287" s="109" t="s">
        <v>72</v>
      </c>
    </row>
    <row r="288" spans="1:20" ht="48" customHeight="1" x14ac:dyDescent="0.3">
      <c r="A288" s="87" t="s">
        <v>1347</v>
      </c>
      <c r="B288" s="87" t="s">
        <v>1359</v>
      </c>
      <c r="C288" s="88" t="s">
        <v>182</v>
      </c>
      <c r="D288" s="88" t="s">
        <v>1269</v>
      </c>
      <c r="E288" s="88" t="s">
        <v>1467</v>
      </c>
      <c r="F288" s="90" t="s">
        <v>71</v>
      </c>
      <c r="G288" s="91"/>
      <c r="H288" s="92"/>
      <c r="I288" s="93" t="str">
        <f>IFERROR(IF(OR($F288="O",$G288="O",$H288="O"),CHOOSE(MATCH($A288,{"튜브","고압","진공","튜닝","조립","출하"},0),"T","H","V","N","A","P")&amp;IF($F288="O","R",IF($G288="O","A",IF($H288="O","F",""))),""),"")</f>
        <v/>
      </c>
      <c r="J288" s="94"/>
      <c r="K288" s="95"/>
      <c r="L288" s="96"/>
      <c r="M288" s="97"/>
      <c r="N288" s="98" t="s">
        <v>71</v>
      </c>
      <c r="O288" s="99"/>
      <c r="P288" s="100" t="str">
        <f t="shared" si="4"/>
        <v/>
      </c>
      <c r="Q288" s="102" t="s">
        <v>1353</v>
      </c>
      <c r="R288" s="108" t="str">
        <f>HYPERLINK("#'마스터_품목'!A548","→ 마스터 R548")</f>
        <v>→ 마스터 R548</v>
      </c>
      <c r="S288" s="109">
        <v>548</v>
      </c>
      <c r="T288" s="109" t="s">
        <v>72</v>
      </c>
    </row>
    <row r="289" spans="1:20" ht="48" customHeight="1" x14ac:dyDescent="0.3">
      <c r="A289" s="87" t="s">
        <v>1347</v>
      </c>
      <c r="B289" s="87" t="s">
        <v>1368</v>
      </c>
      <c r="C289" s="88" t="s">
        <v>182</v>
      </c>
      <c r="D289" s="88" t="s">
        <v>1187</v>
      </c>
      <c r="E289" s="88" t="s">
        <v>1186</v>
      </c>
      <c r="F289" s="90" t="s">
        <v>71</v>
      </c>
      <c r="G289" s="91"/>
      <c r="H289" s="92"/>
      <c r="I289" s="93" t="str">
        <f>IFERROR(IF(OR($F289="O",$G289="O",$H289="O"),CHOOSE(MATCH($A289,{"튜브","고압","진공","튜닝","조립","출하"},0),"T","H","V","N","A","P")&amp;IF($F289="O","R",IF($G289="O","A",IF($H289="O","F",""))),""),"")</f>
        <v/>
      </c>
      <c r="J289" s="94"/>
      <c r="K289" s="95"/>
      <c r="L289" s="96"/>
      <c r="M289" s="97"/>
      <c r="N289" s="98" t="s">
        <v>71</v>
      </c>
      <c r="O289" s="99"/>
      <c r="P289" s="100" t="str">
        <f t="shared" si="4"/>
        <v/>
      </c>
      <c r="Q289" s="102" t="s">
        <v>1369</v>
      </c>
      <c r="R289" s="108" t="str">
        <f>HYPERLINK("#'마스터_품목'!A507","→ 마스터 R507")</f>
        <v>→ 마스터 R507</v>
      </c>
      <c r="S289" s="109">
        <v>507</v>
      </c>
      <c r="T289" s="109" t="s">
        <v>72</v>
      </c>
    </row>
    <row r="290" spans="1:20" ht="48" customHeight="1" x14ac:dyDescent="0.3">
      <c r="A290" s="87" t="s">
        <v>1347</v>
      </c>
      <c r="B290" s="87" t="s">
        <v>1368</v>
      </c>
      <c r="C290" s="88" t="s">
        <v>182</v>
      </c>
      <c r="D290" s="88" t="s">
        <v>1189</v>
      </c>
      <c r="E290" s="88" t="s">
        <v>1188</v>
      </c>
      <c r="F290" s="90" t="s">
        <v>71</v>
      </c>
      <c r="G290" s="91"/>
      <c r="H290" s="92"/>
      <c r="I290" s="93" t="str">
        <f>IFERROR(IF(OR($F290="O",$G290="O",$H290="O"),CHOOSE(MATCH($A290,{"튜브","고압","진공","튜닝","조립","출하"},0),"T","H","V","N","A","P")&amp;IF($F290="O","R",IF($G290="O","A",IF($H290="O","F",""))),""),"")</f>
        <v/>
      </c>
      <c r="J290" s="94"/>
      <c r="K290" s="95"/>
      <c r="L290" s="96"/>
      <c r="M290" s="97"/>
      <c r="N290" s="98" t="s">
        <v>71</v>
      </c>
      <c r="O290" s="99"/>
      <c r="P290" s="100" t="str">
        <f t="shared" si="4"/>
        <v/>
      </c>
      <c r="Q290" s="102" t="s">
        <v>1369</v>
      </c>
      <c r="R290" s="108" t="str">
        <f>HYPERLINK("#'마스터_품목'!A508","→ 마스터 R508")</f>
        <v>→ 마스터 R508</v>
      </c>
      <c r="S290" s="109">
        <v>508</v>
      </c>
      <c r="T290" s="109" t="s">
        <v>72</v>
      </c>
    </row>
    <row r="291" spans="1:20" ht="48" customHeight="1" x14ac:dyDescent="0.3">
      <c r="A291" s="87" t="s">
        <v>1347</v>
      </c>
      <c r="B291" s="87" t="s">
        <v>1368</v>
      </c>
      <c r="C291" s="88" t="s">
        <v>182</v>
      </c>
      <c r="D291" s="88" t="s">
        <v>1206</v>
      </c>
      <c r="E291" s="88" t="s">
        <v>1205</v>
      </c>
      <c r="F291" s="90" t="s">
        <v>71</v>
      </c>
      <c r="G291" s="91"/>
      <c r="H291" s="92"/>
      <c r="I291" s="93" t="str">
        <f>IFERROR(IF(OR($F291="O",$G291="O",$H291="O"),CHOOSE(MATCH($A291,{"튜브","고압","진공","튜닝","조립","출하"},0),"T","H","V","N","A","P")&amp;IF($F291="O","R",IF($G291="O","A",IF($H291="O","F",""))),""),"")</f>
        <v/>
      </c>
      <c r="J291" s="94"/>
      <c r="K291" s="95"/>
      <c r="L291" s="96"/>
      <c r="M291" s="97"/>
      <c r="N291" s="98" t="s">
        <v>71</v>
      </c>
      <c r="O291" s="99"/>
      <c r="P291" s="100" t="str">
        <f t="shared" si="4"/>
        <v/>
      </c>
      <c r="Q291" s="102" t="s">
        <v>1369</v>
      </c>
      <c r="R291" s="108" t="str">
        <f>HYPERLINK("#'마스터_품목'!A516","→ 마스터 R516")</f>
        <v>→ 마스터 R516</v>
      </c>
      <c r="S291" s="109">
        <v>516</v>
      </c>
      <c r="T291" s="109" t="s">
        <v>72</v>
      </c>
    </row>
    <row r="292" spans="1:20" ht="48" customHeight="1" x14ac:dyDescent="0.3">
      <c r="A292" s="87" t="s">
        <v>1347</v>
      </c>
      <c r="B292" s="87" t="s">
        <v>1368</v>
      </c>
      <c r="C292" s="88" t="s">
        <v>182</v>
      </c>
      <c r="D292" s="88" t="s">
        <v>1191</v>
      </c>
      <c r="E292" s="88" t="s">
        <v>1190</v>
      </c>
      <c r="F292" s="90" t="s">
        <v>71</v>
      </c>
      <c r="G292" s="91"/>
      <c r="H292" s="92"/>
      <c r="I292" s="93" t="str">
        <f>IFERROR(IF(OR($F292="O",$G292="O",$H292="O"),CHOOSE(MATCH($A292,{"튜브","고압","진공","튜닝","조립","출하"},0),"T","H","V","N","A","P")&amp;IF($F292="O","R",IF($G292="O","A",IF($H292="O","F",""))),""),"")</f>
        <v/>
      </c>
      <c r="J292" s="94"/>
      <c r="K292" s="95"/>
      <c r="L292" s="96"/>
      <c r="M292" s="97"/>
      <c r="N292" s="98" t="s">
        <v>71</v>
      </c>
      <c r="O292" s="99"/>
      <c r="P292" s="100" t="str">
        <f t="shared" si="4"/>
        <v/>
      </c>
      <c r="Q292" s="102" t="s">
        <v>1369</v>
      </c>
      <c r="R292" s="108" t="str">
        <f>HYPERLINK("#'마스터_품목'!A509","→ 마스터 R509")</f>
        <v>→ 마스터 R509</v>
      </c>
      <c r="S292" s="109">
        <v>509</v>
      </c>
      <c r="T292" s="109" t="s">
        <v>72</v>
      </c>
    </row>
    <row r="293" spans="1:20" ht="48" customHeight="1" x14ac:dyDescent="0.3">
      <c r="A293" s="87" t="s">
        <v>1347</v>
      </c>
      <c r="B293" s="87" t="s">
        <v>1368</v>
      </c>
      <c r="C293" s="88" t="s">
        <v>182</v>
      </c>
      <c r="D293" s="88" t="s">
        <v>1193</v>
      </c>
      <c r="E293" s="88" t="s">
        <v>1192</v>
      </c>
      <c r="F293" s="90" t="s">
        <v>71</v>
      </c>
      <c r="G293" s="91"/>
      <c r="H293" s="92"/>
      <c r="I293" s="93" t="str">
        <f>IFERROR(IF(OR($F293="O",$G293="O",$H293="O"),CHOOSE(MATCH($A293,{"튜브","고압","진공","튜닝","조립","출하"},0),"T","H","V","N","A","P")&amp;IF($F293="O","R",IF($G293="O","A",IF($H293="O","F",""))),""),"")</f>
        <v/>
      </c>
      <c r="J293" s="94"/>
      <c r="K293" s="95"/>
      <c r="L293" s="96"/>
      <c r="M293" s="97"/>
      <c r="N293" s="98" t="s">
        <v>71</v>
      </c>
      <c r="O293" s="99"/>
      <c r="P293" s="100" t="str">
        <f t="shared" si="4"/>
        <v/>
      </c>
      <c r="Q293" s="102" t="s">
        <v>1369</v>
      </c>
      <c r="R293" s="108" t="str">
        <f>HYPERLINK("#'마스터_품목'!A510","→ 마스터 R510")</f>
        <v>→ 마스터 R510</v>
      </c>
      <c r="S293" s="109">
        <v>510</v>
      </c>
      <c r="T293" s="109" t="s">
        <v>72</v>
      </c>
    </row>
    <row r="294" spans="1:20" ht="48" customHeight="1" x14ac:dyDescent="0.3">
      <c r="A294" s="87" t="s">
        <v>1347</v>
      </c>
      <c r="B294" s="87" t="s">
        <v>1368</v>
      </c>
      <c r="C294" s="88" t="s">
        <v>182</v>
      </c>
      <c r="D294" s="88" t="s">
        <v>1197</v>
      </c>
      <c r="E294" s="88" t="s">
        <v>1196</v>
      </c>
      <c r="F294" s="90" t="s">
        <v>71</v>
      </c>
      <c r="G294" s="91"/>
      <c r="H294" s="92"/>
      <c r="I294" s="93" t="str">
        <f>IFERROR(IF(OR($F294="O",$G294="O",$H294="O"),CHOOSE(MATCH($A294,{"튜브","고압","진공","튜닝","조립","출하"},0),"T","H","V","N","A","P")&amp;IF($F294="O","R",IF($G294="O","A",IF($H294="O","F",""))),""),"")</f>
        <v/>
      </c>
      <c r="J294" s="94"/>
      <c r="K294" s="95"/>
      <c r="L294" s="96"/>
      <c r="M294" s="97"/>
      <c r="N294" s="98" t="s">
        <v>71</v>
      </c>
      <c r="O294" s="99"/>
      <c r="P294" s="100" t="str">
        <f t="shared" si="4"/>
        <v/>
      </c>
      <c r="Q294" s="102" t="s">
        <v>1369</v>
      </c>
      <c r="R294" s="108" t="str">
        <f>HYPERLINK("#'마스터_품목'!A512","→ 마스터 R512")</f>
        <v>→ 마스터 R512</v>
      </c>
      <c r="S294" s="109">
        <v>512</v>
      </c>
      <c r="T294" s="109" t="s">
        <v>72</v>
      </c>
    </row>
    <row r="295" spans="1:20" ht="48" customHeight="1" x14ac:dyDescent="0.3">
      <c r="A295" s="124" t="s">
        <v>354</v>
      </c>
      <c r="B295" s="87" t="s">
        <v>1368</v>
      </c>
      <c r="C295" s="88" t="s">
        <v>182</v>
      </c>
      <c r="D295" s="88" t="s">
        <v>1468</v>
      </c>
      <c r="E295" s="88"/>
      <c r="F295" s="90" t="s">
        <v>71</v>
      </c>
      <c r="G295" s="91"/>
      <c r="H295" s="92"/>
      <c r="I295" s="93" t="str">
        <f>IFERROR(IF(OR($F295="O",$G295="O",$H295="O"),CHOOSE(MATCH($A295,{"튜브","고압","진공","튜닝","조립","출하"},0),"T","H","V","N","A","P")&amp;IF($F295="O","R",IF($G295="O","A",IF($H295="O","F",""))),""),"")</f>
        <v>AR</v>
      </c>
      <c r="J295" s="94"/>
      <c r="K295" s="95"/>
      <c r="L295" s="96"/>
      <c r="M295" s="97"/>
      <c r="N295" s="121" t="s">
        <v>71</v>
      </c>
      <c r="O295" s="99"/>
      <c r="P295" s="100" t="str">
        <f t="shared" si="4"/>
        <v>8-AR</v>
      </c>
      <c r="Q295" s="102" t="s">
        <v>1369</v>
      </c>
      <c r="R295" s="108" t="str">
        <f>HYPERLINK("#'마스터_품목'!A751","→ 마스터 R751")</f>
        <v>→ 마스터 R751</v>
      </c>
      <c r="S295" s="109">
        <v>751</v>
      </c>
      <c r="T295" s="109" t="s">
        <v>72</v>
      </c>
    </row>
    <row r="296" spans="1:20" ht="48" customHeight="1" x14ac:dyDescent="0.3">
      <c r="A296" s="87" t="s">
        <v>1347</v>
      </c>
      <c r="B296" s="87" t="s">
        <v>1368</v>
      </c>
      <c r="C296" s="88" t="s">
        <v>182</v>
      </c>
      <c r="D296" s="88" t="s">
        <v>1223</v>
      </c>
      <c r="E296" s="88" t="s">
        <v>1222</v>
      </c>
      <c r="F296" s="90" t="s">
        <v>71</v>
      </c>
      <c r="G296" s="91"/>
      <c r="H296" s="92"/>
      <c r="I296" s="93" t="str">
        <f>IFERROR(IF(OR($F296="O",$G296="O",$H296="O"),CHOOSE(MATCH($A296,{"튜브","고압","진공","튜닝","조립","출하"},0),"T","H","V","N","A","P")&amp;IF($F296="O","R",IF($G296="O","A",IF($H296="O","F",""))),""),"")</f>
        <v/>
      </c>
      <c r="J296" s="94"/>
      <c r="K296" s="95"/>
      <c r="L296" s="96"/>
      <c r="M296" s="97"/>
      <c r="N296" s="98" t="s">
        <v>71</v>
      </c>
      <c r="O296" s="99"/>
      <c r="P296" s="100" t="str">
        <f t="shared" si="4"/>
        <v/>
      </c>
      <c r="Q296" s="102" t="s">
        <v>1469</v>
      </c>
      <c r="R296" s="108" t="str">
        <f>HYPERLINK("#'마스터_품목'!A525","→ 마스터 R525")</f>
        <v>→ 마스터 R525</v>
      </c>
      <c r="S296" s="109">
        <v>525</v>
      </c>
      <c r="T296" s="109" t="s">
        <v>72</v>
      </c>
    </row>
    <row r="297" spans="1:20" ht="48" customHeight="1" x14ac:dyDescent="0.3">
      <c r="A297" s="87" t="s">
        <v>1347</v>
      </c>
      <c r="B297" s="87" t="s">
        <v>1368</v>
      </c>
      <c r="C297" s="88" t="s">
        <v>182</v>
      </c>
      <c r="D297" s="88" t="s">
        <v>1221</v>
      </c>
      <c r="E297" s="88" t="s">
        <v>1220</v>
      </c>
      <c r="F297" s="90" t="s">
        <v>71</v>
      </c>
      <c r="G297" s="91"/>
      <c r="H297" s="92"/>
      <c r="I297" s="93" t="str">
        <f>IFERROR(IF(OR($F297="O",$G297="O",$H297="O"),CHOOSE(MATCH($A297,{"튜브","고압","진공","튜닝","조립","출하"},0),"T","H","V","N","A","P")&amp;IF($F297="O","R",IF($G297="O","A",IF($H297="O","F",""))),""),"")</f>
        <v/>
      </c>
      <c r="J297" s="94"/>
      <c r="K297" s="95"/>
      <c r="L297" s="96"/>
      <c r="M297" s="97"/>
      <c r="N297" s="98" t="s">
        <v>71</v>
      </c>
      <c r="O297" s="99"/>
      <c r="P297" s="100" t="str">
        <f t="shared" si="4"/>
        <v/>
      </c>
      <c r="Q297" s="102" t="s">
        <v>1369</v>
      </c>
      <c r="R297" s="108" t="str">
        <f>HYPERLINK("#'마스터_품목'!A524","→ 마스터 R524")</f>
        <v>→ 마스터 R524</v>
      </c>
      <c r="S297" s="109">
        <v>524</v>
      </c>
      <c r="T297" s="109" t="s">
        <v>72</v>
      </c>
    </row>
    <row r="298" spans="1:20" ht="48" customHeight="1" x14ac:dyDescent="0.3">
      <c r="A298" s="87" t="s">
        <v>1347</v>
      </c>
      <c r="B298" s="87" t="s">
        <v>1368</v>
      </c>
      <c r="C298" s="88" t="s">
        <v>182</v>
      </c>
      <c r="D298" s="88" t="s">
        <v>1215</v>
      </c>
      <c r="E298" s="88" t="s">
        <v>1214</v>
      </c>
      <c r="F298" s="90" t="s">
        <v>71</v>
      </c>
      <c r="G298" s="91"/>
      <c r="H298" s="92"/>
      <c r="I298" s="93" t="str">
        <f>IFERROR(IF(OR($F298="O",$G298="O",$H298="O"),CHOOSE(MATCH($A298,{"튜브","고압","진공","튜닝","조립","출하"},0),"T","H","V","N","A","P")&amp;IF($F298="O","R",IF($G298="O","A",IF($H298="O","F",""))),""),"")</f>
        <v/>
      </c>
      <c r="J298" s="94"/>
      <c r="K298" s="95"/>
      <c r="L298" s="96"/>
      <c r="M298" s="97"/>
      <c r="N298" s="98" t="s">
        <v>71</v>
      </c>
      <c r="O298" s="99"/>
      <c r="P298" s="100" t="str">
        <f t="shared" si="4"/>
        <v/>
      </c>
      <c r="Q298" s="102" t="s">
        <v>1369</v>
      </c>
      <c r="R298" s="108" t="str">
        <f>HYPERLINK("#'마스터_품목'!A521","→ 마스터 R521")</f>
        <v>→ 마스터 R521</v>
      </c>
      <c r="S298" s="109">
        <v>521</v>
      </c>
      <c r="T298" s="109" t="s">
        <v>72</v>
      </c>
    </row>
    <row r="299" spans="1:20" ht="48" customHeight="1" x14ac:dyDescent="0.3">
      <c r="A299" s="87" t="s">
        <v>1347</v>
      </c>
      <c r="B299" s="87" t="s">
        <v>1368</v>
      </c>
      <c r="C299" s="88" t="s">
        <v>182</v>
      </c>
      <c r="D299" s="88" t="s">
        <v>1199</v>
      </c>
      <c r="E299" s="88" t="s">
        <v>1198</v>
      </c>
      <c r="F299" s="90" t="s">
        <v>71</v>
      </c>
      <c r="G299" s="91"/>
      <c r="H299" s="92"/>
      <c r="I299" s="93" t="str">
        <f>IFERROR(IF(OR($F299="O",$G299="O",$H299="O"),CHOOSE(MATCH($A299,{"튜브","고압","진공","튜닝","조립","출하"},0),"T","H","V","N","A","P")&amp;IF($F299="O","R",IF($G299="O","A",IF($H299="O","F",""))),""),"")</f>
        <v/>
      </c>
      <c r="J299" s="94"/>
      <c r="K299" s="95"/>
      <c r="L299" s="96"/>
      <c r="M299" s="97"/>
      <c r="N299" s="98" t="s">
        <v>71</v>
      </c>
      <c r="O299" s="99"/>
      <c r="P299" s="100" t="str">
        <f t="shared" si="4"/>
        <v/>
      </c>
      <c r="Q299" s="102" t="s">
        <v>1369</v>
      </c>
      <c r="R299" s="108" t="str">
        <f>HYPERLINK("#'마스터_품목'!A513","→ 마스터 R513")</f>
        <v>→ 마스터 R513</v>
      </c>
      <c r="S299" s="109">
        <v>513</v>
      </c>
      <c r="T299" s="109" t="s">
        <v>72</v>
      </c>
    </row>
    <row r="300" spans="1:20" ht="48" customHeight="1" x14ac:dyDescent="0.3">
      <c r="A300" s="87" t="s">
        <v>1347</v>
      </c>
      <c r="B300" s="87" t="s">
        <v>1368</v>
      </c>
      <c r="C300" s="88" t="s">
        <v>182</v>
      </c>
      <c r="D300" s="88" t="s">
        <v>1202</v>
      </c>
      <c r="E300" s="88" t="s">
        <v>1201</v>
      </c>
      <c r="F300" s="90" t="s">
        <v>71</v>
      </c>
      <c r="G300" s="91"/>
      <c r="H300" s="92"/>
      <c r="I300" s="93" t="str">
        <f>IFERROR(IF(OR($F300="O",$G300="O",$H300="O"),CHOOSE(MATCH($A300,{"튜브","고압","진공","튜닝","조립","출하"},0),"T","H","V","N","A","P")&amp;IF($F300="O","R",IF($G300="O","A",IF($H300="O","F",""))),""),"")</f>
        <v/>
      </c>
      <c r="J300" s="94"/>
      <c r="K300" s="95"/>
      <c r="L300" s="96"/>
      <c r="M300" s="97"/>
      <c r="N300" s="98" t="s">
        <v>71</v>
      </c>
      <c r="O300" s="99"/>
      <c r="P300" s="100" t="str">
        <f t="shared" si="4"/>
        <v/>
      </c>
      <c r="Q300" s="102" t="s">
        <v>1369</v>
      </c>
      <c r="R300" s="108" t="str">
        <f>HYPERLINK("#'마스터_품목'!A514","→ 마스터 R514")</f>
        <v>→ 마스터 R514</v>
      </c>
      <c r="S300" s="109">
        <v>514</v>
      </c>
      <c r="T300" s="109" t="s">
        <v>72</v>
      </c>
    </row>
    <row r="301" spans="1:20" ht="48" customHeight="1" x14ac:dyDescent="0.3">
      <c r="A301" s="87" t="s">
        <v>1347</v>
      </c>
      <c r="B301" s="87" t="s">
        <v>1368</v>
      </c>
      <c r="C301" s="88" t="s">
        <v>182</v>
      </c>
      <c r="D301" s="88" t="s">
        <v>1204</v>
      </c>
      <c r="E301" s="88" t="s">
        <v>1470</v>
      </c>
      <c r="F301" s="90" t="s">
        <v>71</v>
      </c>
      <c r="G301" s="91"/>
      <c r="H301" s="92"/>
      <c r="I301" s="93" t="str">
        <f>IFERROR(IF(OR($F301="O",$G301="O",$H301="O"),CHOOSE(MATCH($A301,{"튜브","고압","진공","튜닝","조립","출하"},0),"T","H","V","N","A","P")&amp;IF($F301="O","R",IF($G301="O","A",IF($H301="O","F",""))),""),"")</f>
        <v/>
      </c>
      <c r="J301" s="94"/>
      <c r="K301" s="95"/>
      <c r="L301" s="96"/>
      <c r="M301" s="97"/>
      <c r="N301" s="98" t="s">
        <v>71</v>
      </c>
      <c r="O301" s="99"/>
      <c r="P301" s="100" t="str">
        <f t="shared" si="4"/>
        <v/>
      </c>
      <c r="Q301" s="102" t="s">
        <v>1369</v>
      </c>
      <c r="R301" s="108" t="str">
        <f>HYPERLINK("#'마스터_품목'!A515","→ 마스터 R515")</f>
        <v>→ 마스터 R515</v>
      </c>
      <c r="S301" s="109">
        <v>515</v>
      </c>
      <c r="T301" s="109" t="s">
        <v>72</v>
      </c>
    </row>
    <row r="302" spans="1:20" ht="48" customHeight="1" x14ac:dyDescent="0.3">
      <c r="A302" s="87" t="s">
        <v>1347</v>
      </c>
      <c r="B302" s="87" t="s">
        <v>1368</v>
      </c>
      <c r="C302" s="88" t="s">
        <v>182</v>
      </c>
      <c r="D302" s="88" t="s">
        <v>1217</v>
      </c>
      <c r="E302" s="88" t="s">
        <v>1216</v>
      </c>
      <c r="F302" s="90" t="s">
        <v>71</v>
      </c>
      <c r="G302" s="91"/>
      <c r="H302" s="92"/>
      <c r="I302" s="93" t="str">
        <f>IFERROR(IF(OR($F302="O",$G302="O",$H302="O"),CHOOSE(MATCH($A302,{"튜브","고압","진공","튜닝","조립","출하"},0),"T","H","V","N","A","P")&amp;IF($F302="O","R",IF($G302="O","A",IF($H302="O","F",""))),""),"")</f>
        <v/>
      </c>
      <c r="J302" s="94"/>
      <c r="K302" s="95"/>
      <c r="L302" s="96"/>
      <c r="M302" s="97"/>
      <c r="N302" s="98" t="s">
        <v>71</v>
      </c>
      <c r="O302" s="99"/>
      <c r="P302" s="100" t="str">
        <f t="shared" si="4"/>
        <v/>
      </c>
      <c r="Q302" s="102" t="s">
        <v>1369</v>
      </c>
      <c r="R302" s="108" t="str">
        <f>HYPERLINK("#'마스터_품목'!A522","→ 마스터 R522")</f>
        <v>→ 마스터 R522</v>
      </c>
      <c r="S302" s="109">
        <v>522</v>
      </c>
      <c r="T302" s="109" t="s">
        <v>72</v>
      </c>
    </row>
    <row r="303" spans="1:20" ht="48" customHeight="1" x14ac:dyDescent="0.3">
      <c r="A303" s="87" t="s">
        <v>1347</v>
      </c>
      <c r="B303" s="87" t="s">
        <v>1368</v>
      </c>
      <c r="C303" s="88" t="s">
        <v>182</v>
      </c>
      <c r="D303" s="88" t="s">
        <v>1211</v>
      </c>
      <c r="E303" s="88" t="s">
        <v>1210</v>
      </c>
      <c r="F303" s="90" t="s">
        <v>71</v>
      </c>
      <c r="G303" s="91"/>
      <c r="H303" s="92"/>
      <c r="I303" s="93" t="str">
        <f>IFERROR(IF(OR($F303="O",$G303="O",$H303="O"),CHOOSE(MATCH($A303,{"튜브","고압","진공","튜닝","조립","출하"},0),"T","H","V","N","A","P")&amp;IF($F303="O","R",IF($G303="O","A",IF($H303="O","F",""))),""),"")</f>
        <v/>
      </c>
      <c r="J303" s="94"/>
      <c r="K303" s="95"/>
      <c r="L303" s="96"/>
      <c r="M303" s="97"/>
      <c r="N303" s="98" t="s">
        <v>71</v>
      </c>
      <c r="O303" s="99"/>
      <c r="P303" s="100" t="str">
        <f t="shared" si="4"/>
        <v/>
      </c>
      <c r="Q303" s="102" t="s">
        <v>1369</v>
      </c>
      <c r="R303" s="108" t="str">
        <f>HYPERLINK("#'마스터_품목'!A519","→ 마스터 R519")</f>
        <v>→ 마스터 R519</v>
      </c>
      <c r="S303" s="109">
        <v>519</v>
      </c>
      <c r="T303" s="109" t="s">
        <v>72</v>
      </c>
    </row>
    <row r="304" spans="1:20" ht="48" customHeight="1" x14ac:dyDescent="0.3">
      <c r="A304" s="87" t="s">
        <v>1347</v>
      </c>
      <c r="B304" s="87" t="s">
        <v>1368</v>
      </c>
      <c r="C304" s="88" t="s">
        <v>182</v>
      </c>
      <c r="D304" s="88" t="s">
        <v>1213</v>
      </c>
      <c r="E304" s="88" t="s">
        <v>1212</v>
      </c>
      <c r="F304" s="90" t="s">
        <v>71</v>
      </c>
      <c r="G304" s="91"/>
      <c r="H304" s="92"/>
      <c r="I304" s="93" t="str">
        <f>IFERROR(IF(OR($F304="O",$G304="O",$H304="O"),CHOOSE(MATCH($A304,{"튜브","고압","진공","튜닝","조립","출하"},0),"T","H","V","N","A","P")&amp;IF($F304="O","R",IF($G304="O","A",IF($H304="O","F",""))),""),"")</f>
        <v/>
      </c>
      <c r="J304" s="94"/>
      <c r="K304" s="95"/>
      <c r="L304" s="96"/>
      <c r="M304" s="97"/>
      <c r="N304" s="98" t="s">
        <v>71</v>
      </c>
      <c r="O304" s="99"/>
      <c r="P304" s="100" t="str">
        <f t="shared" si="4"/>
        <v/>
      </c>
      <c r="Q304" s="102" t="s">
        <v>1369</v>
      </c>
      <c r="R304" s="108" t="str">
        <f>HYPERLINK("#'마스터_품목'!A520","→ 마스터 R520")</f>
        <v>→ 마스터 R520</v>
      </c>
      <c r="S304" s="109">
        <v>520</v>
      </c>
      <c r="T304" s="109" t="s">
        <v>72</v>
      </c>
    </row>
    <row r="305" spans="1:20" ht="48" customHeight="1" x14ac:dyDescent="0.3">
      <c r="A305" s="87" t="s">
        <v>1347</v>
      </c>
      <c r="B305" s="87" t="s">
        <v>1368</v>
      </c>
      <c r="C305" s="88" t="s">
        <v>182</v>
      </c>
      <c r="D305" s="88" t="s">
        <v>1209</v>
      </c>
      <c r="E305" s="88" t="s">
        <v>1208</v>
      </c>
      <c r="F305" s="90" t="s">
        <v>71</v>
      </c>
      <c r="G305" s="91"/>
      <c r="H305" s="92"/>
      <c r="I305" s="93" t="str">
        <f>IFERROR(IF(OR($F305="O",$G305="O",$H305="O"),CHOOSE(MATCH($A305,{"튜브","고압","진공","튜닝","조립","출하"},0),"T","H","V","N","A","P")&amp;IF($F305="O","R",IF($G305="O","A",IF($H305="O","F",""))),""),"")</f>
        <v/>
      </c>
      <c r="J305" s="94"/>
      <c r="K305" s="95"/>
      <c r="L305" s="96"/>
      <c r="M305" s="97"/>
      <c r="N305" s="98" t="s">
        <v>71</v>
      </c>
      <c r="O305" s="99"/>
      <c r="P305" s="100" t="str">
        <f t="shared" si="4"/>
        <v/>
      </c>
      <c r="Q305" s="102" t="s">
        <v>1369</v>
      </c>
      <c r="R305" s="108" t="str">
        <f>HYPERLINK("#'마스터_품목'!A518","→ 마스터 R518")</f>
        <v>→ 마스터 R518</v>
      </c>
      <c r="S305" s="109">
        <v>518</v>
      </c>
      <c r="T305" s="109" t="s">
        <v>72</v>
      </c>
    </row>
    <row r="306" spans="1:20" ht="48" customHeight="1" x14ac:dyDescent="0.3">
      <c r="A306" s="87" t="s">
        <v>1347</v>
      </c>
      <c r="B306" s="87" t="s">
        <v>1368</v>
      </c>
      <c r="C306" s="88" t="s">
        <v>182</v>
      </c>
      <c r="D306" s="88" t="s">
        <v>1219</v>
      </c>
      <c r="E306" s="88" t="s">
        <v>1218</v>
      </c>
      <c r="F306" s="90" t="s">
        <v>71</v>
      </c>
      <c r="G306" s="91"/>
      <c r="H306" s="92"/>
      <c r="I306" s="93" t="str">
        <f>IFERROR(IF(OR($F306="O",$G306="O",$H306="O"),CHOOSE(MATCH($A306,{"튜브","고압","진공","튜닝","조립","출하"},0),"T","H","V","N","A","P")&amp;IF($F306="O","R",IF($G306="O","A",IF($H306="O","F",""))),""),"")</f>
        <v/>
      </c>
      <c r="J306" s="94"/>
      <c r="K306" s="95"/>
      <c r="L306" s="96"/>
      <c r="M306" s="97"/>
      <c r="N306" s="98" t="s">
        <v>71</v>
      </c>
      <c r="O306" s="99"/>
      <c r="P306" s="100" t="str">
        <f t="shared" si="4"/>
        <v/>
      </c>
      <c r="Q306" s="102" t="s">
        <v>1369</v>
      </c>
      <c r="R306" s="108" t="str">
        <f>HYPERLINK("#'마스터_품목'!A523","→ 마스터 R523")</f>
        <v>→ 마스터 R523</v>
      </c>
      <c r="S306" s="109">
        <v>523</v>
      </c>
      <c r="T306" s="109" t="s">
        <v>72</v>
      </c>
    </row>
    <row r="307" spans="1:20" ht="48" customHeight="1" x14ac:dyDescent="0.3">
      <c r="A307" s="87" t="s">
        <v>1347</v>
      </c>
      <c r="B307" s="87" t="s">
        <v>1368</v>
      </c>
      <c r="C307" s="88" t="s">
        <v>182</v>
      </c>
      <c r="D307" s="88" t="s">
        <v>1195</v>
      </c>
      <c r="E307" s="88" t="s">
        <v>1194</v>
      </c>
      <c r="F307" s="90" t="s">
        <v>71</v>
      </c>
      <c r="G307" s="91"/>
      <c r="H307" s="92"/>
      <c r="I307" s="93" t="str">
        <f>IFERROR(IF(OR($F307="O",$G307="O",$H307="O"),CHOOSE(MATCH($A307,{"튜브","고압","진공","튜닝","조립","출하"},0),"T","H","V","N","A","P")&amp;IF($F307="O","R",IF($G307="O","A",IF($H307="O","F",""))),""),"")</f>
        <v/>
      </c>
      <c r="J307" s="94"/>
      <c r="K307" s="95"/>
      <c r="L307" s="96"/>
      <c r="M307" s="97"/>
      <c r="N307" s="98" t="s">
        <v>71</v>
      </c>
      <c r="O307" s="99"/>
      <c r="P307" s="100" t="str">
        <f t="shared" si="4"/>
        <v/>
      </c>
      <c r="Q307" s="102" t="s">
        <v>1369</v>
      </c>
      <c r="R307" s="108" t="str">
        <f>HYPERLINK("#'마스터_품목'!A511","→ 마스터 R511")</f>
        <v>→ 마스터 R511</v>
      </c>
      <c r="S307" s="109">
        <v>511</v>
      </c>
      <c r="T307" s="109" t="s">
        <v>72</v>
      </c>
    </row>
    <row r="308" spans="1:20" ht="48" customHeight="1" x14ac:dyDescent="0.3">
      <c r="A308" s="87" t="s">
        <v>1347</v>
      </c>
      <c r="B308" s="87" t="s">
        <v>1413</v>
      </c>
      <c r="C308" s="88" t="s">
        <v>182</v>
      </c>
      <c r="D308" s="88" t="s">
        <v>1226</v>
      </c>
      <c r="E308" s="88" t="s">
        <v>1225</v>
      </c>
      <c r="F308" s="90" t="s">
        <v>71</v>
      </c>
      <c r="G308" s="91"/>
      <c r="H308" s="92"/>
      <c r="I308" s="93" t="str">
        <f>IFERROR(IF(OR($F308="O",$G308="O",$H308="O"),CHOOSE(MATCH($A308,{"튜브","고압","진공","튜닝","조립","출하"},0),"T","H","V","N","A","P")&amp;IF($F308="O","R",IF($G308="O","A",IF($H308="O","F",""))),""),"")</f>
        <v/>
      </c>
      <c r="J308" s="94"/>
      <c r="K308" s="95"/>
      <c r="L308" s="96"/>
      <c r="M308" s="97"/>
      <c r="N308" s="98" t="s">
        <v>71</v>
      </c>
      <c r="O308" s="99"/>
      <c r="P308" s="100" t="str">
        <f t="shared" si="4"/>
        <v/>
      </c>
      <c r="Q308" s="102" t="s">
        <v>1369</v>
      </c>
      <c r="R308" s="108" t="str">
        <f>HYPERLINK("#'마스터_품목'!A526","→ 마스터 R526")</f>
        <v>→ 마스터 R526</v>
      </c>
      <c r="S308" s="109">
        <v>526</v>
      </c>
      <c r="T308" s="109" t="s">
        <v>72</v>
      </c>
    </row>
    <row r="309" spans="1:20" ht="48" customHeight="1" x14ac:dyDescent="0.3">
      <c r="A309" s="87" t="s">
        <v>1347</v>
      </c>
      <c r="B309" s="87" t="s">
        <v>1413</v>
      </c>
      <c r="C309" s="88" t="s">
        <v>182</v>
      </c>
      <c r="D309" s="88" t="s">
        <v>1232</v>
      </c>
      <c r="E309" s="88" t="s">
        <v>1231</v>
      </c>
      <c r="F309" s="90" t="s">
        <v>71</v>
      </c>
      <c r="G309" s="91"/>
      <c r="H309" s="92"/>
      <c r="I309" s="93" t="str">
        <f>IFERROR(IF(OR($F309="O",$G309="O",$H309="O"),CHOOSE(MATCH($A309,{"튜브","고압","진공","튜닝","조립","출하"},0),"T","H","V","N","A","P")&amp;IF($F309="O","R",IF($G309="O","A",IF($H309="O","F",""))),""),"")</f>
        <v/>
      </c>
      <c r="J309" s="94"/>
      <c r="K309" s="95"/>
      <c r="L309" s="96"/>
      <c r="M309" s="97"/>
      <c r="N309" s="98" t="s">
        <v>71</v>
      </c>
      <c r="O309" s="99"/>
      <c r="P309" s="100" t="str">
        <f t="shared" si="4"/>
        <v/>
      </c>
      <c r="Q309" s="102" t="s">
        <v>1369</v>
      </c>
      <c r="R309" s="108" t="str">
        <f>HYPERLINK("#'마스터_품목'!A529","→ 마스터 R529")</f>
        <v>→ 마스터 R529</v>
      </c>
      <c r="S309" s="109">
        <v>529</v>
      </c>
      <c r="T309" s="109" t="s">
        <v>72</v>
      </c>
    </row>
    <row r="310" spans="1:20" ht="48" customHeight="1" x14ac:dyDescent="0.3">
      <c r="A310" s="87" t="s">
        <v>1347</v>
      </c>
      <c r="B310" s="87" t="s">
        <v>1413</v>
      </c>
      <c r="C310" s="88" t="s">
        <v>182</v>
      </c>
      <c r="D310" s="88" t="s">
        <v>1230</v>
      </c>
      <c r="E310" s="88" t="s">
        <v>1229</v>
      </c>
      <c r="F310" s="90" t="s">
        <v>71</v>
      </c>
      <c r="G310" s="91"/>
      <c r="H310" s="92"/>
      <c r="I310" s="93" t="str">
        <f>IFERROR(IF(OR($F310="O",$G310="O",$H310="O"),CHOOSE(MATCH($A310,{"튜브","고압","진공","튜닝","조립","출하"},0),"T","H","V","N","A","P")&amp;IF($F310="O","R",IF($G310="O","A",IF($H310="O","F",""))),""),"")</f>
        <v/>
      </c>
      <c r="J310" s="94"/>
      <c r="K310" s="95"/>
      <c r="L310" s="96"/>
      <c r="M310" s="97"/>
      <c r="N310" s="98" t="s">
        <v>71</v>
      </c>
      <c r="O310" s="99"/>
      <c r="P310" s="100" t="str">
        <f t="shared" si="4"/>
        <v/>
      </c>
      <c r="Q310" s="102" t="s">
        <v>1369</v>
      </c>
      <c r="R310" s="108" t="str">
        <f>HYPERLINK("#'마스터_품목'!A528","→ 마스터 R528")</f>
        <v>→ 마스터 R528</v>
      </c>
      <c r="S310" s="109">
        <v>528</v>
      </c>
      <c r="T310" s="109" t="s">
        <v>72</v>
      </c>
    </row>
    <row r="311" spans="1:20" ht="48" customHeight="1" x14ac:dyDescent="0.3">
      <c r="A311" s="87" t="s">
        <v>1347</v>
      </c>
      <c r="B311" s="87" t="s">
        <v>1413</v>
      </c>
      <c r="C311" s="88" t="s">
        <v>182</v>
      </c>
      <c r="D311" s="88" t="s">
        <v>1234</v>
      </c>
      <c r="E311" s="88" t="s">
        <v>1233</v>
      </c>
      <c r="F311" s="90" t="s">
        <v>71</v>
      </c>
      <c r="G311" s="91"/>
      <c r="H311" s="92"/>
      <c r="I311" s="93" t="str">
        <f>IFERROR(IF(OR($F311="O",$G311="O",$H311="O"),CHOOSE(MATCH($A311,{"튜브","고압","진공","튜닝","조립","출하"},0),"T","H","V","N","A","P")&amp;IF($F311="O","R",IF($G311="O","A",IF($H311="O","F",""))),""),"")</f>
        <v/>
      </c>
      <c r="J311" s="94"/>
      <c r="K311" s="95"/>
      <c r="L311" s="96"/>
      <c r="M311" s="97"/>
      <c r="N311" s="98" t="s">
        <v>71</v>
      </c>
      <c r="O311" s="99"/>
      <c r="P311" s="100" t="str">
        <f t="shared" si="4"/>
        <v/>
      </c>
      <c r="Q311" s="102" t="s">
        <v>1369</v>
      </c>
      <c r="R311" s="108" t="str">
        <f>HYPERLINK("#'마스터_품목'!A530","→ 마스터 R530")</f>
        <v>→ 마스터 R530</v>
      </c>
      <c r="S311" s="109">
        <v>530</v>
      </c>
      <c r="T311" s="109" t="s">
        <v>72</v>
      </c>
    </row>
    <row r="312" spans="1:20" ht="48" customHeight="1" x14ac:dyDescent="0.3">
      <c r="A312" s="87" t="s">
        <v>1347</v>
      </c>
      <c r="B312" s="87" t="s">
        <v>1413</v>
      </c>
      <c r="C312" s="88" t="s">
        <v>182</v>
      </c>
      <c r="D312" s="88" t="s">
        <v>1228</v>
      </c>
      <c r="E312" s="88" t="s">
        <v>1227</v>
      </c>
      <c r="F312" s="90" t="s">
        <v>71</v>
      </c>
      <c r="G312" s="91"/>
      <c r="H312" s="92"/>
      <c r="I312" s="93" t="str">
        <f>IFERROR(IF(OR($F312="O",$G312="O",$H312="O"),CHOOSE(MATCH($A312,{"튜브","고압","진공","튜닝","조립","출하"},0),"T","H","V","N","A","P")&amp;IF($F312="O","R",IF($G312="O","A",IF($H312="O","F",""))),""),"")</f>
        <v/>
      </c>
      <c r="J312" s="94"/>
      <c r="K312" s="95"/>
      <c r="L312" s="96"/>
      <c r="M312" s="97"/>
      <c r="N312" s="98" t="s">
        <v>71</v>
      </c>
      <c r="O312" s="99"/>
      <c r="P312" s="100" t="str">
        <f t="shared" si="4"/>
        <v/>
      </c>
      <c r="Q312" s="102" t="s">
        <v>1369</v>
      </c>
      <c r="R312" s="108" t="str">
        <f>HYPERLINK("#'마스터_품목'!A527","→ 마스터 R527")</f>
        <v>→ 마스터 R527</v>
      </c>
      <c r="S312" s="109">
        <v>527</v>
      </c>
      <c r="T312" s="109" t="s">
        <v>72</v>
      </c>
    </row>
    <row r="313" spans="1:20" ht="48" customHeight="1" x14ac:dyDescent="0.3">
      <c r="A313" s="87" t="s">
        <v>1347</v>
      </c>
      <c r="B313" s="87" t="s">
        <v>1242</v>
      </c>
      <c r="C313" s="88" t="s">
        <v>182</v>
      </c>
      <c r="D313" s="88" t="s">
        <v>1244</v>
      </c>
      <c r="E313" s="88" t="s">
        <v>1243</v>
      </c>
      <c r="F313" s="90" t="s">
        <v>71</v>
      </c>
      <c r="G313" s="91"/>
      <c r="H313" s="92"/>
      <c r="I313" s="93" t="str">
        <f>IFERROR(IF(OR($F313="O",$G313="O",$H313="O"),CHOOSE(MATCH($A313,{"튜브","고압","진공","튜닝","조립","출하"},0),"T","H","V","N","A","P")&amp;IF($F313="O","R",IF($G313="O","A",IF($H313="O","F",""))),""),"")</f>
        <v/>
      </c>
      <c r="J313" s="94"/>
      <c r="K313" s="95"/>
      <c r="L313" s="96"/>
      <c r="M313" s="97"/>
      <c r="N313" s="98" t="s">
        <v>71</v>
      </c>
      <c r="O313" s="99"/>
      <c r="P313" s="100" t="str">
        <f t="shared" si="4"/>
        <v/>
      </c>
      <c r="Q313" s="114"/>
      <c r="R313" s="108" t="str">
        <f>HYPERLINK("#'마스터_품목'!A534","→ 마스터 R534")</f>
        <v>→ 마스터 R534</v>
      </c>
      <c r="S313" s="109">
        <v>534</v>
      </c>
      <c r="T313" s="109" t="s">
        <v>72</v>
      </c>
    </row>
    <row r="314" spans="1:20" ht="48" customHeight="1" x14ac:dyDescent="0.3">
      <c r="A314" s="87" t="s">
        <v>1347</v>
      </c>
      <c r="B314" s="87" t="s">
        <v>1383</v>
      </c>
      <c r="C314" s="88" t="s">
        <v>182</v>
      </c>
      <c r="D314" s="88" t="s">
        <v>1237</v>
      </c>
      <c r="E314" s="88" t="s">
        <v>1236</v>
      </c>
      <c r="F314" s="90" t="s">
        <v>71</v>
      </c>
      <c r="G314" s="91"/>
      <c r="H314" s="92"/>
      <c r="I314" s="93" t="str">
        <f>IFERROR(IF(OR($F314="O",$G314="O",$H314="O"),CHOOSE(MATCH($A314,{"튜브","고압","진공","튜닝","조립","출하"},0),"T","H","V","N","A","P")&amp;IF($F314="O","R",IF($G314="O","A",IF($H314="O","F",""))),""),"")</f>
        <v/>
      </c>
      <c r="J314" s="94"/>
      <c r="K314" s="95"/>
      <c r="L314" s="96"/>
      <c r="M314" s="97"/>
      <c r="N314" s="98" t="s">
        <v>71</v>
      </c>
      <c r="O314" s="99"/>
      <c r="P314" s="100" t="str">
        <f t="shared" si="4"/>
        <v/>
      </c>
      <c r="Q314" s="114"/>
      <c r="R314" s="108" t="str">
        <f>HYPERLINK("#'마스터_품목'!A531","→ 마스터 R531")</f>
        <v>→ 마스터 R531</v>
      </c>
      <c r="S314" s="109">
        <v>531</v>
      </c>
      <c r="T314" s="109" t="s">
        <v>72</v>
      </c>
    </row>
    <row r="315" spans="1:20" ht="48" customHeight="1" x14ac:dyDescent="0.3">
      <c r="A315" s="87" t="s">
        <v>1347</v>
      </c>
      <c r="B315" s="87" t="s">
        <v>1456</v>
      </c>
      <c r="C315" s="88" t="s">
        <v>182</v>
      </c>
      <c r="D315" s="88" t="s">
        <v>1241</v>
      </c>
      <c r="E315" s="88" t="s">
        <v>1240</v>
      </c>
      <c r="F315" s="90" t="s">
        <v>71</v>
      </c>
      <c r="G315" s="91"/>
      <c r="H315" s="92"/>
      <c r="I315" s="93" t="str">
        <f>IFERROR(IF(OR($F315="O",$G315="O",$H315="O"),CHOOSE(MATCH($A315,{"튜브","고압","진공","튜닝","조립","출하"},0),"T","H","V","N","A","P")&amp;IF($F315="O","R",IF($G315="O","A",IF($H315="O","F",""))),""),"")</f>
        <v/>
      </c>
      <c r="J315" s="94"/>
      <c r="K315" s="95"/>
      <c r="L315" s="96"/>
      <c r="M315" s="97"/>
      <c r="N315" s="98" t="s">
        <v>71</v>
      </c>
      <c r="O315" s="99"/>
      <c r="P315" s="100" t="str">
        <f t="shared" si="4"/>
        <v/>
      </c>
      <c r="Q315" s="102" t="s">
        <v>1457</v>
      </c>
      <c r="R315" s="108" t="str">
        <f>HYPERLINK("#'마스터_품목'!A533","→ 마스터 R533")</f>
        <v>→ 마스터 R533</v>
      </c>
      <c r="S315" s="109">
        <v>533</v>
      </c>
      <c r="T315" s="109" t="s">
        <v>72</v>
      </c>
    </row>
    <row r="316" spans="1:20" ht="48" customHeight="1" x14ac:dyDescent="0.3">
      <c r="A316" s="124" t="s">
        <v>354</v>
      </c>
      <c r="B316" s="87" t="s">
        <v>1368</v>
      </c>
      <c r="C316" s="88" t="s">
        <v>198</v>
      </c>
      <c r="D316" s="88" t="s">
        <v>1471</v>
      </c>
      <c r="E316" s="88"/>
      <c r="F316" s="90" t="s">
        <v>71</v>
      </c>
      <c r="G316" s="91"/>
      <c r="H316" s="92"/>
      <c r="I316" s="93" t="str">
        <f>IFERROR(IF(OR($F316="O",$G316="O",$H316="O"),CHOOSE(MATCH($A316,{"튜브","고압","진공","튜닝","조립","출하"},0),"T","H","V","N","A","P")&amp;IF($F316="O","R",IF($G316="O","A",IF($H316="O","F",""))),""),"")</f>
        <v>AR</v>
      </c>
      <c r="J316" s="94"/>
      <c r="K316" s="123" t="s">
        <v>71</v>
      </c>
      <c r="L316" s="96"/>
      <c r="M316" s="97"/>
      <c r="N316" s="98"/>
      <c r="O316" s="99"/>
      <c r="P316" s="100" t="str">
        <f t="shared" si="4"/>
        <v>4-AR</v>
      </c>
      <c r="Q316" s="102" t="s">
        <v>1369</v>
      </c>
      <c r="R316" s="108" t="str">
        <f>HYPERLINK("#'마스터_품목'!A752","→ 마스터 R752")</f>
        <v>→ 마스터 R752</v>
      </c>
      <c r="S316" s="109">
        <v>752</v>
      </c>
      <c r="T316" s="109" t="s">
        <v>72</v>
      </c>
    </row>
    <row r="317" spans="1:20" ht="48" customHeight="1" x14ac:dyDescent="0.3">
      <c r="A317" s="124" t="s">
        <v>354</v>
      </c>
      <c r="B317" s="87" t="s">
        <v>1368</v>
      </c>
      <c r="C317" s="88" t="s">
        <v>198</v>
      </c>
      <c r="D317" s="88" t="s">
        <v>1472</v>
      </c>
      <c r="E317" s="88"/>
      <c r="F317" s="90" t="s">
        <v>71</v>
      </c>
      <c r="G317" s="91"/>
      <c r="H317" s="92"/>
      <c r="I317" s="93" t="str">
        <f>IFERROR(IF(OR($F317="O",$G317="O",$H317="O"),CHOOSE(MATCH($A317,{"튜브","고압","진공","튜닝","조립","출하"},0),"T","H","V","N","A","P")&amp;IF($F317="O","R",IF($G317="O","A",IF($H317="O","F",""))),""),"")</f>
        <v>AR</v>
      </c>
      <c r="J317" s="94"/>
      <c r="K317" s="123" t="s">
        <v>71</v>
      </c>
      <c r="L317" s="96"/>
      <c r="M317" s="97"/>
      <c r="N317" s="98"/>
      <c r="O317" s="99"/>
      <c r="P317" s="100" t="str">
        <f t="shared" si="4"/>
        <v>4-AR</v>
      </c>
      <c r="Q317" s="102" t="s">
        <v>1369</v>
      </c>
      <c r="R317" s="116" t="str">
        <f>HYPERLINK("#'마스터_품목'!A753","→ 마스터 R753")</f>
        <v>→ 마스터 R753</v>
      </c>
      <c r="S317" s="117">
        <v>753</v>
      </c>
      <c r="T317" s="117" t="s">
        <v>72</v>
      </c>
    </row>
    <row r="318" spans="1:20" ht="48" customHeight="1" x14ac:dyDescent="0.3">
      <c r="A318" s="124" t="s">
        <v>354</v>
      </c>
      <c r="B318" s="87" t="s">
        <v>1368</v>
      </c>
      <c r="C318" s="88" t="s">
        <v>198</v>
      </c>
      <c r="D318" s="88" t="s">
        <v>1473</v>
      </c>
      <c r="E318" s="88"/>
      <c r="F318" s="90" t="s">
        <v>71</v>
      </c>
      <c r="G318" s="91"/>
      <c r="H318" s="92"/>
      <c r="I318" s="93" t="str">
        <f>IFERROR(IF(OR($F318="O",$G318="O",$H318="O"),CHOOSE(MATCH($A318,{"튜브","고압","진공","튜닝","조립","출하"},0),"T","H","V","N","A","P")&amp;IF($F318="O","R",IF($G318="O","A",IF($H318="O","F",""))),""),"")</f>
        <v>AR</v>
      </c>
      <c r="J318" s="94"/>
      <c r="K318" s="123" t="s">
        <v>71</v>
      </c>
      <c r="L318" s="96"/>
      <c r="M318" s="97"/>
      <c r="N318" s="98"/>
      <c r="O318" s="99"/>
      <c r="P318" s="100" t="str">
        <f t="shared" si="4"/>
        <v>4-AR</v>
      </c>
      <c r="Q318" s="102" t="s">
        <v>1369</v>
      </c>
      <c r="R318" s="108" t="str">
        <f>HYPERLINK("#'마스터_품목'!A754","→ 마스터 R754")</f>
        <v>→ 마스터 R754</v>
      </c>
      <c r="S318" s="109">
        <v>754</v>
      </c>
      <c r="T318" s="109" t="s">
        <v>72</v>
      </c>
    </row>
    <row r="319" spans="1:20" ht="48" customHeight="1" x14ac:dyDescent="0.3">
      <c r="A319" s="124" t="s">
        <v>354</v>
      </c>
      <c r="B319" s="87" t="s">
        <v>1368</v>
      </c>
      <c r="C319" s="88" t="s">
        <v>198</v>
      </c>
      <c r="D319" s="88" t="s">
        <v>1474</v>
      </c>
      <c r="E319" s="88"/>
      <c r="F319" s="90" t="s">
        <v>71</v>
      </c>
      <c r="G319" s="91"/>
      <c r="H319" s="92"/>
      <c r="I319" s="93" t="str">
        <f>IFERROR(IF(OR($F319="O",$G319="O",$H319="O"),CHOOSE(MATCH($A319,{"튜브","고압","진공","튜닝","조립","출하"},0),"T","H","V","N","A","P")&amp;IF($F319="O","R",IF($G319="O","A",IF($H319="O","F",""))),""),"")</f>
        <v>AR</v>
      </c>
      <c r="J319" s="94"/>
      <c r="K319" s="123" t="s">
        <v>71</v>
      </c>
      <c r="L319" s="96"/>
      <c r="M319" s="97"/>
      <c r="N319" s="98"/>
      <c r="O319" s="99"/>
      <c r="P319" s="100" t="str">
        <f t="shared" si="4"/>
        <v>4-AR</v>
      </c>
      <c r="Q319" s="102" t="s">
        <v>1369</v>
      </c>
      <c r="R319" s="108" t="str">
        <f>HYPERLINK("#'마스터_품목'!A755","→ 마스터 R755")</f>
        <v>→ 마스터 R755</v>
      </c>
      <c r="S319" s="109">
        <v>755</v>
      </c>
      <c r="T319" s="109" t="s">
        <v>72</v>
      </c>
    </row>
    <row r="320" spans="1:20" ht="48" customHeight="1" x14ac:dyDescent="0.3">
      <c r="A320" s="124" t="s">
        <v>354</v>
      </c>
      <c r="B320" s="87" t="s">
        <v>1368</v>
      </c>
      <c r="C320" s="88" t="s">
        <v>198</v>
      </c>
      <c r="D320" s="88" t="s">
        <v>1475</v>
      </c>
      <c r="E320" s="88"/>
      <c r="F320" s="90" t="s">
        <v>71</v>
      </c>
      <c r="G320" s="91"/>
      <c r="H320" s="92"/>
      <c r="I320" s="93" t="str">
        <f>IFERROR(IF(OR($F320="O",$G320="O",$H320="O"),CHOOSE(MATCH($A320,{"튜브","고압","진공","튜닝","조립","출하"},0),"T","H","V","N","A","P")&amp;IF($F320="O","R",IF($G320="O","A",IF($H320="O","F",""))),""),"")</f>
        <v>AR</v>
      </c>
      <c r="J320" s="94"/>
      <c r="K320" s="123" t="s">
        <v>71</v>
      </c>
      <c r="L320" s="96"/>
      <c r="M320" s="97"/>
      <c r="N320" s="98"/>
      <c r="O320" s="99"/>
      <c r="P320" s="100" t="str">
        <f t="shared" si="4"/>
        <v>4-AR</v>
      </c>
      <c r="Q320" s="102" t="s">
        <v>1369</v>
      </c>
      <c r="R320" s="108" t="str">
        <f>HYPERLINK("#'마스터_품목'!A756","→ 마스터 R756")</f>
        <v>→ 마스터 R756</v>
      </c>
      <c r="S320" s="109">
        <v>756</v>
      </c>
      <c r="T320" s="109" t="s">
        <v>72</v>
      </c>
    </row>
    <row r="321" spans="1:20" ht="48" customHeight="1" x14ac:dyDescent="0.3">
      <c r="A321" s="124" t="s">
        <v>354</v>
      </c>
      <c r="B321" s="87" t="s">
        <v>1476</v>
      </c>
      <c r="C321" s="88" t="s">
        <v>198</v>
      </c>
      <c r="D321" s="88" t="s">
        <v>1477</v>
      </c>
      <c r="E321" s="88"/>
      <c r="F321" s="90" t="s">
        <v>71</v>
      </c>
      <c r="G321" s="91"/>
      <c r="H321" s="92"/>
      <c r="I321" s="93" t="str">
        <f>IFERROR(IF(OR($F321="O",$G321="O",$H321="O"),CHOOSE(MATCH($A321,{"튜브","고압","진공","튜닝","조립","출하"},0),"T","H","V","N","A","P")&amp;IF($F321="O","R",IF($G321="O","A",IF($H321="O","F",""))),""),"")</f>
        <v>AR</v>
      </c>
      <c r="J321" s="94"/>
      <c r="K321" s="123" t="s">
        <v>71</v>
      </c>
      <c r="L321" s="96"/>
      <c r="M321" s="97"/>
      <c r="N321" s="98"/>
      <c r="O321" s="99"/>
      <c r="P321" s="100" t="str">
        <f t="shared" si="4"/>
        <v>4-AR</v>
      </c>
      <c r="Q321" s="102" t="s">
        <v>1386</v>
      </c>
      <c r="R321" s="108" t="str">
        <f>HYPERLINK("#'마스터_품목'!A757","→ 마스터 R757")</f>
        <v>→ 마스터 R757</v>
      </c>
      <c r="S321" s="109">
        <v>757</v>
      </c>
      <c r="T321" s="109" t="s">
        <v>72</v>
      </c>
    </row>
    <row r="322" spans="1:20" ht="48" customHeight="1" x14ac:dyDescent="0.3">
      <c r="A322" s="124" t="s">
        <v>354</v>
      </c>
      <c r="B322" s="87" t="s">
        <v>1476</v>
      </c>
      <c r="C322" s="88" t="s">
        <v>198</v>
      </c>
      <c r="D322" s="88" t="s">
        <v>1478</v>
      </c>
      <c r="E322" s="88"/>
      <c r="F322" s="90" t="s">
        <v>71</v>
      </c>
      <c r="G322" s="91"/>
      <c r="H322" s="92"/>
      <c r="I322" s="93" t="str">
        <f>IFERROR(IF(OR($F322="O",$G322="O",$H322="O"),CHOOSE(MATCH($A322,{"튜브","고압","진공","튜닝","조립","출하"},0),"T","H","V","N","A","P")&amp;IF($F322="O","R",IF($G322="O","A",IF($H322="O","F",""))),""),"")</f>
        <v>AR</v>
      </c>
      <c r="J322" s="94"/>
      <c r="K322" s="123" t="s">
        <v>71</v>
      </c>
      <c r="L322" s="96"/>
      <c r="M322" s="97"/>
      <c r="N322" s="98"/>
      <c r="O322" s="99"/>
      <c r="P322" s="100" t="str">
        <f t="shared" ref="P322:P385" si="5">IF($I322="","",IF($J322="O","3","")&amp;IF($K322="O","4","")&amp;IF($L322="O","6","")&amp;IF($M322="O","7","")&amp;IF($N322="O","8","")&amp;IF($O322="O","?","")&amp;IF(OR($J322="O",$K322="O",$L322="O",$M322="O",$N322="O",$O322="O"),"-","")&amp;$I322)</f>
        <v>4-AR</v>
      </c>
      <c r="Q322" s="102" t="s">
        <v>1386</v>
      </c>
      <c r="R322" s="108" t="str">
        <f>HYPERLINK("#'마스터_품목'!A758","→ 마스터 R758")</f>
        <v>→ 마스터 R758</v>
      </c>
      <c r="S322" s="109">
        <v>758</v>
      </c>
      <c r="T322" s="109" t="s">
        <v>72</v>
      </c>
    </row>
    <row r="323" spans="1:20" ht="48" customHeight="1" x14ac:dyDescent="0.3">
      <c r="A323" s="124" t="s">
        <v>354</v>
      </c>
      <c r="B323" s="87" t="s">
        <v>1395</v>
      </c>
      <c r="C323" s="88" t="s">
        <v>198</v>
      </c>
      <c r="D323" s="88" t="s">
        <v>1479</v>
      </c>
      <c r="E323" s="88"/>
      <c r="F323" s="90" t="s">
        <v>71</v>
      </c>
      <c r="G323" s="91"/>
      <c r="H323" s="92"/>
      <c r="I323" s="93" t="str">
        <f>IFERROR(IF(OR($F323="O",$G323="O",$H323="O"),CHOOSE(MATCH($A323,{"튜브","고압","진공","튜닝","조립","출하"},0),"T","H","V","N","A","P")&amp;IF($F323="O","R",IF($G323="O","A",IF($H323="O","F",""))),""),"")</f>
        <v>AR</v>
      </c>
      <c r="J323" s="94"/>
      <c r="K323" s="123" t="s">
        <v>71</v>
      </c>
      <c r="L323" s="96"/>
      <c r="M323" s="97"/>
      <c r="N323" s="98"/>
      <c r="O323" s="99"/>
      <c r="P323" s="100" t="str">
        <f t="shared" si="5"/>
        <v>4-AR</v>
      </c>
      <c r="Q323" s="102" t="s">
        <v>1396</v>
      </c>
      <c r="R323" s="108" t="str">
        <f>HYPERLINK("#'마스터_품목'!A759","→ 마스터 R759")</f>
        <v>→ 마스터 R759</v>
      </c>
      <c r="S323" s="109">
        <v>759</v>
      </c>
      <c r="T323" s="109" t="s">
        <v>72</v>
      </c>
    </row>
    <row r="324" spans="1:20" ht="48" customHeight="1" x14ac:dyDescent="0.3">
      <c r="A324" s="87" t="s">
        <v>1347</v>
      </c>
      <c r="B324" s="87" t="s">
        <v>1351</v>
      </c>
      <c r="C324" s="88" t="s">
        <v>333</v>
      </c>
      <c r="D324" s="88" t="s">
        <v>694</v>
      </c>
      <c r="E324" s="88" t="s">
        <v>693</v>
      </c>
      <c r="F324" s="90" t="s">
        <v>71</v>
      </c>
      <c r="G324" s="91"/>
      <c r="H324" s="92"/>
      <c r="I324" s="93" t="str">
        <f>IFERROR(IF(OR($F324="O",$G324="O",$H324="O"),CHOOSE(MATCH($A324,{"튜브","고압","진공","튜닝","조립","출하"},0),"T","H","V","N","A","P")&amp;IF($F324="O","R",IF($G324="O","A",IF($H324="O","F",""))),""),"")</f>
        <v/>
      </c>
      <c r="J324" s="94"/>
      <c r="K324" s="95"/>
      <c r="L324" s="96" t="s">
        <v>71</v>
      </c>
      <c r="M324" s="97"/>
      <c r="N324" s="98"/>
      <c r="O324" s="99"/>
      <c r="P324" s="100" t="str">
        <f t="shared" si="5"/>
        <v/>
      </c>
      <c r="Q324" s="102" t="s">
        <v>1353</v>
      </c>
      <c r="R324" s="108" t="str">
        <f>HYPERLINK("#'마스터_품목'!A357","→ 마스터 R357")</f>
        <v>→ 마스터 R357</v>
      </c>
      <c r="S324" s="109">
        <v>357</v>
      </c>
      <c r="T324" s="109" t="s">
        <v>72</v>
      </c>
    </row>
    <row r="325" spans="1:20" ht="48" customHeight="1" x14ac:dyDescent="0.3">
      <c r="A325" s="87" t="s">
        <v>1347</v>
      </c>
      <c r="B325" s="87" t="s">
        <v>1351</v>
      </c>
      <c r="C325" s="88" t="s">
        <v>333</v>
      </c>
      <c r="D325" s="88" t="s">
        <v>697</v>
      </c>
      <c r="E325" s="88" t="s">
        <v>696</v>
      </c>
      <c r="F325" s="90" t="s">
        <v>71</v>
      </c>
      <c r="G325" s="91"/>
      <c r="H325" s="92"/>
      <c r="I325" s="93" t="str">
        <f>IFERROR(IF(OR($F325="O",$G325="O",$H325="O"),CHOOSE(MATCH($A325,{"튜브","고압","진공","튜닝","조립","출하"},0),"T","H","V","N","A","P")&amp;IF($F325="O","R",IF($G325="O","A",IF($H325="O","F",""))),""),"")</f>
        <v/>
      </c>
      <c r="J325" s="94"/>
      <c r="K325" s="95"/>
      <c r="L325" s="96" t="s">
        <v>71</v>
      </c>
      <c r="M325" s="97"/>
      <c r="N325" s="98"/>
      <c r="O325" s="99"/>
      <c r="P325" s="100" t="str">
        <f t="shared" si="5"/>
        <v/>
      </c>
      <c r="Q325" s="102" t="s">
        <v>1353</v>
      </c>
      <c r="R325" s="108" t="str">
        <f>HYPERLINK("#'마스터_품목'!A359","→ 마스터 R359")</f>
        <v>→ 마스터 R359</v>
      </c>
      <c r="S325" s="109">
        <v>359</v>
      </c>
      <c r="T325" s="109" t="s">
        <v>72</v>
      </c>
    </row>
    <row r="326" spans="1:20" ht="48" customHeight="1" x14ac:dyDescent="0.3">
      <c r="A326" s="124" t="s">
        <v>354</v>
      </c>
      <c r="B326" s="87" t="s">
        <v>1351</v>
      </c>
      <c r="C326" s="88" t="s">
        <v>333</v>
      </c>
      <c r="D326" s="88" t="s">
        <v>655</v>
      </c>
      <c r="E326" s="88"/>
      <c r="F326" s="90" t="s">
        <v>71</v>
      </c>
      <c r="G326" s="91"/>
      <c r="H326" s="92"/>
      <c r="I326" s="93" t="str">
        <f>IFERROR(IF(OR($F326="O",$G326="O",$H326="O"),CHOOSE(MATCH($A326,{"튜브","고압","진공","튜닝","조립","출하"},0),"T","H","V","N","A","P")&amp;IF($F326="O","R",IF($G326="O","A",IF($H326="O","F",""))),""),"")</f>
        <v>AR</v>
      </c>
      <c r="J326" s="94"/>
      <c r="K326" s="123"/>
      <c r="L326" s="119" t="s">
        <v>71</v>
      </c>
      <c r="M326" s="97"/>
      <c r="N326" s="98"/>
      <c r="O326" s="99"/>
      <c r="P326" s="100" t="str">
        <f t="shared" si="5"/>
        <v>6-AR</v>
      </c>
      <c r="Q326" s="102" t="s">
        <v>1353</v>
      </c>
      <c r="R326" s="115"/>
      <c r="S326" s="115"/>
      <c r="T326" s="115"/>
    </row>
    <row r="327" spans="1:20" ht="48" customHeight="1" x14ac:dyDescent="0.3">
      <c r="A327" s="87" t="s">
        <v>1347</v>
      </c>
      <c r="B327" s="87" t="s">
        <v>1351</v>
      </c>
      <c r="C327" s="88" t="s">
        <v>117</v>
      </c>
      <c r="D327" s="88" t="s">
        <v>707</v>
      </c>
      <c r="E327" s="88" t="s">
        <v>706</v>
      </c>
      <c r="F327" s="90" t="s">
        <v>71</v>
      </c>
      <c r="G327" s="91"/>
      <c r="H327" s="92"/>
      <c r="I327" s="93" t="str">
        <f>IFERROR(IF(OR($F327="O",$G327="O",$H327="O"),CHOOSE(MATCH($A327,{"튜브","고압","진공","튜닝","조립","출하"},0),"T","H","V","N","A","P")&amp;IF($F327="O","R",IF($G327="O","A",IF($H327="O","F",""))),""),"")</f>
        <v/>
      </c>
      <c r="J327" s="94"/>
      <c r="K327" s="95"/>
      <c r="L327" s="96" t="s">
        <v>71</v>
      </c>
      <c r="M327" s="97"/>
      <c r="N327" s="98"/>
      <c r="O327" s="99"/>
      <c r="P327" s="100" t="str">
        <f t="shared" si="5"/>
        <v/>
      </c>
      <c r="Q327" s="102" t="s">
        <v>1353</v>
      </c>
      <c r="R327" s="108" t="str">
        <f>HYPERLINK("#'마스터_품목'!A364","→ 마스터 R364")</f>
        <v>→ 마스터 R364</v>
      </c>
      <c r="S327" s="109">
        <v>364</v>
      </c>
      <c r="T327" s="109" t="s">
        <v>72</v>
      </c>
    </row>
    <row r="328" spans="1:20" ht="48" customHeight="1" x14ac:dyDescent="0.3">
      <c r="A328" s="87" t="s">
        <v>1347</v>
      </c>
      <c r="B328" s="87" t="s">
        <v>1351</v>
      </c>
      <c r="C328" s="88" t="s">
        <v>117</v>
      </c>
      <c r="D328" s="88" t="s">
        <v>717</v>
      </c>
      <c r="E328" s="88" t="s">
        <v>545</v>
      </c>
      <c r="F328" s="90" t="s">
        <v>71</v>
      </c>
      <c r="G328" s="91"/>
      <c r="H328" s="92"/>
      <c r="I328" s="93" t="str">
        <f>IFERROR(IF(OR($F328="O",$G328="O",$H328="O"),CHOOSE(MATCH($A328,{"튜브","고압","진공","튜닝","조립","출하"},0),"T","H","V","N","A","P")&amp;IF($F328="O","R",IF($G328="O","A",IF($H328="O","F",""))),""),"")</f>
        <v/>
      </c>
      <c r="J328" s="94"/>
      <c r="K328" s="95"/>
      <c r="L328" s="96" t="s">
        <v>71</v>
      </c>
      <c r="M328" s="97"/>
      <c r="N328" s="98"/>
      <c r="O328" s="99"/>
      <c r="P328" s="100" t="str">
        <f t="shared" si="5"/>
        <v/>
      </c>
      <c r="Q328" s="102" t="s">
        <v>1353</v>
      </c>
      <c r="R328" s="108" t="str">
        <f>HYPERLINK("#'마스터_품목'!A370","→ 마스터 R370")</f>
        <v>→ 마스터 R370</v>
      </c>
      <c r="S328" s="109">
        <v>370</v>
      </c>
      <c r="T328" s="109" t="s">
        <v>72</v>
      </c>
    </row>
    <row r="329" spans="1:20" ht="48" customHeight="1" x14ac:dyDescent="0.3">
      <c r="A329" s="87" t="s">
        <v>1347</v>
      </c>
      <c r="B329" s="87" t="s">
        <v>1351</v>
      </c>
      <c r="C329" s="88" t="s">
        <v>117</v>
      </c>
      <c r="D329" s="88" t="s">
        <v>716</v>
      </c>
      <c r="E329" s="88" t="s">
        <v>715</v>
      </c>
      <c r="F329" s="90" t="s">
        <v>71</v>
      </c>
      <c r="G329" s="91"/>
      <c r="H329" s="92"/>
      <c r="I329" s="93" t="str">
        <f>IFERROR(IF(OR($F329="O",$G329="O",$H329="O"),CHOOSE(MATCH($A329,{"튜브","고압","진공","튜닝","조립","출하"},0),"T","H","V","N","A","P")&amp;IF($F329="O","R",IF($G329="O","A",IF($H329="O","F",""))),""),"")</f>
        <v/>
      </c>
      <c r="J329" s="94"/>
      <c r="K329" s="95"/>
      <c r="L329" s="96" t="s">
        <v>71</v>
      </c>
      <c r="M329" s="97"/>
      <c r="N329" s="98"/>
      <c r="O329" s="99"/>
      <c r="P329" s="100" t="str">
        <f t="shared" si="5"/>
        <v/>
      </c>
      <c r="Q329" s="102" t="s">
        <v>1353</v>
      </c>
      <c r="R329" s="108" t="str">
        <f>HYPERLINK("#'마스터_품목'!A369","→ 마스터 R369")</f>
        <v>→ 마스터 R369</v>
      </c>
      <c r="S329" s="109">
        <v>369</v>
      </c>
      <c r="T329" s="109" t="s">
        <v>72</v>
      </c>
    </row>
    <row r="330" spans="1:20" ht="48" customHeight="1" x14ac:dyDescent="0.3">
      <c r="A330" s="87" t="s">
        <v>1347</v>
      </c>
      <c r="B330" s="87" t="s">
        <v>1351</v>
      </c>
      <c r="C330" s="88" t="s">
        <v>117</v>
      </c>
      <c r="D330" s="88" t="s">
        <v>712</v>
      </c>
      <c r="E330" s="88" t="s">
        <v>711</v>
      </c>
      <c r="F330" s="90" t="s">
        <v>71</v>
      </c>
      <c r="G330" s="91"/>
      <c r="H330" s="92"/>
      <c r="I330" s="93" t="str">
        <f>IFERROR(IF(OR($F330="O",$G330="O",$H330="O"),CHOOSE(MATCH($A330,{"튜브","고압","진공","튜닝","조립","출하"},0),"T","H","V","N","A","P")&amp;IF($F330="O","R",IF($G330="O","A",IF($H330="O","F",""))),""),"")</f>
        <v/>
      </c>
      <c r="J330" s="94"/>
      <c r="K330" s="95"/>
      <c r="L330" s="96" t="s">
        <v>71</v>
      </c>
      <c r="M330" s="97"/>
      <c r="N330" s="98"/>
      <c r="O330" s="99"/>
      <c r="P330" s="100" t="str">
        <f t="shared" si="5"/>
        <v/>
      </c>
      <c r="Q330" s="102" t="s">
        <v>1353</v>
      </c>
      <c r="R330" s="108" t="str">
        <f>HYPERLINK("#'마스터_품목'!A367","→ 마스터 R367")</f>
        <v>→ 마스터 R367</v>
      </c>
      <c r="S330" s="109">
        <v>367</v>
      </c>
      <c r="T330" s="109" t="s">
        <v>72</v>
      </c>
    </row>
    <row r="331" spans="1:20" ht="48" customHeight="1" x14ac:dyDescent="0.3">
      <c r="A331" s="87" t="s">
        <v>1347</v>
      </c>
      <c r="B331" s="87" t="s">
        <v>1351</v>
      </c>
      <c r="C331" s="88" t="s">
        <v>117</v>
      </c>
      <c r="D331" s="88" t="s">
        <v>714</v>
      </c>
      <c r="E331" s="88" t="s">
        <v>713</v>
      </c>
      <c r="F331" s="90" t="s">
        <v>71</v>
      </c>
      <c r="G331" s="91"/>
      <c r="H331" s="92"/>
      <c r="I331" s="93" t="str">
        <f>IFERROR(IF(OR($F331="O",$G331="O",$H331="O"),CHOOSE(MATCH($A331,{"튜브","고압","진공","튜닝","조립","출하"},0),"T","H","V","N","A","P")&amp;IF($F331="O","R",IF($G331="O","A",IF($H331="O","F",""))),""),"")</f>
        <v/>
      </c>
      <c r="J331" s="94"/>
      <c r="K331" s="95"/>
      <c r="L331" s="96" t="s">
        <v>71</v>
      </c>
      <c r="M331" s="97"/>
      <c r="N331" s="98"/>
      <c r="O331" s="99"/>
      <c r="P331" s="100" t="str">
        <f t="shared" si="5"/>
        <v/>
      </c>
      <c r="Q331" s="102" t="s">
        <v>1353</v>
      </c>
      <c r="R331" s="108" t="str">
        <f>HYPERLINK("#'마스터_품목'!A368","→ 마스터 R368")</f>
        <v>→ 마스터 R368</v>
      </c>
      <c r="S331" s="109">
        <v>368</v>
      </c>
      <c r="T331" s="109" t="s">
        <v>72</v>
      </c>
    </row>
    <row r="332" spans="1:20" ht="48" customHeight="1" x14ac:dyDescent="0.3">
      <c r="A332" s="87" t="s">
        <v>1347</v>
      </c>
      <c r="B332" s="87" t="s">
        <v>1351</v>
      </c>
      <c r="C332" s="88" t="s">
        <v>117</v>
      </c>
      <c r="D332" s="88" t="s">
        <v>719</v>
      </c>
      <c r="E332" s="88" t="s">
        <v>718</v>
      </c>
      <c r="F332" s="90" t="s">
        <v>71</v>
      </c>
      <c r="G332" s="91"/>
      <c r="H332" s="92"/>
      <c r="I332" s="93" t="str">
        <f>IFERROR(IF(OR($F332="O",$G332="O",$H332="O"),CHOOSE(MATCH($A332,{"튜브","고압","진공","튜닝","조립","출하"},0),"T","H","V","N","A","P")&amp;IF($F332="O","R",IF($G332="O","A",IF($H332="O","F",""))),""),"")</f>
        <v/>
      </c>
      <c r="J332" s="94"/>
      <c r="K332" s="95"/>
      <c r="L332" s="96" t="s">
        <v>71</v>
      </c>
      <c r="M332" s="97"/>
      <c r="N332" s="98"/>
      <c r="O332" s="99"/>
      <c r="P332" s="100" t="str">
        <f t="shared" si="5"/>
        <v/>
      </c>
      <c r="Q332" s="102" t="s">
        <v>1353</v>
      </c>
      <c r="R332" s="108" t="str">
        <f>HYPERLINK("#'마스터_품목'!A371","→ 마스터 R371")</f>
        <v>→ 마스터 R371</v>
      </c>
      <c r="S332" s="109">
        <v>371</v>
      </c>
      <c r="T332" s="109" t="s">
        <v>72</v>
      </c>
    </row>
    <row r="333" spans="1:20" ht="48" customHeight="1" x14ac:dyDescent="0.3">
      <c r="A333" s="87" t="s">
        <v>1347</v>
      </c>
      <c r="B333" s="87" t="s">
        <v>1359</v>
      </c>
      <c r="C333" s="88" t="s">
        <v>333</v>
      </c>
      <c r="D333" s="88" t="s">
        <v>723</v>
      </c>
      <c r="E333" s="88" t="s">
        <v>1480</v>
      </c>
      <c r="F333" s="90" t="s">
        <v>71</v>
      </c>
      <c r="G333" s="91"/>
      <c r="H333" s="92"/>
      <c r="I333" s="93" t="str">
        <f>IFERROR(IF(OR($F333="O",$G333="O",$H333="O"),CHOOSE(MATCH($A333,{"튜브","고압","진공","튜닝","조립","출하"},0),"T","H","V","N","A","P")&amp;IF($F333="O","R",IF($G333="O","A",IF($H333="O","F",""))),""),"")</f>
        <v/>
      </c>
      <c r="J333" s="94"/>
      <c r="K333" s="95"/>
      <c r="L333" s="96" t="s">
        <v>71</v>
      </c>
      <c r="M333" s="97"/>
      <c r="N333" s="98"/>
      <c r="O333" s="99"/>
      <c r="P333" s="100" t="str">
        <f t="shared" si="5"/>
        <v/>
      </c>
      <c r="Q333" s="102" t="s">
        <v>1353</v>
      </c>
      <c r="R333" s="108" t="str">
        <f>HYPERLINK("#'마스터_품목'!A373","→ 마스터 R373")</f>
        <v>→ 마스터 R373</v>
      </c>
      <c r="S333" s="109">
        <v>373</v>
      </c>
      <c r="T333" s="109" t="s">
        <v>72</v>
      </c>
    </row>
    <row r="334" spans="1:20" ht="48" customHeight="1" x14ac:dyDescent="0.3">
      <c r="A334" s="87" t="s">
        <v>1347</v>
      </c>
      <c r="B334" s="87" t="s">
        <v>1359</v>
      </c>
      <c r="C334" s="88" t="s">
        <v>333</v>
      </c>
      <c r="D334" s="88" t="s">
        <v>726</v>
      </c>
      <c r="E334" s="88" t="s">
        <v>1481</v>
      </c>
      <c r="F334" s="90" t="s">
        <v>71</v>
      </c>
      <c r="G334" s="91"/>
      <c r="H334" s="92"/>
      <c r="I334" s="93" t="str">
        <f>IFERROR(IF(OR($F334="O",$G334="O",$H334="O"),CHOOSE(MATCH($A334,{"튜브","고압","진공","튜닝","조립","출하"},0),"T","H","V","N","A","P")&amp;IF($F334="O","R",IF($G334="O","A",IF($H334="O","F",""))),""),"")</f>
        <v/>
      </c>
      <c r="J334" s="94"/>
      <c r="K334" s="95"/>
      <c r="L334" s="96" t="s">
        <v>71</v>
      </c>
      <c r="M334" s="97"/>
      <c r="N334" s="98"/>
      <c r="O334" s="99"/>
      <c r="P334" s="100" t="str">
        <f t="shared" si="5"/>
        <v/>
      </c>
      <c r="Q334" s="102" t="s">
        <v>1353</v>
      </c>
      <c r="R334" s="108" t="str">
        <f>HYPERLINK("#'마스터_품목'!A375","→ 마스터 R375")</f>
        <v>→ 마스터 R375</v>
      </c>
      <c r="S334" s="109">
        <v>375</v>
      </c>
      <c r="T334" s="109" t="s">
        <v>72</v>
      </c>
    </row>
    <row r="335" spans="1:20" ht="48" customHeight="1" x14ac:dyDescent="0.3">
      <c r="A335" s="87" t="s">
        <v>1347</v>
      </c>
      <c r="B335" s="87" t="s">
        <v>1359</v>
      </c>
      <c r="C335" s="88" t="s">
        <v>117</v>
      </c>
      <c r="D335" s="88" t="s">
        <v>728</v>
      </c>
      <c r="E335" s="88" t="s">
        <v>727</v>
      </c>
      <c r="F335" s="90" t="s">
        <v>71</v>
      </c>
      <c r="G335" s="91"/>
      <c r="H335" s="92"/>
      <c r="I335" s="93" t="str">
        <f>IFERROR(IF(OR($F335="O",$G335="O",$H335="O"),CHOOSE(MATCH($A335,{"튜브","고압","진공","튜닝","조립","출하"},0),"T","H","V","N","A","P")&amp;IF($F335="O","R",IF($G335="O","A",IF($H335="O","F",""))),""),"")</f>
        <v/>
      </c>
      <c r="J335" s="94"/>
      <c r="K335" s="95"/>
      <c r="L335" s="96" t="s">
        <v>71</v>
      </c>
      <c r="M335" s="97"/>
      <c r="N335" s="98"/>
      <c r="O335" s="99"/>
      <c r="P335" s="100" t="str">
        <f t="shared" si="5"/>
        <v/>
      </c>
      <c r="Q335" s="102" t="s">
        <v>1353</v>
      </c>
      <c r="R335" s="108" t="str">
        <f>HYPERLINK("#'마스터_품목'!A376","→ 마스터 R376")</f>
        <v>→ 마스터 R376</v>
      </c>
      <c r="S335" s="109">
        <v>376</v>
      </c>
      <c r="T335" s="109" t="s">
        <v>72</v>
      </c>
    </row>
    <row r="336" spans="1:20" ht="48" customHeight="1" x14ac:dyDescent="0.3">
      <c r="A336" s="87" t="s">
        <v>1347</v>
      </c>
      <c r="B336" s="87" t="s">
        <v>1359</v>
      </c>
      <c r="C336" s="88" t="s">
        <v>117</v>
      </c>
      <c r="D336" s="88" t="s">
        <v>730</v>
      </c>
      <c r="E336" s="88" t="s">
        <v>729</v>
      </c>
      <c r="F336" s="90" t="s">
        <v>71</v>
      </c>
      <c r="G336" s="91"/>
      <c r="H336" s="92"/>
      <c r="I336" s="93" t="str">
        <f>IFERROR(IF(OR($F336="O",$G336="O",$H336="O"),CHOOSE(MATCH($A336,{"튜브","고압","진공","튜닝","조립","출하"},0),"T","H","V","N","A","P")&amp;IF($F336="O","R",IF($G336="O","A",IF($H336="O","F",""))),""),"")</f>
        <v/>
      </c>
      <c r="J336" s="94"/>
      <c r="K336" s="95"/>
      <c r="L336" s="96" t="s">
        <v>71</v>
      </c>
      <c r="M336" s="97"/>
      <c r="N336" s="98"/>
      <c r="O336" s="99"/>
      <c r="P336" s="100" t="str">
        <f t="shared" si="5"/>
        <v/>
      </c>
      <c r="Q336" s="102" t="s">
        <v>1353</v>
      </c>
      <c r="R336" s="108" t="str">
        <f>HYPERLINK("#'마스터_품목'!A377","→ 마스터 R377")</f>
        <v>→ 마스터 R377</v>
      </c>
      <c r="S336" s="109">
        <v>377</v>
      </c>
      <c r="T336" s="109" t="s">
        <v>72</v>
      </c>
    </row>
    <row r="337" spans="1:20" ht="48" customHeight="1" x14ac:dyDescent="0.3">
      <c r="A337" s="87" t="s">
        <v>1347</v>
      </c>
      <c r="B337" s="87" t="s">
        <v>1359</v>
      </c>
      <c r="C337" s="88" t="s">
        <v>333</v>
      </c>
      <c r="D337" s="88" t="s">
        <v>732</v>
      </c>
      <c r="E337" s="88" t="s">
        <v>731</v>
      </c>
      <c r="F337" s="90" t="s">
        <v>71</v>
      </c>
      <c r="G337" s="91"/>
      <c r="H337" s="92"/>
      <c r="I337" s="93" t="str">
        <f>IFERROR(IF(OR($F337="O",$G337="O",$H337="O"),CHOOSE(MATCH($A337,{"튜브","고압","진공","튜닝","조립","출하"},0),"T","H","V","N","A","P")&amp;IF($F337="O","R",IF($G337="O","A",IF($H337="O","F",""))),""),"")</f>
        <v/>
      </c>
      <c r="J337" s="94"/>
      <c r="K337" s="95"/>
      <c r="L337" s="96" t="s">
        <v>71</v>
      </c>
      <c r="M337" s="97"/>
      <c r="N337" s="98"/>
      <c r="O337" s="99"/>
      <c r="P337" s="100" t="str">
        <f t="shared" si="5"/>
        <v/>
      </c>
      <c r="Q337" s="102" t="s">
        <v>1353</v>
      </c>
      <c r="R337" s="108" t="str">
        <f>HYPERLINK("#'마스터_품목'!A378","→ 마스터 R378")</f>
        <v>→ 마스터 R378</v>
      </c>
      <c r="S337" s="109">
        <v>378</v>
      </c>
      <c r="T337" s="109" t="s">
        <v>72</v>
      </c>
    </row>
    <row r="338" spans="1:20" ht="48" customHeight="1" x14ac:dyDescent="0.3">
      <c r="A338" s="87" t="s">
        <v>1347</v>
      </c>
      <c r="B338" s="87" t="s">
        <v>1359</v>
      </c>
      <c r="C338" s="88" t="s">
        <v>333</v>
      </c>
      <c r="D338" s="88" t="s">
        <v>734</v>
      </c>
      <c r="E338" s="88" t="s">
        <v>1482</v>
      </c>
      <c r="F338" s="90" t="s">
        <v>71</v>
      </c>
      <c r="G338" s="91"/>
      <c r="H338" s="92"/>
      <c r="I338" s="93" t="str">
        <f>IFERROR(IF(OR($F338="O",$G338="O",$H338="O"),CHOOSE(MATCH($A338,{"튜브","고압","진공","튜닝","조립","출하"},0),"T","H","V","N","A","P")&amp;IF($F338="O","R",IF($G338="O","A",IF($H338="O","F",""))),""),"")</f>
        <v/>
      </c>
      <c r="J338" s="94"/>
      <c r="K338" s="95"/>
      <c r="L338" s="96" t="s">
        <v>71</v>
      </c>
      <c r="M338" s="97"/>
      <c r="N338" s="98"/>
      <c r="O338" s="99"/>
      <c r="P338" s="100" t="str">
        <f t="shared" si="5"/>
        <v/>
      </c>
      <c r="Q338" s="102" t="s">
        <v>1353</v>
      </c>
      <c r="R338" s="108" t="str">
        <f>HYPERLINK("#'마스터_품목'!A379","→ 마스터 R379")</f>
        <v>→ 마스터 R379</v>
      </c>
      <c r="S338" s="109">
        <v>379</v>
      </c>
      <c r="T338" s="109" t="s">
        <v>72</v>
      </c>
    </row>
    <row r="339" spans="1:20" ht="48" customHeight="1" x14ac:dyDescent="0.3">
      <c r="A339" s="87" t="s">
        <v>1347</v>
      </c>
      <c r="B339" s="87" t="s">
        <v>1359</v>
      </c>
      <c r="C339" s="88" t="s">
        <v>333</v>
      </c>
      <c r="D339" s="88" t="s">
        <v>738</v>
      </c>
      <c r="E339" s="88" t="s">
        <v>1483</v>
      </c>
      <c r="F339" s="90" t="s">
        <v>71</v>
      </c>
      <c r="G339" s="91"/>
      <c r="H339" s="92"/>
      <c r="I339" s="93" t="str">
        <f>IFERROR(IF(OR($F339="O",$G339="O",$H339="O"),CHOOSE(MATCH($A339,{"튜브","고압","진공","튜닝","조립","출하"},0),"T","H","V","N","A","P")&amp;IF($F339="O","R",IF($G339="O","A",IF($H339="O","F",""))),""),"")</f>
        <v/>
      </c>
      <c r="J339" s="94"/>
      <c r="K339" s="95"/>
      <c r="L339" s="96" t="s">
        <v>71</v>
      </c>
      <c r="M339" s="97"/>
      <c r="N339" s="98"/>
      <c r="O339" s="99"/>
      <c r="P339" s="100" t="str">
        <f t="shared" si="5"/>
        <v/>
      </c>
      <c r="Q339" s="102" t="s">
        <v>1353</v>
      </c>
      <c r="R339" s="108" t="str">
        <f>HYPERLINK("#'마스터_품목'!A381","→ 마스터 R381")</f>
        <v>→ 마스터 R381</v>
      </c>
      <c r="S339" s="109">
        <v>381</v>
      </c>
      <c r="T339" s="109" t="s">
        <v>72</v>
      </c>
    </row>
    <row r="340" spans="1:20" ht="48" customHeight="1" x14ac:dyDescent="0.3">
      <c r="A340" s="87" t="s">
        <v>1347</v>
      </c>
      <c r="B340" s="87" t="s">
        <v>1359</v>
      </c>
      <c r="C340" s="88" t="s">
        <v>333</v>
      </c>
      <c r="D340" s="88" t="s">
        <v>740</v>
      </c>
      <c r="E340" s="88" t="s">
        <v>1484</v>
      </c>
      <c r="F340" s="90" t="s">
        <v>71</v>
      </c>
      <c r="G340" s="91"/>
      <c r="H340" s="92"/>
      <c r="I340" s="93" t="str">
        <f>IFERROR(IF(OR($F340="O",$G340="O",$H340="O"),CHOOSE(MATCH($A340,{"튜브","고압","진공","튜닝","조립","출하"},0),"T","H","V","N","A","P")&amp;IF($F340="O","R",IF($G340="O","A",IF($H340="O","F",""))),""),"")</f>
        <v/>
      </c>
      <c r="J340" s="94"/>
      <c r="K340" s="95"/>
      <c r="L340" s="96" t="s">
        <v>71</v>
      </c>
      <c r="M340" s="97"/>
      <c r="N340" s="98"/>
      <c r="O340" s="99"/>
      <c r="P340" s="100" t="str">
        <f t="shared" si="5"/>
        <v/>
      </c>
      <c r="Q340" s="102" t="s">
        <v>1353</v>
      </c>
      <c r="R340" s="108" t="str">
        <f>HYPERLINK("#'마스터_품목'!A382","→ 마스터 R382")</f>
        <v>→ 마스터 R382</v>
      </c>
      <c r="S340" s="109">
        <v>382</v>
      </c>
      <c r="T340" s="109" t="s">
        <v>72</v>
      </c>
    </row>
    <row r="341" spans="1:20" ht="48" customHeight="1" x14ac:dyDescent="0.3">
      <c r="A341" s="87" t="s">
        <v>1347</v>
      </c>
      <c r="B341" s="87" t="s">
        <v>1359</v>
      </c>
      <c r="C341" s="88" t="s">
        <v>117</v>
      </c>
      <c r="D341" s="88" t="s">
        <v>742</v>
      </c>
      <c r="E341" s="88" t="s">
        <v>741</v>
      </c>
      <c r="F341" s="90" t="s">
        <v>71</v>
      </c>
      <c r="G341" s="91"/>
      <c r="H341" s="92"/>
      <c r="I341" s="93" t="str">
        <f>IFERROR(IF(OR($F341="O",$G341="O",$H341="O"),CHOOSE(MATCH($A341,{"튜브","고압","진공","튜닝","조립","출하"},0),"T","H","V","N","A","P")&amp;IF($F341="O","R",IF($G341="O","A",IF($H341="O","F",""))),""),"")</f>
        <v/>
      </c>
      <c r="J341" s="94"/>
      <c r="K341" s="95"/>
      <c r="L341" s="96" t="s">
        <v>71</v>
      </c>
      <c r="M341" s="97"/>
      <c r="N341" s="98"/>
      <c r="O341" s="99"/>
      <c r="P341" s="100" t="str">
        <f t="shared" si="5"/>
        <v/>
      </c>
      <c r="Q341" s="102" t="s">
        <v>1353</v>
      </c>
      <c r="R341" s="108" t="str">
        <f>HYPERLINK("#'마스터_품목'!A383","→ 마스터 R383")</f>
        <v>→ 마스터 R383</v>
      </c>
      <c r="S341" s="109">
        <v>383</v>
      </c>
      <c r="T341" s="109" t="s">
        <v>72</v>
      </c>
    </row>
    <row r="342" spans="1:20" ht="48" customHeight="1" x14ac:dyDescent="0.3">
      <c r="A342" s="87" t="s">
        <v>1347</v>
      </c>
      <c r="B342" s="87" t="s">
        <v>1359</v>
      </c>
      <c r="C342" s="88" t="s">
        <v>333</v>
      </c>
      <c r="D342" s="88" t="s">
        <v>746</v>
      </c>
      <c r="E342" s="88" t="s">
        <v>745</v>
      </c>
      <c r="F342" s="90" t="s">
        <v>71</v>
      </c>
      <c r="G342" s="91"/>
      <c r="H342" s="92"/>
      <c r="I342" s="93" t="str">
        <f>IFERROR(IF(OR($F342="O",$G342="O",$H342="O"),CHOOSE(MATCH($A342,{"튜브","고압","진공","튜닝","조립","출하"},0),"T","H","V","N","A","P")&amp;IF($F342="O","R",IF($G342="O","A",IF($H342="O","F",""))),""),"")</f>
        <v/>
      </c>
      <c r="J342" s="94"/>
      <c r="K342" s="95"/>
      <c r="L342" s="96" t="s">
        <v>71</v>
      </c>
      <c r="M342" s="97"/>
      <c r="N342" s="98"/>
      <c r="O342" s="99"/>
      <c r="P342" s="100" t="str">
        <f t="shared" si="5"/>
        <v/>
      </c>
      <c r="Q342" s="102" t="s">
        <v>1353</v>
      </c>
      <c r="R342" s="108" t="str">
        <f>HYPERLINK("#'마스터_품목'!A385","→ 마스터 R385")</f>
        <v>→ 마스터 R385</v>
      </c>
      <c r="S342" s="109">
        <v>385</v>
      </c>
      <c r="T342" s="109" t="s">
        <v>72</v>
      </c>
    </row>
    <row r="343" spans="1:20" ht="48" customHeight="1" x14ac:dyDescent="0.3">
      <c r="A343" s="87" t="s">
        <v>1347</v>
      </c>
      <c r="B343" s="87" t="s">
        <v>1359</v>
      </c>
      <c r="C343" s="88" t="s">
        <v>117</v>
      </c>
      <c r="D343" s="88" t="s">
        <v>744</v>
      </c>
      <c r="E343" s="88" t="s">
        <v>747</v>
      </c>
      <c r="F343" s="90" t="s">
        <v>71</v>
      </c>
      <c r="G343" s="91"/>
      <c r="H343" s="92"/>
      <c r="I343" s="93" t="str">
        <f>IFERROR(IF(OR($F343="O",$G343="O",$H343="O"),CHOOSE(MATCH($A343,{"튜브","고압","진공","튜닝","조립","출하"},0),"T","H","V","N","A","P")&amp;IF($F343="O","R",IF($G343="O","A",IF($H343="O","F",""))),""),"")</f>
        <v/>
      </c>
      <c r="J343" s="94"/>
      <c r="K343" s="95"/>
      <c r="L343" s="96" t="s">
        <v>71</v>
      </c>
      <c r="M343" s="97"/>
      <c r="N343" s="98"/>
      <c r="O343" s="99"/>
      <c r="P343" s="100" t="str">
        <f t="shared" si="5"/>
        <v/>
      </c>
      <c r="Q343" s="102" t="s">
        <v>1353</v>
      </c>
      <c r="R343" s="108" t="str">
        <f>HYPERLINK("#'마스터_품목'!A386","→ 마스터 R386")</f>
        <v>→ 마스터 R386</v>
      </c>
      <c r="S343" s="109">
        <v>386</v>
      </c>
      <c r="T343" s="109" t="s">
        <v>72</v>
      </c>
    </row>
    <row r="344" spans="1:20" ht="48" customHeight="1" x14ac:dyDescent="0.3">
      <c r="A344" s="87" t="s">
        <v>1347</v>
      </c>
      <c r="B344" s="87" t="s">
        <v>1357</v>
      </c>
      <c r="C344" s="88" t="s">
        <v>333</v>
      </c>
      <c r="D344" s="88" t="s">
        <v>688</v>
      </c>
      <c r="E344" s="88" t="s">
        <v>687</v>
      </c>
      <c r="F344" s="90" t="s">
        <v>71</v>
      </c>
      <c r="G344" s="91"/>
      <c r="H344" s="92"/>
      <c r="I344" s="93" t="str">
        <f>IFERROR(IF(OR($F344="O",$G344="O",$H344="O"),CHOOSE(MATCH($A344,{"튜브","고압","진공","튜닝","조립","출하"},0),"T","H","V","N","A","P")&amp;IF($F344="O","R",IF($G344="O","A",IF($H344="O","F",""))),""),"")</f>
        <v/>
      </c>
      <c r="J344" s="94"/>
      <c r="K344" s="95"/>
      <c r="L344" s="96" t="s">
        <v>71</v>
      </c>
      <c r="M344" s="97"/>
      <c r="N344" s="98"/>
      <c r="O344" s="99"/>
      <c r="P344" s="100" t="str">
        <f t="shared" si="5"/>
        <v/>
      </c>
      <c r="Q344" s="102" t="s">
        <v>1485</v>
      </c>
      <c r="R344" s="108" t="str">
        <f>HYPERLINK("#'마스터_품목'!A354","→ 마스터 R354")</f>
        <v>→ 마스터 R354</v>
      </c>
      <c r="S344" s="109">
        <v>354</v>
      </c>
      <c r="T344" s="109" t="s">
        <v>72</v>
      </c>
    </row>
    <row r="345" spans="1:20" ht="48" customHeight="1" x14ac:dyDescent="0.3">
      <c r="A345" s="87" t="s">
        <v>1347</v>
      </c>
      <c r="B345" s="87" t="s">
        <v>1486</v>
      </c>
      <c r="C345" s="88" t="s">
        <v>333</v>
      </c>
      <c r="D345" s="88" t="s">
        <v>692</v>
      </c>
      <c r="E345" s="88" t="s">
        <v>691</v>
      </c>
      <c r="F345" s="90" t="s">
        <v>71</v>
      </c>
      <c r="G345" s="91"/>
      <c r="H345" s="92"/>
      <c r="I345" s="93" t="str">
        <f>IFERROR(IF(OR($F345="O",$G345="O",$H345="O"),CHOOSE(MATCH($A345,{"튜브","고압","진공","튜닝","조립","출하"},0),"T","H","V","N","A","P")&amp;IF($F345="O","R",IF($G345="O","A",IF($H345="O","F",""))),""),"")</f>
        <v/>
      </c>
      <c r="J345" s="94"/>
      <c r="K345" s="95"/>
      <c r="L345" s="96" t="s">
        <v>71</v>
      </c>
      <c r="M345" s="97"/>
      <c r="N345" s="98"/>
      <c r="O345" s="99"/>
      <c r="P345" s="100" t="str">
        <f t="shared" si="5"/>
        <v/>
      </c>
      <c r="Q345" s="102" t="s">
        <v>1485</v>
      </c>
      <c r="R345" s="108" t="str">
        <f>HYPERLINK("#'마스터_품목'!A356","→ 마스터 R356")</f>
        <v>→ 마스터 R356</v>
      </c>
      <c r="S345" s="109">
        <v>356</v>
      </c>
      <c r="T345" s="109" t="s">
        <v>72</v>
      </c>
    </row>
    <row r="346" spans="1:20" ht="48" customHeight="1" x14ac:dyDescent="0.3">
      <c r="A346" s="87" t="s">
        <v>1347</v>
      </c>
      <c r="B346" s="87" t="s">
        <v>1368</v>
      </c>
      <c r="C346" s="88" t="s">
        <v>117</v>
      </c>
      <c r="D346" s="88" t="s">
        <v>593</v>
      </c>
      <c r="E346" s="88" t="s">
        <v>592</v>
      </c>
      <c r="F346" s="90" t="s">
        <v>71</v>
      </c>
      <c r="G346" s="91"/>
      <c r="H346" s="92"/>
      <c r="I346" s="93" t="str">
        <f>IFERROR(IF(OR($F346="O",$G346="O",$H346="O"),CHOOSE(MATCH($A346,{"튜브","고압","진공","튜닝","조립","출하"},0),"T","H","V","N","A","P")&amp;IF($F346="O","R",IF($G346="O","A",IF($H346="O","F",""))),""),"")</f>
        <v/>
      </c>
      <c r="J346" s="94"/>
      <c r="K346" s="95"/>
      <c r="L346" s="96" t="s">
        <v>71</v>
      </c>
      <c r="M346" s="97"/>
      <c r="N346" s="98"/>
      <c r="O346" s="99"/>
      <c r="P346" s="100" t="str">
        <f t="shared" si="5"/>
        <v/>
      </c>
      <c r="Q346" s="102" t="s">
        <v>1369</v>
      </c>
      <c r="R346" s="108" t="str">
        <f>HYPERLINK("#'마스터_품목'!A307","→ 마스터 R307")</f>
        <v>→ 마스터 R307</v>
      </c>
      <c r="S346" s="109">
        <v>307</v>
      </c>
      <c r="T346" s="109" t="s">
        <v>72</v>
      </c>
    </row>
    <row r="347" spans="1:20" ht="48" customHeight="1" x14ac:dyDescent="0.3">
      <c r="A347" s="87" t="s">
        <v>1347</v>
      </c>
      <c r="B347" s="87" t="s">
        <v>1368</v>
      </c>
      <c r="C347" s="88" t="s">
        <v>117</v>
      </c>
      <c r="D347" s="88" t="s">
        <v>595</v>
      </c>
      <c r="E347" s="88" t="s">
        <v>594</v>
      </c>
      <c r="F347" s="90" t="s">
        <v>71</v>
      </c>
      <c r="G347" s="91"/>
      <c r="H347" s="92"/>
      <c r="I347" s="93" t="str">
        <f>IFERROR(IF(OR($F347="O",$G347="O",$H347="O"),CHOOSE(MATCH($A347,{"튜브","고압","진공","튜닝","조립","출하"},0),"T","H","V","N","A","P")&amp;IF($F347="O","R",IF($G347="O","A",IF($H347="O","F",""))),""),"")</f>
        <v/>
      </c>
      <c r="J347" s="94"/>
      <c r="K347" s="95"/>
      <c r="L347" s="96" t="s">
        <v>71</v>
      </c>
      <c r="M347" s="97"/>
      <c r="N347" s="98"/>
      <c r="O347" s="99"/>
      <c r="P347" s="100" t="str">
        <f t="shared" si="5"/>
        <v/>
      </c>
      <c r="Q347" s="102" t="s">
        <v>1369</v>
      </c>
      <c r="R347" s="108" t="str">
        <f>HYPERLINK("#'마스터_품목'!A308","→ 마스터 R308")</f>
        <v>→ 마스터 R308</v>
      </c>
      <c r="S347" s="109">
        <v>308</v>
      </c>
      <c r="T347" s="109" t="s">
        <v>72</v>
      </c>
    </row>
    <row r="348" spans="1:20" ht="48" customHeight="1" x14ac:dyDescent="0.3">
      <c r="A348" s="87" t="s">
        <v>1347</v>
      </c>
      <c r="B348" s="87" t="s">
        <v>1368</v>
      </c>
      <c r="C348" s="88" t="s">
        <v>117</v>
      </c>
      <c r="D348" s="88" t="s">
        <v>609</v>
      </c>
      <c r="E348" s="88" t="s">
        <v>608</v>
      </c>
      <c r="F348" s="90" t="s">
        <v>71</v>
      </c>
      <c r="G348" s="91"/>
      <c r="H348" s="92"/>
      <c r="I348" s="93" t="str">
        <f>IFERROR(IF(OR($F348="O",$G348="O",$H348="O"),CHOOSE(MATCH($A348,{"튜브","고압","진공","튜닝","조립","출하"},0),"T","H","V","N","A","P")&amp;IF($F348="O","R",IF($G348="O","A",IF($H348="O","F",""))),""),"")</f>
        <v/>
      </c>
      <c r="J348" s="94"/>
      <c r="K348" s="95"/>
      <c r="L348" s="96" t="s">
        <v>71</v>
      </c>
      <c r="M348" s="97"/>
      <c r="N348" s="98"/>
      <c r="O348" s="99"/>
      <c r="P348" s="100" t="str">
        <f t="shared" si="5"/>
        <v/>
      </c>
      <c r="Q348" s="102" t="s">
        <v>1369</v>
      </c>
      <c r="R348" s="108" t="str">
        <f>HYPERLINK("#'마스터_품목'!A315","→ 마스터 R315")</f>
        <v>→ 마스터 R315</v>
      </c>
      <c r="S348" s="109">
        <v>315</v>
      </c>
      <c r="T348" s="109" t="s">
        <v>72</v>
      </c>
    </row>
    <row r="349" spans="1:20" ht="48" customHeight="1" x14ac:dyDescent="0.3">
      <c r="A349" s="87" t="s">
        <v>1347</v>
      </c>
      <c r="B349" s="87" t="s">
        <v>1368</v>
      </c>
      <c r="C349" s="88" t="s">
        <v>117</v>
      </c>
      <c r="D349" s="88" t="s">
        <v>597</v>
      </c>
      <c r="E349" s="88" t="s">
        <v>596</v>
      </c>
      <c r="F349" s="90" t="s">
        <v>71</v>
      </c>
      <c r="G349" s="91"/>
      <c r="H349" s="92"/>
      <c r="I349" s="93" t="str">
        <f>IFERROR(IF(OR($F349="O",$G349="O",$H349="O"),CHOOSE(MATCH($A349,{"튜브","고압","진공","튜닝","조립","출하"},0),"T","H","V","N","A","P")&amp;IF($F349="O","R",IF($G349="O","A",IF($H349="O","F",""))),""),"")</f>
        <v/>
      </c>
      <c r="J349" s="94"/>
      <c r="K349" s="95"/>
      <c r="L349" s="96" t="s">
        <v>71</v>
      </c>
      <c r="M349" s="97"/>
      <c r="N349" s="98"/>
      <c r="O349" s="99"/>
      <c r="P349" s="100" t="str">
        <f t="shared" si="5"/>
        <v/>
      </c>
      <c r="Q349" s="102" t="s">
        <v>1412</v>
      </c>
      <c r="R349" s="108" t="str">
        <f>HYPERLINK("#'마스터_품목'!A309","→ 마스터 R309")</f>
        <v>→ 마스터 R309</v>
      </c>
      <c r="S349" s="109">
        <v>309</v>
      </c>
      <c r="T349" s="109" t="s">
        <v>72</v>
      </c>
    </row>
    <row r="350" spans="1:20" ht="48" customHeight="1" x14ac:dyDescent="0.3">
      <c r="A350" s="87" t="s">
        <v>1347</v>
      </c>
      <c r="B350" s="87" t="s">
        <v>1368</v>
      </c>
      <c r="C350" s="88" t="s">
        <v>117</v>
      </c>
      <c r="D350" s="88" t="s">
        <v>620</v>
      </c>
      <c r="E350" s="88" t="s">
        <v>619</v>
      </c>
      <c r="F350" s="90" t="s">
        <v>71</v>
      </c>
      <c r="G350" s="91"/>
      <c r="H350" s="92"/>
      <c r="I350" s="93" t="str">
        <f>IFERROR(IF(OR($F350="O",$G350="O",$H350="O"),CHOOSE(MATCH($A350,{"튜브","고압","진공","튜닝","조립","출하"},0),"T","H","V","N","A","P")&amp;IF($F350="O","R",IF($G350="O","A",IF($H350="O","F",""))),""),"")</f>
        <v/>
      </c>
      <c r="J350" s="94"/>
      <c r="K350" s="95"/>
      <c r="L350" s="96" t="s">
        <v>71</v>
      </c>
      <c r="M350" s="97"/>
      <c r="N350" s="98"/>
      <c r="O350" s="99"/>
      <c r="P350" s="100" t="str">
        <f t="shared" si="5"/>
        <v/>
      </c>
      <c r="Q350" s="102" t="s">
        <v>1369</v>
      </c>
      <c r="R350" s="108" t="str">
        <f>HYPERLINK("#'마스터_품목'!A321","→ 마스터 R321")</f>
        <v>→ 마스터 R321</v>
      </c>
      <c r="S350" s="109">
        <v>321</v>
      </c>
      <c r="T350" s="109" t="s">
        <v>72</v>
      </c>
    </row>
    <row r="351" spans="1:20" ht="48" customHeight="1" x14ac:dyDescent="0.3">
      <c r="A351" s="87" t="s">
        <v>1347</v>
      </c>
      <c r="B351" s="87" t="s">
        <v>1368</v>
      </c>
      <c r="C351" s="88" t="s">
        <v>117</v>
      </c>
      <c r="D351" s="88" t="s">
        <v>622</v>
      </c>
      <c r="E351" s="88" t="s">
        <v>621</v>
      </c>
      <c r="F351" s="90" t="s">
        <v>71</v>
      </c>
      <c r="G351" s="91"/>
      <c r="H351" s="92"/>
      <c r="I351" s="93" t="str">
        <f>IFERROR(IF(OR($F351="O",$G351="O",$H351="O"),CHOOSE(MATCH($A351,{"튜브","고압","진공","튜닝","조립","출하"},0),"T","H","V","N","A","P")&amp;IF($F351="O","R",IF($G351="O","A",IF($H351="O","F",""))),""),"")</f>
        <v/>
      </c>
      <c r="J351" s="94"/>
      <c r="K351" s="95"/>
      <c r="L351" s="96" t="s">
        <v>71</v>
      </c>
      <c r="M351" s="97"/>
      <c r="N351" s="98"/>
      <c r="O351" s="99"/>
      <c r="P351" s="100" t="str">
        <f t="shared" si="5"/>
        <v/>
      </c>
      <c r="Q351" s="102" t="s">
        <v>1369</v>
      </c>
      <c r="R351" s="108" t="str">
        <f>HYPERLINK("#'마스터_품목'!A322","→ 마스터 R322")</f>
        <v>→ 마스터 R322</v>
      </c>
      <c r="S351" s="109">
        <v>322</v>
      </c>
      <c r="T351" s="109" t="s">
        <v>72</v>
      </c>
    </row>
    <row r="352" spans="1:20" ht="48" customHeight="1" x14ac:dyDescent="0.3">
      <c r="A352" s="87" t="s">
        <v>1347</v>
      </c>
      <c r="B352" s="87" t="s">
        <v>1368</v>
      </c>
      <c r="C352" s="88" t="s">
        <v>117</v>
      </c>
      <c r="D352" s="88" t="s">
        <v>624</v>
      </c>
      <c r="E352" s="88" t="s">
        <v>623</v>
      </c>
      <c r="F352" s="90" t="s">
        <v>71</v>
      </c>
      <c r="G352" s="91"/>
      <c r="H352" s="92"/>
      <c r="I352" s="93" t="str">
        <f>IFERROR(IF(OR($F352="O",$G352="O",$H352="O"),CHOOSE(MATCH($A352,{"튜브","고압","진공","튜닝","조립","출하"},0),"T","H","V","N","A","P")&amp;IF($F352="O","R",IF($G352="O","A",IF($H352="O","F",""))),""),"")</f>
        <v/>
      </c>
      <c r="J352" s="94"/>
      <c r="K352" s="95"/>
      <c r="L352" s="96" t="s">
        <v>71</v>
      </c>
      <c r="M352" s="97"/>
      <c r="N352" s="98"/>
      <c r="O352" s="99"/>
      <c r="P352" s="100" t="str">
        <f t="shared" si="5"/>
        <v/>
      </c>
      <c r="Q352" s="102" t="s">
        <v>1369</v>
      </c>
      <c r="R352" s="108" t="str">
        <f>HYPERLINK("#'마스터_품목'!A323","→ 마스터 R323")</f>
        <v>→ 마스터 R323</v>
      </c>
      <c r="S352" s="109">
        <v>323</v>
      </c>
      <c r="T352" s="109" t="s">
        <v>72</v>
      </c>
    </row>
    <row r="353" spans="1:20" ht="48" customHeight="1" x14ac:dyDescent="0.3">
      <c r="A353" s="87" t="s">
        <v>1347</v>
      </c>
      <c r="B353" s="87" t="s">
        <v>1368</v>
      </c>
      <c r="C353" s="88" t="s">
        <v>117</v>
      </c>
      <c r="D353" s="88" t="s">
        <v>626</v>
      </c>
      <c r="E353" s="88" t="s">
        <v>625</v>
      </c>
      <c r="F353" s="90" t="s">
        <v>71</v>
      </c>
      <c r="G353" s="91"/>
      <c r="H353" s="92"/>
      <c r="I353" s="93" t="str">
        <f>IFERROR(IF(OR($F353="O",$G353="O",$H353="O"),CHOOSE(MATCH($A353,{"튜브","고압","진공","튜닝","조립","출하"},0),"T","H","V","N","A","P")&amp;IF($F353="O","R",IF($G353="O","A",IF($H353="O","F",""))),""),"")</f>
        <v/>
      </c>
      <c r="J353" s="94"/>
      <c r="K353" s="95"/>
      <c r="L353" s="96" t="s">
        <v>71</v>
      </c>
      <c r="M353" s="97"/>
      <c r="N353" s="98"/>
      <c r="O353" s="99"/>
      <c r="P353" s="100" t="str">
        <f t="shared" si="5"/>
        <v/>
      </c>
      <c r="Q353" s="102" t="s">
        <v>1369</v>
      </c>
      <c r="R353" s="108" t="str">
        <f>HYPERLINK("#'마스터_품목'!A324","→ 마스터 R324")</f>
        <v>→ 마스터 R324</v>
      </c>
      <c r="S353" s="109">
        <v>324</v>
      </c>
      <c r="T353" s="109" t="s">
        <v>72</v>
      </c>
    </row>
    <row r="354" spans="1:20" ht="48" customHeight="1" x14ac:dyDescent="0.3">
      <c r="A354" s="87" t="s">
        <v>1347</v>
      </c>
      <c r="B354" s="87" t="s">
        <v>1368</v>
      </c>
      <c r="C354" s="88" t="s">
        <v>117</v>
      </c>
      <c r="D354" s="88" t="s">
        <v>667</v>
      </c>
      <c r="E354" s="88" t="s">
        <v>666</v>
      </c>
      <c r="F354" s="90" t="s">
        <v>71</v>
      </c>
      <c r="G354" s="91"/>
      <c r="H354" s="92"/>
      <c r="I354" s="93" t="str">
        <f>IFERROR(IF(OR($F354="O",$G354="O",$H354="O"),CHOOSE(MATCH($A354,{"튜브","고압","진공","튜닝","조립","출하"},0),"T","H","V","N","A","P")&amp;IF($F354="O","R",IF($G354="O","A",IF($H354="O","F",""))),""),"")</f>
        <v/>
      </c>
      <c r="J354" s="94"/>
      <c r="K354" s="95"/>
      <c r="L354" s="96" t="s">
        <v>71</v>
      </c>
      <c r="M354" s="97"/>
      <c r="N354" s="98"/>
      <c r="O354" s="99"/>
      <c r="P354" s="100" t="str">
        <f t="shared" si="5"/>
        <v/>
      </c>
      <c r="Q354" s="102" t="s">
        <v>1369</v>
      </c>
      <c r="R354" s="108" t="str">
        <f>HYPERLINK("#'마스터_품목'!A344","→ 마스터 R344")</f>
        <v>→ 마스터 R344</v>
      </c>
      <c r="S354" s="109">
        <v>344</v>
      </c>
      <c r="T354" s="109" t="s">
        <v>72</v>
      </c>
    </row>
    <row r="355" spans="1:20" ht="48" customHeight="1" x14ac:dyDescent="0.3">
      <c r="A355" s="87" t="s">
        <v>1347</v>
      </c>
      <c r="B355" s="87" t="s">
        <v>1368</v>
      </c>
      <c r="C355" s="88" t="s">
        <v>117</v>
      </c>
      <c r="D355" s="88" t="s">
        <v>649</v>
      </c>
      <c r="E355" s="88" t="s">
        <v>648</v>
      </c>
      <c r="F355" s="90" t="s">
        <v>71</v>
      </c>
      <c r="G355" s="91"/>
      <c r="H355" s="92"/>
      <c r="I355" s="93" t="str">
        <f>IFERROR(IF(OR($F355="O",$G355="O",$H355="O"),CHOOSE(MATCH($A355,{"튜브","고압","진공","튜닝","조립","출하"},0),"T","H","V","N","A","P")&amp;IF($F355="O","R",IF($G355="O","A",IF($H355="O","F",""))),""),"")</f>
        <v/>
      </c>
      <c r="J355" s="94"/>
      <c r="K355" s="95"/>
      <c r="L355" s="96" t="s">
        <v>71</v>
      </c>
      <c r="M355" s="97"/>
      <c r="N355" s="98"/>
      <c r="O355" s="99"/>
      <c r="P355" s="100" t="str">
        <f t="shared" si="5"/>
        <v/>
      </c>
      <c r="Q355" s="102" t="s">
        <v>1369</v>
      </c>
      <c r="R355" s="108" t="str">
        <f>HYPERLINK("#'마스터_품목'!A335","→ 마스터 R335")</f>
        <v>→ 마스터 R335</v>
      </c>
      <c r="S355" s="109">
        <v>335</v>
      </c>
      <c r="T355" s="109" t="s">
        <v>72</v>
      </c>
    </row>
    <row r="356" spans="1:20" ht="48" customHeight="1" x14ac:dyDescent="0.3">
      <c r="A356" s="87" t="s">
        <v>1347</v>
      </c>
      <c r="B356" s="87" t="s">
        <v>1368</v>
      </c>
      <c r="C356" s="88" t="s">
        <v>117</v>
      </c>
      <c r="D356" s="88" t="s">
        <v>638</v>
      </c>
      <c r="E356" s="88" t="s">
        <v>637</v>
      </c>
      <c r="F356" s="90" t="s">
        <v>71</v>
      </c>
      <c r="G356" s="91"/>
      <c r="H356" s="92"/>
      <c r="I356" s="93" t="str">
        <f>IFERROR(IF(OR($F356="O",$G356="O",$H356="O"),CHOOSE(MATCH($A356,{"튜브","고압","진공","튜닝","조립","출하"},0),"T","H","V","N","A","P")&amp;IF($F356="O","R",IF($G356="O","A",IF($H356="O","F",""))),""),"")</f>
        <v/>
      </c>
      <c r="J356" s="94"/>
      <c r="K356" s="95"/>
      <c r="L356" s="96" t="s">
        <v>71</v>
      </c>
      <c r="M356" s="97"/>
      <c r="N356" s="98"/>
      <c r="O356" s="99"/>
      <c r="P356" s="100" t="str">
        <f t="shared" si="5"/>
        <v/>
      </c>
      <c r="Q356" s="102" t="s">
        <v>1369</v>
      </c>
      <c r="R356" s="108" t="str">
        <f>HYPERLINK("#'마스터_품목'!A330","→ 마스터 R330")</f>
        <v>→ 마스터 R330</v>
      </c>
      <c r="S356" s="109">
        <v>330</v>
      </c>
      <c r="T356" s="109" t="s">
        <v>72</v>
      </c>
    </row>
    <row r="357" spans="1:20" ht="48" customHeight="1" x14ac:dyDescent="0.3">
      <c r="A357" s="87" t="s">
        <v>1347</v>
      </c>
      <c r="B357" s="87" t="s">
        <v>1368</v>
      </c>
      <c r="C357" s="88" t="s">
        <v>117</v>
      </c>
      <c r="D357" s="88" t="s">
        <v>640</v>
      </c>
      <c r="E357" s="88" t="s">
        <v>639</v>
      </c>
      <c r="F357" s="90" t="s">
        <v>71</v>
      </c>
      <c r="G357" s="91"/>
      <c r="H357" s="92"/>
      <c r="I357" s="93" t="str">
        <f>IFERROR(IF(OR($F357="O",$G357="O",$H357="O"),CHOOSE(MATCH($A357,{"튜브","고압","진공","튜닝","조립","출하"},0),"T","H","V","N","A","P")&amp;IF($F357="O","R",IF($G357="O","A",IF($H357="O","F",""))),""),"")</f>
        <v/>
      </c>
      <c r="J357" s="94"/>
      <c r="K357" s="95"/>
      <c r="L357" s="96" t="s">
        <v>71</v>
      </c>
      <c r="M357" s="97"/>
      <c r="N357" s="98"/>
      <c r="O357" s="99"/>
      <c r="P357" s="100" t="str">
        <f t="shared" si="5"/>
        <v/>
      </c>
      <c r="Q357" s="102" t="s">
        <v>1369</v>
      </c>
      <c r="R357" s="108" t="str">
        <f>HYPERLINK("#'마스터_품목'!A331","→ 마스터 R331")</f>
        <v>→ 마스터 R331</v>
      </c>
      <c r="S357" s="109">
        <v>331</v>
      </c>
      <c r="T357" s="109" t="s">
        <v>72</v>
      </c>
    </row>
    <row r="358" spans="1:20" ht="48" customHeight="1" x14ac:dyDescent="0.3">
      <c r="A358" s="87" t="s">
        <v>1347</v>
      </c>
      <c r="B358" s="87" t="s">
        <v>1368</v>
      </c>
      <c r="C358" s="88" t="s">
        <v>117</v>
      </c>
      <c r="D358" s="88" t="s">
        <v>663</v>
      </c>
      <c r="E358" s="88" t="s">
        <v>662</v>
      </c>
      <c r="F358" s="90" t="s">
        <v>71</v>
      </c>
      <c r="G358" s="91"/>
      <c r="H358" s="92"/>
      <c r="I358" s="93" t="str">
        <f>IFERROR(IF(OR($F358="O",$G358="O",$H358="O"),CHOOSE(MATCH($A358,{"튜브","고압","진공","튜닝","조립","출하"},0),"T","H","V","N","A","P")&amp;IF($F358="O","R",IF($G358="O","A",IF($H358="O","F",""))),""),"")</f>
        <v/>
      </c>
      <c r="J358" s="94"/>
      <c r="K358" s="95"/>
      <c r="L358" s="96" t="s">
        <v>71</v>
      </c>
      <c r="M358" s="97"/>
      <c r="N358" s="98"/>
      <c r="O358" s="99"/>
      <c r="P358" s="100" t="str">
        <f t="shared" si="5"/>
        <v/>
      </c>
      <c r="Q358" s="102" t="s">
        <v>1369</v>
      </c>
      <c r="R358" s="108" t="str">
        <f>HYPERLINK("#'마스터_품목'!A342","→ 마스터 R342")</f>
        <v>→ 마스터 R342</v>
      </c>
      <c r="S358" s="109">
        <v>342</v>
      </c>
      <c r="T358" s="109" t="s">
        <v>72</v>
      </c>
    </row>
    <row r="359" spans="1:20" ht="48" customHeight="1" x14ac:dyDescent="0.3">
      <c r="A359" s="87" t="s">
        <v>1347</v>
      </c>
      <c r="B359" s="87" t="s">
        <v>1368</v>
      </c>
      <c r="C359" s="88" t="s">
        <v>117</v>
      </c>
      <c r="D359" s="88" t="s">
        <v>669</v>
      </c>
      <c r="E359" s="88" t="s">
        <v>668</v>
      </c>
      <c r="F359" s="90" t="s">
        <v>71</v>
      </c>
      <c r="G359" s="91"/>
      <c r="H359" s="92"/>
      <c r="I359" s="93" t="str">
        <f>IFERROR(IF(OR($F359="O",$G359="O",$H359="O"),CHOOSE(MATCH($A359,{"튜브","고압","진공","튜닝","조립","출하"},0),"T","H","V","N","A","P")&amp;IF($F359="O","R",IF($G359="O","A",IF($H359="O","F",""))),""),"")</f>
        <v/>
      </c>
      <c r="J359" s="94"/>
      <c r="K359" s="95"/>
      <c r="L359" s="96" t="s">
        <v>71</v>
      </c>
      <c r="M359" s="97"/>
      <c r="N359" s="98"/>
      <c r="O359" s="99"/>
      <c r="P359" s="100" t="str">
        <f t="shared" si="5"/>
        <v/>
      </c>
      <c r="Q359" s="102" t="s">
        <v>1369</v>
      </c>
      <c r="R359" s="108" t="str">
        <f>HYPERLINK("#'마스터_품목'!A345","→ 마스터 R345")</f>
        <v>→ 마스터 R345</v>
      </c>
      <c r="S359" s="109">
        <v>345</v>
      </c>
      <c r="T359" s="109" t="s">
        <v>72</v>
      </c>
    </row>
    <row r="360" spans="1:20" ht="48" customHeight="1" x14ac:dyDescent="0.3">
      <c r="A360" s="87" t="s">
        <v>1347</v>
      </c>
      <c r="B360" s="87" t="s">
        <v>1368</v>
      </c>
      <c r="C360" s="88" t="s">
        <v>117</v>
      </c>
      <c r="D360" s="88" t="s">
        <v>665</v>
      </c>
      <c r="E360" s="88" t="s">
        <v>664</v>
      </c>
      <c r="F360" s="90" t="s">
        <v>71</v>
      </c>
      <c r="G360" s="91"/>
      <c r="H360" s="92"/>
      <c r="I360" s="93" t="str">
        <f>IFERROR(IF(OR($F360="O",$G360="O",$H360="O"),CHOOSE(MATCH($A360,{"튜브","고압","진공","튜닝","조립","출하"},0),"T","H","V","N","A","P")&amp;IF($F360="O","R",IF($G360="O","A",IF($H360="O","F",""))),""),"")</f>
        <v/>
      </c>
      <c r="J360" s="94"/>
      <c r="K360" s="95"/>
      <c r="L360" s="96" t="s">
        <v>71</v>
      </c>
      <c r="M360" s="97"/>
      <c r="N360" s="98"/>
      <c r="O360" s="99"/>
      <c r="P360" s="100" t="str">
        <f t="shared" si="5"/>
        <v/>
      </c>
      <c r="Q360" s="102" t="s">
        <v>1369</v>
      </c>
      <c r="R360" s="108" t="str">
        <f>HYPERLINK("#'마스터_품목'!A343","→ 마스터 R343")</f>
        <v>→ 마스터 R343</v>
      </c>
      <c r="S360" s="109">
        <v>343</v>
      </c>
      <c r="T360" s="109" t="s">
        <v>72</v>
      </c>
    </row>
    <row r="361" spans="1:20" ht="48" customHeight="1" x14ac:dyDescent="0.3">
      <c r="A361" s="87" t="s">
        <v>1347</v>
      </c>
      <c r="B361" s="87" t="s">
        <v>1368</v>
      </c>
      <c r="C361" s="88" t="s">
        <v>117</v>
      </c>
      <c r="D361" s="88" t="s">
        <v>673</v>
      </c>
      <c r="E361" s="88" t="s">
        <v>672</v>
      </c>
      <c r="F361" s="90" t="s">
        <v>71</v>
      </c>
      <c r="G361" s="91"/>
      <c r="H361" s="92"/>
      <c r="I361" s="93" t="str">
        <f>IFERROR(IF(OR($F361="O",$G361="O",$H361="O"),CHOOSE(MATCH($A361,{"튜브","고압","진공","튜닝","조립","출하"},0),"T","H","V","N","A","P")&amp;IF($F361="O","R",IF($G361="O","A",IF($H361="O","F",""))),""),"")</f>
        <v/>
      </c>
      <c r="J361" s="94"/>
      <c r="K361" s="95"/>
      <c r="L361" s="96" t="s">
        <v>71</v>
      </c>
      <c r="M361" s="97"/>
      <c r="N361" s="98"/>
      <c r="O361" s="99"/>
      <c r="P361" s="100" t="str">
        <f t="shared" si="5"/>
        <v/>
      </c>
      <c r="Q361" s="102" t="s">
        <v>1369</v>
      </c>
      <c r="R361" s="108" t="str">
        <f>HYPERLINK("#'마스터_품목'!A347","→ 마스터 R347")</f>
        <v>→ 마스터 R347</v>
      </c>
      <c r="S361" s="109">
        <v>347</v>
      </c>
      <c r="T361" s="109" t="s">
        <v>72</v>
      </c>
    </row>
    <row r="362" spans="1:20" ht="48" customHeight="1" x14ac:dyDescent="0.3">
      <c r="A362" s="87" t="s">
        <v>1347</v>
      </c>
      <c r="B362" s="87" t="s">
        <v>1368</v>
      </c>
      <c r="C362" s="88" t="s">
        <v>117</v>
      </c>
      <c r="D362" s="88" t="s">
        <v>675</v>
      </c>
      <c r="E362" s="88" t="s">
        <v>674</v>
      </c>
      <c r="F362" s="90" t="s">
        <v>71</v>
      </c>
      <c r="G362" s="91"/>
      <c r="H362" s="92"/>
      <c r="I362" s="93" t="str">
        <f>IFERROR(IF(OR($F362="O",$G362="O",$H362="O"),CHOOSE(MATCH($A362,{"튜브","고압","진공","튜닝","조립","출하"},0),"T","H","V","N","A","P")&amp;IF($F362="O","R",IF($G362="O","A",IF($H362="O","F",""))),""),"")</f>
        <v/>
      </c>
      <c r="J362" s="94"/>
      <c r="K362" s="95"/>
      <c r="L362" s="96" t="s">
        <v>71</v>
      </c>
      <c r="M362" s="97"/>
      <c r="N362" s="98"/>
      <c r="O362" s="99"/>
      <c r="P362" s="100" t="str">
        <f t="shared" si="5"/>
        <v/>
      </c>
      <c r="Q362" s="102" t="s">
        <v>1369</v>
      </c>
      <c r="R362" s="108" t="str">
        <f>HYPERLINK("#'마스터_품목'!A348","→ 마스터 R348")</f>
        <v>→ 마스터 R348</v>
      </c>
      <c r="S362" s="109">
        <v>348</v>
      </c>
      <c r="T362" s="109" t="s">
        <v>72</v>
      </c>
    </row>
    <row r="363" spans="1:20" ht="48" customHeight="1" x14ac:dyDescent="0.3">
      <c r="A363" s="87" t="s">
        <v>1347</v>
      </c>
      <c r="B363" s="87" t="s">
        <v>1368</v>
      </c>
      <c r="C363" s="88" t="s">
        <v>117</v>
      </c>
      <c r="D363" s="88" t="s">
        <v>677</v>
      </c>
      <c r="E363" s="88" t="s">
        <v>676</v>
      </c>
      <c r="F363" s="90" t="s">
        <v>71</v>
      </c>
      <c r="G363" s="91"/>
      <c r="H363" s="92"/>
      <c r="I363" s="93" t="str">
        <f>IFERROR(IF(OR($F363="O",$G363="O",$H363="O"),CHOOSE(MATCH($A363,{"튜브","고압","진공","튜닝","조립","출하"},0),"T","H","V","N","A","P")&amp;IF($F363="O","R",IF($G363="O","A",IF($H363="O","F",""))),""),"")</f>
        <v/>
      </c>
      <c r="J363" s="94"/>
      <c r="K363" s="95"/>
      <c r="L363" s="96" t="s">
        <v>71</v>
      </c>
      <c r="M363" s="97"/>
      <c r="N363" s="98"/>
      <c r="O363" s="99"/>
      <c r="P363" s="100" t="str">
        <f t="shared" si="5"/>
        <v/>
      </c>
      <c r="Q363" s="102" t="s">
        <v>1369</v>
      </c>
      <c r="R363" s="108" t="str">
        <f>HYPERLINK("#'마스터_품목'!A349","→ 마스터 R349")</f>
        <v>→ 마스터 R349</v>
      </c>
      <c r="S363" s="109">
        <v>349</v>
      </c>
      <c r="T363" s="109" t="s">
        <v>72</v>
      </c>
    </row>
    <row r="364" spans="1:20" ht="48" customHeight="1" x14ac:dyDescent="0.3">
      <c r="A364" s="87" t="s">
        <v>1347</v>
      </c>
      <c r="B364" s="87" t="s">
        <v>1368</v>
      </c>
      <c r="C364" s="88" t="s">
        <v>117</v>
      </c>
      <c r="D364" s="88" t="s">
        <v>657</v>
      </c>
      <c r="E364" s="88" t="s">
        <v>656</v>
      </c>
      <c r="F364" s="90" t="s">
        <v>71</v>
      </c>
      <c r="G364" s="91"/>
      <c r="H364" s="92"/>
      <c r="I364" s="93" t="str">
        <f>IFERROR(IF(OR($F364="O",$G364="O",$H364="O"),CHOOSE(MATCH($A364,{"튜브","고압","진공","튜닝","조립","출하"},0),"T","H","V","N","A","P")&amp;IF($F364="O","R",IF($G364="O","A",IF($H364="O","F",""))),""),"")</f>
        <v/>
      </c>
      <c r="J364" s="94"/>
      <c r="K364" s="95"/>
      <c r="L364" s="96" t="s">
        <v>71</v>
      </c>
      <c r="M364" s="97"/>
      <c r="N364" s="98"/>
      <c r="O364" s="99"/>
      <c r="P364" s="100" t="str">
        <f t="shared" si="5"/>
        <v/>
      </c>
      <c r="Q364" s="102" t="s">
        <v>1469</v>
      </c>
      <c r="R364" s="108" t="str">
        <f>HYPERLINK("#'마스터_품목'!A339","→ 마스터 R339")</f>
        <v>→ 마스터 R339</v>
      </c>
      <c r="S364" s="109">
        <v>339</v>
      </c>
      <c r="T364" s="109" t="s">
        <v>72</v>
      </c>
    </row>
    <row r="365" spans="1:20" ht="48" customHeight="1" x14ac:dyDescent="0.3">
      <c r="A365" s="87" t="s">
        <v>1347</v>
      </c>
      <c r="B365" s="87" t="s">
        <v>1413</v>
      </c>
      <c r="C365" s="88" t="s">
        <v>117</v>
      </c>
      <c r="D365" s="88" t="s">
        <v>644</v>
      </c>
      <c r="E365" s="88" t="s">
        <v>643</v>
      </c>
      <c r="F365" s="90" t="s">
        <v>71</v>
      </c>
      <c r="G365" s="91"/>
      <c r="H365" s="92"/>
      <c r="I365" s="93" t="str">
        <f>IFERROR(IF(OR($F365="O",$G365="O",$H365="O"),CHOOSE(MATCH($A365,{"튜브","고압","진공","튜닝","조립","출하"},0),"T","H","V","N","A","P")&amp;IF($F365="O","R",IF($G365="O","A",IF($H365="O","F",""))),""),"")</f>
        <v/>
      </c>
      <c r="J365" s="94"/>
      <c r="K365" s="95"/>
      <c r="L365" s="96" t="s">
        <v>71</v>
      </c>
      <c r="M365" s="97"/>
      <c r="N365" s="98"/>
      <c r="O365" s="99"/>
      <c r="P365" s="100" t="str">
        <f t="shared" si="5"/>
        <v/>
      </c>
      <c r="Q365" s="102" t="s">
        <v>1369</v>
      </c>
      <c r="R365" s="108" t="str">
        <f>HYPERLINK("#'마스터_품목'!A333","→ 마스터 R333")</f>
        <v>→ 마스터 R333</v>
      </c>
      <c r="S365" s="109">
        <v>333</v>
      </c>
      <c r="T365" s="109" t="s">
        <v>72</v>
      </c>
    </row>
    <row r="366" spans="1:20" ht="48" customHeight="1" x14ac:dyDescent="0.3">
      <c r="A366" s="87" t="s">
        <v>1347</v>
      </c>
      <c r="B366" s="87" t="s">
        <v>1413</v>
      </c>
      <c r="C366" s="88" t="s">
        <v>117</v>
      </c>
      <c r="D366" s="88" t="s">
        <v>642</v>
      </c>
      <c r="E366" s="88" t="s">
        <v>641</v>
      </c>
      <c r="F366" s="90" t="s">
        <v>71</v>
      </c>
      <c r="G366" s="91"/>
      <c r="H366" s="92"/>
      <c r="I366" s="93" t="str">
        <f>IFERROR(IF(OR($F366="O",$G366="O",$H366="O"),CHOOSE(MATCH($A366,{"튜브","고압","진공","튜닝","조립","출하"},0),"T","H","V","N","A","P")&amp;IF($F366="O","R",IF($G366="O","A",IF($H366="O","F",""))),""),"")</f>
        <v/>
      </c>
      <c r="J366" s="94"/>
      <c r="K366" s="95"/>
      <c r="L366" s="96" t="s">
        <v>71</v>
      </c>
      <c r="M366" s="97"/>
      <c r="N366" s="98"/>
      <c r="O366" s="99"/>
      <c r="P366" s="100" t="str">
        <f t="shared" si="5"/>
        <v/>
      </c>
      <c r="Q366" s="102" t="s">
        <v>1369</v>
      </c>
      <c r="R366" s="108" t="str">
        <f>HYPERLINK("#'마스터_품목'!A332","→ 마스터 R332")</f>
        <v>→ 마스터 R332</v>
      </c>
      <c r="S366" s="109">
        <v>332</v>
      </c>
      <c r="T366" s="109" t="s">
        <v>72</v>
      </c>
    </row>
    <row r="367" spans="1:20" ht="48" customHeight="1" x14ac:dyDescent="0.3">
      <c r="A367" s="87" t="s">
        <v>1347</v>
      </c>
      <c r="B367" s="87" t="s">
        <v>1413</v>
      </c>
      <c r="C367" s="88" t="s">
        <v>117</v>
      </c>
      <c r="D367" s="88" t="s">
        <v>671</v>
      </c>
      <c r="E367" s="88" t="s">
        <v>670</v>
      </c>
      <c r="F367" s="90" t="s">
        <v>71</v>
      </c>
      <c r="G367" s="91"/>
      <c r="H367" s="92"/>
      <c r="I367" s="93" t="str">
        <f>IFERROR(IF(OR($F367="O",$G367="O",$H367="O"),CHOOSE(MATCH($A367,{"튜브","고압","진공","튜닝","조립","출하"},0),"T","H","V","N","A","P")&amp;IF($F367="O","R",IF($G367="O","A",IF($H367="O","F",""))),""),"")</f>
        <v/>
      </c>
      <c r="J367" s="94"/>
      <c r="K367" s="95"/>
      <c r="L367" s="96" t="s">
        <v>71</v>
      </c>
      <c r="M367" s="97"/>
      <c r="N367" s="98"/>
      <c r="O367" s="99"/>
      <c r="P367" s="100" t="str">
        <f t="shared" si="5"/>
        <v/>
      </c>
      <c r="Q367" s="102" t="s">
        <v>1369</v>
      </c>
      <c r="R367" s="108" t="str">
        <f>HYPERLINK("#'마스터_품목'!A346","→ 마스터 R346")</f>
        <v>→ 마스터 R346</v>
      </c>
      <c r="S367" s="109">
        <v>346</v>
      </c>
      <c r="T367" s="109" t="s">
        <v>72</v>
      </c>
    </row>
    <row r="368" spans="1:20" ht="48" customHeight="1" x14ac:dyDescent="0.3">
      <c r="A368" s="87" t="s">
        <v>1347</v>
      </c>
      <c r="B368" s="87" t="s">
        <v>1413</v>
      </c>
      <c r="C368" s="88" t="s">
        <v>117</v>
      </c>
      <c r="D368" s="88" t="s">
        <v>633</v>
      </c>
      <c r="E368" s="88" t="s">
        <v>632</v>
      </c>
      <c r="F368" s="90" t="s">
        <v>71</v>
      </c>
      <c r="G368" s="91"/>
      <c r="H368" s="92"/>
      <c r="I368" s="93" t="str">
        <f>IFERROR(IF(OR($F368="O",$G368="O",$H368="O"),CHOOSE(MATCH($A368,{"튜브","고압","진공","튜닝","조립","출하"},0),"T","H","V","N","A","P")&amp;IF($F368="O","R",IF($G368="O","A",IF($H368="O","F",""))),""),"")</f>
        <v/>
      </c>
      <c r="J368" s="94"/>
      <c r="K368" s="95"/>
      <c r="L368" s="96" t="s">
        <v>71</v>
      </c>
      <c r="M368" s="97"/>
      <c r="N368" s="98"/>
      <c r="O368" s="99"/>
      <c r="P368" s="100" t="str">
        <f t="shared" si="5"/>
        <v/>
      </c>
      <c r="Q368" s="102" t="s">
        <v>1487</v>
      </c>
      <c r="R368" s="108" t="str">
        <f>HYPERLINK("#'마스터_품목'!A327","→ 마스터 R327")</f>
        <v>→ 마스터 R327</v>
      </c>
      <c r="S368" s="109">
        <v>327</v>
      </c>
      <c r="T368" s="109" t="s">
        <v>72</v>
      </c>
    </row>
    <row r="369" spans="1:20" ht="48" customHeight="1" x14ac:dyDescent="0.3">
      <c r="A369" s="87" t="s">
        <v>1347</v>
      </c>
      <c r="B369" s="87" t="s">
        <v>1413</v>
      </c>
      <c r="C369" s="88" t="s">
        <v>117</v>
      </c>
      <c r="D369" s="88" t="s">
        <v>618</v>
      </c>
      <c r="E369" s="88" t="s">
        <v>617</v>
      </c>
      <c r="F369" s="90" t="s">
        <v>71</v>
      </c>
      <c r="G369" s="91"/>
      <c r="H369" s="92"/>
      <c r="I369" s="93" t="str">
        <f>IFERROR(IF(OR($F369="O",$G369="O",$H369="O"),CHOOSE(MATCH($A369,{"튜브","고압","진공","튜닝","조립","출하"},0),"T","H","V","N","A","P")&amp;IF($F369="O","R",IF($G369="O","A",IF($H369="O","F",""))),""),"")</f>
        <v/>
      </c>
      <c r="J369" s="94"/>
      <c r="K369" s="95"/>
      <c r="L369" s="96" t="s">
        <v>71</v>
      </c>
      <c r="M369" s="97"/>
      <c r="N369" s="98"/>
      <c r="O369" s="99"/>
      <c r="P369" s="100" t="str">
        <f t="shared" si="5"/>
        <v/>
      </c>
      <c r="Q369" s="102" t="s">
        <v>1487</v>
      </c>
      <c r="R369" s="108" t="str">
        <f>HYPERLINK("#'마스터_품목'!A320","→ 마스터 R320")</f>
        <v>→ 마스터 R320</v>
      </c>
      <c r="S369" s="109">
        <v>320</v>
      </c>
      <c r="T369" s="109" t="s">
        <v>72</v>
      </c>
    </row>
    <row r="370" spans="1:20" ht="48" customHeight="1" x14ac:dyDescent="0.3">
      <c r="A370" s="87" t="s">
        <v>1347</v>
      </c>
      <c r="B370" s="87" t="s">
        <v>1414</v>
      </c>
      <c r="C370" s="88" t="s">
        <v>117</v>
      </c>
      <c r="D370" s="88" t="s">
        <v>628</v>
      </c>
      <c r="E370" s="88" t="s">
        <v>627</v>
      </c>
      <c r="F370" s="90" t="s">
        <v>71</v>
      </c>
      <c r="G370" s="91"/>
      <c r="H370" s="92"/>
      <c r="I370" s="93" t="str">
        <f>IFERROR(IF(OR($F370="O",$G370="O",$H370="O"),CHOOSE(MATCH($A370,{"튜브","고압","진공","튜닝","조립","출하"},0),"T","H","V","N","A","P")&amp;IF($F370="O","R",IF($G370="O","A",IF($H370="O","F",""))),""),"")</f>
        <v/>
      </c>
      <c r="J370" s="94"/>
      <c r="K370" s="95"/>
      <c r="L370" s="96" t="s">
        <v>71</v>
      </c>
      <c r="M370" s="97"/>
      <c r="N370" s="98"/>
      <c r="O370" s="99"/>
      <c r="P370" s="100" t="str">
        <f t="shared" si="5"/>
        <v/>
      </c>
      <c r="Q370" s="102" t="s">
        <v>1488</v>
      </c>
      <c r="R370" s="108" t="str">
        <f>HYPERLINK("#'마스터_품목'!A325","→ 마스터 R325")</f>
        <v>→ 마스터 R325</v>
      </c>
      <c r="S370" s="109">
        <v>325</v>
      </c>
      <c r="T370" s="109" t="s">
        <v>72</v>
      </c>
    </row>
    <row r="371" spans="1:20" ht="48" customHeight="1" x14ac:dyDescent="0.3">
      <c r="A371" s="87" t="s">
        <v>1347</v>
      </c>
      <c r="B371" s="87" t="s">
        <v>1383</v>
      </c>
      <c r="C371" s="88" t="s">
        <v>117</v>
      </c>
      <c r="D371" s="88" t="s">
        <v>611</v>
      </c>
      <c r="E371" s="88" t="s">
        <v>610</v>
      </c>
      <c r="F371" s="90" t="s">
        <v>71</v>
      </c>
      <c r="G371" s="91"/>
      <c r="H371" s="92"/>
      <c r="I371" s="93" t="str">
        <f>IFERROR(IF(OR($F371="O",$G371="O",$H371="O"),CHOOSE(MATCH($A371,{"튜브","고압","진공","튜닝","조립","출하"},0),"T","H","V","N","A","P")&amp;IF($F371="O","R",IF($G371="O","A",IF($H371="O","F",""))),""),"")</f>
        <v/>
      </c>
      <c r="J371" s="94"/>
      <c r="K371" s="95"/>
      <c r="L371" s="96" t="s">
        <v>71</v>
      </c>
      <c r="M371" s="97"/>
      <c r="N371" s="98"/>
      <c r="O371" s="99"/>
      <c r="P371" s="100" t="str">
        <f t="shared" si="5"/>
        <v/>
      </c>
      <c r="Q371" s="102" t="s">
        <v>1408</v>
      </c>
      <c r="R371" s="108" t="str">
        <f>HYPERLINK("#'마스터_품목'!A316","→ 마스터 R316")</f>
        <v>→ 마스터 R316</v>
      </c>
      <c r="S371" s="109">
        <v>316</v>
      </c>
      <c r="T371" s="109" t="s">
        <v>72</v>
      </c>
    </row>
    <row r="372" spans="1:20" ht="48" customHeight="1" x14ac:dyDescent="0.3">
      <c r="A372" s="87" t="s">
        <v>1347</v>
      </c>
      <c r="B372" s="87" t="s">
        <v>1383</v>
      </c>
      <c r="C372" s="88" t="s">
        <v>117</v>
      </c>
      <c r="D372" s="88" t="s">
        <v>615</v>
      </c>
      <c r="E372" s="88" t="s">
        <v>1489</v>
      </c>
      <c r="F372" s="90" t="s">
        <v>71</v>
      </c>
      <c r="G372" s="91"/>
      <c r="H372" s="92"/>
      <c r="I372" s="93" t="str">
        <f>IFERROR(IF(OR($F372="O",$G372="O",$H372="O"),CHOOSE(MATCH($A372,{"튜브","고압","진공","튜닝","조립","출하"},0),"T","H","V","N","A","P")&amp;IF($F372="O","R",IF($G372="O","A",IF($H372="O","F",""))),""),"")</f>
        <v/>
      </c>
      <c r="J372" s="94"/>
      <c r="K372" s="95"/>
      <c r="L372" s="96" t="s">
        <v>71</v>
      </c>
      <c r="M372" s="97"/>
      <c r="N372" s="98"/>
      <c r="O372" s="99"/>
      <c r="P372" s="100" t="str">
        <f t="shared" si="5"/>
        <v/>
      </c>
      <c r="Q372" s="102" t="s">
        <v>1408</v>
      </c>
      <c r="R372" s="108" t="str">
        <f>HYPERLINK("#'마스터_품목'!A318","→ 마스터 R318")</f>
        <v>→ 마스터 R318</v>
      </c>
      <c r="S372" s="109">
        <v>318</v>
      </c>
      <c r="T372" s="109" t="s">
        <v>72</v>
      </c>
    </row>
    <row r="373" spans="1:20" ht="48" customHeight="1" x14ac:dyDescent="0.3">
      <c r="A373" s="87" t="s">
        <v>1347</v>
      </c>
      <c r="B373" s="87" t="s">
        <v>985</v>
      </c>
      <c r="C373" s="88" t="s">
        <v>1361</v>
      </c>
      <c r="D373" s="88" t="s">
        <v>987</v>
      </c>
      <c r="E373" s="88" t="s">
        <v>986</v>
      </c>
      <c r="F373" s="90" t="s">
        <v>71</v>
      </c>
      <c r="G373" s="91"/>
      <c r="H373" s="92"/>
      <c r="I373" s="93" t="str">
        <f>IFERROR(IF(OR($F373="O",$G373="O",$H373="O"),CHOOSE(MATCH($A373,{"튜브","고압","진공","튜닝","조립","출하"},0),"T","H","V","N","A","P")&amp;IF($F373="O","R",IF($G373="O","A",IF($H373="O","F",""))),""),"")</f>
        <v/>
      </c>
      <c r="J373" s="94" t="s">
        <v>71</v>
      </c>
      <c r="K373" s="95" t="s">
        <v>71</v>
      </c>
      <c r="L373" s="96"/>
      <c r="M373" s="97"/>
      <c r="N373" s="98" t="s">
        <v>71</v>
      </c>
      <c r="O373" s="99"/>
      <c r="P373" s="100" t="str">
        <f t="shared" si="5"/>
        <v/>
      </c>
      <c r="Q373" s="102" t="s">
        <v>1490</v>
      </c>
      <c r="R373" s="108" t="str">
        <f>HYPERLINK("#'마스터_품목'!A583","→ 마스터 R583")</f>
        <v>→ 마스터 R583</v>
      </c>
      <c r="S373" s="109">
        <v>583</v>
      </c>
      <c r="T373" s="109" t="s">
        <v>72</v>
      </c>
    </row>
    <row r="374" spans="1:20" ht="48" customHeight="1" x14ac:dyDescent="0.3">
      <c r="A374" s="87" t="s">
        <v>1347</v>
      </c>
      <c r="B374" s="87" t="s">
        <v>1383</v>
      </c>
      <c r="C374" s="88" t="s">
        <v>117</v>
      </c>
      <c r="D374" s="88" t="s">
        <v>681</v>
      </c>
      <c r="E374" s="88" t="s">
        <v>680</v>
      </c>
      <c r="F374" s="90" t="s">
        <v>71</v>
      </c>
      <c r="G374" s="91"/>
      <c r="H374" s="92"/>
      <c r="I374" s="93" t="str">
        <f>IFERROR(IF(OR($F374="O",$G374="O",$H374="O"),CHOOSE(MATCH($A374,{"튜브","고압","진공","튜닝","조립","출하"},0),"T","H","V","N","A","P")&amp;IF($F374="O","R",IF($G374="O","A",IF($H374="O","F",""))),""),"")</f>
        <v/>
      </c>
      <c r="J374" s="94"/>
      <c r="K374" s="95"/>
      <c r="L374" s="96" t="s">
        <v>71</v>
      </c>
      <c r="M374" s="97"/>
      <c r="N374" s="98"/>
      <c r="O374" s="99"/>
      <c r="P374" s="100" t="str">
        <f t="shared" si="5"/>
        <v/>
      </c>
      <c r="Q374" s="102" t="s">
        <v>1408</v>
      </c>
      <c r="R374" s="108" t="str">
        <f>HYPERLINK("#'마스터_품목'!A351","→ 마스터 R351")</f>
        <v>→ 마스터 R351</v>
      </c>
      <c r="S374" s="109">
        <v>351</v>
      </c>
      <c r="T374" s="109" t="s">
        <v>72</v>
      </c>
    </row>
    <row r="375" spans="1:20" ht="48" customHeight="1" x14ac:dyDescent="0.3">
      <c r="A375" s="124" t="s">
        <v>354</v>
      </c>
      <c r="B375" s="87" t="s">
        <v>1456</v>
      </c>
      <c r="C375" s="88" t="s">
        <v>117</v>
      </c>
      <c r="D375" s="88" t="s">
        <v>1491</v>
      </c>
      <c r="E375" s="88"/>
      <c r="F375" s="90" t="s">
        <v>71</v>
      </c>
      <c r="G375" s="91"/>
      <c r="H375" s="92"/>
      <c r="I375" s="93" t="str">
        <f>IFERROR(IF(OR($F375="O",$G375="O",$H375="O"),CHOOSE(MATCH($A375,{"튜브","고압","진공","튜닝","조립","출하"},0),"T","H","V","N","A","P")&amp;IF($F375="O","R",IF($G375="O","A",IF($H375="O","F",""))),""),"")</f>
        <v>AR</v>
      </c>
      <c r="J375" s="94"/>
      <c r="K375" s="123"/>
      <c r="L375" s="119" t="s">
        <v>71</v>
      </c>
      <c r="M375" s="97"/>
      <c r="N375" s="98"/>
      <c r="O375" s="99"/>
      <c r="P375" s="100" t="str">
        <f t="shared" si="5"/>
        <v>6-AR</v>
      </c>
      <c r="Q375" s="102" t="s">
        <v>1457</v>
      </c>
      <c r="R375" s="108" t="str">
        <f>HYPERLINK("#'마스터_품목'!A760","→ 마스터 R760")</f>
        <v>→ 마스터 R760</v>
      </c>
      <c r="S375" s="109">
        <v>760</v>
      </c>
      <c r="T375" s="109" t="s">
        <v>72</v>
      </c>
    </row>
    <row r="376" spans="1:20" ht="48" customHeight="1" x14ac:dyDescent="0.3">
      <c r="A376" s="87" t="s">
        <v>1347</v>
      </c>
      <c r="B376" s="87" t="s">
        <v>1492</v>
      </c>
      <c r="C376" s="88" t="s">
        <v>117</v>
      </c>
      <c r="D376" s="88" t="s">
        <v>651</v>
      </c>
      <c r="E376" s="88" t="s">
        <v>650</v>
      </c>
      <c r="F376" s="90" t="s">
        <v>71</v>
      </c>
      <c r="G376" s="91"/>
      <c r="H376" s="92"/>
      <c r="I376" s="93" t="str">
        <f>IFERROR(IF(OR($F376="O",$G376="O",$H376="O"),CHOOSE(MATCH($A376,{"튜브","고압","진공","튜닝","조립","출하"},0),"T","H","V","N","A","P")&amp;IF($F376="O","R",IF($G376="O","A",IF($H376="O","F",""))),""),"")</f>
        <v/>
      </c>
      <c r="J376" s="94"/>
      <c r="K376" s="95"/>
      <c r="L376" s="96" t="s">
        <v>71</v>
      </c>
      <c r="M376" s="97"/>
      <c r="N376" s="98"/>
      <c r="O376" s="99"/>
      <c r="P376" s="100" t="str">
        <f t="shared" si="5"/>
        <v/>
      </c>
      <c r="Q376" s="102" t="s">
        <v>1384</v>
      </c>
      <c r="R376" s="108" t="str">
        <f>HYPERLINK("#'마스터_품목'!A336","→ 마스터 R336")</f>
        <v>→ 마스터 R336</v>
      </c>
      <c r="S376" s="109">
        <v>336</v>
      </c>
      <c r="T376" s="109" t="s">
        <v>72</v>
      </c>
    </row>
    <row r="377" spans="1:20" ht="48" customHeight="1" x14ac:dyDescent="0.3">
      <c r="A377" s="87" t="s">
        <v>1347</v>
      </c>
      <c r="B377" s="87" t="s">
        <v>985</v>
      </c>
      <c r="C377" s="88" t="s">
        <v>195</v>
      </c>
      <c r="D377" s="88" t="s">
        <v>991</v>
      </c>
      <c r="E377" s="88" t="s">
        <v>990</v>
      </c>
      <c r="F377" s="90" t="s">
        <v>71</v>
      </c>
      <c r="G377" s="91"/>
      <c r="H377" s="92"/>
      <c r="I377" s="93" t="str">
        <f>IFERROR(IF(OR($F377="O",$G377="O",$H377="O"),CHOOSE(MATCH($A377,{"튜브","고압","진공","튜닝","조립","출하"},0),"T","H","V","N","A","P")&amp;IF($F377="O","R",IF($G377="O","A",IF($H377="O","F",""))),""),"")</f>
        <v/>
      </c>
      <c r="J377" s="94" t="s">
        <v>71</v>
      </c>
      <c r="K377" s="95"/>
      <c r="L377" s="96"/>
      <c r="M377" s="97" t="s">
        <v>71</v>
      </c>
      <c r="N377" s="98"/>
      <c r="O377" s="99"/>
      <c r="P377" s="100" t="str">
        <f t="shared" si="5"/>
        <v/>
      </c>
      <c r="Q377" s="102" t="s">
        <v>1490</v>
      </c>
      <c r="R377" s="108" t="str">
        <f>HYPERLINK("#'마스터_품목'!A585","→ 마스터 R585")</f>
        <v>→ 마스터 R585</v>
      </c>
      <c r="S377" s="109">
        <v>585</v>
      </c>
      <c r="T377" s="109" t="s">
        <v>72</v>
      </c>
    </row>
    <row r="378" spans="1:20" ht="48" customHeight="1" x14ac:dyDescent="0.3">
      <c r="A378" s="87" t="s">
        <v>1347</v>
      </c>
      <c r="B378" s="87" t="s">
        <v>1388</v>
      </c>
      <c r="C378" s="88" t="s">
        <v>117</v>
      </c>
      <c r="D378" s="88" t="s">
        <v>679</v>
      </c>
      <c r="E378" s="88" t="s">
        <v>678</v>
      </c>
      <c r="F378" s="90" t="s">
        <v>71</v>
      </c>
      <c r="G378" s="91"/>
      <c r="H378" s="92"/>
      <c r="I378" s="93" t="str">
        <f>IFERROR(IF(OR($F378="O",$G378="O",$H378="O"),CHOOSE(MATCH($A378,{"튜브","고압","진공","튜닝","조립","출하"},0),"T","H","V","N","A","P")&amp;IF($F378="O","R",IF($G378="O","A",IF($H378="O","F",""))),""),"")</f>
        <v/>
      </c>
      <c r="J378" s="94"/>
      <c r="K378" s="95"/>
      <c r="L378" s="96" t="s">
        <v>71</v>
      </c>
      <c r="M378" s="97"/>
      <c r="N378" s="98"/>
      <c r="O378" s="99"/>
      <c r="P378" s="100" t="str">
        <f t="shared" si="5"/>
        <v/>
      </c>
      <c r="Q378" s="102" t="s">
        <v>1353</v>
      </c>
      <c r="R378" s="108" t="str">
        <f>HYPERLINK("#'마스터_품목'!A350","→ 마스터 R350")</f>
        <v>→ 마스터 R350</v>
      </c>
      <c r="S378" s="109">
        <v>350</v>
      </c>
      <c r="T378" s="109" t="s">
        <v>72</v>
      </c>
    </row>
    <row r="379" spans="1:20" ht="48" customHeight="1" x14ac:dyDescent="0.3">
      <c r="A379" s="87" t="s">
        <v>1347</v>
      </c>
      <c r="B379" s="87" t="s">
        <v>1493</v>
      </c>
      <c r="C379" s="88" t="s">
        <v>333</v>
      </c>
      <c r="D379" s="88" t="s">
        <v>635</v>
      </c>
      <c r="E379" s="88" t="s">
        <v>634</v>
      </c>
      <c r="F379" s="90" t="s">
        <v>71</v>
      </c>
      <c r="G379" s="91"/>
      <c r="H379" s="92"/>
      <c r="I379" s="93" t="str">
        <f>IFERROR(IF(OR($F379="O",$G379="O",$H379="O"),CHOOSE(MATCH($A379,{"튜브","고압","진공","튜닝","조립","출하"},0),"T","H","V","N","A","P")&amp;IF($F379="O","R",IF($G379="O","A",IF($H379="O","F",""))),""),"")</f>
        <v/>
      </c>
      <c r="J379" s="94"/>
      <c r="K379" s="95"/>
      <c r="L379" s="96" t="s">
        <v>71</v>
      </c>
      <c r="M379" s="97"/>
      <c r="N379" s="98"/>
      <c r="O379" s="99"/>
      <c r="P379" s="100" t="str">
        <f t="shared" si="5"/>
        <v/>
      </c>
      <c r="Q379" s="102" t="s">
        <v>1494</v>
      </c>
      <c r="R379" s="108" t="str">
        <f>HYPERLINK("#'마스터_품목'!A328","→ 마스터 R328")</f>
        <v>→ 마스터 R328</v>
      </c>
      <c r="S379" s="109">
        <v>328</v>
      </c>
      <c r="T379" s="109" t="s">
        <v>72</v>
      </c>
    </row>
    <row r="380" spans="1:20" ht="48" customHeight="1" x14ac:dyDescent="0.3">
      <c r="A380" s="87" t="s">
        <v>1347</v>
      </c>
      <c r="B380" s="87" t="s">
        <v>1495</v>
      </c>
      <c r="C380" s="88" t="s">
        <v>68</v>
      </c>
      <c r="D380" s="88" t="s">
        <v>1001</v>
      </c>
      <c r="E380" s="88" t="s">
        <v>1000</v>
      </c>
      <c r="F380" s="90" t="s">
        <v>71</v>
      </c>
      <c r="G380" s="91"/>
      <c r="H380" s="92"/>
      <c r="I380" s="93" t="str">
        <f>IFERROR(IF(OR($F380="O",$G380="O",$H380="O"),CHOOSE(MATCH($A380,{"튜브","고압","진공","튜닝","조립","출하"},0),"T","H","V","N","A","P")&amp;IF($F380="O","R",IF($G380="O","A",IF($H380="O","F",""))),""),"")</f>
        <v/>
      </c>
      <c r="J380" s="94" t="s">
        <v>71</v>
      </c>
      <c r="K380" s="95" t="s">
        <v>71</v>
      </c>
      <c r="L380" s="96" t="s">
        <v>71</v>
      </c>
      <c r="M380" s="97" t="s">
        <v>71</v>
      </c>
      <c r="N380" s="98" t="s">
        <v>71</v>
      </c>
      <c r="O380" s="99"/>
      <c r="P380" s="100" t="str">
        <f t="shared" si="5"/>
        <v/>
      </c>
      <c r="Q380" s="102" t="s">
        <v>1496</v>
      </c>
      <c r="R380" s="108" t="str">
        <f>HYPERLINK("#'마스터_품목'!A589","→ 마스터 R589")</f>
        <v>→ 마스터 R589</v>
      </c>
      <c r="S380" s="109">
        <v>589</v>
      </c>
      <c r="T380" s="109" t="s">
        <v>72</v>
      </c>
    </row>
    <row r="381" spans="1:20" ht="48" customHeight="1" x14ac:dyDescent="0.3">
      <c r="A381" s="87" t="s">
        <v>1347</v>
      </c>
      <c r="B381" s="87" t="s">
        <v>1495</v>
      </c>
      <c r="C381" s="88" t="s">
        <v>68</v>
      </c>
      <c r="D381" s="88" t="s">
        <v>1003</v>
      </c>
      <c r="E381" s="88" t="s">
        <v>1002</v>
      </c>
      <c r="F381" s="90" t="s">
        <v>71</v>
      </c>
      <c r="G381" s="91"/>
      <c r="H381" s="92"/>
      <c r="I381" s="93" t="str">
        <f>IFERROR(IF(OR($F381="O",$G381="O",$H381="O"),CHOOSE(MATCH($A381,{"튜브","고압","진공","튜닝","조립","출하"},0),"T","H","V","N","A","P")&amp;IF($F381="O","R",IF($G381="O","A",IF($H381="O","F",""))),""),"")</f>
        <v/>
      </c>
      <c r="J381" s="94" t="s">
        <v>71</v>
      </c>
      <c r="K381" s="95" t="s">
        <v>71</v>
      </c>
      <c r="L381" s="96" t="s">
        <v>71</v>
      </c>
      <c r="M381" s="97" t="s">
        <v>71</v>
      </c>
      <c r="N381" s="98" t="s">
        <v>71</v>
      </c>
      <c r="O381" s="99"/>
      <c r="P381" s="100" t="str">
        <f t="shared" si="5"/>
        <v/>
      </c>
      <c r="Q381" s="102" t="s">
        <v>1496</v>
      </c>
      <c r="R381" s="108" t="str">
        <f>HYPERLINK("#'마스터_품목'!A590","→ 마스터 R590")</f>
        <v>→ 마스터 R590</v>
      </c>
      <c r="S381" s="109">
        <v>590</v>
      </c>
      <c r="T381" s="109" t="s">
        <v>72</v>
      </c>
    </row>
    <row r="382" spans="1:20" ht="48" customHeight="1" x14ac:dyDescent="0.3">
      <c r="A382" s="87" t="s">
        <v>1347</v>
      </c>
      <c r="B382" s="87" t="s">
        <v>1495</v>
      </c>
      <c r="C382" s="88" t="s">
        <v>68</v>
      </c>
      <c r="D382" s="88" t="s">
        <v>1011</v>
      </c>
      <c r="E382" s="88" t="s">
        <v>1010</v>
      </c>
      <c r="F382" s="90" t="s">
        <v>71</v>
      </c>
      <c r="G382" s="91"/>
      <c r="H382" s="92"/>
      <c r="I382" s="93" t="str">
        <f>IFERROR(IF(OR($F382="O",$G382="O",$H382="O"),CHOOSE(MATCH($A382,{"튜브","고압","진공","튜닝","조립","출하"},0),"T","H","V","N","A","P")&amp;IF($F382="O","R",IF($G382="O","A",IF($H382="O","F",""))),""),"")</f>
        <v/>
      </c>
      <c r="J382" s="94" t="s">
        <v>71</v>
      </c>
      <c r="K382" s="95" t="s">
        <v>71</v>
      </c>
      <c r="L382" s="96" t="s">
        <v>71</v>
      </c>
      <c r="M382" s="97" t="s">
        <v>71</v>
      </c>
      <c r="N382" s="98" t="s">
        <v>71</v>
      </c>
      <c r="O382" s="99"/>
      <c r="P382" s="100" t="str">
        <f t="shared" si="5"/>
        <v/>
      </c>
      <c r="Q382" s="102" t="s">
        <v>1496</v>
      </c>
      <c r="R382" s="108" t="str">
        <f>HYPERLINK("#'마스터_품목'!A594","→ 마스터 R594")</f>
        <v>→ 마스터 R594</v>
      </c>
      <c r="S382" s="109">
        <v>594</v>
      </c>
      <c r="T382" s="109" t="s">
        <v>72</v>
      </c>
    </row>
    <row r="383" spans="1:20" ht="48" customHeight="1" x14ac:dyDescent="0.3">
      <c r="A383" s="87" t="s">
        <v>1347</v>
      </c>
      <c r="B383" s="87" t="s">
        <v>1495</v>
      </c>
      <c r="C383" s="88" t="s">
        <v>68</v>
      </c>
      <c r="D383" s="88" t="s">
        <v>1013</v>
      </c>
      <c r="E383" s="88" t="s">
        <v>1012</v>
      </c>
      <c r="F383" s="90" t="s">
        <v>71</v>
      </c>
      <c r="G383" s="91"/>
      <c r="H383" s="92"/>
      <c r="I383" s="93" t="str">
        <f>IFERROR(IF(OR($F383="O",$G383="O",$H383="O"),CHOOSE(MATCH($A383,{"튜브","고압","진공","튜닝","조립","출하"},0),"T","H","V","N","A","P")&amp;IF($F383="O","R",IF($G383="O","A",IF($H383="O","F",""))),""),"")</f>
        <v/>
      </c>
      <c r="J383" s="94" t="s">
        <v>71</v>
      </c>
      <c r="K383" s="95" t="s">
        <v>71</v>
      </c>
      <c r="L383" s="96" t="s">
        <v>71</v>
      </c>
      <c r="M383" s="97" t="s">
        <v>71</v>
      </c>
      <c r="N383" s="98" t="s">
        <v>71</v>
      </c>
      <c r="O383" s="99"/>
      <c r="P383" s="100" t="str">
        <f t="shared" si="5"/>
        <v/>
      </c>
      <c r="Q383" s="102" t="s">
        <v>1496</v>
      </c>
      <c r="R383" s="108" t="str">
        <f>HYPERLINK("#'마스터_품목'!A595","→ 마스터 R595")</f>
        <v>→ 마스터 R595</v>
      </c>
      <c r="S383" s="109">
        <v>595</v>
      </c>
      <c r="T383" s="109" t="s">
        <v>72</v>
      </c>
    </row>
    <row r="384" spans="1:20" ht="48" customHeight="1" x14ac:dyDescent="0.3">
      <c r="A384" s="87" t="s">
        <v>1347</v>
      </c>
      <c r="B384" s="87" t="s">
        <v>1495</v>
      </c>
      <c r="C384" s="88" t="s">
        <v>68</v>
      </c>
      <c r="D384" s="88" t="s">
        <v>1005</v>
      </c>
      <c r="E384" s="88" t="s">
        <v>1004</v>
      </c>
      <c r="F384" s="90" t="s">
        <v>71</v>
      </c>
      <c r="G384" s="91"/>
      <c r="H384" s="92"/>
      <c r="I384" s="93" t="str">
        <f>IFERROR(IF(OR($F384="O",$G384="O",$H384="O"),CHOOSE(MATCH($A384,{"튜브","고압","진공","튜닝","조립","출하"},0),"T","H","V","N","A","P")&amp;IF($F384="O","R",IF($G384="O","A",IF($H384="O","F",""))),""),"")</f>
        <v/>
      </c>
      <c r="J384" s="94" t="s">
        <v>71</v>
      </c>
      <c r="K384" s="95" t="s">
        <v>71</v>
      </c>
      <c r="L384" s="96" t="s">
        <v>71</v>
      </c>
      <c r="M384" s="97" t="s">
        <v>71</v>
      </c>
      <c r="N384" s="98" t="s">
        <v>71</v>
      </c>
      <c r="O384" s="99"/>
      <c r="P384" s="100" t="str">
        <f t="shared" si="5"/>
        <v/>
      </c>
      <c r="Q384" s="102" t="s">
        <v>1496</v>
      </c>
      <c r="R384" s="108" t="str">
        <f>HYPERLINK("#'마스터_품목'!A591","→ 마스터 R591")</f>
        <v>→ 마스터 R591</v>
      </c>
      <c r="S384" s="109">
        <v>591</v>
      </c>
      <c r="T384" s="109" t="s">
        <v>72</v>
      </c>
    </row>
    <row r="385" spans="1:20" ht="48" customHeight="1" x14ac:dyDescent="0.3">
      <c r="A385" s="87" t="s">
        <v>1347</v>
      </c>
      <c r="B385" s="87" t="s">
        <v>1495</v>
      </c>
      <c r="C385" s="88" t="s">
        <v>68</v>
      </c>
      <c r="D385" s="88" t="s">
        <v>1007</v>
      </c>
      <c r="E385" s="88" t="s">
        <v>1006</v>
      </c>
      <c r="F385" s="90" t="s">
        <v>71</v>
      </c>
      <c r="G385" s="91"/>
      <c r="H385" s="92"/>
      <c r="I385" s="93" t="str">
        <f>IFERROR(IF(OR($F385="O",$G385="O",$H385="O"),CHOOSE(MATCH($A385,{"튜브","고압","진공","튜닝","조립","출하"},0),"T","H","V","N","A","P")&amp;IF($F385="O","R",IF($G385="O","A",IF($H385="O","F",""))),""),"")</f>
        <v/>
      </c>
      <c r="J385" s="94" t="s">
        <v>71</v>
      </c>
      <c r="K385" s="95" t="s">
        <v>71</v>
      </c>
      <c r="L385" s="96" t="s">
        <v>71</v>
      </c>
      <c r="M385" s="97" t="s">
        <v>71</v>
      </c>
      <c r="N385" s="98" t="s">
        <v>71</v>
      </c>
      <c r="O385" s="99"/>
      <c r="P385" s="100" t="str">
        <f t="shared" si="5"/>
        <v/>
      </c>
      <c r="Q385" s="102" t="s">
        <v>1496</v>
      </c>
      <c r="R385" s="108" t="str">
        <f>HYPERLINK("#'마스터_품목'!A592","→ 마스터 R592")</f>
        <v>→ 마스터 R592</v>
      </c>
      <c r="S385" s="109">
        <v>592</v>
      </c>
      <c r="T385" s="109" t="s">
        <v>72</v>
      </c>
    </row>
    <row r="386" spans="1:20" ht="48" customHeight="1" x14ac:dyDescent="0.3">
      <c r="A386" s="87" t="s">
        <v>1347</v>
      </c>
      <c r="B386" s="87" t="s">
        <v>1495</v>
      </c>
      <c r="C386" s="88" t="s">
        <v>68</v>
      </c>
      <c r="D386" s="88" t="s">
        <v>1009</v>
      </c>
      <c r="E386" s="88" t="s">
        <v>1008</v>
      </c>
      <c r="F386" s="90" t="s">
        <v>71</v>
      </c>
      <c r="G386" s="91"/>
      <c r="H386" s="92"/>
      <c r="I386" s="93" t="str">
        <f>IFERROR(IF(OR($F386="O",$G386="O",$H386="O"),CHOOSE(MATCH($A386,{"튜브","고압","진공","튜닝","조립","출하"},0),"T","H","V","N","A","P")&amp;IF($F386="O","R",IF($G386="O","A",IF($H386="O","F",""))),""),"")</f>
        <v/>
      </c>
      <c r="J386" s="94" t="s">
        <v>71</v>
      </c>
      <c r="K386" s="95" t="s">
        <v>71</v>
      </c>
      <c r="L386" s="96" t="s">
        <v>71</v>
      </c>
      <c r="M386" s="97" t="s">
        <v>71</v>
      </c>
      <c r="N386" s="98" t="s">
        <v>71</v>
      </c>
      <c r="O386" s="99"/>
      <c r="P386" s="100" t="str">
        <f t="shared" ref="P386:P449" si="6">IF($I386="","",IF($J386="O","3","")&amp;IF($K386="O","4","")&amp;IF($L386="O","6","")&amp;IF($M386="O","7","")&amp;IF($N386="O","8","")&amp;IF($O386="O","?","")&amp;IF(OR($J386="O",$K386="O",$L386="O",$M386="O",$N386="O",$O386="O"),"-","")&amp;$I386)</f>
        <v/>
      </c>
      <c r="Q386" s="102" t="s">
        <v>1496</v>
      </c>
      <c r="R386" s="108" t="str">
        <f>HYPERLINK("#'마스터_품목'!A593","→ 마스터 R593")</f>
        <v>→ 마스터 R593</v>
      </c>
      <c r="S386" s="109">
        <v>593</v>
      </c>
      <c r="T386" s="109" t="s">
        <v>72</v>
      </c>
    </row>
    <row r="387" spans="1:20" ht="48" customHeight="1" x14ac:dyDescent="0.3">
      <c r="A387" s="87" t="s">
        <v>1347</v>
      </c>
      <c r="B387" s="87" t="s">
        <v>1497</v>
      </c>
      <c r="C387" s="88" t="s">
        <v>68</v>
      </c>
      <c r="D387" s="88" t="s">
        <v>994</v>
      </c>
      <c r="E387" s="88" t="s">
        <v>993</v>
      </c>
      <c r="F387" s="90" t="s">
        <v>71</v>
      </c>
      <c r="G387" s="91"/>
      <c r="H387" s="92"/>
      <c r="I387" s="93" t="str">
        <f>IFERROR(IF(OR($F387="O",$G387="O",$H387="O"),CHOOSE(MATCH($A387,{"튜브","고압","진공","튜닝","조립","출하"},0),"T","H","V","N","A","P")&amp;IF($F387="O","R",IF($G387="O","A",IF($H387="O","F",""))),""),"")</f>
        <v/>
      </c>
      <c r="J387" s="94" t="s">
        <v>71</v>
      </c>
      <c r="K387" s="95" t="s">
        <v>71</v>
      </c>
      <c r="L387" s="96" t="s">
        <v>71</v>
      </c>
      <c r="M387" s="97" t="s">
        <v>71</v>
      </c>
      <c r="N387" s="98" t="s">
        <v>71</v>
      </c>
      <c r="O387" s="99"/>
      <c r="P387" s="100" t="str">
        <f t="shared" si="6"/>
        <v/>
      </c>
      <c r="Q387" s="102" t="s">
        <v>1496</v>
      </c>
      <c r="R387" s="108" t="str">
        <f>HYPERLINK("#'마스터_품목'!A586","→ 마스터 R586")</f>
        <v>→ 마스터 R586</v>
      </c>
      <c r="S387" s="109">
        <v>586</v>
      </c>
      <c r="T387" s="109" t="s">
        <v>72</v>
      </c>
    </row>
    <row r="388" spans="1:20" ht="48" customHeight="1" x14ac:dyDescent="0.3">
      <c r="A388" s="87" t="s">
        <v>1347</v>
      </c>
      <c r="B388" s="87" t="s">
        <v>1497</v>
      </c>
      <c r="C388" s="88" t="s">
        <v>68</v>
      </c>
      <c r="D388" s="88" t="s">
        <v>996</v>
      </c>
      <c r="E388" s="88" t="s">
        <v>995</v>
      </c>
      <c r="F388" s="90" t="s">
        <v>71</v>
      </c>
      <c r="G388" s="91"/>
      <c r="H388" s="92"/>
      <c r="I388" s="93" t="str">
        <f>IFERROR(IF(OR($F388="O",$G388="O",$H388="O"),CHOOSE(MATCH($A388,{"튜브","고압","진공","튜닝","조립","출하"},0),"T","H","V","N","A","P")&amp;IF($F388="O","R",IF($G388="O","A",IF($H388="O","F",""))),""),"")</f>
        <v/>
      </c>
      <c r="J388" s="94" t="s">
        <v>71</v>
      </c>
      <c r="K388" s="95" t="s">
        <v>71</v>
      </c>
      <c r="L388" s="96" t="s">
        <v>71</v>
      </c>
      <c r="M388" s="97" t="s">
        <v>71</v>
      </c>
      <c r="N388" s="98" t="s">
        <v>71</v>
      </c>
      <c r="O388" s="99"/>
      <c r="P388" s="100" t="str">
        <f t="shared" si="6"/>
        <v/>
      </c>
      <c r="Q388" s="102" t="s">
        <v>1496</v>
      </c>
      <c r="R388" s="108" t="str">
        <f>HYPERLINK("#'마스터_품목'!A587","→ 마스터 R587")</f>
        <v>→ 마스터 R587</v>
      </c>
      <c r="S388" s="109">
        <v>587</v>
      </c>
      <c r="T388" s="109" t="s">
        <v>72</v>
      </c>
    </row>
    <row r="389" spans="1:20" ht="48" customHeight="1" x14ac:dyDescent="0.3">
      <c r="A389" s="87" t="s">
        <v>1347</v>
      </c>
      <c r="B389" s="87" t="s">
        <v>1493</v>
      </c>
      <c r="C389" s="88" t="s">
        <v>333</v>
      </c>
      <c r="D389" s="88" t="s">
        <v>659</v>
      </c>
      <c r="E389" s="88" t="s">
        <v>1498</v>
      </c>
      <c r="F389" s="90" t="s">
        <v>71</v>
      </c>
      <c r="G389" s="91"/>
      <c r="H389" s="92"/>
      <c r="I389" s="93" t="str">
        <f>IFERROR(IF(OR($F389="O",$G389="O",$H389="O"),CHOOSE(MATCH($A389,{"튜브","고압","진공","튜닝","조립","출하"},0),"T","H","V","N","A","P")&amp;IF($F389="O","R",IF($G389="O","A",IF($H389="O","F",""))),""),"")</f>
        <v/>
      </c>
      <c r="J389" s="94"/>
      <c r="K389" s="95"/>
      <c r="L389" s="96" t="s">
        <v>71</v>
      </c>
      <c r="M389" s="97"/>
      <c r="N389" s="98"/>
      <c r="O389" s="99"/>
      <c r="P389" s="100" t="str">
        <f t="shared" si="6"/>
        <v/>
      </c>
      <c r="Q389" s="102" t="s">
        <v>1494</v>
      </c>
      <c r="R389" s="108" t="str">
        <f>HYPERLINK("#'마스터_품목'!A340","→ 마스터 R340")</f>
        <v>→ 마스터 R340</v>
      </c>
      <c r="S389" s="109">
        <v>340</v>
      </c>
      <c r="T389" s="109" t="s">
        <v>72</v>
      </c>
    </row>
    <row r="390" spans="1:20" ht="48" customHeight="1" x14ac:dyDescent="0.3">
      <c r="A390" s="87" t="s">
        <v>1347</v>
      </c>
      <c r="B390" s="87" t="s">
        <v>1395</v>
      </c>
      <c r="C390" s="88" t="s">
        <v>117</v>
      </c>
      <c r="D390" s="88" t="s">
        <v>630</v>
      </c>
      <c r="E390" s="88" t="s">
        <v>629</v>
      </c>
      <c r="F390" s="90" t="s">
        <v>71</v>
      </c>
      <c r="G390" s="91"/>
      <c r="H390" s="92"/>
      <c r="I390" s="93" t="str">
        <f>IFERROR(IF(OR($F390="O",$G390="O",$H390="O"),CHOOSE(MATCH($A390,{"튜브","고압","진공","튜닝","조립","출하"},0),"T","H","V","N","A","P")&amp;IF($F390="O","R",IF($G390="O","A",IF($H390="O","F",""))),""),"")</f>
        <v/>
      </c>
      <c r="J390" s="94"/>
      <c r="K390" s="95"/>
      <c r="L390" s="96" t="s">
        <v>71</v>
      </c>
      <c r="M390" s="97"/>
      <c r="N390" s="98"/>
      <c r="O390" s="99"/>
      <c r="P390" s="100" t="str">
        <f t="shared" si="6"/>
        <v/>
      </c>
      <c r="Q390" s="102" t="s">
        <v>1396</v>
      </c>
      <c r="R390" s="108" t="str">
        <f>HYPERLINK("#'마스터_품목'!A326","→ 마스터 R326")</f>
        <v>→ 마스터 R326</v>
      </c>
      <c r="S390" s="109">
        <v>326</v>
      </c>
      <c r="T390" s="109" t="s">
        <v>72</v>
      </c>
    </row>
    <row r="391" spans="1:20" ht="48" customHeight="1" x14ac:dyDescent="0.3">
      <c r="A391" s="87" t="s">
        <v>1347</v>
      </c>
      <c r="B391" s="87" t="s">
        <v>1395</v>
      </c>
      <c r="C391" s="88" t="s">
        <v>117</v>
      </c>
      <c r="D391" s="88" t="s">
        <v>686</v>
      </c>
      <c r="E391" s="88" t="s">
        <v>685</v>
      </c>
      <c r="F391" s="90" t="s">
        <v>71</v>
      </c>
      <c r="G391" s="91"/>
      <c r="H391" s="92"/>
      <c r="I391" s="93" t="str">
        <f>IFERROR(IF(OR($F391="O",$G391="O",$H391="O"),CHOOSE(MATCH($A391,{"튜브","고압","진공","튜닝","조립","출하"},0),"T","H","V","N","A","P")&amp;IF($F391="O","R",IF($G391="O","A",IF($H391="O","F",""))),""),"")</f>
        <v/>
      </c>
      <c r="J391" s="94"/>
      <c r="K391" s="95"/>
      <c r="L391" s="96" t="s">
        <v>71</v>
      </c>
      <c r="M391" s="97"/>
      <c r="N391" s="98"/>
      <c r="O391" s="99"/>
      <c r="P391" s="100" t="str">
        <f t="shared" si="6"/>
        <v/>
      </c>
      <c r="Q391" s="102" t="s">
        <v>1396</v>
      </c>
      <c r="R391" s="108" t="str">
        <f>HYPERLINK("#'마스터_품목'!A353","→ 마스터 R353")</f>
        <v>→ 마스터 R353</v>
      </c>
      <c r="S391" s="109">
        <v>353</v>
      </c>
      <c r="T391" s="109" t="s">
        <v>72</v>
      </c>
    </row>
    <row r="392" spans="1:20" ht="48" customHeight="1" x14ac:dyDescent="0.3">
      <c r="A392" s="124" t="s">
        <v>771</v>
      </c>
      <c r="B392" s="87" t="s">
        <v>985</v>
      </c>
      <c r="C392" s="88" t="s">
        <v>195</v>
      </c>
      <c r="D392" s="88" t="s">
        <v>1499</v>
      </c>
      <c r="E392" s="88"/>
      <c r="F392" s="90" t="s">
        <v>71</v>
      </c>
      <c r="G392" s="91"/>
      <c r="H392" s="92"/>
      <c r="I392" s="93" t="str">
        <f>IFERROR(IF(OR($F392="O",$G392="O",$H392="O"),CHOOSE(MATCH($A392,{"튜브","고압","진공","튜닝","조립","출하"},0),"T","H","V","N","A","P")&amp;IF($F392="O","R",IF($G392="O","A",IF($H392="O","F",""))),""),"")</f>
        <v>PR</v>
      </c>
      <c r="J392" s="122" t="s">
        <v>71</v>
      </c>
      <c r="K392" s="123"/>
      <c r="L392" s="96"/>
      <c r="M392" s="97"/>
      <c r="N392" s="98"/>
      <c r="O392" s="99"/>
      <c r="P392" s="100" t="str">
        <f t="shared" si="6"/>
        <v>3-PR</v>
      </c>
      <c r="Q392" s="102" t="s">
        <v>1490</v>
      </c>
      <c r="R392" s="108" t="str">
        <f>HYPERLINK("#'마스터_품목'!A761","→ 마스터 R761")</f>
        <v>→ 마스터 R761</v>
      </c>
      <c r="S392" s="109">
        <v>761</v>
      </c>
      <c r="T392" s="109" t="s">
        <v>72</v>
      </c>
    </row>
    <row r="393" spans="1:20" ht="48" customHeight="1" x14ac:dyDescent="0.3">
      <c r="A393" s="87" t="s">
        <v>1347</v>
      </c>
      <c r="B393" s="87" t="s">
        <v>1500</v>
      </c>
      <c r="C393" s="88" t="s">
        <v>68</v>
      </c>
      <c r="D393" s="88" t="s">
        <v>1072</v>
      </c>
      <c r="E393" s="88" t="s">
        <v>1071</v>
      </c>
      <c r="F393" s="90" t="s">
        <v>71</v>
      </c>
      <c r="G393" s="91"/>
      <c r="H393" s="92"/>
      <c r="I393" s="93" t="str">
        <f>IFERROR(IF(OR($F393="O",$G393="O",$H393="O"),CHOOSE(MATCH($A393,{"튜브","고압","진공","튜닝","조립","출하"},0),"T","H","V","N","A","P")&amp;IF($F393="O","R",IF($G393="O","A",IF($H393="O","F",""))),""),"")</f>
        <v/>
      </c>
      <c r="J393" s="94" t="s">
        <v>71</v>
      </c>
      <c r="K393" s="95"/>
      <c r="L393" s="96"/>
      <c r="M393" s="97" t="s">
        <v>71</v>
      </c>
      <c r="N393" s="98"/>
      <c r="O393" s="99"/>
      <c r="P393" s="100" t="str">
        <f t="shared" si="6"/>
        <v/>
      </c>
      <c r="Q393" s="102" t="s">
        <v>1386</v>
      </c>
      <c r="R393" s="108" t="str">
        <f>HYPERLINK("#'마스터_품목'!A624","→ 마스터 R624")</f>
        <v>→ 마스터 R624</v>
      </c>
      <c r="S393" s="109">
        <v>624</v>
      </c>
      <c r="T393" s="109" t="s">
        <v>72</v>
      </c>
    </row>
    <row r="394" spans="1:20" ht="48" customHeight="1" x14ac:dyDescent="0.3">
      <c r="A394" s="87" t="s">
        <v>1347</v>
      </c>
      <c r="B394" s="87" t="s">
        <v>1501</v>
      </c>
      <c r="C394" s="88" t="s">
        <v>1361</v>
      </c>
      <c r="D394" s="88" t="s">
        <v>1017</v>
      </c>
      <c r="E394" s="88" t="s">
        <v>1016</v>
      </c>
      <c r="F394" s="90" t="s">
        <v>71</v>
      </c>
      <c r="G394" s="91"/>
      <c r="H394" s="92"/>
      <c r="I394" s="93" t="str">
        <f>IFERROR(IF(OR($F394="O",$G394="O",$H394="O"),CHOOSE(MATCH($A394,{"튜브","고압","진공","튜닝","조립","출하"},0),"T","H","V","N","A","P")&amp;IF($F394="O","R",IF($G394="O","A",IF($H394="O","F",""))),""),"")</f>
        <v/>
      </c>
      <c r="J394" s="94" t="s">
        <v>71</v>
      </c>
      <c r="K394" s="95" t="s">
        <v>71</v>
      </c>
      <c r="L394" s="96"/>
      <c r="M394" s="97"/>
      <c r="N394" s="98" t="s">
        <v>71</v>
      </c>
      <c r="O394" s="99"/>
      <c r="P394" s="100" t="str">
        <f t="shared" si="6"/>
        <v/>
      </c>
      <c r="Q394" s="102" t="s">
        <v>1353</v>
      </c>
      <c r="R394" s="108" t="str">
        <f>HYPERLINK("#'마스터_품목'!A596","→ 마스터 R596")</f>
        <v>→ 마스터 R596</v>
      </c>
      <c r="S394" s="109">
        <v>596</v>
      </c>
      <c r="T394" s="109" t="s">
        <v>72</v>
      </c>
    </row>
    <row r="395" spans="1:20" ht="48" customHeight="1" x14ac:dyDescent="0.3">
      <c r="A395" s="87" t="s">
        <v>1347</v>
      </c>
      <c r="B395" s="87" t="s">
        <v>985</v>
      </c>
      <c r="C395" s="88" t="s">
        <v>153</v>
      </c>
      <c r="D395" s="88" t="s">
        <v>867</v>
      </c>
      <c r="E395" s="88" t="s">
        <v>866</v>
      </c>
      <c r="F395" s="90" t="s">
        <v>71</v>
      </c>
      <c r="G395" s="91"/>
      <c r="H395" s="92"/>
      <c r="I395" s="93" t="str">
        <f>IFERROR(IF(OR($F395="O",$G395="O",$H395="O"),CHOOSE(MATCH($A395,{"튜브","고압","진공","튜닝","조립","출하"},0),"T","H","V","N","A","P")&amp;IF($F395="O","R",IF($G395="O","A",IF($H395="O","F",""))),""),"")</f>
        <v/>
      </c>
      <c r="J395" s="94"/>
      <c r="K395" s="95"/>
      <c r="L395" s="96"/>
      <c r="M395" s="97" t="s">
        <v>71</v>
      </c>
      <c r="N395" s="98"/>
      <c r="O395" s="99"/>
      <c r="P395" s="100" t="str">
        <f t="shared" si="6"/>
        <v/>
      </c>
      <c r="Q395" s="102" t="s">
        <v>1490</v>
      </c>
      <c r="R395" s="108" t="str">
        <f>HYPERLINK("#'마스터_품목'!A429","→ 마스터 R429")</f>
        <v>→ 마스터 R429</v>
      </c>
      <c r="S395" s="109">
        <v>429</v>
      </c>
      <c r="T395" s="109" t="s">
        <v>72</v>
      </c>
    </row>
    <row r="396" spans="1:20" ht="48" customHeight="1" x14ac:dyDescent="0.3">
      <c r="A396" s="124" t="s">
        <v>771</v>
      </c>
      <c r="B396" s="87" t="s">
        <v>985</v>
      </c>
      <c r="C396" s="88" t="s">
        <v>153</v>
      </c>
      <c r="D396" s="88" t="s">
        <v>1502</v>
      </c>
      <c r="E396" s="88"/>
      <c r="F396" s="90" t="s">
        <v>71</v>
      </c>
      <c r="G396" s="91"/>
      <c r="H396" s="92"/>
      <c r="I396" s="93" t="str">
        <f>IFERROR(IF(OR($F396="O",$G396="O",$H396="O"),CHOOSE(MATCH($A396,{"튜브","고압","진공","튜닝","조립","출하"},0),"T","H","V","N","A","P")&amp;IF($F396="O","R",IF($G396="O","A",IF($H396="O","F",""))),""),"")</f>
        <v>PR</v>
      </c>
      <c r="J396" s="122" t="s">
        <v>71</v>
      </c>
      <c r="K396" s="123"/>
      <c r="L396" s="96"/>
      <c r="M396" s="120" t="s">
        <v>71</v>
      </c>
      <c r="N396" s="98"/>
      <c r="O396" s="99"/>
      <c r="P396" s="100" t="str">
        <f t="shared" si="6"/>
        <v>37-PR</v>
      </c>
      <c r="Q396" s="102" t="s">
        <v>1490</v>
      </c>
      <c r="R396" s="108" t="str">
        <f>HYPERLINK("#'마스터_품목'!A762","→ 마스터 R762")</f>
        <v>→ 마스터 R762</v>
      </c>
      <c r="S396" s="109">
        <v>762</v>
      </c>
      <c r="T396" s="109" t="s">
        <v>72</v>
      </c>
    </row>
    <row r="397" spans="1:20" ht="48" customHeight="1" x14ac:dyDescent="0.3">
      <c r="A397" s="87" t="s">
        <v>1347</v>
      </c>
      <c r="B397" s="87" t="s">
        <v>985</v>
      </c>
      <c r="C397" s="88" t="s">
        <v>117</v>
      </c>
      <c r="D397" s="88" t="s">
        <v>989</v>
      </c>
      <c r="E397" s="88" t="s">
        <v>988</v>
      </c>
      <c r="F397" s="90" t="s">
        <v>71</v>
      </c>
      <c r="G397" s="91"/>
      <c r="H397" s="92"/>
      <c r="I397" s="93" t="str">
        <f>IFERROR(IF(OR($F397="O",$G397="O",$H397="O"),CHOOSE(MATCH($A397,{"튜브","고압","진공","튜닝","조립","출하"},0),"T","H","V","N","A","P")&amp;IF($F397="O","R",IF($G397="O","A",IF($H397="O","F",""))),""),"")</f>
        <v/>
      </c>
      <c r="J397" s="94"/>
      <c r="K397" s="95"/>
      <c r="L397" s="96" t="s">
        <v>71</v>
      </c>
      <c r="M397" s="97"/>
      <c r="N397" s="98"/>
      <c r="O397" s="99"/>
      <c r="P397" s="100" t="str">
        <f t="shared" si="6"/>
        <v/>
      </c>
      <c r="Q397" s="102" t="s">
        <v>1490</v>
      </c>
      <c r="R397" s="108" t="str">
        <f>HYPERLINK("#'마스터_품목'!A584","→ 마스터 R584")</f>
        <v>→ 마스터 R584</v>
      </c>
      <c r="S397" s="109">
        <v>584</v>
      </c>
      <c r="T397" s="109" t="s">
        <v>72</v>
      </c>
    </row>
    <row r="398" spans="1:20" ht="48" customHeight="1" x14ac:dyDescent="0.3">
      <c r="A398" s="124" t="s">
        <v>771</v>
      </c>
      <c r="B398" s="87" t="s">
        <v>985</v>
      </c>
      <c r="C398" s="88" t="s">
        <v>117</v>
      </c>
      <c r="D398" s="88" t="s">
        <v>1503</v>
      </c>
      <c r="E398" s="88"/>
      <c r="F398" s="90" t="s">
        <v>71</v>
      </c>
      <c r="G398" s="91"/>
      <c r="H398" s="92"/>
      <c r="I398" s="93" t="str">
        <f>IFERROR(IF(OR($F398="O",$G398="O",$H398="O"),CHOOSE(MATCH($A398,{"튜브","고압","진공","튜닝","조립","출하"},0),"T","H","V","N","A","P")&amp;IF($F398="O","R",IF($G398="O","A",IF($H398="O","F",""))),""),"")</f>
        <v>PR</v>
      </c>
      <c r="J398" s="94"/>
      <c r="K398" s="95"/>
      <c r="L398" s="119" t="s">
        <v>71</v>
      </c>
      <c r="M398" s="97"/>
      <c r="N398" s="98"/>
      <c r="O398" s="99"/>
      <c r="P398" s="100" t="str">
        <f t="shared" si="6"/>
        <v>6-PR</v>
      </c>
      <c r="Q398" s="102" t="s">
        <v>1490</v>
      </c>
      <c r="R398" s="108" t="str">
        <f>HYPERLINK("#'마스터_품목'!A763","→ 마스터 R763")</f>
        <v>→ 마스터 R763</v>
      </c>
      <c r="S398" s="109">
        <v>763</v>
      </c>
      <c r="T398" s="109" t="s">
        <v>72</v>
      </c>
    </row>
    <row r="399" spans="1:20" ht="48" customHeight="1" x14ac:dyDescent="0.3">
      <c r="A399" s="87" t="s">
        <v>1347</v>
      </c>
      <c r="B399" s="87" t="s">
        <v>1497</v>
      </c>
      <c r="C399" s="88" t="s">
        <v>117</v>
      </c>
      <c r="D399" s="88" t="s">
        <v>998</v>
      </c>
      <c r="E399" s="88" t="s">
        <v>997</v>
      </c>
      <c r="F399" s="90" t="s">
        <v>71</v>
      </c>
      <c r="G399" s="91"/>
      <c r="H399" s="92"/>
      <c r="I399" s="93" t="str">
        <f>IFERROR(IF(OR($F399="O",$G399="O",$H399="O"),CHOOSE(MATCH($A399,{"튜브","고압","진공","튜닝","조립","출하"},0),"T","H","V","N","A","P")&amp;IF($F399="O","R",IF($G399="O","A",IF($H399="O","F",""))),""),"")</f>
        <v/>
      </c>
      <c r="J399" s="94"/>
      <c r="K399" s="95"/>
      <c r="L399" s="96" t="s">
        <v>71</v>
      </c>
      <c r="M399" s="97"/>
      <c r="N399" s="98"/>
      <c r="O399" s="99"/>
      <c r="P399" s="100" t="str">
        <f t="shared" si="6"/>
        <v/>
      </c>
      <c r="Q399" s="102" t="s">
        <v>1496</v>
      </c>
      <c r="R399" s="108" t="str">
        <f>HYPERLINK("#'마스터_품목'!A588","→ 마스터 R588")</f>
        <v>→ 마스터 R588</v>
      </c>
      <c r="S399" s="109">
        <v>588</v>
      </c>
      <c r="T399" s="109" t="s">
        <v>72</v>
      </c>
    </row>
    <row r="400" spans="1:20" ht="48" customHeight="1" x14ac:dyDescent="0.3">
      <c r="A400" s="124" t="s">
        <v>771</v>
      </c>
      <c r="B400" s="87" t="s">
        <v>1497</v>
      </c>
      <c r="C400" s="88" t="s">
        <v>117</v>
      </c>
      <c r="D400" s="88" t="s">
        <v>1504</v>
      </c>
      <c r="E400" s="88"/>
      <c r="F400" s="90" t="s">
        <v>71</v>
      </c>
      <c r="G400" s="91"/>
      <c r="H400" s="92"/>
      <c r="I400" s="93" t="str">
        <f>IFERROR(IF(OR($F400="O",$G400="O",$H400="O"),CHOOSE(MATCH($A400,{"튜브","고압","진공","튜닝","조립","출하"},0),"T","H","V","N","A","P")&amp;IF($F400="O","R",IF($G400="O","A",IF($H400="O","F",""))),""),"")</f>
        <v>PR</v>
      </c>
      <c r="J400" s="94"/>
      <c r="K400" s="95"/>
      <c r="L400" s="119" t="s">
        <v>71</v>
      </c>
      <c r="M400" s="97"/>
      <c r="N400" s="98"/>
      <c r="O400" s="99"/>
      <c r="P400" s="100" t="str">
        <f t="shared" si="6"/>
        <v>6-PR</v>
      </c>
      <c r="Q400" s="102" t="s">
        <v>1496</v>
      </c>
      <c r="R400" s="108" t="str">
        <f>HYPERLINK("#'마스터_품목'!A764","→ 마스터 R764")</f>
        <v>→ 마스터 R764</v>
      </c>
      <c r="S400" s="109">
        <v>764</v>
      </c>
      <c r="T400" s="109" t="s">
        <v>72</v>
      </c>
    </row>
    <row r="401" spans="1:20" ht="48" customHeight="1" x14ac:dyDescent="0.3">
      <c r="A401" s="124" t="s">
        <v>771</v>
      </c>
      <c r="B401" s="87" t="s">
        <v>1497</v>
      </c>
      <c r="C401" s="88" t="s">
        <v>68</v>
      </c>
      <c r="D401" s="88" t="s">
        <v>1505</v>
      </c>
      <c r="E401" s="88"/>
      <c r="F401" s="90" t="s">
        <v>71</v>
      </c>
      <c r="G401" s="91"/>
      <c r="H401" s="92"/>
      <c r="I401" s="93" t="str">
        <f>IFERROR(IF(OR($F401="O",$G401="O",$H401="O"),CHOOSE(MATCH($A401,{"튜브","고압","진공","튜닝","조립","출하"},0),"T","H","V","N","A","P")&amp;IF($F401="O","R",IF($G401="O","A",IF($H401="O","F",""))),""),"")</f>
        <v>PR</v>
      </c>
      <c r="J401" s="122" t="s">
        <v>71</v>
      </c>
      <c r="K401" s="123" t="s">
        <v>71</v>
      </c>
      <c r="L401" s="119" t="s">
        <v>71</v>
      </c>
      <c r="M401" s="120" t="s">
        <v>71</v>
      </c>
      <c r="N401" s="121" t="s">
        <v>71</v>
      </c>
      <c r="O401" s="99"/>
      <c r="P401" s="100" t="str">
        <f t="shared" si="6"/>
        <v>34678-PR</v>
      </c>
      <c r="Q401" s="102" t="s">
        <v>1496</v>
      </c>
      <c r="R401" s="116" t="str">
        <f>HYPERLINK("#'마스터_품목'!A765","→ 마스터 R765")</f>
        <v>→ 마스터 R765</v>
      </c>
      <c r="S401" s="117">
        <v>765</v>
      </c>
      <c r="T401" s="117" t="s">
        <v>72</v>
      </c>
    </row>
    <row r="402" spans="1:20" ht="48" customHeight="1" x14ac:dyDescent="0.3">
      <c r="A402" s="124" t="s">
        <v>771</v>
      </c>
      <c r="B402" s="87" t="s">
        <v>1497</v>
      </c>
      <c r="C402" s="88" t="s">
        <v>68</v>
      </c>
      <c r="D402" s="88" t="s">
        <v>1506</v>
      </c>
      <c r="E402" s="88"/>
      <c r="F402" s="90" t="s">
        <v>71</v>
      </c>
      <c r="G402" s="91"/>
      <c r="H402" s="92"/>
      <c r="I402" s="93" t="str">
        <f>IFERROR(IF(OR($F402="O",$G402="O",$H402="O"),CHOOSE(MATCH($A402,{"튜브","고압","진공","튜닝","조립","출하"},0),"T","H","V","N","A","P")&amp;IF($F402="O","R",IF($G402="O","A",IF($H402="O","F",""))),""),"")</f>
        <v>PR</v>
      </c>
      <c r="J402" s="122" t="s">
        <v>71</v>
      </c>
      <c r="K402" s="123" t="s">
        <v>71</v>
      </c>
      <c r="L402" s="119" t="s">
        <v>71</v>
      </c>
      <c r="M402" s="120" t="s">
        <v>71</v>
      </c>
      <c r="N402" s="121" t="s">
        <v>71</v>
      </c>
      <c r="O402" s="99"/>
      <c r="P402" s="100" t="str">
        <f t="shared" si="6"/>
        <v>34678-PR</v>
      </c>
      <c r="Q402" s="102" t="s">
        <v>1496</v>
      </c>
      <c r="R402" s="116" t="str">
        <f>HYPERLINK("#'마스터_품목'!A766","→ 마스터 R766")</f>
        <v>→ 마스터 R766</v>
      </c>
      <c r="S402" s="117">
        <v>766</v>
      </c>
      <c r="T402" s="117" t="s">
        <v>72</v>
      </c>
    </row>
    <row r="403" spans="1:20" ht="48" customHeight="1" x14ac:dyDescent="0.3">
      <c r="A403" s="124" t="s">
        <v>771</v>
      </c>
      <c r="B403" s="87" t="s">
        <v>1359</v>
      </c>
      <c r="C403" s="88" t="s">
        <v>68</v>
      </c>
      <c r="D403" s="88" t="s">
        <v>1507</v>
      </c>
      <c r="E403" s="88"/>
      <c r="F403" s="90" t="s">
        <v>71</v>
      </c>
      <c r="G403" s="91"/>
      <c r="H403" s="92"/>
      <c r="I403" s="93" t="str">
        <f>IFERROR(IF(OR($F403="O",$G403="O",$H403="O"),CHOOSE(MATCH($A403,{"튜브","고압","진공","튜닝","조립","출하"},0),"T","H","V","N","A","P")&amp;IF($F403="O","R",IF($G403="O","A",IF($H403="O","F",""))),""),"")</f>
        <v>PR</v>
      </c>
      <c r="J403" s="94"/>
      <c r="K403" s="95"/>
      <c r="L403" s="119" t="s">
        <v>71</v>
      </c>
      <c r="M403" s="97"/>
      <c r="N403" s="98"/>
      <c r="O403" s="99"/>
      <c r="P403" s="100" t="str">
        <f t="shared" si="6"/>
        <v>6-PR</v>
      </c>
      <c r="Q403" s="102" t="s">
        <v>1353</v>
      </c>
      <c r="R403" s="116" t="str">
        <f>HYPERLINK("#'마스터_품목'!A767","→ 마스터 R767")</f>
        <v>→ 마스터 R767</v>
      </c>
      <c r="S403" s="117">
        <v>767</v>
      </c>
      <c r="T403" s="117" t="s">
        <v>72</v>
      </c>
    </row>
    <row r="404" spans="1:20" ht="48" customHeight="1" x14ac:dyDescent="0.3">
      <c r="A404" s="124" t="s">
        <v>771</v>
      </c>
      <c r="B404" s="87" t="s">
        <v>1359</v>
      </c>
      <c r="C404" s="88" t="s">
        <v>198</v>
      </c>
      <c r="D404" s="88" t="s">
        <v>1508</v>
      </c>
      <c r="E404" s="88"/>
      <c r="F404" s="90" t="s">
        <v>71</v>
      </c>
      <c r="G404" s="91"/>
      <c r="H404" s="92"/>
      <c r="I404" s="93" t="str">
        <f>IFERROR(IF(OR($F404="O",$G404="O",$H404="O"),CHOOSE(MATCH($A404,{"튜브","고압","진공","튜닝","조립","출하"},0),"T","H","V","N","A","P")&amp;IF($F404="O","R",IF($G404="O","A",IF($H404="O","F",""))),""),"")</f>
        <v>PR</v>
      </c>
      <c r="J404" s="94"/>
      <c r="K404" s="123" t="s">
        <v>71</v>
      </c>
      <c r="L404" s="96"/>
      <c r="M404" s="97"/>
      <c r="N404" s="98"/>
      <c r="O404" s="99"/>
      <c r="P404" s="100" t="str">
        <f t="shared" si="6"/>
        <v>4-PR</v>
      </c>
      <c r="Q404" s="102" t="s">
        <v>1509</v>
      </c>
      <c r="R404" s="116" t="str">
        <f>HYPERLINK("#'마스터_품목'!A768","→ 마스터 R768")</f>
        <v>→ 마스터 R768</v>
      </c>
      <c r="S404" s="117">
        <v>768</v>
      </c>
      <c r="T404" s="117" t="s">
        <v>72</v>
      </c>
    </row>
    <row r="405" spans="1:20" ht="48" customHeight="1" x14ac:dyDescent="0.3">
      <c r="A405" s="124" t="s">
        <v>771</v>
      </c>
      <c r="B405" s="87" t="s">
        <v>1359</v>
      </c>
      <c r="C405" s="88" t="s">
        <v>198</v>
      </c>
      <c r="D405" s="88" t="s">
        <v>1510</v>
      </c>
      <c r="E405" s="88"/>
      <c r="F405" s="90" t="s">
        <v>71</v>
      </c>
      <c r="G405" s="91"/>
      <c r="H405" s="92"/>
      <c r="I405" s="93" t="str">
        <f>IFERROR(IF(OR($F405="O",$G405="O",$H405="O"),CHOOSE(MATCH($A405,{"튜브","고압","진공","튜닝","조립","출하"},0),"T","H","V","N","A","P")&amp;IF($F405="O","R",IF($G405="O","A",IF($H405="O","F",""))),""),"")</f>
        <v>PR</v>
      </c>
      <c r="J405" s="94"/>
      <c r="K405" s="123" t="s">
        <v>71</v>
      </c>
      <c r="L405" s="96"/>
      <c r="M405" s="97"/>
      <c r="N405" s="98"/>
      <c r="O405" s="99"/>
      <c r="P405" s="100" t="str">
        <f t="shared" si="6"/>
        <v>4-PR</v>
      </c>
      <c r="Q405" s="102" t="s">
        <v>1509</v>
      </c>
      <c r="R405" s="116" t="str">
        <f>HYPERLINK("#'마스터_품목'!A769","→ 마스터 R769")</f>
        <v>→ 마스터 R769</v>
      </c>
      <c r="S405" s="117">
        <v>769</v>
      </c>
      <c r="T405" s="117" t="s">
        <v>72</v>
      </c>
    </row>
    <row r="406" spans="1:20" ht="48" customHeight="1" x14ac:dyDescent="0.3">
      <c r="A406" s="87" t="s">
        <v>1347</v>
      </c>
      <c r="B406" s="87" t="s">
        <v>1359</v>
      </c>
      <c r="C406" s="88" t="s">
        <v>117</v>
      </c>
      <c r="D406" s="88" t="s">
        <v>1083</v>
      </c>
      <c r="E406" s="88" t="s">
        <v>1082</v>
      </c>
      <c r="F406" s="90" t="s">
        <v>71</v>
      </c>
      <c r="G406" s="91"/>
      <c r="H406" s="92"/>
      <c r="I406" s="93" t="str">
        <f>IFERROR(IF(OR($F406="O",$G406="O",$H406="O"),CHOOSE(MATCH($A406,{"튜브","고압","진공","튜닝","조립","출하"},0),"T","H","V","N","A","P")&amp;IF($F406="O","R",IF($G406="O","A",IF($H406="O","F",""))),""),"")</f>
        <v/>
      </c>
      <c r="J406" s="94"/>
      <c r="K406" s="95"/>
      <c r="L406" s="96" t="s">
        <v>71</v>
      </c>
      <c r="M406" s="97"/>
      <c r="N406" s="98"/>
      <c r="O406" s="99"/>
      <c r="P406" s="100" t="str">
        <f t="shared" si="6"/>
        <v/>
      </c>
      <c r="Q406" s="102" t="s">
        <v>1386</v>
      </c>
      <c r="R406" s="108" t="str">
        <f>HYPERLINK("#'마스터_품목'!A630","→ 마스터 R630")</f>
        <v>→ 마스터 R630</v>
      </c>
      <c r="S406" s="109">
        <v>630</v>
      </c>
      <c r="T406" s="109" t="s">
        <v>72</v>
      </c>
    </row>
    <row r="407" spans="1:20" ht="48" customHeight="1" x14ac:dyDescent="0.3">
      <c r="A407" s="124" t="s">
        <v>354</v>
      </c>
      <c r="B407" s="87" t="s">
        <v>1351</v>
      </c>
      <c r="C407" s="88" t="s">
        <v>68</v>
      </c>
      <c r="D407" s="88" t="s">
        <v>1511</v>
      </c>
      <c r="E407" s="88"/>
      <c r="F407" s="90" t="s">
        <v>71</v>
      </c>
      <c r="G407" s="91"/>
      <c r="H407" s="92"/>
      <c r="I407" s="93" t="str">
        <f>IFERROR(IF(OR($F407="O",$G407="O",$H407="O"),CHOOSE(MATCH($A407,{"튜브","고압","진공","튜닝","조립","출하"},0),"T","H","V","N","A","P")&amp;IF($F407="O","R",IF($G407="O","A",IF($H407="O","F",""))),""),"")</f>
        <v>AR</v>
      </c>
      <c r="J407" s="122" t="s">
        <v>71</v>
      </c>
      <c r="K407" s="95"/>
      <c r="L407" s="96"/>
      <c r="M407" s="97"/>
      <c r="N407" s="98"/>
      <c r="O407" s="99"/>
      <c r="P407" s="100" t="str">
        <f t="shared" si="6"/>
        <v>3-AR</v>
      </c>
      <c r="Q407" s="102" t="s">
        <v>1353</v>
      </c>
      <c r="R407" s="108" t="str">
        <f>HYPERLINK("#'마스터_품목'!A770","→ 마스터 R770")</f>
        <v>→ 마스터 R770</v>
      </c>
      <c r="S407" s="109">
        <v>770</v>
      </c>
      <c r="T407" s="109" t="s">
        <v>72</v>
      </c>
    </row>
    <row r="408" spans="1:20" ht="48" customHeight="1" x14ac:dyDescent="0.3">
      <c r="A408" s="124" t="s">
        <v>771</v>
      </c>
      <c r="B408" s="87" t="s">
        <v>1119</v>
      </c>
      <c r="C408" s="88" t="s">
        <v>195</v>
      </c>
      <c r="D408" s="88" t="s">
        <v>1512</v>
      </c>
      <c r="E408" s="88"/>
      <c r="F408" s="90" t="s">
        <v>71</v>
      </c>
      <c r="G408" s="91"/>
      <c r="H408" s="92"/>
      <c r="I408" s="93" t="str">
        <f>IFERROR(IF(OR($F408="O",$G408="O",$H408="O"),CHOOSE(MATCH($A408,{"튜브","고압","진공","튜닝","조립","출하"},0),"T","H","V","N","A","P")&amp;IF($F408="O","R",IF($G408="O","A",IF($H408="O","F",""))),""),"")</f>
        <v>PR</v>
      </c>
      <c r="J408" s="122" t="s">
        <v>71</v>
      </c>
      <c r="K408" s="123" t="s">
        <v>71</v>
      </c>
      <c r="L408" s="96"/>
      <c r="M408" s="97"/>
      <c r="N408" s="98"/>
      <c r="O408" s="99"/>
      <c r="P408" s="100" t="str">
        <f t="shared" si="6"/>
        <v>34-PR</v>
      </c>
      <c r="Q408" s="102" t="s">
        <v>1396</v>
      </c>
      <c r="R408" s="115"/>
      <c r="S408" s="115"/>
      <c r="T408" s="115"/>
    </row>
    <row r="409" spans="1:20" ht="48" customHeight="1" x14ac:dyDescent="0.3">
      <c r="A409" s="124" t="s">
        <v>771</v>
      </c>
      <c r="B409" s="87" t="s">
        <v>1119</v>
      </c>
      <c r="C409" s="88" t="s">
        <v>195</v>
      </c>
      <c r="D409" s="88" t="s">
        <v>1513</v>
      </c>
      <c r="E409" s="88"/>
      <c r="F409" s="90" t="s">
        <v>71</v>
      </c>
      <c r="G409" s="91"/>
      <c r="H409" s="92"/>
      <c r="I409" s="93" t="str">
        <f>IFERROR(IF(OR($F409="O",$G409="O",$H409="O"),CHOOSE(MATCH($A409,{"튜브","고압","진공","튜닝","조립","출하"},0),"T","H","V","N","A","P")&amp;IF($F409="O","R",IF($G409="O","A",IF($H409="O","F",""))),""),"")</f>
        <v>PR</v>
      </c>
      <c r="J409" s="122" t="s">
        <v>71</v>
      </c>
      <c r="K409" s="123" t="s">
        <v>71</v>
      </c>
      <c r="L409" s="96"/>
      <c r="M409" s="97"/>
      <c r="N409" s="98"/>
      <c r="O409" s="99"/>
      <c r="P409" s="100" t="str">
        <f t="shared" si="6"/>
        <v>34-PR</v>
      </c>
      <c r="Q409" s="102" t="s">
        <v>1396</v>
      </c>
      <c r="R409" s="115"/>
      <c r="S409" s="115"/>
      <c r="T409" s="115"/>
    </row>
    <row r="410" spans="1:20" ht="48" customHeight="1" x14ac:dyDescent="0.3">
      <c r="A410" s="87" t="s">
        <v>1347</v>
      </c>
      <c r="B410" s="87" t="s">
        <v>1401</v>
      </c>
      <c r="C410" s="88" t="s">
        <v>195</v>
      </c>
      <c r="D410" s="88" t="s">
        <v>1131</v>
      </c>
      <c r="E410" s="88" t="s">
        <v>1130</v>
      </c>
      <c r="F410" s="90" t="s">
        <v>71</v>
      </c>
      <c r="G410" s="91"/>
      <c r="H410" s="92"/>
      <c r="I410" s="93" t="str">
        <f>IFERROR(IF(OR($F410="O",$G410="O",$H410="O"),CHOOSE(MATCH($A410,{"튜브","고압","진공","튜닝","조립","출하"},0),"T","H","V","N","A","P")&amp;IF($F410="O","R",IF($G410="O","A",IF($H410="O","F",""))),""),"")</f>
        <v/>
      </c>
      <c r="J410" s="94" t="s">
        <v>71</v>
      </c>
      <c r="K410" s="95"/>
      <c r="L410" s="96"/>
      <c r="M410" s="97"/>
      <c r="N410" s="98"/>
      <c r="O410" s="99"/>
      <c r="P410" s="100" t="str">
        <f t="shared" si="6"/>
        <v/>
      </c>
      <c r="Q410" s="102" t="s">
        <v>1396</v>
      </c>
      <c r="R410" s="108" t="str">
        <f>HYPERLINK("#'마스터_품목'!A656","→ 마스터 R656")</f>
        <v>→ 마스터 R656</v>
      </c>
      <c r="S410" s="109">
        <v>656</v>
      </c>
      <c r="T410" s="109" t="s">
        <v>72</v>
      </c>
    </row>
    <row r="411" spans="1:20" ht="48" customHeight="1" x14ac:dyDescent="0.3">
      <c r="A411" s="87" t="s">
        <v>1347</v>
      </c>
      <c r="B411" s="87" t="s">
        <v>1401</v>
      </c>
      <c r="C411" s="88" t="s">
        <v>195</v>
      </c>
      <c r="D411" s="88" t="s">
        <v>1133</v>
      </c>
      <c r="E411" s="88" t="s">
        <v>1132</v>
      </c>
      <c r="F411" s="90" t="s">
        <v>71</v>
      </c>
      <c r="G411" s="91"/>
      <c r="H411" s="92"/>
      <c r="I411" s="93" t="str">
        <f>IFERROR(IF(OR($F411="O",$G411="O",$H411="O"),CHOOSE(MATCH($A411,{"튜브","고압","진공","튜닝","조립","출하"},0),"T","H","V","N","A","P")&amp;IF($F411="O","R",IF($G411="O","A",IF($H411="O","F",""))),""),"")</f>
        <v/>
      </c>
      <c r="J411" s="94" t="s">
        <v>71</v>
      </c>
      <c r="K411" s="95"/>
      <c r="L411" s="96"/>
      <c r="M411" s="97"/>
      <c r="N411" s="98"/>
      <c r="O411" s="99"/>
      <c r="P411" s="100" t="str">
        <f t="shared" si="6"/>
        <v/>
      </c>
      <c r="Q411" s="102" t="s">
        <v>1396</v>
      </c>
      <c r="R411" s="108" t="str">
        <f>HYPERLINK("#'마스터_품목'!A657","→ 마스터 R657")</f>
        <v>→ 마스터 R657</v>
      </c>
      <c r="S411" s="109">
        <v>657</v>
      </c>
      <c r="T411" s="109" t="s">
        <v>72</v>
      </c>
    </row>
    <row r="412" spans="1:20" ht="48" customHeight="1" x14ac:dyDescent="0.3">
      <c r="A412" s="124" t="s">
        <v>771</v>
      </c>
      <c r="B412" s="87" t="s">
        <v>1119</v>
      </c>
      <c r="C412" s="88" t="s">
        <v>153</v>
      </c>
      <c r="D412" s="88" t="s">
        <v>1514</v>
      </c>
      <c r="E412" s="88"/>
      <c r="F412" s="90" t="s">
        <v>71</v>
      </c>
      <c r="G412" s="91"/>
      <c r="H412" s="92"/>
      <c r="I412" s="93" t="str">
        <f>IFERROR(IF(OR($F412="O",$G412="O",$H412="O"),CHOOSE(MATCH($A412,{"튜브","고압","진공","튜닝","조립","출하"},0),"T","H","V","N","A","P")&amp;IF($F412="O","R",IF($G412="O","A",IF($H412="O","F",""))),""),"")</f>
        <v>PR</v>
      </c>
      <c r="J412" s="94"/>
      <c r="K412" s="95"/>
      <c r="L412" s="119" t="s">
        <v>71</v>
      </c>
      <c r="M412" s="120" t="s">
        <v>71</v>
      </c>
      <c r="N412" s="98"/>
      <c r="O412" s="99"/>
      <c r="P412" s="100" t="str">
        <f t="shared" si="6"/>
        <v>67-PR</v>
      </c>
      <c r="Q412" s="102" t="s">
        <v>1396</v>
      </c>
      <c r="R412" s="115"/>
      <c r="S412" s="115"/>
      <c r="T412" s="115"/>
    </row>
    <row r="413" spans="1:20" ht="48" customHeight="1" x14ac:dyDescent="0.3">
      <c r="A413" s="124" t="s">
        <v>771</v>
      </c>
      <c r="B413" s="87" t="s">
        <v>1119</v>
      </c>
      <c r="C413" s="88" t="s">
        <v>153</v>
      </c>
      <c r="D413" s="88" t="s">
        <v>1515</v>
      </c>
      <c r="E413" s="88"/>
      <c r="F413" s="90" t="s">
        <v>71</v>
      </c>
      <c r="G413" s="91"/>
      <c r="H413" s="92"/>
      <c r="I413" s="93" t="str">
        <f>IFERROR(IF(OR($F413="O",$G413="O",$H413="O"),CHOOSE(MATCH($A413,{"튜브","고압","진공","튜닝","조립","출하"},0),"T","H","V","N","A","P")&amp;IF($F413="O","R",IF($G413="O","A",IF($H413="O","F",""))),""),"")</f>
        <v>PR</v>
      </c>
      <c r="J413" s="94"/>
      <c r="K413" s="95"/>
      <c r="L413" s="119" t="s">
        <v>71</v>
      </c>
      <c r="M413" s="120" t="s">
        <v>71</v>
      </c>
      <c r="N413" s="98"/>
      <c r="O413" s="99"/>
      <c r="P413" s="100" t="str">
        <f t="shared" si="6"/>
        <v>67-PR</v>
      </c>
      <c r="Q413" s="102" t="s">
        <v>1396</v>
      </c>
      <c r="R413" s="115"/>
      <c r="S413" s="115"/>
      <c r="T413" s="115"/>
    </row>
    <row r="414" spans="1:20" ht="48" customHeight="1" x14ac:dyDescent="0.3">
      <c r="A414" s="124" t="s">
        <v>771</v>
      </c>
      <c r="B414" s="87" t="s">
        <v>1119</v>
      </c>
      <c r="C414" s="88" t="s">
        <v>117</v>
      </c>
      <c r="D414" s="88" t="s">
        <v>1516</v>
      </c>
      <c r="E414" s="88"/>
      <c r="F414" s="90" t="s">
        <v>71</v>
      </c>
      <c r="G414" s="91"/>
      <c r="H414" s="92"/>
      <c r="I414" s="93" t="str">
        <f>IFERROR(IF(OR($F414="O",$G414="O",$H414="O"),CHOOSE(MATCH($A414,{"튜브","고압","진공","튜닝","조립","출하"},0),"T","H","V","N","A","P")&amp;IF($F414="O","R",IF($G414="O","A",IF($H414="O","F",""))),""),"")</f>
        <v>PR</v>
      </c>
      <c r="J414" s="94"/>
      <c r="K414" s="95"/>
      <c r="L414" s="119" t="s">
        <v>71</v>
      </c>
      <c r="M414" s="120" t="s">
        <v>71</v>
      </c>
      <c r="N414" s="98"/>
      <c r="O414" s="99"/>
      <c r="P414" s="100" t="str">
        <f t="shared" si="6"/>
        <v>67-PR</v>
      </c>
      <c r="Q414" s="102" t="s">
        <v>1396</v>
      </c>
      <c r="R414" s="115"/>
      <c r="S414" s="115"/>
      <c r="T414" s="115"/>
    </row>
    <row r="415" spans="1:20" ht="48" customHeight="1" x14ac:dyDescent="0.3">
      <c r="A415" s="124" t="s">
        <v>771</v>
      </c>
      <c r="B415" s="87" t="s">
        <v>1119</v>
      </c>
      <c r="C415" s="88" t="s">
        <v>117</v>
      </c>
      <c r="D415" s="88" t="s">
        <v>1517</v>
      </c>
      <c r="E415" s="88"/>
      <c r="F415" s="90" t="s">
        <v>71</v>
      </c>
      <c r="G415" s="91"/>
      <c r="H415" s="92"/>
      <c r="I415" s="93" t="str">
        <f>IFERROR(IF(OR($F415="O",$G415="O",$H415="O"),CHOOSE(MATCH($A415,{"튜브","고압","진공","튜닝","조립","출하"},0),"T","H","V","N","A","P")&amp;IF($F415="O","R",IF($G415="O","A",IF($H415="O","F",""))),""),"")</f>
        <v>PR</v>
      </c>
      <c r="J415" s="94"/>
      <c r="K415" s="95"/>
      <c r="L415" s="119" t="s">
        <v>71</v>
      </c>
      <c r="M415" s="97"/>
      <c r="N415" s="98"/>
      <c r="O415" s="99"/>
      <c r="P415" s="100" t="str">
        <f t="shared" si="6"/>
        <v>6-PR</v>
      </c>
      <c r="Q415" s="102" t="s">
        <v>1518</v>
      </c>
      <c r="R415" s="108" t="str">
        <f>HYPERLINK("#'마스터_품목'!A771","→ 마스터 R771")</f>
        <v>→ 마스터 R771</v>
      </c>
      <c r="S415" s="109">
        <v>771</v>
      </c>
      <c r="T415" s="109" t="s">
        <v>72</v>
      </c>
    </row>
    <row r="416" spans="1:20" ht="48" customHeight="1" x14ac:dyDescent="0.3">
      <c r="A416" s="124" t="s">
        <v>771</v>
      </c>
      <c r="B416" s="87" t="s">
        <v>1119</v>
      </c>
      <c r="C416" s="88" t="s">
        <v>117</v>
      </c>
      <c r="D416" s="88" t="s">
        <v>1519</v>
      </c>
      <c r="E416" s="88"/>
      <c r="F416" s="90" t="s">
        <v>71</v>
      </c>
      <c r="G416" s="91"/>
      <c r="H416" s="92"/>
      <c r="I416" s="93" t="str">
        <f>IFERROR(IF(OR($F416="O",$G416="O",$H416="O"),CHOOSE(MATCH($A416,{"튜브","고압","진공","튜닝","조립","출하"},0),"T","H","V","N","A","P")&amp;IF($F416="O","R",IF($G416="O","A",IF($H416="O","F",""))),""),"")</f>
        <v>PR</v>
      </c>
      <c r="J416" s="122" t="s">
        <v>71</v>
      </c>
      <c r="K416" s="123" t="s">
        <v>71</v>
      </c>
      <c r="L416" s="119" t="s">
        <v>71</v>
      </c>
      <c r="M416" s="120" t="s">
        <v>71</v>
      </c>
      <c r="N416" s="121" t="s">
        <v>71</v>
      </c>
      <c r="O416" s="99"/>
      <c r="P416" s="100" t="str">
        <f t="shared" si="6"/>
        <v>34678-PR</v>
      </c>
      <c r="Q416" s="102" t="s">
        <v>1396</v>
      </c>
      <c r="R416" s="108" t="str">
        <f>HYPERLINK("#'마스터_품목'!A772","→ 마스터 R772")</f>
        <v>→ 마스터 R772</v>
      </c>
      <c r="S416" s="109">
        <v>772</v>
      </c>
      <c r="T416" s="109" t="s">
        <v>72</v>
      </c>
    </row>
    <row r="417" spans="1:20" ht="48" customHeight="1" x14ac:dyDescent="0.3">
      <c r="A417" s="124" t="s">
        <v>771</v>
      </c>
      <c r="B417" s="87" t="s">
        <v>1401</v>
      </c>
      <c r="C417" s="88" t="s">
        <v>1361</v>
      </c>
      <c r="D417" s="88" t="s">
        <v>1520</v>
      </c>
      <c r="E417" s="88"/>
      <c r="F417" s="90" t="s">
        <v>71</v>
      </c>
      <c r="G417" s="91"/>
      <c r="H417" s="92"/>
      <c r="I417" s="93" t="str">
        <f>IFERROR(IF(OR($F417="O",$G417="O",$H417="O"),CHOOSE(MATCH($A417,{"튜브","고압","진공","튜닝","조립","출하"},0),"T","H","V","N","A","P")&amp;IF($F417="O","R",IF($G417="O","A",IF($H417="O","F",""))),""),"")</f>
        <v>PR</v>
      </c>
      <c r="J417" s="122" t="s">
        <v>71</v>
      </c>
      <c r="K417" s="123" t="s">
        <v>71</v>
      </c>
      <c r="L417" s="96"/>
      <c r="M417" s="97"/>
      <c r="N417" s="98"/>
      <c r="O417" s="99"/>
      <c r="P417" s="100" t="str">
        <f t="shared" si="6"/>
        <v>34-PR</v>
      </c>
      <c r="Q417" s="102" t="s">
        <v>1396</v>
      </c>
      <c r="R417" s="108" t="str">
        <f>HYPERLINK("#'마스터_품목'!A773","→ 마스터 R773")</f>
        <v>→ 마스터 R773</v>
      </c>
      <c r="S417" s="109">
        <v>773</v>
      </c>
      <c r="T417" s="109" t="s">
        <v>72</v>
      </c>
    </row>
    <row r="418" spans="1:20" ht="48" customHeight="1" x14ac:dyDescent="0.3">
      <c r="A418" s="124" t="s">
        <v>771</v>
      </c>
      <c r="B418" s="87" t="s">
        <v>1401</v>
      </c>
      <c r="C418" s="88" t="s">
        <v>1423</v>
      </c>
      <c r="D418" s="88" t="s">
        <v>1521</v>
      </c>
      <c r="E418" s="88"/>
      <c r="F418" s="90" t="s">
        <v>71</v>
      </c>
      <c r="G418" s="91"/>
      <c r="H418" s="92"/>
      <c r="I418" s="93" t="str">
        <f>IFERROR(IF(OR($F418="O",$G418="O",$H418="O"),CHOOSE(MATCH($A418,{"튜브","고압","진공","튜닝","조립","출하"},0),"T","H","V","N","A","P")&amp;IF($F418="O","R",IF($G418="O","A",IF($H418="O","F",""))),""),"")</f>
        <v>PR</v>
      </c>
      <c r="J418" s="94"/>
      <c r="K418" s="95"/>
      <c r="L418" s="119" t="s">
        <v>71</v>
      </c>
      <c r="M418" s="120" t="s">
        <v>71</v>
      </c>
      <c r="N418" s="98"/>
      <c r="O418" s="99"/>
      <c r="P418" s="100" t="str">
        <f t="shared" si="6"/>
        <v>67-PR</v>
      </c>
      <c r="Q418" s="102" t="s">
        <v>1396</v>
      </c>
      <c r="R418" s="108" t="str">
        <f>HYPERLINK("#'마스터_품목'!A774","→ 마스터 R774")</f>
        <v>→ 마스터 R774</v>
      </c>
      <c r="S418" s="109">
        <v>774</v>
      </c>
      <c r="T418" s="109" t="s">
        <v>72</v>
      </c>
    </row>
    <row r="419" spans="1:20" ht="48" customHeight="1" x14ac:dyDescent="0.3">
      <c r="A419" s="87" t="s">
        <v>1347</v>
      </c>
      <c r="B419" s="87" t="s">
        <v>1401</v>
      </c>
      <c r="C419" s="88" t="s">
        <v>153</v>
      </c>
      <c r="D419" s="88" t="s">
        <v>1139</v>
      </c>
      <c r="E419" s="88" t="s">
        <v>1522</v>
      </c>
      <c r="F419" s="90" t="s">
        <v>71</v>
      </c>
      <c r="G419" s="91"/>
      <c r="H419" s="92"/>
      <c r="I419" s="93" t="str">
        <f>IFERROR(IF(OR($F419="O",$G419="O",$H419="O"),CHOOSE(MATCH($A419,{"튜브","고압","진공","튜닝","조립","출하"},0),"T","H","V","N","A","P")&amp;IF($F419="O","R",IF($G419="O","A",IF($H419="O","F",""))),""),"")</f>
        <v/>
      </c>
      <c r="J419" s="94"/>
      <c r="K419" s="95"/>
      <c r="L419" s="96"/>
      <c r="M419" s="97" t="s">
        <v>71</v>
      </c>
      <c r="N419" s="98"/>
      <c r="O419" s="99"/>
      <c r="P419" s="100" t="str">
        <f t="shared" si="6"/>
        <v/>
      </c>
      <c r="Q419" s="102" t="s">
        <v>1396</v>
      </c>
      <c r="R419" s="108" t="str">
        <f>HYPERLINK("#'마스터_품목'!A660","→ 마스터 R660")</f>
        <v>→ 마스터 R660</v>
      </c>
      <c r="S419" s="109">
        <v>660</v>
      </c>
      <c r="T419" s="109" t="s">
        <v>72</v>
      </c>
    </row>
    <row r="420" spans="1:20" ht="48" customHeight="1" x14ac:dyDescent="0.3">
      <c r="A420" s="87" t="s">
        <v>1347</v>
      </c>
      <c r="B420" s="87" t="s">
        <v>1401</v>
      </c>
      <c r="C420" s="88" t="s">
        <v>153</v>
      </c>
      <c r="D420" s="88" t="s">
        <v>1141</v>
      </c>
      <c r="E420" s="88" t="s">
        <v>1523</v>
      </c>
      <c r="F420" s="90" t="s">
        <v>71</v>
      </c>
      <c r="G420" s="91"/>
      <c r="H420" s="92"/>
      <c r="I420" s="93" t="str">
        <f>IFERROR(IF(OR($F420="O",$G420="O",$H420="O"),CHOOSE(MATCH($A420,{"튜브","고압","진공","튜닝","조립","출하"},0),"T","H","V","N","A","P")&amp;IF($F420="O","R",IF($G420="O","A",IF($H420="O","F",""))),""),"")</f>
        <v/>
      </c>
      <c r="J420" s="94"/>
      <c r="K420" s="95"/>
      <c r="L420" s="96"/>
      <c r="M420" s="97" t="s">
        <v>71</v>
      </c>
      <c r="N420" s="98"/>
      <c r="O420" s="99"/>
      <c r="P420" s="100" t="str">
        <f t="shared" si="6"/>
        <v/>
      </c>
      <c r="Q420" s="102" t="s">
        <v>1396</v>
      </c>
      <c r="R420" s="108" t="str">
        <f>HYPERLINK("#'마스터_품목'!A661","→ 마스터 R661")</f>
        <v>→ 마스터 R661</v>
      </c>
      <c r="S420" s="109">
        <v>661</v>
      </c>
      <c r="T420" s="109" t="s">
        <v>72</v>
      </c>
    </row>
    <row r="421" spans="1:20" ht="48" customHeight="1" x14ac:dyDescent="0.3">
      <c r="A421" s="87" t="s">
        <v>1347</v>
      </c>
      <c r="B421" s="87" t="s">
        <v>1401</v>
      </c>
      <c r="C421" s="88" t="s">
        <v>153</v>
      </c>
      <c r="D421" s="88" t="s">
        <v>1143</v>
      </c>
      <c r="E421" s="88" t="s">
        <v>1524</v>
      </c>
      <c r="F421" s="90" t="s">
        <v>71</v>
      </c>
      <c r="G421" s="91"/>
      <c r="H421" s="92"/>
      <c r="I421" s="93" t="str">
        <f>IFERROR(IF(OR($F421="O",$G421="O",$H421="O"),CHOOSE(MATCH($A421,{"튜브","고압","진공","튜닝","조립","출하"},0),"T","H","V","N","A","P")&amp;IF($F421="O","R",IF($G421="O","A",IF($H421="O","F",""))),""),"")</f>
        <v/>
      </c>
      <c r="J421" s="94"/>
      <c r="K421" s="95"/>
      <c r="L421" s="96"/>
      <c r="M421" s="97" t="s">
        <v>71</v>
      </c>
      <c r="N421" s="98"/>
      <c r="O421" s="99"/>
      <c r="P421" s="100" t="str">
        <f t="shared" si="6"/>
        <v/>
      </c>
      <c r="Q421" s="102" t="s">
        <v>1396</v>
      </c>
      <c r="R421" s="116" t="str">
        <f>HYPERLINK("#'마스터_품목'!A662","→ 마스터 R662")</f>
        <v>→ 마스터 R662</v>
      </c>
      <c r="S421" s="117">
        <v>662</v>
      </c>
      <c r="T421" s="117" t="s">
        <v>72</v>
      </c>
    </row>
    <row r="422" spans="1:20" ht="48" customHeight="1" x14ac:dyDescent="0.3">
      <c r="A422" s="87" t="s">
        <v>1347</v>
      </c>
      <c r="B422" s="87" t="s">
        <v>1401</v>
      </c>
      <c r="C422" s="88" t="s">
        <v>153</v>
      </c>
      <c r="D422" s="88" t="s">
        <v>1145</v>
      </c>
      <c r="E422" s="88" t="s">
        <v>1525</v>
      </c>
      <c r="F422" s="90" t="s">
        <v>71</v>
      </c>
      <c r="G422" s="91"/>
      <c r="H422" s="92"/>
      <c r="I422" s="93" t="str">
        <f>IFERROR(IF(OR($F422="O",$G422="O",$H422="O"),CHOOSE(MATCH($A422,{"튜브","고압","진공","튜닝","조립","출하"},0),"T","H","V","N","A","P")&amp;IF($F422="O","R",IF($G422="O","A",IF($H422="O","F",""))),""),"")</f>
        <v/>
      </c>
      <c r="J422" s="94"/>
      <c r="K422" s="95"/>
      <c r="L422" s="96"/>
      <c r="M422" s="97" t="s">
        <v>71</v>
      </c>
      <c r="N422" s="98"/>
      <c r="O422" s="99"/>
      <c r="P422" s="100" t="str">
        <f t="shared" si="6"/>
        <v/>
      </c>
      <c r="Q422" s="102" t="s">
        <v>1396</v>
      </c>
      <c r="R422" s="116" t="str">
        <f>HYPERLINK("#'마스터_품목'!A663","→ 마스터 R663")</f>
        <v>→ 마스터 R663</v>
      </c>
      <c r="S422" s="117">
        <v>663</v>
      </c>
      <c r="T422" s="117" t="s">
        <v>72</v>
      </c>
    </row>
    <row r="423" spans="1:20" ht="48" customHeight="1" x14ac:dyDescent="0.3">
      <c r="A423" s="87" t="s">
        <v>1347</v>
      </c>
      <c r="B423" s="87" t="s">
        <v>1401</v>
      </c>
      <c r="C423" s="88" t="s">
        <v>684</v>
      </c>
      <c r="D423" s="88" t="s">
        <v>1147</v>
      </c>
      <c r="E423" s="88" t="s">
        <v>1526</v>
      </c>
      <c r="F423" s="90" t="s">
        <v>71</v>
      </c>
      <c r="G423" s="91"/>
      <c r="H423" s="92"/>
      <c r="I423" s="93" t="str">
        <f>IFERROR(IF(OR($F423="O",$G423="O",$H423="O"),CHOOSE(MATCH($A423,{"튜브","고압","진공","튜닝","조립","출하"},0),"T","H","V","N","A","P")&amp;IF($F423="O","R",IF($G423="O","A",IF($H423="O","F",""))),""),"")</f>
        <v/>
      </c>
      <c r="J423" s="94"/>
      <c r="K423" s="95"/>
      <c r="L423" s="96" t="s">
        <v>71</v>
      </c>
      <c r="M423" s="97"/>
      <c r="N423" s="98"/>
      <c r="O423" s="99"/>
      <c r="P423" s="100" t="str">
        <f t="shared" si="6"/>
        <v/>
      </c>
      <c r="Q423" s="102" t="s">
        <v>1396</v>
      </c>
      <c r="R423" s="116" t="str">
        <f>HYPERLINK("#'마스터_품목'!A664","→ 마스터 R664")</f>
        <v>→ 마스터 R664</v>
      </c>
      <c r="S423" s="117">
        <v>664</v>
      </c>
      <c r="T423" s="117" t="s">
        <v>72</v>
      </c>
    </row>
    <row r="424" spans="1:20" ht="48" customHeight="1" x14ac:dyDescent="0.3">
      <c r="A424" s="87" t="s">
        <v>1347</v>
      </c>
      <c r="B424" s="87" t="s">
        <v>1401</v>
      </c>
      <c r="C424" s="88" t="s">
        <v>684</v>
      </c>
      <c r="D424" s="88" t="s">
        <v>1149</v>
      </c>
      <c r="E424" s="88" t="s">
        <v>1527</v>
      </c>
      <c r="F424" s="90" t="s">
        <v>71</v>
      </c>
      <c r="G424" s="91"/>
      <c r="H424" s="92"/>
      <c r="I424" s="93" t="str">
        <f>IFERROR(IF(OR($F424="O",$G424="O",$H424="O"),CHOOSE(MATCH($A424,{"튜브","고압","진공","튜닝","조립","출하"},0),"T","H","V","N","A","P")&amp;IF($F424="O","R",IF($G424="O","A",IF($H424="O","F",""))),""),"")</f>
        <v/>
      </c>
      <c r="J424" s="94"/>
      <c r="K424" s="95"/>
      <c r="L424" s="96" t="s">
        <v>71</v>
      </c>
      <c r="M424" s="97"/>
      <c r="N424" s="98"/>
      <c r="O424" s="99"/>
      <c r="P424" s="100" t="str">
        <f t="shared" si="6"/>
        <v/>
      </c>
      <c r="Q424" s="102" t="s">
        <v>1396</v>
      </c>
      <c r="R424" s="108" t="str">
        <f>HYPERLINK("#'마스터_품목'!A665","→ 마스터 R665")</f>
        <v>→ 마스터 R665</v>
      </c>
      <c r="S424" s="109">
        <v>665</v>
      </c>
      <c r="T424" s="109" t="s">
        <v>72</v>
      </c>
    </row>
    <row r="425" spans="1:20" ht="48" customHeight="1" x14ac:dyDescent="0.3">
      <c r="A425" s="87" t="s">
        <v>1347</v>
      </c>
      <c r="B425" s="87" t="s">
        <v>1401</v>
      </c>
      <c r="C425" s="88" t="s">
        <v>684</v>
      </c>
      <c r="D425" s="88" t="s">
        <v>1151</v>
      </c>
      <c r="E425" s="88" t="s">
        <v>1528</v>
      </c>
      <c r="F425" s="90" t="s">
        <v>71</v>
      </c>
      <c r="G425" s="91"/>
      <c r="H425" s="92"/>
      <c r="I425" s="93" t="str">
        <f>IFERROR(IF(OR($F425="O",$G425="O",$H425="O"),CHOOSE(MATCH($A425,{"튜브","고압","진공","튜닝","조립","출하"},0),"T","H","V","N","A","P")&amp;IF($F425="O","R",IF($G425="O","A",IF($H425="O","F",""))),""),"")</f>
        <v/>
      </c>
      <c r="J425" s="94"/>
      <c r="K425" s="95"/>
      <c r="L425" s="96" t="s">
        <v>71</v>
      </c>
      <c r="M425" s="97"/>
      <c r="N425" s="98"/>
      <c r="O425" s="99"/>
      <c r="P425" s="100" t="str">
        <f t="shared" si="6"/>
        <v/>
      </c>
      <c r="Q425" s="102" t="s">
        <v>1396</v>
      </c>
      <c r="R425" s="108" t="str">
        <f>HYPERLINK("#'마스터_품목'!A666","→ 마스터 R666")</f>
        <v>→ 마스터 R666</v>
      </c>
      <c r="S425" s="109">
        <v>666</v>
      </c>
      <c r="T425" s="109" t="s">
        <v>72</v>
      </c>
    </row>
    <row r="426" spans="1:20" ht="48" customHeight="1" x14ac:dyDescent="0.3">
      <c r="A426" s="124" t="s">
        <v>771</v>
      </c>
      <c r="B426" s="87" t="s">
        <v>1401</v>
      </c>
      <c r="C426" s="88" t="s">
        <v>117</v>
      </c>
      <c r="D426" s="88" t="s">
        <v>1529</v>
      </c>
      <c r="E426" s="88"/>
      <c r="F426" s="90" t="s">
        <v>71</v>
      </c>
      <c r="G426" s="91"/>
      <c r="H426" s="92"/>
      <c r="I426" s="93" t="str">
        <f>IFERROR(IF(OR($F426="O",$G426="O",$H426="O"),CHOOSE(MATCH($A426,{"튜브","고압","진공","튜닝","조립","출하"},0),"T","H","V","N","A","P")&amp;IF($F426="O","R",IF($G426="O","A",IF($H426="O","F",""))),""),"")</f>
        <v>PR</v>
      </c>
      <c r="J426" s="94"/>
      <c r="K426" s="95"/>
      <c r="L426" s="119" t="s">
        <v>71</v>
      </c>
      <c r="M426" s="97"/>
      <c r="N426" s="98"/>
      <c r="O426" s="99"/>
      <c r="P426" s="100" t="str">
        <f t="shared" si="6"/>
        <v>6-PR</v>
      </c>
      <c r="Q426" s="102" t="s">
        <v>1396</v>
      </c>
      <c r="R426" s="115"/>
      <c r="S426" s="115"/>
      <c r="T426" s="115"/>
    </row>
    <row r="427" spans="1:20" ht="48" customHeight="1" x14ac:dyDescent="0.3">
      <c r="A427" s="124" t="s">
        <v>771</v>
      </c>
      <c r="B427" s="87" t="s">
        <v>1401</v>
      </c>
      <c r="C427" s="88" t="s">
        <v>117</v>
      </c>
      <c r="D427" s="88" t="s">
        <v>1530</v>
      </c>
      <c r="E427" s="88"/>
      <c r="F427" s="90" t="s">
        <v>71</v>
      </c>
      <c r="G427" s="91"/>
      <c r="H427" s="92"/>
      <c r="I427" s="93" t="str">
        <f>IFERROR(IF(OR($F427="O",$G427="O",$H427="O"),CHOOSE(MATCH($A427,{"튜브","고압","진공","튜닝","조립","출하"},0),"T","H","V","N","A","P")&amp;IF($F427="O","R",IF($G427="O","A",IF($H427="O","F",""))),""),"")</f>
        <v>PR</v>
      </c>
      <c r="J427" s="94"/>
      <c r="K427" s="95"/>
      <c r="L427" s="119" t="s">
        <v>71</v>
      </c>
      <c r="M427" s="97"/>
      <c r="N427" s="98"/>
      <c r="O427" s="99"/>
      <c r="P427" s="100" t="str">
        <f t="shared" si="6"/>
        <v>6-PR</v>
      </c>
      <c r="Q427" s="102" t="s">
        <v>1396</v>
      </c>
      <c r="R427" s="115"/>
      <c r="S427" s="115"/>
      <c r="T427" s="115"/>
    </row>
    <row r="428" spans="1:20" ht="48" customHeight="1" x14ac:dyDescent="0.3">
      <c r="A428" s="124" t="s">
        <v>771</v>
      </c>
      <c r="B428" s="87" t="s">
        <v>1401</v>
      </c>
      <c r="C428" s="88" t="s">
        <v>117</v>
      </c>
      <c r="D428" s="88" t="s">
        <v>1531</v>
      </c>
      <c r="E428" s="88"/>
      <c r="F428" s="90" t="s">
        <v>71</v>
      </c>
      <c r="G428" s="91"/>
      <c r="H428" s="92"/>
      <c r="I428" s="93" t="str">
        <f>IFERROR(IF(OR($F428="O",$G428="O",$H428="O"),CHOOSE(MATCH($A428,{"튜브","고압","진공","튜닝","조립","출하"},0),"T","H","V","N","A","P")&amp;IF($F428="O","R",IF($G428="O","A",IF($H428="O","F",""))),""),"")</f>
        <v>PR</v>
      </c>
      <c r="J428" s="94"/>
      <c r="K428" s="95"/>
      <c r="L428" s="119" t="s">
        <v>71</v>
      </c>
      <c r="M428" s="97"/>
      <c r="N428" s="98"/>
      <c r="O428" s="99"/>
      <c r="P428" s="100" t="str">
        <f t="shared" si="6"/>
        <v>6-PR</v>
      </c>
      <c r="Q428" s="102" t="s">
        <v>1396</v>
      </c>
      <c r="R428" s="115"/>
      <c r="S428" s="115"/>
      <c r="T428" s="115"/>
    </row>
    <row r="429" spans="1:20" ht="48" customHeight="1" x14ac:dyDescent="0.3">
      <c r="A429" s="124" t="s">
        <v>771</v>
      </c>
      <c r="B429" s="87" t="s">
        <v>1401</v>
      </c>
      <c r="C429" s="88" t="s">
        <v>68</v>
      </c>
      <c r="D429" s="88" t="s">
        <v>1532</v>
      </c>
      <c r="E429" s="88"/>
      <c r="F429" s="90" t="s">
        <v>71</v>
      </c>
      <c r="G429" s="91"/>
      <c r="H429" s="92"/>
      <c r="I429" s="93" t="str">
        <f>IFERROR(IF(OR($F429="O",$G429="O",$H429="O"),CHOOSE(MATCH($A429,{"튜브","고압","진공","튜닝","조립","출하"},0),"T","H","V","N","A","P")&amp;IF($F429="O","R",IF($G429="O","A",IF($H429="O","F",""))),""),"")</f>
        <v>PR</v>
      </c>
      <c r="J429" s="122" t="s">
        <v>71</v>
      </c>
      <c r="K429" s="123" t="s">
        <v>71</v>
      </c>
      <c r="L429" s="119" t="s">
        <v>71</v>
      </c>
      <c r="M429" s="120" t="s">
        <v>71</v>
      </c>
      <c r="N429" s="121" t="s">
        <v>71</v>
      </c>
      <c r="O429" s="99"/>
      <c r="P429" s="100" t="str">
        <f t="shared" si="6"/>
        <v>34678-PR</v>
      </c>
      <c r="Q429" s="102" t="s">
        <v>1396</v>
      </c>
      <c r="R429" s="108" t="str">
        <f>HYPERLINK("#'마스터_품목'!A775","→ 마스터 R775")</f>
        <v>→ 마스터 R775</v>
      </c>
      <c r="S429" s="109">
        <v>775</v>
      </c>
      <c r="T429" s="109" t="s">
        <v>72</v>
      </c>
    </row>
    <row r="430" spans="1:20" ht="48" customHeight="1" x14ac:dyDescent="0.3">
      <c r="A430" s="87" t="s">
        <v>1347</v>
      </c>
      <c r="B430" s="87" t="s">
        <v>1533</v>
      </c>
      <c r="C430" s="88" t="s">
        <v>1361</v>
      </c>
      <c r="D430" s="88" t="s">
        <v>1169</v>
      </c>
      <c r="E430" s="88" t="s">
        <v>1168</v>
      </c>
      <c r="F430" s="90" t="s">
        <v>71</v>
      </c>
      <c r="G430" s="91"/>
      <c r="H430" s="92"/>
      <c r="I430" s="93" t="str">
        <f>IFERROR(IF(OR($F430="O",$G430="O",$H430="O"),CHOOSE(MATCH($A430,{"튜브","고압","진공","튜닝","조립","출하"},0),"T","H","V","N","A","P")&amp;IF($F430="O","R",IF($G430="O","A",IF($H430="O","F",""))),""),"")</f>
        <v/>
      </c>
      <c r="J430" s="94" t="s">
        <v>71</v>
      </c>
      <c r="K430" s="95" t="s">
        <v>71</v>
      </c>
      <c r="L430" s="96"/>
      <c r="M430" s="97"/>
      <c r="N430" s="98"/>
      <c r="O430" s="99"/>
      <c r="P430" s="100" t="str">
        <f t="shared" si="6"/>
        <v/>
      </c>
      <c r="Q430" s="102" t="s">
        <v>1534</v>
      </c>
      <c r="R430" s="108" t="str">
        <f>HYPERLINK("#'마스터_품목'!A676","→ 마스터 R676")</f>
        <v>→ 마스터 R676</v>
      </c>
      <c r="S430" s="109">
        <v>676</v>
      </c>
      <c r="T430" s="109" t="s">
        <v>72</v>
      </c>
    </row>
    <row r="431" spans="1:20" ht="48" customHeight="1" x14ac:dyDescent="0.3">
      <c r="A431" s="87" t="s">
        <v>1347</v>
      </c>
      <c r="B431" s="87" t="s">
        <v>1533</v>
      </c>
      <c r="C431" s="88" t="s">
        <v>1361</v>
      </c>
      <c r="D431" s="88" t="s">
        <v>1163</v>
      </c>
      <c r="E431" s="88" t="s">
        <v>1162</v>
      </c>
      <c r="F431" s="90" t="s">
        <v>71</v>
      </c>
      <c r="G431" s="91"/>
      <c r="H431" s="92"/>
      <c r="I431" s="93" t="str">
        <f>IFERROR(IF(OR($F431="O",$G431="O",$H431="O"),CHOOSE(MATCH($A431,{"튜브","고압","진공","튜닝","조립","출하"},0),"T","H","V","N","A","P")&amp;IF($F431="O","R",IF($G431="O","A",IF($H431="O","F",""))),""),"")</f>
        <v/>
      </c>
      <c r="J431" s="94" t="s">
        <v>71</v>
      </c>
      <c r="K431" s="95" t="s">
        <v>71</v>
      </c>
      <c r="L431" s="96"/>
      <c r="M431" s="97"/>
      <c r="N431" s="98"/>
      <c r="O431" s="99"/>
      <c r="P431" s="100" t="str">
        <f t="shared" si="6"/>
        <v/>
      </c>
      <c r="Q431" s="102" t="s">
        <v>1534</v>
      </c>
      <c r="R431" s="108" t="str">
        <f>HYPERLINK("#'마스터_품목'!A673","→ 마스터 R673")</f>
        <v>→ 마스터 R673</v>
      </c>
      <c r="S431" s="109">
        <v>673</v>
      </c>
      <c r="T431" s="109" t="s">
        <v>72</v>
      </c>
    </row>
    <row r="432" spans="1:20" ht="48" customHeight="1" x14ac:dyDescent="0.3">
      <c r="A432" s="124" t="s">
        <v>771</v>
      </c>
      <c r="B432" s="87" t="s">
        <v>1401</v>
      </c>
      <c r="C432" s="88" t="s">
        <v>68</v>
      </c>
      <c r="D432" s="88" t="s">
        <v>1535</v>
      </c>
      <c r="E432" s="88"/>
      <c r="F432" s="90" t="s">
        <v>71</v>
      </c>
      <c r="G432" s="91"/>
      <c r="H432" s="92"/>
      <c r="I432" s="93" t="str">
        <f>IFERROR(IF(OR($F432="O",$G432="O",$H432="O"),CHOOSE(MATCH($A432,{"튜브","고압","진공","튜닝","조립","출하"},0),"T","H","V","N","A","P")&amp;IF($F432="O","R",IF($G432="O","A",IF($H432="O","F",""))),""),"")</f>
        <v>PR</v>
      </c>
      <c r="J432" s="122" t="s">
        <v>71</v>
      </c>
      <c r="K432" s="123" t="s">
        <v>71</v>
      </c>
      <c r="L432" s="119" t="s">
        <v>71</v>
      </c>
      <c r="M432" s="120" t="s">
        <v>71</v>
      </c>
      <c r="N432" s="121" t="s">
        <v>71</v>
      </c>
      <c r="O432" s="99"/>
      <c r="P432" s="100" t="str">
        <f t="shared" si="6"/>
        <v>34678-PR</v>
      </c>
      <c r="Q432" s="102" t="s">
        <v>1396</v>
      </c>
      <c r="R432" s="108" t="str">
        <f>HYPERLINK("#'마스터_품목'!A776","→ 마스터 R776")</f>
        <v>→ 마스터 R776</v>
      </c>
      <c r="S432" s="109">
        <v>776</v>
      </c>
      <c r="T432" s="109" t="s">
        <v>72</v>
      </c>
    </row>
    <row r="433" spans="1:20" ht="48" customHeight="1" x14ac:dyDescent="0.3">
      <c r="A433" s="124" t="s">
        <v>771</v>
      </c>
      <c r="B433" s="87" t="s">
        <v>1401</v>
      </c>
      <c r="C433" s="88" t="s">
        <v>68</v>
      </c>
      <c r="D433" s="88" t="s">
        <v>1536</v>
      </c>
      <c r="E433" s="88"/>
      <c r="F433" s="90" t="s">
        <v>71</v>
      </c>
      <c r="G433" s="91"/>
      <c r="H433" s="92"/>
      <c r="I433" s="93" t="str">
        <f>IFERROR(IF(OR($F433="O",$G433="O",$H433="O"),CHOOSE(MATCH($A433,{"튜브","고압","진공","튜닝","조립","출하"},0),"T","H","V","N","A","P")&amp;IF($F433="O","R",IF($G433="O","A",IF($H433="O","F",""))),""),"")</f>
        <v>PR</v>
      </c>
      <c r="J433" s="122" t="s">
        <v>71</v>
      </c>
      <c r="K433" s="123" t="s">
        <v>71</v>
      </c>
      <c r="L433" s="119" t="s">
        <v>71</v>
      </c>
      <c r="M433" s="120" t="s">
        <v>71</v>
      </c>
      <c r="N433" s="121" t="s">
        <v>71</v>
      </c>
      <c r="O433" s="99"/>
      <c r="P433" s="100" t="str">
        <f t="shared" si="6"/>
        <v>34678-PR</v>
      </c>
      <c r="Q433" s="102" t="s">
        <v>1396</v>
      </c>
      <c r="R433" s="108" t="str">
        <f>HYPERLINK("#'마스터_품목'!A777","→ 마스터 R777")</f>
        <v>→ 마스터 R777</v>
      </c>
      <c r="S433" s="109">
        <v>777</v>
      </c>
      <c r="T433" s="109" t="s">
        <v>72</v>
      </c>
    </row>
    <row r="434" spans="1:20" ht="48" customHeight="1" x14ac:dyDescent="0.3">
      <c r="A434" s="87" t="s">
        <v>1347</v>
      </c>
      <c r="B434" s="87" t="s">
        <v>1537</v>
      </c>
      <c r="C434" s="88" t="s">
        <v>68</v>
      </c>
      <c r="D434" s="88" t="s">
        <v>805</v>
      </c>
      <c r="E434" s="88" t="s">
        <v>804</v>
      </c>
      <c r="F434" s="90" t="s">
        <v>71</v>
      </c>
      <c r="G434" s="91"/>
      <c r="H434" s="92"/>
      <c r="I434" s="93" t="str">
        <f>IFERROR(IF(OR($F434="O",$G434="O",$H434="O"),CHOOSE(MATCH($A434,{"튜브","고압","진공","튜닝","조립","출하"},0),"T","H","V","N","A","P")&amp;IF($F434="O","R",IF($G434="O","A",IF($H434="O","F",""))),""),"")</f>
        <v/>
      </c>
      <c r="J434" s="94"/>
      <c r="K434" s="95"/>
      <c r="L434" s="96" t="s">
        <v>71</v>
      </c>
      <c r="M434" s="97"/>
      <c r="N434" s="98"/>
      <c r="O434" s="99"/>
      <c r="P434" s="100" t="str">
        <f t="shared" si="6"/>
        <v/>
      </c>
      <c r="Q434" s="102" t="s">
        <v>1538</v>
      </c>
      <c r="R434" s="108" t="str">
        <f>HYPERLINK("#'마스터_품목'!A575","→ 마스터 R575")</f>
        <v>→ 마스터 R575</v>
      </c>
      <c r="S434" s="109">
        <v>575</v>
      </c>
      <c r="T434" s="109" t="s">
        <v>72</v>
      </c>
    </row>
    <row r="435" spans="1:20" ht="48" customHeight="1" x14ac:dyDescent="0.3">
      <c r="A435" s="87" t="s">
        <v>1347</v>
      </c>
      <c r="B435" s="87" t="s">
        <v>1537</v>
      </c>
      <c r="C435" s="88" t="s">
        <v>68</v>
      </c>
      <c r="D435" s="88" t="s">
        <v>807</v>
      </c>
      <c r="E435" s="88" t="s">
        <v>806</v>
      </c>
      <c r="F435" s="90" t="s">
        <v>71</v>
      </c>
      <c r="G435" s="91"/>
      <c r="H435" s="92"/>
      <c r="I435" s="93" t="str">
        <f>IFERROR(IF(OR($F435="O",$G435="O",$H435="O"),CHOOSE(MATCH($A435,{"튜브","고압","진공","튜닝","조립","출하"},0),"T","H","V","N","A","P")&amp;IF($F435="O","R",IF($G435="O","A",IF($H435="O","F",""))),""),"")</f>
        <v/>
      </c>
      <c r="J435" s="94"/>
      <c r="K435" s="95"/>
      <c r="L435" s="96" t="s">
        <v>71</v>
      </c>
      <c r="M435" s="97"/>
      <c r="N435" s="98"/>
      <c r="O435" s="99"/>
      <c r="P435" s="100" t="str">
        <f t="shared" si="6"/>
        <v/>
      </c>
      <c r="Q435" s="102" t="s">
        <v>1538</v>
      </c>
      <c r="R435" s="108" t="str">
        <f>HYPERLINK("#'마스터_품목'!A576","→ 마스터 R576")</f>
        <v>→ 마스터 R576</v>
      </c>
      <c r="S435" s="109">
        <v>576</v>
      </c>
      <c r="T435" s="109" t="s">
        <v>72</v>
      </c>
    </row>
    <row r="436" spans="1:20" ht="48" customHeight="1" x14ac:dyDescent="0.3">
      <c r="A436" s="87" t="s">
        <v>1347</v>
      </c>
      <c r="B436" s="87" t="s">
        <v>1537</v>
      </c>
      <c r="C436" s="88" t="s">
        <v>68</v>
      </c>
      <c r="D436" s="88" t="s">
        <v>809</v>
      </c>
      <c r="E436" s="88" t="s">
        <v>808</v>
      </c>
      <c r="F436" s="90" t="s">
        <v>71</v>
      </c>
      <c r="G436" s="91"/>
      <c r="H436" s="92"/>
      <c r="I436" s="93" t="str">
        <f>IFERROR(IF(OR($F436="O",$G436="O",$H436="O"),CHOOSE(MATCH($A436,{"튜브","고압","진공","튜닝","조립","출하"},0),"T","H","V","N","A","P")&amp;IF($F436="O","R",IF($G436="O","A",IF($H436="O","F",""))),""),"")</f>
        <v/>
      </c>
      <c r="J436" s="94"/>
      <c r="K436" s="95"/>
      <c r="L436" s="96" t="s">
        <v>71</v>
      </c>
      <c r="M436" s="97"/>
      <c r="N436" s="98"/>
      <c r="O436" s="99"/>
      <c r="P436" s="100" t="str">
        <f t="shared" si="6"/>
        <v/>
      </c>
      <c r="Q436" s="102" t="s">
        <v>1538</v>
      </c>
      <c r="R436" s="108" t="str">
        <f>HYPERLINK("#'마스터_품목'!A577","→ 마스터 R577")</f>
        <v>→ 마스터 R577</v>
      </c>
      <c r="S436" s="109">
        <v>577</v>
      </c>
      <c r="T436" s="109" t="s">
        <v>72</v>
      </c>
    </row>
    <row r="437" spans="1:20" ht="48" customHeight="1" x14ac:dyDescent="0.3">
      <c r="A437" s="87" t="s">
        <v>1347</v>
      </c>
      <c r="B437" s="87" t="s">
        <v>1533</v>
      </c>
      <c r="C437" s="88" t="s">
        <v>153</v>
      </c>
      <c r="D437" s="88" t="s">
        <v>1171</v>
      </c>
      <c r="E437" s="88" t="s">
        <v>1170</v>
      </c>
      <c r="F437" s="90" t="s">
        <v>71</v>
      </c>
      <c r="G437" s="91"/>
      <c r="H437" s="92"/>
      <c r="I437" s="93" t="str">
        <f>IFERROR(IF(OR($F437="O",$G437="O",$H437="O"),CHOOSE(MATCH($A437,{"튜브","고압","진공","튜닝","조립","출하"},0),"T","H","V","N","A","P")&amp;IF($F437="O","R",IF($G437="O","A",IF($H437="O","F",""))),""),"")</f>
        <v/>
      </c>
      <c r="J437" s="94"/>
      <c r="K437" s="95"/>
      <c r="L437" s="96"/>
      <c r="M437" s="97" t="s">
        <v>71</v>
      </c>
      <c r="N437" s="98"/>
      <c r="O437" s="99"/>
      <c r="P437" s="100" t="str">
        <f t="shared" si="6"/>
        <v/>
      </c>
      <c r="Q437" s="102" t="s">
        <v>1534</v>
      </c>
      <c r="R437" s="108" t="str">
        <f>HYPERLINK("#'마스터_품목'!A677","→ 마스터 R677")</f>
        <v>→ 마스터 R677</v>
      </c>
      <c r="S437" s="109">
        <v>677</v>
      </c>
      <c r="T437" s="109" t="s">
        <v>72</v>
      </c>
    </row>
    <row r="438" spans="1:20" ht="48" customHeight="1" x14ac:dyDescent="0.3">
      <c r="A438" s="87" t="s">
        <v>1347</v>
      </c>
      <c r="B438" s="87" t="s">
        <v>1533</v>
      </c>
      <c r="C438" s="88" t="s">
        <v>153</v>
      </c>
      <c r="D438" s="88" t="s">
        <v>1165</v>
      </c>
      <c r="E438" s="88" t="s">
        <v>1164</v>
      </c>
      <c r="F438" s="90" t="s">
        <v>71</v>
      </c>
      <c r="G438" s="91"/>
      <c r="H438" s="92"/>
      <c r="I438" s="93" t="str">
        <f>IFERROR(IF(OR($F438="O",$G438="O",$H438="O"),CHOOSE(MATCH($A438,{"튜브","고압","진공","튜닝","조립","출하"},0),"T","H","V","N","A","P")&amp;IF($F438="O","R",IF($G438="O","A",IF($H438="O","F",""))),""),"")</f>
        <v/>
      </c>
      <c r="J438" s="94"/>
      <c r="K438" s="95"/>
      <c r="L438" s="96"/>
      <c r="M438" s="97" t="s">
        <v>71</v>
      </c>
      <c r="N438" s="98"/>
      <c r="O438" s="99"/>
      <c r="P438" s="100" t="str">
        <f t="shared" si="6"/>
        <v/>
      </c>
      <c r="Q438" s="102" t="s">
        <v>1534</v>
      </c>
      <c r="R438" s="108" t="str">
        <f>HYPERLINK("#'마스터_품목'!A674","→ 마스터 R674")</f>
        <v>→ 마스터 R674</v>
      </c>
      <c r="S438" s="109">
        <v>674</v>
      </c>
      <c r="T438" s="109" t="s">
        <v>72</v>
      </c>
    </row>
    <row r="439" spans="1:20" ht="48" customHeight="1" x14ac:dyDescent="0.3">
      <c r="A439" s="87" t="s">
        <v>1347</v>
      </c>
      <c r="B439" s="87" t="s">
        <v>1533</v>
      </c>
      <c r="C439" s="88" t="s">
        <v>68</v>
      </c>
      <c r="D439" s="88" t="s">
        <v>1175</v>
      </c>
      <c r="E439" s="88" t="s">
        <v>1174</v>
      </c>
      <c r="F439" s="90" t="s">
        <v>71</v>
      </c>
      <c r="G439" s="91"/>
      <c r="H439" s="92"/>
      <c r="I439" s="93" t="str">
        <f>IFERROR(IF(OR($F439="O",$G439="O",$H439="O"),CHOOSE(MATCH($A439,{"튜브","고압","진공","튜닝","조립","출하"},0),"T","H","V","N","A","P")&amp;IF($F439="O","R",IF($G439="O","A",IF($H439="O","F",""))),""),"")</f>
        <v/>
      </c>
      <c r="J439" s="94" t="s">
        <v>71</v>
      </c>
      <c r="K439" s="95"/>
      <c r="L439" s="96"/>
      <c r="M439" s="97"/>
      <c r="N439" s="98"/>
      <c r="O439" s="99"/>
      <c r="P439" s="100" t="str">
        <f t="shared" si="6"/>
        <v/>
      </c>
      <c r="Q439" s="102" t="s">
        <v>1539</v>
      </c>
      <c r="R439" s="108" t="str">
        <f>HYPERLINK("#'마스터_품목'!A679","→ 마스터 R679")</f>
        <v>→ 마스터 R679</v>
      </c>
      <c r="S439" s="109">
        <v>679</v>
      </c>
      <c r="T439" s="109" t="s">
        <v>72</v>
      </c>
    </row>
    <row r="440" spans="1:20" ht="48" customHeight="1" x14ac:dyDescent="0.3">
      <c r="A440" s="87" t="s">
        <v>1347</v>
      </c>
      <c r="B440" s="87" t="s">
        <v>1533</v>
      </c>
      <c r="C440" s="88" t="s">
        <v>182</v>
      </c>
      <c r="D440" s="88" t="s">
        <v>1158</v>
      </c>
      <c r="E440" s="88" t="s">
        <v>1157</v>
      </c>
      <c r="F440" s="90" t="s">
        <v>71</v>
      </c>
      <c r="G440" s="91"/>
      <c r="H440" s="92"/>
      <c r="I440" s="93" t="str">
        <f>IFERROR(IF(OR($F440="O",$G440="O",$H440="O"),CHOOSE(MATCH($A440,{"튜브","고압","진공","튜닝","조립","출하"},0),"T","H","V","N","A","P")&amp;IF($F440="O","R",IF($G440="O","A",IF($H440="O","F",""))),""),"")</f>
        <v/>
      </c>
      <c r="J440" s="94"/>
      <c r="K440" s="95"/>
      <c r="L440" s="96"/>
      <c r="M440" s="97"/>
      <c r="N440" s="98" t="s">
        <v>71</v>
      </c>
      <c r="O440" s="99"/>
      <c r="P440" s="100" t="str">
        <f t="shared" si="6"/>
        <v/>
      </c>
      <c r="Q440" s="102" t="s">
        <v>1540</v>
      </c>
      <c r="R440" s="108" t="str">
        <f>HYPERLINK("#'마스터_품목'!A671","→ 마스터 R671")</f>
        <v>→ 마스터 R671</v>
      </c>
      <c r="S440" s="109">
        <v>671</v>
      </c>
      <c r="T440" s="109" t="s">
        <v>72</v>
      </c>
    </row>
    <row r="441" spans="1:20" ht="48" customHeight="1" x14ac:dyDescent="0.3">
      <c r="A441" s="87" t="s">
        <v>1347</v>
      </c>
      <c r="B441" s="87" t="s">
        <v>1533</v>
      </c>
      <c r="C441" s="88" t="s">
        <v>182</v>
      </c>
      <c r="D441" s="88" t="s">
        <v>1160</v>
      </c>
      <c r="E441" s="88" t="s">
        <v>1159</v>
      </c>
      <c r="F441" s="90" t="s">
        <v>71</v>
      </c>
      <c r="G441" s="91"/>
      <c r="H441" s="92"/>
      <c r="I441" s="93" t="str">
        <f>IFERROR(IF(OR($F441="O",$G441="O",$H441="O"),CHOOSE(MATCH($A441,{"튜브","고압","진공","튜닝","조립","출하"},0),"T","H","V","N","A","P")&amp;IF($F441="O","R",IF($G441="O","A",IF($H441="O","F",""))),""),"")</f>
        <v/>
      </c>
      <c r="J441" s="94"/>
      <c r="K441" s="95"/>
      <c r="L441" s="96"/>
      <c r="M441" s="97"/>
      <c r="N441" s="98" t="s">
        <v>71</v>
      </c>
      <c r="O441" s="99"/>
      <c r="P441" s="100" t="str">
        <f t="shared" si="6"/>
        <v/>
      </c>
      <c r="Q441" s="102" t="s">
        <v>1540</v>
      </c>
      <c r="R441" s="108" t="str">
        <f>HYPERLINK("#'마스터_품목'!A672","→ 마스터 R672")</f>
        <v>→ 마스터 R672</v>
      </c>
      <c r="S441" s="109">
        <v>672</v>
      </c>
      <c r="T441" s="109" t="s">
        <v>72</v>
      </c>
    </row>
    <row r="442" spans="1:20" ht="48" customHeight="1" x14ac:dyDescent="0.3">
      <c r="A442" s="124" t="s">
        <v>771</v>
      </c>
      <c r="B442" s="87" t="s">
        <v>1533</v>
      </c>
      <c r="C442" s="88" t="s">
        <v>117</v>
      </c>
      <c r="D442" s="88" t="s">
        <v>1541</v>
      </c>
      <c r="E442" s="88"/>
      <c r="F442" s="90" t="s">
        <v>71</v>
      </c>
      <c r="G442" s="91"/>
      <c r="H442" s="92"/>
      <c r="I442" s="93" t="str">
        <f>IFERROR(IF(OR($F442="O",$G442="O",$H442="O"),CHOOSE(MATCH($A442,{"튜브","고압","진공","튜닝","조립","출하"},0),"T","H","V","N","A","P")&amp;IF($F442="O","R",IF($G442="O","A",IF($H442="O","F",""))),""),"")</f>
        <v>PR</v>
      </c>
      <c r="J442" s="94"/>
      <c r="K442" s="95"/>
      <c r="L442" s="119" t="s">
        <v>71</v>
      </c>
      <c r="M442" s="97"/>
      <c r="N442" s="98"/>
      <c r="O442" s="99"/>
      <c r="P442" s="100" t="str">
        <f t="shared" si="6"/>
        <v>6-PR</v>
      </c>
      <c r="Q442" s="102" t="s">
        <v>1539</v>
      </c>
      <c r="R442" s="108" t="str">
        <f>HYPERLINK("#'마스터_품목'!A778","→ 마스터 R778")</f>
        <v>→ 마스터 R778</v>
      </c>
      <c r="S442" s="109">
        <v>778</v>
      </c>
      <c r="T442" s="109" t="s">
        <v>72</v>
      </c>
    </row>
    <row r="443" spans="1:20" ht="48" customHeight="1" x14ac:dyDescent="0.3">
      <c r="A443" s="87" t="s">
        <v>1347</v>
      </c>
      <c r="B443" s="87" t="s">
        <v>1533</v>
      </c>
      <c r="C443" s="88" t="s">
        <v>333</v>
      </c>
      <c r="D443" s="88" t="s">
        <v>1173</v>
      </c>
      <c r="E443" s="88" t="s">
        <v>1172</v>
      </c>
      <c r="F443" s="90" t="s">
        <v>71</v>
      </c>
      <c r="G443" s="91"/>
      <c r="H443" s="92"/>
      <c r="I443" s="93" t="str">
        <f>IFERROR(IF(OR($F443="O",$G443="O",$H443="O"),CHOOSE(MATCH($A443,{"튜브","고압","진공","튜닝","조립","출하"},0),"T","H","V","N","A","P")&amp;IF($F443="O","R",IF($G443="O","A",IF($H443="O","F",""))),""),"")</f>
        <v/>
      </c>
      <c r="J443" s="94"/>
      <c r="K443" s="95"/>
      <c r="L443" s="96" t="s">
        <v>71</v>
      </c>
      <c r="M443" s="97"/>
      <c r="N443" s="98"/>
      <c r="O443" s="99"/>
      <c r="P443" s="100" t="str">
        <f t="shared" si="6"/>
        <v/>
      </c>
      <c r="Q443" s="102" t="s">
        <v>1539</v>
      </c>
      <c r="R443" s="108" t="str">
        <f>HYPERLINK("#'마스터_품목'!A678","→ 마스터 R678")</f>
        <v>→ 마스터 R678</v>
      </c>
      <c r="S443" s="109">
        <v>678</v>
      </c>
      <c r="T443" s="109" t="s">
        <v>72</v>
      </c>
    </row>
    <row r="444" spans="1:20" ht="48" customHeight="1" x14ac:dyDescent="0.3">
      <c r="A444" s="87" t="s">
        <v>1347</v>
      </c>
      <c r="B444" s="87" t="s">
        <v>1533</v>
      </c>
      <c r="C444" s="88" t="s">
        <v>333</v>
      </c>
      <c r="D444" s="88" t="s">
        <v>1167</v>
      </c>
      <c r="E444" s="88" t="s">
        <v>1166</v>
      </c>
      <c r="F444" s="90" t="s">
        <v>71</v>
      </c>
      <c r="G444" s="91"/>
      <c r="H444" s="92"/>
      <c r="I444" s="93" t="str">
        <f>IFERROR(IF(OR($F444="O",$G444="O",$H444="O"),CHOOSE(MATCH($A444,{"튜브","고압","진공","튜닝","조립","출하"},0),"T","H","V","N","A","P")&amp;IF($F444="O","R",IF($G444="O","A",IF($H444="O","F",""))),""),"")</f>
        <v/>
      </c>
      <c r="J444" s="94"/>
      <c r="K444" s="95"/>
      <c r="L444" s="96" t="s">
        <v>71</v>
      </c>
      <c r="M444" s="97"/>
      <c r="N444" s="98"/>
      <c r="O444" s="99"/>
      <c r="P444" s="100" t="str">
        <f t="shared" si="6"/>
        <v/>
      </c>
      <c r="Q444" s="102" t="s">
        <v>1539</v>
      </c>
      <c r="R444" s="108" t="str">
        <f>HYPERLINK("#'마스터_품목'!A675","→ 마스터 R675")</f>
        <v>→ 마스터 R675</v>
      </c>
      <c r="S444" s="109">
        <v>675</v>
      </c>
      <c r="T444" s="109" t="s">
        <v>72</v>
      </c>
    </row>
    <row r="445" spans="1:20" ht="48" customHeight="1" x14ac:dyDescent="0.3">
      <c r="A445" s="124" t="s">
        <v>771</v>
      </c>
      <c r="B445" s="87" t="s">
        <v>1533</v>
      </c>
      <c r="C445" s="88" t="s">
        <v>68</v>
      </c>
      <c r="D445" s="88" t="s">
        <v>1542</v>
      </c>
      <c r="E445" s="88"/>
      <c r="F445" s="90" t="s">
        <v>71</v>
      </c>
      <c r="G445" s="91"/>
      <c r="H445" s="92"/>
      <c r="I445" s="93" t="str">
        <f>IFERROR(IF(OR($F445="O",$G445="O",$H445="O"),CHOOSE(MATCH($A445,{"튜브","고압","진공","튜닝","조립","출하"},0),"T","H","V","N","A","P")&amp;IF($F445="O","R",IF($G445="O","A",IF($H445="O","F",""))),""),"")</f>
        <v>PR</v>
      </c>
      <c r="J445" s="122" t="s">
        <v>71</v>
      </c>
      <c r="K445" s="123" t="s">
        <v>71</v>
      </c>
      <c r="L445" s="119" t="s">
        <v>71</v>
      </c>
      <c r="M445" s="120" t="s">
        <v>71</v>
      </c>
      <c r="N445" s="121"/>
      <c r="O445" s="99"/>
      <c r="P445" s="100" t="str">
        <f t="shared" si="6"/>
        <v>3467-PR</v>
      </c>
      <c r="Q445" s="102" t="s">
        <v>1543</v>
      </c>
      <c r="R445" s="108" t="str">
        <f>HYPERLINK("#'마스터_품목'!A779","→ 마스터 R779")</f>
        <v>→ 마스터 R779</v>
      </c>
      <c r="S445" s="109">
        <v>779</v>
      </c>
      <c r="T445" s="109" t="s">
        <v>72</v>
      </c>
    </row>
    <row r="446" spans="1:20" ht="48" customHeight="1" x14ac:dyDescent="0.3">
      <c r="A446" s="124" t="s">
        <v>771</v>
      </c>
      <c r="B446" s="87" t="s">
        <v>1533</v>
      </c>
      <c r="C446" s="88" t="s">
        <v>68</v>
      </c>
      <c r="D446" s="88" t="s">
        <v>1544</v>
      </c>
      <c r="E446" s="88"/>
      <c r="F446" s="90" t="s">
        <v>71</v>
      </c>
      <c r="G446" s="91"/>
      <c r="H446" s="92"/>
      <c r="I446" s="93" t="str">
        <f>IFERROR(IF(OR($F446="O",$G446="O",$H446="O"),CHOOSE(MATCH($A446,{"튜브","고압","진공","튜닝","조립","출하"},0),"T","H","V","N","A","P")&amp;IF($F446="O","R",IF($G446="O","A",IF($H446="O","F",""))),""),"")</f>
        <v>PR</v>
      </c>
      <c r="J446" s="122" t="s">
        <v>71</v>
      </c>
      <c r="K446" s="95"/>
      <c r="L446" s="96"/>
      <c r="M446" s="97"/>
      <c r="N446" s="98"/>
      <c r="O446" s="99"/>
      <c r="P446" s="100" t="str">
        <f t="shared" si="6"/>
        <v>3-PR</v>
      </c>
      <c r="Q446" s="102" t="s">
        <v>1543</v>
      </c>
      <c r="R446" s="108" t="str">
        <f>HYPERLINK("#'마스터_품목'!A780","→ 마스터 R780")</f>
        <v>→ 마스터 R780</v>
      </c>
      <c r="S446" s="109">
        <v>780</v>
      </c>
      <c r="T446" s="109" t="s">
        <v>72</v>
      </c>
    </row>
    <row r="447" spans="1:20" ht="48" customHeight="1" x14ac:dyDescent="0.3">
      <c r="A447" s="124" t="s">
        <v>771</v>
      </c>
      <c r="B447" s="87" t="s">
        <v>1533</v>
      </c>
      <c r="C447" s="88" t="s">
        <v>68</v>
      </c>
      <c r="D447" s="88" t="s">
        <v>1545</v>
      </c>
      <c r="E447" s="88"/>
      <c r="F447" s="90" t="s">
        <v>71</v>
      </c>
      <c r="G447" s="91"/>
      <c r="H447" s="92"/>
      <c r="I447" s="93" t="str">
        <f>IFERROR(IF(OR($F447="O",$G447="O",$H447="O"),CHOOSE(MATCH($A447,{"튜브","고압","진공","튜닝","조립","출하"},0),"T","H","V","N","A","P")&amp;IF($F447="O","R",IF($G447="O","A",IF($H447="O","F",""))),""),"")</f>
        <v>PR</v>
      </c>
      <c r="J447" s="122" t="s">
        <v>71</v>
      </c>
      <c r="K447" s="95"/>
      <c r="L447" s="96"/>
      <c r="M447" s="97"/>
      <c r="N447" s="98"/>
      <c r="O447" s="99"/>
      <c r="P447" s="100" t="str">
        <f t="shared" si="6"/>
        <v>3-PR</v>
      </c>
      <c r="Q447" s="102" t="s">
        <v>1543</v>
      </c>
      <c r="R447" s="108" t="str">
        <f>HYPERLINK("#'마스터_품목'!A781","→ 마스터 R781")</f>
        <v>→ 마스터 R781</v>
      </c>
      <c r="S447" s="109">
        <v>781</v>
      </c>
      <c r="T447" s="109" t="s">
        <v>72</v>
      </c>
    </row>
    <row r="448" spans="1:20" ht="48" customHeight="1" x14ac:dyDescent="0.3">
      <c r="A448" s="124" t="s">
        <v>771</v>
      </c>
      <c r="B448" s="87" t="s">
        <v>1533</v>
      </c>
      <c r="C448" s="88" t="s">
        <v>68</v>
      </c>
      <c r="D448" s="88" t="s">
        <v>1546</v>
      </c>
      <c r="E448" s="88"/>
      <c r="F448" s="90" t="s">
        <v>71</v>
      </c>
      <c r="G448" s="91"/>
      <c r="H448" s="92"/>
      <c r="I448" s="93" t="str">
        <f>IFERROR(IF(OR($F448="O",$G448="O",$H448="O"),CHOOSE(MATCH($A448,{"튜브","고압","진공","튜닝","조립","출하"},0),"T","H","V","N","A","P")&amp;IF($F448="O","R",IF($G448="O","A",IF($H448="O","F",""))),""),"")</f>
        <v>PR</v>
      </c>
      <c r="J448" s="122" t="s">
        <v>71</v>
      </c>
      <c r="K448" s="95"/>
      <c r="L448" s="96"/>
      <c r="M448" s="97"/>
      <c r="N448" s="98"/>
      <c r="O448" s="99"/>
      <c r="P448" s="100" t="str">
        <f t="shared" si="6"/>
        <v>3-PR</v>
      </c>
      <c r="Q448" s="102" t="s">
        <v>1543</v>
      </c>
      <c r="R448" s="108" t="str">
        <f>HYPERLINK("#'마스터_품목'!A782","→ 마스터 R782")</f>
        <v>→ 마스터 R782</v>
      </c>
      <c r="S448" s="109">
        <v>782</v>
      </c>
      <c r="T448" s="109" t="s">
        <v>72</v>
      </c>
    </row>
    <row r="449" spans="1:20" ht="48" customHeight="1" x14ac:dyDescent="0.3">
      <c r="A449" s="124" t="s">
        <v>771</v>
      </c>
      <c r="B449" s="87" t="s">
        <v>1533</v>
      </c>
      <c r="C449" s="88" t="s">
        <v>68</v>
      </c>
      <c r="D449" s="88" t="s">
        <v>1093</v>
      </c>
      <c r="E449" s="88" t="s">
        <v>1092</v>
      </c>
      <c r="F449" s="90" t="s">
        <v>71</v>
      </c>
      <c r="G449" s="91"/>
      <c r="H449" s="92"/>
      <c r="I449" s="93" t="str">
        <f>IFERROR(IF(OR($F449="O",$G449="O",$H449="O"),CHOOSE(MATCH($A449,{"튜브","고압","진공","튜닝","조립","출하"},0),"T","H","V","N","A","P")&amp;IF($F449="O","R",IF($G449="O","A",IF($H449="O","F",""))),""),"")</f>
        <v>PR</v>
      </c>
      <c r="J449" s="122" t="s">
        <v>71</v>
      </c>
      <c r="K449" s="123" t="s">
        <v>71</v>
      </c>
      <c r="L449" s="119" t="s">
        <v>71</v>
      </c>
      <c r="M449" s="120" t="s">
        <v>71</v>
      </c>
      <c r="N449" s="121" t="s">
        <v>71</v>
      </c>
      <c r="O449" s="99"/>
      <c r="P449" s="100" t="str">
        <f t="shared" si="6"/>
        <v>34678-PR</v>
      </c>
      <c r="Q449" s="102" t="s">
        <v>1539</v>
      </c>
      <c r="R449" s="108" t="str">
        <f>HYPERLINK("#'마스터_품목'!A635","→ 마스터 R635")</f>
        <v>→ 마스터 R635</v>
      </c>
      <c r="S449" s="109">
        <v>635</v>
      </c>
      <c r="T449" s="109" t="s">
        <v>72</v>
      </c>
    </row>
    <row r="450" spans="1:20" ht="48" customHeight="1" x14ac:dyDescent="0.3">
      <c r="A450" s="124" t="s">
        <v>771</v>
      </c>
      <c r="B450" s="87" t="s">
        <v>1533</v>
      </c>
      <c r="C450" s="88" t="s">
        <v>68</v>
      </c>
      <c r="D450" s="88" t="s">
        <v>1095</v>
      </c>
      <c r="E450" s="88" t="s">
        <v>1094</v>
      </c>
      <c r="F450" s="90" t="s">
        <v>71</v>
      </c>
      <c r="G450" s="91"/>
      <c r="H450" s="92"/>
      <c r="I450" s="93" t="str">
        <f>IFERROR(IF(OR($F450="O",$G450="O",$H450="O"),CHOOSE(MATCH($A450,{"튜브","고압","진공","튜닝","조립","출하"},0),"T","H","V","N","A","P")&amp;IF($F450="O","R",IF($G450="O","A",IF($H450="O","F",""))),""),"")</f>
        <v>PR</v>
      </c>
      <c r="J450" s="122" t="s">
        <v>71</v>
      </c>
      <c r="K450" s="123" t="s">
        <v>71</v>
      </c>
      <c r="L450" s="119" t="s">
        <v>71</v>
      </c>
      <c r="M450" s="120" t="s">
        <v>71</v>
      </c>
      <c r="N450" s="121" t="s">
        <v>71</v>
      </c>
      <c r="O450" s="99"/>
      <c r="P450" s="100" t="str">
        <f t="shared" ref="P450:P513" si="7">IF($I450="","",IF($J450="O","3","")&amp;IF($K450="O","4","")&amp;IF($L450="O","6","")&amp;IF($M450="O","7","")&amp;IF($N450="O","8","")&amp;IF($O450="O","?","")&amp;IF(OR($J450="O",$K450="O",$L450="O",$M450="O",$N450="O",$O450="O"),"-","")&amp;$I450)</f>
        <v>34678-PR</v>
      </c>
      <c r="Q450" s="102" t="s">
        <v>1539</v>
      </c>
      <c r="R450" s="108" t="str">
        <f>HYPERLINK("#'마스터_품목'!A636","→ 마스터 R636")</f>
        <v>→ 마스터 R636</v>
      </c>
      <c r="S450" s="109">
        <v>636</v>
      </c>
      <c r="T450" s="109" t="s">
        <v>72</v>
      </c>
    </row>
    <row r="451" spans="1:20" ht="48" customHeight="1" x14ac:dyDescent="0.3">
      <c r="A451" s="124" t="s">
        <v>771</v>
      </c>
      <c r="B451" s="87" t="s">
        <v>1533</v>
      </c>
      <c r="C451" s="88" t="s">
        <v>68</v>
      </c>
      <c r="D451" s="88" t="s">
        <v>1547</v>
      </c>
      <c r="E451" s="88"/>
      <c r="F451" s="90" t="s">
        <v>71</v>
      </c>
      <c r="G451" s="91"/>
      <c r="H451" s="92"/>
      <c r="I451" s="93" t="str">
        <f>IFERROR(IF(OR($F451="O",$G451="O",$H451="O"),CHOOSE(MATCH($A451,{"튜브","고압","진공","튜닝","조립","출하"},0),"T","H","V","N","A","P")&amp;IF($F451="O","R",IF($G451="O","A",IF($H451="O","F",""))),""),"")</f>
        <v>PR</v>
      </c>
      <c r="J451" s="122" t="s">
        <v>71</v>
      </c>
      <c r="K451" s="123" t="s">
        <v>71</v>
      </c>
      <c r="L451" s="119" t="s">
        <v>71</v>
      </c>
      <c r="M451" s="120" t="s">
        <v>71</v>
      </c>
      <c r="N451" s="121" t="s">
        <v>71</v>
      </c>
      <c r="O451" s="99"/>
      <c r="P451" s="100" t="str">
        <f t="shared" si="7"/>
        <v>34678-PR</v>
      </c>
      <c r="Q451" s="102" t="s">
        <v>1543</v>
      </c>
      <c r="R451" s="108" t="str">
        <f>HYPERLINK("#'마스터_품목'!A783","→ 마스터 R783")</f>
        <v>→ 마스터 R783</v>
      </c>
      <c r="S451" s="109">
        <v>783</v>
      </c>
      <c r="T451" s="109" t="s">
        <v>72</v>
      </c>
    </row>
    <row r="452" spans="1:20" ht="48" customHeight="1" x14ac:dyDescent="0.3">
      <c r="A452" s="87" t="s">
        <v>1347</v>
      </c>
      <c r="B452" s="87" t="s">
        <v>1533</v>
      </c>
      <c r="C452" s="88" t="s">
        <v>68</v>
      </c>
      <c r="D452" s="88" t="s">
        <v>811</v>
      </c>
      <c r="E452" s="88" t="s">
        <v>810</v>
      </c>
      <c r="F452" s="90" t="s">
        <v>71</v>
      </c>
      <c r="G452" s="91"/>
      <c r="H452" s="92"/>
      <c r="I452" s="93" t="str">
        <f>IFERROR(IF(OR($F452="O",$G452="O",$H452="O"),CHOOSE(MATCH($A452,{"튜브","고압","진공","튜닝","조립","출하"},0),"T","H","V","N","A","P")&amp;IF($F452="O","R",IF($G452="O","A",IF($H452="O","F",""))),""),"")</f>
        <v/>
      </c>
      <c r="J452" s="94"/>
      <c r="K452" s="95"/>
      <c r="L452" s="96" t="s">
        <v>71</v>
      </c>
      <c r="M452" s="97"/>
      <c r="N452" s="98"/>
      <c r="O452" s="99"/>
      <c r="P452" s="100" t="str">
        <f t="shared" si="7"/>
        <v/>
      </c>
      <c r="Q452" s="102" t="s">
        <v>1540</v>
      </c>
      <c r="R452" s="108" t="str">
        <f>HYPERLINK("#'마스터_품목'!A578","→ 마스터 R578")</f>
        <v>→ 마스터 R578</v>
      </c>
      <c r="S452" s="109">
        <v>578</v>
      </c>
      <c r="T452" s="109" t="s">
        <v>72</v>
      </c>
    </row>
    <row r="453" spans="1:20" ht="48" customHeight="1" x14ac:dyDescent="0.3">
      <c r="A453" s="87" t="s">
        <v>1347</v>
      </c>
      <c r="B453" s="87" t="s">
        <v>1176</v>
      </c>
      <c r="C453" s="88" t="s">
        <v>68</v>
      </c>
      <c r="D453" s="88" t="s">
        <v>1178</v>
      </c>
      <c r="E453" s="88" t="s">
        <v>1177</v>
      </c>
      <c r="F453" s="90" t="s">
        <v>71</v>
      </c>
      <c r="G453" s="91"/>
      <c r="H453" s="92"/>
      <c r="I453" s="93" t="str">
        <f>IFERROR(IF(OR($F453="O",$G453="O",$H453="O"),CHOOSE(MATCH($A453,{"튜브","고압","진공","튜닝","조립","출하"},0),"T","H","V","N","A","P")&amp;IF($F453="O","R",IF($G453="O","A",IF($H453="O","F",""))),""),"")</f>
        <v/>
      </c>
      <c r="J453" s="94" t="s">
        <v>71</v>
      </c>
      <c r="K453" s="95"/>
      <c r="L453" s="96"/>
      <c r="M453" s="97"/>
      <c r="N453" s="98"/>
      <c r="O453" s="99"/>
      <c r="P453" s="100" t="str">
        <f t="shared" si="7"/>
        <v/>
      </c>
      <c r="Q453" s="102" t="s">
        <v>1548</v>
      </c>
      <c r="R453" s="108" t="str">
        <f>HYPERLINK("#'마스터_품목'!A680","→ 마스터 R680")</f>
        <v>→ 마스터 R680</v>
      </c>
      <c r="S453" s="109">
        <v>680</v>
      </c>
      <c r="T453" s="109" t="s">
        <v>72</v>
      </c>
    </row>
    <row r="454" spans="1:20" ht="48" customHeight="1" x14ac:dyDescent="0.3">
      <c r="A454" s="87" t="s">
        <v>1347</v>
      </c>
      <c r="B454" s="87" t="s">
        <v>1549</v>
      </c>
      <c r="C454" s="88" t="s">
        <v>68</v>
      </c>
      <c r="D454" s="88" t="s">
        <v>1063</v>
      </c>
      <c r="E454" s="88" t="s">
        <v>1062</v>
      </c>
      <c r="F454" s="90" t="s">
        <v>71</v>
      </c>
      <c r="G454" s="91"/>
      <c r="H454" s="92"/>
      <c r="I454" s="93" t="str">
        <f>IFERROR(IF(OR($F454="O",$G454="O",$H454="O"),CHOOSE(MATCH($A454,{"튜브","고압","진공","튜닝","조립","출하"},0),"T","H","V","N","A","P")&amp;IF($F454="O","R",IF($G454="O","A",IF($H454="O","F",""))),""),"")</f>
        <v/>
      </c>
      <c r="J454" s="94" t="s">
        <v>71</v>
      </c>
      <c r="K454" s="95"/>
      <c r="L454" s="96"/>
      <c r="M454" s="97" t="s">
        <v>71</v>
      </c>
      <c r="N454" s="98"/>
      <c r="O454" s="99"/>
      <c r="P454" s="100" t="str">
        <f t="shared" si="7"/>
        <v/>
      </c>
      <c r="Q454" s="102" t="s">
        <v>1550</v>
      </c>
      <c r="R454" s="108" t="str">
        <f>HYPERLINK("#'마스터_품목'!A619","→ 마스터 R619")</f>
        <v>→ 마스터 R619</v>
      </c>
      <c r="S454" s="109">
        <v>619</v>
      </c>
      <c r="T454" s="109" t="s">
        <v>72</v>
      </c>
    </row>
    <row r="455" spans="1:20" ht="48" customHeight="1" x14ac:dyDescent="0.3">
      <c r="A455" s="124" t="s">
        <v>771</v>
      </c>
      <c r="B455" s="87" t="s">
        <v>1551</v>
      </c>
      <c r="C455" s="88" t="s">
        <v>117</v>
      </c>
      <c r="D455" s="88" t="s">
        <v>1552</v>
      </c>
      <c r="E455" s="88"/>
      <c r="F455" s="90" t="s">
        <v>71</v>
      </c>
      <c r="G455" s="91"/>
      <c r="H455" s="92"/>
      <c r="I455" s="93" t="str">
        <f>IFERROR(IF(OR($F455="O",$G455="O",$H455="O"),CHOOSE(MATCH($A455,{"튜브","고압","진공","튜닝","조립","출하"},0),"T","H","V","N","A","P")&amp;IF($F455="O","R",IF($G455="O","A",IF($H455="O","F",""))),""),"")</f>
        <v>PR</v>
      </c>
      <c r="J455" s="94"/>
      <c r="K455" s="95"/>
      <c r="L455" s="119" t="s">
        <v>71</v>
      </c>
      <c r="M455" s="97"/>
      <c r="N455" s="98"/>
      <c r="O455" s="99"/>
      <c r="P455" s="100" t="str">
        <f t="shared" si="7"/>
        <v>6-PR</v>
      </c>
      <c r="Q455" s="102" t="s">
        <v>1396</v>
      </c>
      <c r="R455" s="108" t="str">
        <f>HYPERLINK("#'마스터_품목'!A784","→ 마스터 R784")</f>
        <v>→ 마스터 R784</v>
      </c>
      <c r="S455" s="109">
        <v>784</v>
      </c>
      <c r="T455" s="109" t="s">
        <v>72</v>
      </c>
    </row>
    <row r="456" spans="1:20" ht="48" customHeight="1" x14ac:dyDescent="0.3">
      <c r="A456" s="124" t="s">
        <v>771</v>
      </c>
      <c r="B456" s="87" t="s">
        <v>1551</v>
      </c>
      <c r="C456" s="88" t="s">
        <v>117</v>
      </c>
      <c r="D456" s="88" t="s">
        <v>1553</v>
      </c>
      <c r="E456" s="88"/>
      <c r="F456" s="90" t="s">
        <v>71</v>
      </c>
      <c r="G456" s="91"/>
      <c r="H456" s="92"/>
      <c r="I456" s="93" t="str">
        <f>IFERROR(IF(OR($F456="O",$G456="O",$H456="O"),CHOOSE(MATCH($A456,{"튜브","고압","진공","튜닝","조립","출하"},0),"T","H","V","N","A","P")&amp;IF($F456="O","R",IF($G456="O","A",IF($H456="O","F",""))),""),"")</f>
        <v>PR</v>
      </c>
      <c r="J456" s="94"/>
      <c r="K456" s="95"/>
      <c r="L456" s="119" t="s">
        <v>71</v>
      </c>
      <c r="M456" s="97"/>
      <c r="N456" s="98"/>
      <c r="O456" s="99"/>
      <c r="P456" s="100" t="str">
        <f t="shared" si="7"/>
        <v>6-PR</v>
      </c>
      <c r="Q456" s="102" t="s">
        <v>1396</v>
      </c>
      <c r="R456" s="108" t="str">
        <f>HYPERLINK("#'마스터_품목'!A785","→ 마스터 R785")</f>
        <v>→ 마스터 R785</v>
      </c>
      <c r="S456" s="109">
        <v>785</v>
      </c>
      <c r="T456" s="109" t="s">
        <v>72</v>
      </c>
    </row>
    <row r="457" spans="1:20" ht="48" customHeight="1" x14ac:dyDescent="0.3">
      <c r="A457" s="87" t="s">
        <v>1347</v>
      </c>
      <c r="B457" s="87" t="s">
        <v>1554</v>
      </c>
      <c r="C457" s="88" t="s">
        <v>195</v>
      </c>
      <c r="D457" s="88" t="s">
        <v>1068</v>
      </c>
      <c r="E457" s="88" t="s">
        <v>1067</v>
      </c>
      <c r="F457" s="90" t="s">
        <v>71</v>
      </c>
      <c r="G457" s="91"/>
      <c r="H457" s="92"/>
      <c r="I457" s="93" t="str">
        <f>IFERROR(IF(OR($F457="O",$G457="O",$H457="O"),CHOOSE(MATCH($A457,{"튜브","고압","진공","튜닝","조립","출하"},0),"T","H","V","N","A","P")&amp;IF($F457="O","R",IF($G457="O","A",IF($H457="O","F",""))),""),"")</f>
        <v/>
      </c>
      <c r="J457" s="94" t="s">
        <v>71</v>
      </c>
      <c r="K457" s="95"/>
      <c r="L457" s="96"/>
      <c r="M457" s="97"/>
      <c r="N457" s="98"/>
      <c r="O457" s="99"/>
      <c r="P457" s="100" t="str">
        <f t="shared" si="7"/>
        <v/>
      </c>
      <c r="Q457" s="102" t="s">
        <v>1396</v>
      </c>
      <c r="R457" s="108" t="str">
        <f>HYPERLINK("#'마스터_품목'!A622","→ 마스터 R622")</f>
        <v>→ 마스터 R622</v>
      </c>
      <c r="S457" s="109">
        <v>622</v>
      </c>
      <c r="T457" s="109" t="s">
        <v>72</v>
      </c>
    </row>
    <row r="458" spans="1:20" ht="48" customHeight="1" x14ac:dyDescent="0.3">
      <c r="A458" s="87" t="s">
        <v>1347</v>
      </c>
      <c r="B458" s="87" t="s">
        <v>1554</v>
      </c>
      <c r="C458" s="88" t="s">
        <v>195</v>
      </c>
      <c r="D458" s="88" t="s">
        <v>1066</v>
      </c>
      <c r="E458" s="88" t="s">
        <v>1065</v>
      </c>
      <c r="F458" s="90" t="s">
        <v>71</v>
      </c>
      <c r="G458" s="91"/>
      <c r="H458" s="92"/>
      <c r="I458" s="93" t="str">
        <f>IFERROR(IF(OR($F458="O",$G458="O",$H458="O"),CHOOSE(MATCH($A458,{"튜브","고압","진공","튜닝","조립","출하"},0),"T","H","V","N","A","P")&amp;IF($F458="O","R",IF($G458="O","A",IF($H458="O","F",""))),""),"")</f>
        <v/>
      </c>
      <c r="J458" s="94" t="s">
        <v>71</v>
      </c>
      <c r="K458" s="95" t="s">
        <v>71</v>
      </c>
      <c r="L458" s="96" t="s">
        <v>71</v>
      </c>
      <c r="M458" s="97"/>
      <c r="N458" s="98"/>
      <c r="O458" s="99"/>
      <c r="P458" s="100" t="str">
        <f t="shared" si="7"/>
        <v/>
      </c>
      <c r="Q458" s="102" t="s">
        <v>1396</v>
      </c>
      <c r="R458" s="108" t="str">
        <f>HYPERLINK("#'마스터_품목'!A621","→ 마스터 R621")</f>
        <v>→ 마스터 R621</v>
      </c>
      <c r="S458" s="109">
        <v>621</v>
      </c>
      <c r="T458" s="109" t="s">
        <v>72</v>
      </c>
    </row>
    <row r="459" spans="1:20" ht="48" customHeight="1" x14ac:dyDescent="0.3">
      <c r="A459" s="124" t="s">
        <v>771</v>
      </c>
      <c r="B459" s="87" t="s">
        <v>1551</v>
      </c>
      <c r="C459" s="88" t="s">
        <v>117</v>
      </c>
      <c r="D459" s="88" t="s">
        <v>1555</v>
      </c>
      <c r="E459" s="88"/>
      <c r="F459" s="90" t="s">
        <v>71</v>
      </c>
      <c r="G459" s="91"/>
      <c r="H459" s="92"/>
      <c r="I459" s="93" t="str">
        <f>IFERROR(IF(OR($F459="O",$G459="O",$H459="O"),CHOOSE(MATCH($A459,{"튜브","고압","진공","튜닝","조립","출하"},0),"T","H","V","N","A","P")&amp;IF($F459="O","R",IF($G459="O","A",IF($H459="O","F",""))),""),"")</f>
        <v>PR</v>
      </c>
      <c r="J459" s="94"/>
      <c r="K459" s="95"/>
      <c r="L459" s="119" t="s">
        <v>71</v>
      </c>
      <c r="M459" s="97"/>
      <c r="N459" s="98"/>
      <c r="O459" s="99"/>
      <c r="P459" s="100" t="str">
        <f t="shared" si="7"/>
        <v>6-PR</v>
      </c>
      <c r="Q459" s="102" t="s">
        <v>1396</v>
      </c>
      <c r="R459" s="108" t="str">
        <f>HYPERLINK("#'마스터_품목'!A786","→ 마스터 R786")</f>
        <v>→ 마스터 R786</v>
      </c>
      <c r="S459" s="109">
        <v>786</v>
      </c>
      <c r="T459" s="109" t="s">
        <v>72</v>
      </c>
    </row>
    <row r="460" spans="1:20" ht="48" customHeight="1" x14ac:dyDescent="0.3">
      <c r="A460" s="124" t="s">
        <v>771</v>
      </c>
      <c r="B460" s="87" t="s">
        <v>1551</v>
      </c>
      <c r="C460" s="88" t="s">
        <v>68</v>
      </c>
      <c r="D460" s="88" t="s">
        <v>1556</v>
      </c>
      <c r="E460" s="88"/>
      <c r="F460" s="90" t="s">
        <v>71</v>
      </c>
      <c r="G460" s="91"/>
      <c r="H460" s="92"/>
      <c r="I460" s="93" t="str">
        <f>IFERROR(IF(OR($F460="O",$G460="O",$H460="O"),CHOOSE(MATCH($A460,{"튜브","고압","진공","튜닝","조립","출하"},0),"T","H","V","N","A","P")&amp;IF($F460="O","R",IF($G460="O","A",IF($H460="O","F",""))),""),"")</f>
        <v>PR</v>
      </c>
      <c r="J460" s="122" t="s">
        <v>71</v>
      </c>
      <c r="K460" s="123" t="s">
        <v>71</v>
      </c>
      <c r="L460" s="119" t="s">
        <v>71</v>
      </c>
      <c r="M460" s="120" t="s">
        <v>71</v>
      </c>
      <c r="N460" s="121" t="s">
        <v>71</v>
      </c>
      <c r="O460" s="99"/>
      <c r="P460" s="100" t="str">
        <f t="shared" si="7"/>
        <v>34678-PR</v>
      </c>
      <c r="Q460" s="102" t="s">
        <v>1396</v>
      </c>
      <c r="R460" s="108" t="str">
        <f>HYPERLINK("#'마스터_품목'!A787","→ 마스터 R787")</f>
        <v>→ 마스터 R787</v>
      </c>
      <c r="S460" s="109">
        <v>787</v>
      </c>
      <c r="T460" s="109" t="s">
        <v>72</v>
      </c>
    </row>
    <row r="461" spans="1:20" ht="48" customHeight="1" x14ac:dyDescent="0.3">
      <c r="A461" s="87" t="s">
        <v>1347</v>
      </c>
      <c r="B461" s="87" t="s">
        <v>1557</v>
      </c>
      <c r="C461" s="88" t="s">
        <v>182</v>
      </c>
      <c r="D461" s="88" t="s">
        <v>1156</v>
      </c>
      <c r="E461" s="88" t="s">
        <v>1558</v>
      </c>
      <c r="F461" s="90" t="s">
        <v>71</v>
      </c>
      <c r="G461" s="91"/>
      <c r="H461" s="92"/>
      <c r="I461" s="93" t="str">
        <f>IFERROR(IF(OR($F461="O",$G461="O",$H461="O"),CHOOSE(MATCH($A461,{"튜브","고압","진공","튜닝","조립","출하"},0),"T","H","V","N","A","P")&amp;IF($F461="O","R",IF($G461="O","A",IF($H461="O","F",""))),""),"")</f>
        <v/>
      </c>
      <c r="J461" s="94"/>
      <c r="K461" s="95"/>
      <c r="L461" s="96"/>
      <c r="M461" s="97"/>
      <c r="N461" s="98" t="s">
        <v>71</v>
      </c>
      <c r="O461" s="99"/>
      <c r="P461" s="100" t="str">
        <f t="shared" si="7"/>
        <v/>
      </c>
      <c r="Q461" s="102" t="s">
        <v>1538</v>
      </c>
      <c r="R461" s="108" t="str">
        <f>HYPERLINK("#'마스터_품목'!A670","→ 마스터 R670")</f>
        <v>→ 마스터 R670</v>
      </c>
      <c r="S461" s="109">
        <v>670</v>
      </c>
      <c r="T461" s="109" t="s">
        <v>72</v>
      </c>
    </row>
    <row r="462" spans="1:20" ht="48" customHeight="1" x14ac:dyDescent="0.3">
      <c r="A462" s="87" t="s">
        <v>1347</v>
      </c>
      <c r="B462" s="87" t="s">
        <v>1559</v>
      </c>
      <c r="C462" s="88" t="s">
        <v>68</v>
      </c>
      <c r="D462" s="88" t="s">
        <v>1026</v>
      </c>
      <c r="E462" s="88" t="s">
        <v>1025</v>
      </c>
      <c r="F462" s="90" t="s">
        <v>71</v>
      </c>
      <c r="G462" s="91"/>
      <c r="H462" s="92"/>
      <c r="I462" s="93" t="str">
        <f>IFERROR(IF(OR($F462="O",$G462="O",$H462="O"),CHOOSE(MATCH($A462,{"튜브","고압","진공","튜닝","조립","출하"},0),"T","H","V","N","A","P")&amp;IF($F462="O","R",IF($G462="O","A",IF($H462="O","F",""))),""),"")</f>
        <v/>
      </c>
      <c r="J462" s="94" t="s">
        <v>71</v>
      </c>
      <c r="K462" s="95" t="s">
        <v>71</v>
      </c>
      <c r="L462" s="96"/>
      <c r="M462" s="97" t="s">
        <v>71</v>
      </c>
      <c r="N462" s="98" t="s">
        <v>71</v>
      </c>
      <c r="O462" s="99"/>
      <c r="P462" s="100" t="str">
        <f t="shared" si="7"/>
        <v/>
      </c>
      <c r="Q462" s="102" t="s">
        <v>1560</v>
      </c>
      <c r="R462" s="108" t="str">
        <f>HYPERLINK("#'마스터_품목'!A600","→ 마스터 R600")</f>
        <v>→ 마스터 R600</v>
      </c>
      <c r="S462" s="109">
        <v>600</v>
      </c>
      <c r="T462" s="109" t="s">
        <v>72</v>
      </c>
    </row>
    <row r="463" spans="1:20" ht="48" customHeight="1" x14ac:dyDescent="0.3">
      <c r="A463" s="87" t="s">
        <v>1347</v>
      </c>
      <c r="B463" s="87" t="s">
        <v>1559</v>
      </c>
      <c r="C463" s="88" t="s">
        <v>68</v>
      </c>
      <c r="D463" s="88" t="s">
        <v>1024</v>
      </c>
      <c r="E463" s="88" t="s">
        <v>1023</v>
      </c>
      <c r="F463" s="90" t="s">
        <v>71</v>
      </c>
      <c r="G463" s="91"/>
      <c r="H463" s="92"/>
      <c r="I463" s="93" t="str">
        <f>IFERROR(IF(OR($F463="O",$G463="O",$H463="O"),CHOOSE(MATCH($A463,{"튜브","고압","진공","튜닝","조립","출하"},0),"T","H","V","N","A","P")&amp;IF($F463="O","R",IF($G463="O","A",IF($H463="O","F",""))),""),"")</f>
        <v/>
      </c>
      <c r="J463" s="94" t="s">
        <v>71</v>
      </c>
      <c r="K463" s="95" t="s">
        <v>71</v>
      </c>
      <c r="L463" s="96"/>
      <c r="M463" s="97" t="s">
        <v>71</v>
      </c>
      <c r="N463" s="98" t="s">
        <v>71</v>
      </c>
      <c r="O463" s="99"/>
      <c r="P463" s="100" t="str">
        <f t="shared" si="7"/>
        <v/>
      </c>
      <c r="Q463" s="102" t="s">
        <v>1561</v>
      </c>
      <c r="R463" s="108" t="str">
        <f>HYPERLINK("#'마스터_품목'!A599","→ 마스터 R599")</f>
        <v>→ 마스터 R599</v>
      </c>
      <c r="S463" s="109">
        <v>599</v>
      </c>
      <c r="T463" s="109" t="s">
        <v>72</v>
      </c>
    </row>
    <row r="464" spans="1:20" ht="48" customHeight="1" x14ac:dyDescent="0.3">
      <c r="A464" s="87" t="s">
        <v>1347</v>
      </c>
      <c r="B464" s="87" t="s">
        <v>1559</v>
      </c>
      <c r="C464" s="88" t="s">
        <v>68</v>
      </c>
      <c r="D464" s="88" t="s">
        <v>1022</v>
      </c>
      <c r="E464" s="88" t="s">
        <v>1021</v>
      </c>
      <c r="F464" s="90" t="s">
        <v>71</v>
      </c>
      <c r="G464" s="91"/>
      <c r="H464" s="92"/>
      <c r="I464" s="93" t="str">
        <f>IFERROR(IF(OR($F464="O",$G464="O",$H464="O"),CHOOSE(MATCH($A464,{"튜브","고압","진공","튜닝","조립","출하"},0),"T","H","V","N","A","P")&amp;IF($F464="O","R",IF($G464="O","A",IF($H464="O","F",""))),""),"")</f>
        <v/>
      </c>
      <c r="J464" s="94" t="s">
        <v>71</v>
      </c>
      <c r="K464" s="95" t="s">
        <v>71</v>
      </c>
      <c r="L464" s="96"/>
      <c r="M464" s="97"/>
      <c r="N464" s="98"/>
      <c r="O464" s="99"/>
      <c r="P464" s="100" t="str">
        <f t="shared" si="7"/>
        <v/>
      </c>
      <c r="Q464" s="102" t="s">
        <v>1560</v>
      </c>
      <c r="R464" s="108" t="str">
        <f>HYPERLINK("#'마스터_품목'!A598","→ 마스터 R598")</f>
        <v>→ 마스터 R598</v>
      </c>
      <c r="S464" s="109">
        <v>598</v>
      </c>
      <c r="T464" s="109" t="s">
        <v>72</v>
      </c>
    </row>
    <row r="465" spans="1:20" ht="48" customHeight="1" x14ac:dyDescent="0.3">
      <c r="A465" s="124" t="s">
        <v>771</v>
      </c>
      <c r="B465" s="87" t="s">
        <v>1549</v>
      </c>
      <c r="C465" s="88" t="s">
        <v>68</v>
      </c>
      <c r="D465" s="88" t="s">
        <v>1562</v>
      </c>
      <c r="E465" s="88"/>
      <c r="F465" s="90" t="s">
        <v>71</v>
      </c>
      <c r="G465" s="91"/>
      <c r="H465" s="92"/>
      <c r="I465" s="93" t="str">
        <f>IFERROR(IF(OR($F465="O",$G465="O",$H465="O"),CHOOSE(MATCH($A465,{"튜브","고압","진공","튜닝","조립","출하"},0),"T","H","V","N","A","P")&amp;IF($F465="O","R",IF($G465="O","A",IF($H465="O","F",""))),""),"")</f>
        <v>PR</v>
      </c>
      <c r="J465" s="122" t="s">
        <v>71</v>
      </c>
      <c r="K465" s="95"/>
      <c r="L465" s="96"/>
      <c r="M465" s="120" t="s">
        <v>71</v>
      </c>
      <c r="N465" s="98"/>
      <c r="O465" s="99"/>
      <c r="P465" s="100" t="str">
        <f t="shared" si="7"/>
        <v>37-PR</v>
      </c>
      <c r="Q465" s="102" t="s">
        <v>1563</v>
      </c>
      <c r="R465" s="108" t="str">
        <f>HYPERLINK("#'마스터_품목'!A788","→ 마스터 R788")</f>
        <v>→ 마스터 R788</v>
      </c>
      <c r="S465" s="109">
        <v>788</v>
      </c>
      <c r="T465" s="109" t="s">
        <v>72</v>
      </c>
    </row>
    <row r="466" spans="1:20" ht="48" customHeight="1" x14ac:dyDescent="0.3">
      <c r="A466" s="124" t="s">
        <v>771</v>
      </c>
      <c r="B466" s="87" t="s">
        <v>1549</v>
      </c>
      <c r="C466" s="88" t="s">
        <v>68</v>
      </c>
      <c r="D466" s="88" t="s">
        <v>1564</v>
      </c>
      <c r="E466" s="88"/>
      <c r="F466" s="90" t="s">
        <v>71</v>
      </c>
      <c r="G466" s="91"/>
      <c r="H466" s="92"/>
      <c r="I466" s="93" t="str">
        <f>IFERROR(IF(OR($F466="O",$G466="O",$H466="O"),CHOOSE(MATCH($A466,{"튜브","고압","진공","튜닝","조립","출하"},0),"T","H","V","N","A","P")&amp;IF($F466="O","R",IF($G466="O","A",IF($H466="O","F",""))),""),"")</f>
        <v>PR</v>
      </c>
      <c r="J466" s="122" t="s">
        <v>71</v>
      </c>
      <c r="K466" s="95"/>
      <c r="L466" s="96"/>
      <c r="M466" s="120" t="s">
        <v>71</v>
      </c>
      <c r="N466" s="98"/>
      <c r="O466" s="99"/>
      <c r="P466" s="100" t="str">
        <f t="shared" si="7"/>
        <v>37-PR</v>
      </c>
      <c r="Q466" s="102" t="s">
        <v>1563</v>
      </c>
      <c r="R466" s="108" t="str">
        <f>HYPERLINK("#'마스터_품목'!A789","→ 마스터 R789")</f>
        <v>→ 마스터 R789</v>
      </c>
      <c r="S466" s="109">
        <v>789</v>
      </c>
      <c r="T466" s="109" t="s">
        <v>72</v>
      </c>
    </row>
    <row r="467" spans="1:20" ht="48" customHeight="1" x14ac:dyDescent="0.3">
      <c r="A467" s="124" t="s">
        <v>354</v>
      </c>
      <c r="B467" s="87" t="s">
        <v>1565</v>
      </c>
      <c r="C467" s="88" t="s">
        <v>195</v>
      </c>
      <c r="D467" s="88" t="s">
        <v>1566</v>
      </c>
      <c r="E467" s="88"/>
      <c r="F467" s="90" t="s">
        <v>71</v>
      </c>
      <c r="G467" s="91"/>
      <c r="H467" s="92"/>
      <c r="I467" s="93" t="str">
        <f>IFERROR(IF(OR($F467="O",$G467="O",$H467="O"),CHOOSE(MATCH($A467,{"튜브","고압","진공","튜닝","조립","출하"},0),"T","H","V","N","A","P")&amp;IF($F467="O","R",IF($G467="O","A",IF($H467="O","F",""))),""),"")</f>
        <v>AR</v>
      </c>
      <c r="J467" s="122" t="s">
        <v>71</v>
      </c>
      <c r="K467" s="95"/>
      <c r="L467" s="96"/>
      <c r="M467" s="97"/>
      <c r="N467" s="98"/>
      <c r="O467" s="99"/>
      <c r="P467" s="100" t="str">
        <f t="shared" si="7"/>
        <v>3-AR</v>
      </c>
      <c r="Q467" s="102" t="s">
        <v>1396</v>
      </c>
      <c r="R467" s="108" t="str">
        <f>HYPERLINK("#'마스터_품목'!A790","→ 마스터 R790")</f>
        <v>→ 마스터 R790</v>
      </c>
      <c r="S467" s="109">
        <v>790</v>
      </c>
      <c r="T467" s="109" t="s">
        <v>72</v>
      </c>
    </row>
    <row r="468" spans="1:20" ht="48" customHeight="1" x14ac:dyDescent="0.3">
      <c r="A468" s="87" t="s">
        <v>1347</v>
      </c>
      <c r="B468" s="87" t="s">
        <v>1559</v>
      </c>
      <c r="C468" s="88" t="s">
        <v>68</v>
      </c>
      <c r="D468" s="88" t="s">
        <v>1020</v>
      </c>
      <c r="E468" s="88" t="s">
        <v>1019</v>
      </c>
      <c r="F468" s="90" t="s">
        <v>71</v>
      </c>
      <c r="G468" s="91"/>
      <c r="H468" s="92"/>
      <c r="I468" s="93" t="str">
        <f>IFERROR(IF(OR($F468="O",$G468="O",$H468="O"),CHOOSE(MATCH($A468,{"튜브","고압","진공","튜닝","조립","출하"},0),"T","H","V","N","A","P")&amp;IF($F468="O","R",IF($G468="O","A",IF($H468="O","F",""))),""),"")</f>
        <v/>
      </c>
      <c r="J468" s="94"/>
      <c r="K468" s="95"/>
      <c r="L468" s="96"/>
      <c r="M468" s="97" t="s">
        <v>71</v>
      </c>
      <c r="N468" s="98" t="s">
        <v>71</v>
      </c>
      <c r="O468" s="99"/>
      <c r="P468" s="100" t="str">
        <f t="shared" si="7"/>
        <v/>
      </c>
      <c r="Q468" s="102" t="s">
        <v>1560</v>
      </c>
      <c r="R468" s="108" t="str">
        <f>HYPERLINK("#'마스터_품목'!A597","→ 마스터 R597")</f>
        <v>→ 마스터 R597</v>
      </c>
      <c r="S468" s="109">
        <v>597</v>
      </c>
      <c r="T468" s="109" t="s">
        <v>72</v>
      </c>
    </row>
    <row r="469" spans="1:20" ht="48" customHeight="1" x14ac:dyDescent="0.3">
      <c r="A469" s="124" t="s">
        <v>771</v>
      </c>
      <c r="B469" s="87" t="s">
        <v>1559</v>
      </c>
      <c r="C469" s="88" t="s">
        <v>68</v>
      </c>
      <c r="D469" s="88" t="s">
        <v>1567</v>
      </c>
      <c r="E469" s="88"/>
      <c r="F469" s="90" t="s">
        <v>71</v>
      </c>
      <c r="G469" s="91"/>
      <c r="H469" s="92"/>
      <c r="I469" s="93" t="str">
        <f>IFERROR(IF(OR($F469="O",$G469="O",$H469="O"),CHOOSE(MATCH($A469,{"튜브","고압","진공","튜닝","조립","출하"},0),"T","H","V","N","A","P")&amp;IF($F469="O","R",IF($G469="O","A",IF($H469="O","F",""))),""),"")</f>
        <v>PR</v>
      </c>
      <c r="J469" s="94"/>
      <c r="K469" s="95"/>
      <c r="L469" s="96"/>
      <c r="M469" s="120" t="s">
        <v>71</v>
      </c>
      <c r="N469" s="121" t="s">
        <v>71</v>
      </c>
      <c r="O469" s="99"/>
      <c r="P469" s="100" t="str">
        <f t="shared" si="7"/>
        <v>78-PR</v>
      </c>
      <c r="Q469" s="102" t="s">
        <v>1561</v>
      </c>
      <c r="R469" s="108" t="str">
        <f>HYPERLINK("#'마스터_품목'!A791","→ 마스터 R791")</f>
        <v>→ 마스터 R791</v>
      </c>
      <c r="S469" s="109">
        <v>791</v>
      </c>
      <c r="T469" s="109" t="s">
        <v>72</v>
      </c>
    </row>
    <row r="470" spans="1:20" ht="48" customHeight="1" x14ac:dyDescent="0.3">
      <c r="A470" s="87" t="s">
        <v>1347</v>
      </c>
      <c r="B470" s="87" t="s">
        <v>1393</v>
      </c>
      <c r="C470" s="88" t="s">
        <v>195</v>
      </c>
      <c r="D470" s="88" t="s">
        <v>1036</v>
      </c>
      <c r="E470" s="88" t="s">
        <v>1035</v>
      </c>
      <c r="F470" s="90" t="s">
        <v>71</v>
      </c>
      <c r="G470" s="91"/>
      <c r="H470" s="92"/>
      <c r="I470" s="93" t="str">
        <f>IFERROR(IF(OR($F470="O",$G470="O",$H470="O"),CHOOSE(MATCH($A470,{"튜브","고압","진공","튜닝","조립","출하"},0),"T","H","V","N","A","P")&amp;IF($F470="O","R",IF($G470="O","A",IF($H470="O","F",""))),""),"")</f>
        <v/>
      </c>
      <c r="J470" s="94" t="s">
        <v>71</v>
      </c>
      <c r="K470" s="95"/>
      <c r="L470" s="96"/>
      <c r="M470" s="97"/>
      <c r="N470" s="98"/>
      <c r="O470" s="99"/>
      <c r="P470" s="100" t="str">
        <f t="shared" si="7"/>
        <v/>
      </c>
      <c r="Q470" s="102" t="s">
        <v>1386</v>
      </c>
      <c r="R470" s="108" t="str">
        <f>HYPERLINK("#'마스터_품목'!A606","→ 마스터 R606")</f>
        <v>→ 마스터 R606</v>
      </c>
      <c r="S470" s="109">
        <v>606</v>
      </c>
      <c r="T470" s="109" t="s">
        <v>72</v>
      </c>
    </row>
    <row r="471" spans="1:20" ht="48" customHeight="1" x14ac:dyDescent="0.3">
      <c r="A471" s="124" t="s">
        <v>771</v>
      </c>
      <c r="B471" s="87" t="s">
        <v>1559</v>
      </c>
      <c r="C471" s="88" t="s">
        <v>68</v>
      </c>
      <c r="D471" s="88" t="s">
        <v>1568</v>
      </c>
      <c r="E471" s="88"/>
      <c r="F471" s="90" t="s">
        <v>71</v>
      </c>
      <c r="G471" s="91"/>
      <c r="H471" s="92"/>
      <c r="I471" s="93" t="str">
        <f>IFERROR(IF(OR($F471="O",$G471="O",$H471="O"),CHOOSE(MATCH($A471,{"튜브","고압","진공","튜닝","조립","출하"},0),"T","H","V","N","A","P")&amp;IF($F471="O","R",IF($G471="O","A",IF($H471="O","F",""))),""),"")</f>
        <v>PR</v>
      </c>
      <c r="J471" s="122" t="s">
        <v>71</v>
      </c>
      <c r="K471" s="123" t="s">
        <v>71</v>
      </c>
      <c r="L471" s="96"/>
      <c r="M471" s="120" t="s">
        <v>71</v>
      </c>
      <c r="N471" s="98"/>
      <c r="O471" s="99"/>
      <c r="P471" s="100" t="str">
        <f t="shared" si="7"/>
        <v>347-PR</v>
      </c>
      <c r="Q471" s="102" t="s">
        <v>1561</v>
      </c>
      <c r="R471" s="108" t="str">
        <f>HYPERLINK("#'마스터_품목'!A792","→ 마스터 R792")</f>
        <v>→ 마스터 R792</v>
      </c>
      <c r="S471" s="109">
        <v>792</v>
      </c>
      <c r="T471" s="109" t="s">
        <v>72</v>
      </c>
    </row>
    <row r="472" spans="1:20" ht="48" customHeight="1" x14ac:dyDescent="0.3">
      <c r="A472" s="87" t="s">
        <v>1347</v>
      </c>
      <c r="B472" s="87" t="s">
        <v>1405</v>
      </c>
      <c r="C472" s="88" t="s">
        <v>195</v>
      </c>
      <c r="D472" s="88" t="s">
        <v>1050</v>
      </c>
      <c r="E472" s="88" t="s">
        <v>1049</v>
      </c>
      <c r="F472" s="90" t="s">
        <v>71</v>
      </c>
      <c r="G472" s="91"/>
      <c r="H472" s="92"/>
      <c r="I472" s="93" t="str">
        <f>IFERROR(IF(OR($F472="O",$G472="O",$H472="O"),CHOOSE(MATCH($A472,{"튜브","고압","진공","튜닝","조립","출하"},0),"T","H","V","N","A","P")&amp;IF($F472="O","R",IF($G472="O","A",IF($H472="O","F",""))),""),"")</f>
        <v/>
      </c>
      <c r="J472" s="94" t="s">
        <v>71</v>
      </c>
      <c r="K472" s="95"/>
      <c r="L472" s="96"/>
      <c r="M472" s="97"/>
      <c r="N472" s="98"/>
      <c r="O472" s="99"/>
      <c r="P472" s="100" t="str">
        <f t="shared" si="7"/>
        <v/>
      </c>
      <c r="Q472" s="102" t="s">
        <v>1406</v>
      </c>
      <c r="R472" s="108" t="str">
        <f>HYPERLINK("#'마스터_품목'!A613","→ 마스터 R613")</f>
        <v>→ 마스터 R613</v>
      </c>
      <c r="S472" s="109">
        <v>613</v>
      </c>
      <c r="T472" s="109" t="s">
        <v>72</v>
      </c>
    </row>
    <row r="473" spans="1:20" ht="48" customHeight="1" x14ac:dyDescent="0.3">
      <c r="A473" s="87" t="s">
        <v>1347</v>
      </c>
      <c r="B473" s="87" t="s">
        <v>1405</v>
      </c>
      <c r="C473" s="88" t="s">
        <v>195</v>
      </c>
      <c r="D473" s="88" t="s">
        <v>1048</v>
      </c>
      <c r="E473" s="88" t="s">
        <v>1047</v>
      </c>
      <c r="F473" s="90" t="s">
        <v>71</v>
      </c>
      <c r="G473" s="91"/>
      <c r="H473" s="92"/>
      <c r="I473" s="93" t="str">
        <f>IFERROR(IF(OR($F473="O",$G473="O",$H473="O"),CHOOSE(MATCH($A473,{"튜브","고압","진공","튜닝","조립","출하"},0),"T","H","V","N","A","P")&amp;IF($F473="O","R",IF($G473="O","A",IF($H473="O","F",""))),""),"")</f>
        <v/>
      </c>
      <c r="J473" s="94" t="s">
        <v>71</v>
      </c>
      <c r="K473" s="95"/>
      <c r="L473" s="96"/>
      <c r="M473" s="97"/>
      <c r="N473" s="98"/>
      <c r="O473" s="99"/>
      <c r="P473" s="100" t="str">
        <f t="shared" si="7"/>
        <v/>
      </c>
      <c r="Q473" s="102" t="s">
        <v>1406</v>
      </c>
      <c r="R473" s="108" t="str">
        <f>HYPERLINK("#'마스터_품목'!A612","→ 마스터 R612")</f>
        <v>→ 마스터 R612</v>
      </c>
      <c r="S473" s="109">
        <v>612</v>
      </c>
      <c r="T473" s="109" t="s">
        <v>72</v>
      </c>
    </row>
    <row r="474" spans="1:20" ht="48" customHeight="1" x14ac:dyDescent="0.3">
      <c r="A474" s="87" t="s">
        <v>1347</v>
      </c>
      <c r="B474" s="87" t="s">
        <v>1405</v>
      </c>
      <c r="C474" s="88" t="s">
        <v>195</v>
      </c>
      <c r="D474" s="88" t="s">
        <v>1052</v>
      </c>
      <c r="E474" s="88" t="s">
        <v>1051</v>
      </c>
      <c r="F474" s="90" t="s">
        <v>71</v>
      </c>
      <c r="G474" s="91"/>
      <c r="H474" s="92"/>
      <c r="I474" s="93" t="str">
        <f>IFERROR(IF(OR($F474="O",$G474="O",$H474="O"),CHOOSE(MATCH($A474,{"튜브","고압","진공","튜닝","조립","출하"},0),"T","H","V","N","A","P")&amp;IF($F474="O","R",IF($G474="O","A",IF($H474="O","F",""))),""),"")</f>
        <v/>
      </c>
      <c r="J474" s="94" t="s">
        <v>71</v>
      </c>
      <c r="K474" s="95"/>
      <c r="L474" s="96"/>
      <c r="M474" s="97"/>
      <c r="N474" s="98"/>
      <c r="O474" s="99"/>
      <c r="P474" s="100" t="str">
        <f t="shared" si="7"/>
        <v/>
      </c>
      <c r="Q474" s="102" t="s">
        <v>1406</v>
      </c>
      <c r="R474" s="108" t="str">
        <f>HYPERLINK("#'마스터_품목'!A614","→ 마스터 R614")</f>
        <v>→ 마스터 R614</v>
      </c>
      <c r="S474" s="109">
        <v>614</v>
      </c>
      <c r="T474" s="109" t="s">
        <v>72</v>
      </c>
    </row>
    <row r="475" spans="1:20" ht="48" customHeight="1" x14ac:dyDescent="0.3">
      <c r="A475" s="87" t="s">
        <v>1347</v>
      </c>
      <c r="B475" s="87" t="s">
        <v>1559</v>
      </c>
      <c r="C475" s="88" t="s">
        <v>117</v>
      </c>
      <c r="D475" s="88" t="s">
        <v>1029</v>
      </c>
      <c r="E475" s="88" t="s">
        <v>1569</v>
      </c>
      <c r="F475" s="90" t="s">
        <v>71</v>
      </c>
      <c r="G475" s="91"/>
      <c r="H475" s="92"/>
      <c r="I475" s="93" t="str">
        <f>IFERROR(IF(OR($F475="O",$G475="O",$H475="O"),CHOOSE(MATCH($A475,{"튜브","고압","진공","튜닝","조립","출하"},0),"T","H","V","N","A","P")&amp;IF($F475="O","R",IF($G475="O","A",IF($H475="O","F",""))),""),"")</f>
        <v/>
      </c>
      <c r="J475" s="94"/>
      <c r="K475" s="95"/>
      <c r="L475" s="96" t="s">
        <v>71</v>
      </c>
      <c r="M475" s="97"/>
      <c r="N475" s="98"/>
      <c r="O475" s="99"/>
      <c r="P475" s="100" t="str">
        <f t="shared" si="7"/>
        <v/>
      </c>
      <c r="Q475" s="102" t="s">
        <v>1560</v>
      </c>
      <c r="R475" s="108" t="str">
        <f>HYPERLINK("#'마스터_품목'!A602","→ 마스터 R602")</f>
        <v>→ 마스터 R602</v>
      </c>
      <c r="S475" s="109">
        <v>602</v>
      </c>
      <c r="T475" s="109" t="s">
        <v>72</v>
      </c>
    </row>
    <row r="476" spans="1:20" ht="48" customHeight="1" x14ac:dyDescent="0.3">
      <c r="A476" s="124" t="s">
        <v>771</v>
      </c>
      <c r="B476" s="87" t="s">
        <v>1559</v>
      </c>
      <c r="C476" s="88" t="s">
        <v>117</v>
      </c>
      <c r="D476" s="88" t="s">
        <v>1570</v>
      </c>
      <c r="E476" s="88"/>
      <c r="F476" s="90" t="s">
        <v>71</v>
      </c>
      <c r="G476" s="91"/>
      <c r="H476" s="92"/>
      <c r="I476" s="93" t="str">
        <f>IFERROR(IF(OR($F476="O",$G476="O",$H476="O"),CHOOSE(MATCH($A476,{"튜브","고압","진공","튜닝","조립","출하"},0),"T","H","V","N","A","P")&amp;IF($F476="O","R",IF($G476="O","A",IF($H476="O","F",""))),""),"")</f>
        <v>PR</v>
      </c>
      <c r="J476" s="94"/>
      <c r="K476" s="95"/>
      <c r="L476" s="119" t="s">
        <v>71</v>
      </c>
      <c r="M476" s="97"/>
      <c r="N476" s="98"/>
      <c r="O476" s="99"/>
      <c r="P476" s="100" t="str">
        <f t="shared" si="7"/>
        <v>6-PR</v>
      </c>
      <c r="Q476" s="102" t="s">
        <v>1561</v>
      </c>
      <c r="R476" s="108" t="str">
        <f>HYPERLINK("#'마스터_품목'!A793","→ 마스터 R793")</f>
        <v>→ 마스터 R793</v>
      </c>
      <c r="S476" s="109">
        <v>793</v>
      </c>
      <c r="T476" s="109" t="s">
        <v>72</v>
      </c>
    </row>
    <row r="477" spans="1:20" ht="48" customHeight="1" x14ac:dyDescent="0.3">
      <c r="A477" s="124" t="s">
        <v>771</v>
      </c>
      <c r="B477" s="87" t="s">
        <v>1559</v>
      </c>
      <c r="C477" s="88" t="s">
        <v>117</v>
      </c>
      <c r="D477" s="88" t="s">
        <v>1571</v>
      </c>
      <c r="E477" s="88"/>
      <c r="F477" s="90" t="s">
        <v>71</v>
      </c>
      <c r="G477" s="91"/>
      <c r="H477" s="92"/>
      <c r="I477" s="93" t="str">
        <f>IFERROR(IF(OR($F477="O",$G477="O",$H477="O"),CHOOSE(MATCH($A477,{"튜브","고압","진공","튜닝","조립","출하"},0),"T","H","V","N","A","P")&amp;IF($F477="O","R",IF($G477="O","A",IF($H477="O","F",""))),""),"")</f>
        <v>PR</v>
      </c>
      <c r="J477" s="94"/>
      <c r="K477" s="95"/>
      <c r="L477" s="119" t="s">
        <v>71</v>
      </c>
      <c r="M477" s="97"/>
      <c r="N477" s="98"/>
      <c r="O477" s="99"/>
      <c r="P477" s="100" t="str">
        <f t="shared" si="7"/>
        <v>6-PR</v>
      </c>
      <c r="Q477" s="102" t="s">
        <v>1560</v>
      </c>
      <c r="R477" s="108" t="str">
        <f>HYPERLINK("#'마스터_품목'!A794","→ 마스터 R794")</f>
        <v>→ 마스터 R794</v>
      </c>
      <c r="S477" s="109">
        <v>794</v>
      </c>
      <c r="T477" s="109" t="s">
        <v>72</v>
      </c>
    </row>
    <row r="478" spans="1:20" ht="48" customHeight="1" x14ac:dyDescent="0.3">
      <c r="A478" s="87" t="s">
        <v>1347</v>
      </c>
      <c r="B478" s="87" t="s">
        <v>1393</v>
      </c>
      <c r="C478" s="88" t="s">
        <v>117</v>
      </c>
      <c r="D478" s="88" t="s">
        <v>1040</v>
      </c>
      <c r="E478" s="88" t="s">
        <v>1039</v>
      </c>
      <c r="F478" s="90" t="s">
        <v>71</v>
      </c>
      <c r="G478" s="91"/>
      <c r="H478" s="92"/>
      <c r="I478" s="93" t="str">
        <f>IFERROR(IF(OR($F478="O",$G478="O",$H478="O"),CHOOSE(MATCH($A478,{"튜브","고압","진공","튜닝","조립","출하"},0),"T","H","V","N","A","P")&amp;IF($F478="O","R",IF($G478="O","A",IF($H478="O","F",""))),""),"")</f>
        <v/>
      </c>
      <c r="J478" s="94"/>
      <c r="K478" s="95"/>
      <c r="L478" s="96" t="s">
        <v>71</v>
      </c>
      <c r="M478" s="97"/>
      <c r="N478" s="98"/>
      <c r="O478" s="99"/>
      <c r="P478" s="100" t="str">
        <f t="shared" si="7"/>
        <v/>
      </c>
      <c r="Q478" s="102" t="s">
        <v>1386</v>
      </c>
      <c r="R478" s="108" t="str">
        <f>HYPERLINK("#'마스터_품목'!A608","→ 마스터 R608")</f>
        <v>→ 마스터 R608</v>
      </c>
      <c r="S478" s="109">
        <v>608</v>
      </c>
      <c r="T478" s="109" t="s">
        <v>72</v>
      </c>
    </row>
    <row r="479" spans="1:20" ht="48" customHeight="1" x14ac:dyDescent="0.3">
      <c r="A479" s="87" t="s">
        <v>1347</v>
      </c>
      <c r="B479" s="87" t="s">
        <v>1405</v>
      </c>
      <c r="C479" s="88" t="s">
        <v>117</v>
      </c>
      <c r="D479" s="88" t="s">
        <v>1076</v>
      </c>
      <c r="E479" s="88" t="s">
        <v>1075</v>
      </c>
      <c r="F479" s="90" t="s">
        <v>71</v>
      </c>
      <c r="G479" s="91"/>
      <c r="H479" s="92"/>
      <c r="I479" s="93" t="str">
        <f>IFERROR(IF(OR($F479="O",$G479="O",$H479="O"),CHOOSE(MATCH($A479,{"튜브","고압","진공","튜닝","조립","출하"},0),"T","H","V","N","A","P")&amp;IF($F479="O","R",IF($G479="O","A",IF($H479="O","F",""))),""),"")</f>
        <v/>
      </c>
      <c r="J479" s="94"/>
      <c r="K479" s="95"/>
      <c r="L479" s="96" t="s">
        <v>71</v>
      </c>
      <c r="M479" s="97"/>
      <c r="N479" s="98"/>
      <c r="O479" s="99"/>
      <c r="P479" s="100" t="str">
        <f t="shared" si="7"/>
        <v/>
      </c>
      <c r="Q479" s="102" t="s">
        <v>1406</v>
      </c>
      <c r="R479" s="108" t="str">
        <f>HYPERLINK("#'마스터_품목'!A626","→ 마스터 R626")</f>
        <v>→ 마스터 R626</v>
      </c>
      <c r="S479" s="109">
        <v>626</v>
      </c>
      <c r="T479" s="109" t="s">
        <v>72</v>
      </c>
    </row>
    <row r="480" spans="1:20" ht="48" customHeight="1" x14ac:dyDescent="0.3">
      <c r="A480" s="87" t="s">
        <v>1347</v>
      </c>
      <c r="B480" s="87" t="s">
        <v>1405</v>
      </c>
      <c r="C480" s="88" t="s">
        <v>117</v>
      </c>
      <c r="D480" s="88" t="s">
        <v>1078</v>
      </c>
      <c r="E480" s="88" t="s">
        <v>1077</v>
      </c>
      <c r="F480" s="90" t="s">
        <v>71</v>
      </c>
      <c r="G480" s="91"/>
      <c r="H480" s="92"/>
      <c r="I480" s="93" t="str">
        <f>IFERROR(IF(OR($F480="O",$G480="O",$H480="O"),CHOOSE(MATCH($A480,{"튜브","고압","진공","튜닝","조립","출하"},0),"T","H","V","N","A","P")&amp;IF($F480="O","R",IF($G480="O","A",IF($H480="O","F",""))),""),"")</f>
        <v/>
      </c>
      <c r="J480" s="94"/>
      <c r="K480" s="95"/>
      <c r="L480" s="96" t="s">
        <v>71</v>
      </c>
      <c r="M480" s="97"/>
      <c r="N480" s="98"/>
      <c r="O480" s="99"/>
      <c r="P480" s="100" t="str">
        <f t="shared" si="7"/>
        <v/>
      </c>
      <c r="Q480" s="102" t="s">
        <v>1406</v>
      </c>
      <c r="R480" s="108" t="str">
        <f>HYPERLINK("#'마스터_품목'!A627","→ 마스터 R627")</f>
        <v>→ 마스터 R627</v>
      </c>
      <c r="S480" s="109">
        <v>627</v>
      </c>
      <c r="T480" s="109" t="s">
        <v>72</v>
      </c>
    </row>
    <row r="481" spans="1:20" ht="48" customHeight="1" x14ac:dyDescent="0.3">
      <c r="A481" s="124" t="s">
        <v>771</v>
      </c>
      <c r="B481" s="87" t="s">
        <v>1405</v>
      </c>
      <c r="C481" s="88" t="s">
        <v>117</v>
      </c>
      <c r="D481" s="88" t="s">
        <v>1572</v>
      </c>
      <c r="E481" s="88"/>
      <c r="F481" s="90" t="s">
        <v>71</v>
      </c>
      <c r="G481" s="91"/>
      <c r="H481" s="92"/>
      <c r="I481" s="93" t="str">
        <f>IFERROR(IF(OR($F481="O",$G481="O",$H481="O"),CHOOSE(MATCH($A481,{"튜브","고압","진공","튜닝","조립","출하"},0),"T","H","V","N","A","P")&amp;IF($F481="O","R",IF($G481="O","A",IF($H481="O","F",""))),""),"")</f>
        <v>PR</v>
      </c>
      <c r="J481" s="94"/>
      <c r="K481" s="95"/>
      <c r="L481" s="119" t="s">
        <v>71</v>
      </c>
      <c r="M481" s="97"/>
      <c r="N481" s="98"/>
      <c r="O481" s="99"/>
      <c r="P481" s="100" t="str">
        <f t="shared" si="7"/>
        <v>6-PR</v>
      </c>
      <c r="Q481" s="102" t="s">
        <v>1406</v>
      </c>
      <c r="R481" s="108" t="str">
        <f>HYPERLINK("#'마스터_품목'!A795","→ 마스터 R795")</f>
        <v>→ 마스터 R795</v>
      </c>
      <c r="S481" s="109">
        <v>795</v>
      </c>
      <c r="T481" s="109" t="s">
        <v>72</v>
      </c>
    </row>
    <row r="482" spans="1:20" ht="48" customHeight="1" x14ac:dyDescent="0.3">
      <c r="A482" s="124" t="s">
        <v>771</v>
      </c>
      <c r="B482" s="87" t="s">
        <v>1405</v>
      </c>
      <c r="C482" s="88" t="s">
        <v>117</v>
      </c>
      <c r="D482" s="88" t="s">
        <v>1573</v>
      </c>
      <c r="E482" s="88"/>
      <c r="F482" s="90" t="s">
        <v>71</v>
      </c>
      <c r="G482" s="91"/>
      <c r="H482" s="92"/>
      <c r="I482" s="93" t="str">
        <f>IFERROR(IF(OR($F482="O",$G482="O",$H482="O"),CHOOSE(MATCH($A482,{"튜브","고압","진공","튜닝","조립","출하"},0),"T","H","V","N","A","P")&amp;IF($F482="O","R",IF($G482="O","A",IF($H482="O","F",""))),""),"")</f>
        <v>PR</v>
      </c>
      <c r="J482" s="122" t="s">
        <v>71</v>
      </c>
      <c r="K482" s="123" t="s">
        <v>71</v>
      </c>
      <c r="L482" s="119" t="s">
        <v>71</v>
      </c>
      <c r="M482" s="120" t="s">
        <v>71</v>
      </c>
      <c r="N482" s="121" t="s">
        <v>71</v>
      </c>
      <c r="O482" s="99"/>
      <c r="P482" s="100" t="str">
        <f t="shared" si="7"/>
        <v>34678-PR</v>
      </c>
      <c r="Q482" s="102" t="s">
        <v>1406</v>
      </c>
      <c r="R482" s="108" t="str">
        <f>HYPERLINK("#'마스터_품목'!A796","→ 마스터 R796")</f>
        <v>→ 마스터 R796</v>
      </c>
      <c r="S482" s="109">
        <v>796</v>
      </c>
      <c r="T482" s="109" t="s">
        <v>72</v>
      </c>
    </row>
    <row r="483" spans="1:20" ht="48" customHeight="1" x14ac:dyDescent="0.3">
      <c r="A483" s="124" t="s">
        <v>771</v>
      </c>
      <c r="B483" s="87" t="s">
        <v>1405</v>
      </c>
      <c r="C483" s="88" t="s">
        <v>117</v>
      </c>
      <c r="D483" s="88" t="s">
        <v>1574</v>
      </c>
      <c r="E483" s="88"/>
      <c r="F483" s="90" t="s">
        <v>71</v>
      </c>
      <c r="G483" s="91"/>
      <c r="H483" s="92"/>
      <c r="I483" s="93" t="str">
        <f>IFERROR(IF(OR($F483="O",$G483="O",$H483="O"),CHOOSE(MATCH($A483,{"튜브","고압","진공","튜닝","조립","출하"},0),"T","H","V","N","A","P")&amp;IF($F483="O","R",IF($G483="O","A",IF($H483="O","F",""))),""),"")</f>
        <v>PR</v>
      </c>
      <c r="J483" s="94"/>
      <c r="K483" s="95"/>
      <c r="L483" s="119" t="s">
        <v>71</v>
      </c>
      <c r="M483" s="97"/>
      <c r="N483" s="98"/>
      <c r="O483" s="99"/>
      <c r="P483" s="100" t="str">
        <f t="shared" si="7"/>
        <v>6-PR</v>
      </c>
      <c r="Q483" s="113" t="s">
        <v>1406</v>
      </c>
      <c r="R483" s="108" t="str">
        <f>HYPERLINK("#'마스터_품목'!A797","→ 마스터 R797")</f>
        <v>→ 마스터 R797</v>
      </c>
      <c r="S483" s="109">
        <v>797</v>
      </c>
      <c r="T483" s="109" t="s">
        <v>72</v>
      </c>
    </row>
    <row r="484" spans="1:20" ht="48" customHeight="1" x14ac:dyDescent="0.3">
      <c r="A484" s="124" t="s">
        <v>771</v>
      </c>
      <c r="B484" s="87" t="s">
        <v>1575</v>
      </c>
      <c r="C484" s="88" t="s">
        <v>333</v>
      </c>
      <c r="D484" s="88" t="s">
        <v>1576</v>
      </c>
      <c r="E484" s="88"/>
      <c r="F484" s="90" t="s">
        <v>71</v>
      </c>
      <c r="G484" s="91"/>
      <c r="H484" s="92"/>
      <c r="I484" s="93" t="str">
        <f>IFERROR(IF(OR($F484="O",$G484="O",$H484="O"),CHOOSE(MATCH($A484,{"튜브","고압","진공","튜닝","조립","출하"},0),"T","H","V","N","A","P")&amp;IF($F484="O","R",IF($G484="O","A",IF($H484="O","F",""))),""),"")</f>
        <v>PR</v>
      </c>
      <c r="J484" s="94"/>
      <c r="K484" s="95"/>
      <c r="L484" s="119" t="s">
        <v>71</v>
      </c>
      <c r="M484" s="97"/>
      <c r="N484" s="98"/>
      <c r="O484" s="99"/>
      <c r="P484" s="100" t="str">
        <f t="shared" si="7"/>
        <v>6-PR</v>
      </c>
      <c r="Q484" s="102" t="s">
        <v>1577</v>
      </c>
      <c r="R484" s="108" t="str">
        <f>HYPERLINK("#'마스터_품목'!A798","→ 마스터 R798")</f>
        <v>→ 마스터 R798</v>
      </c>
      <c r="S484" s="109">
        <v>798</v>
      </c>
      <c r="T484" s="109" t="s">
        <v>72</v>
      </c>
    </row>
    <row r="485" spans="1:20" ht="48" customHeight="1" x14ac:dyDescent="0.3">
      <c r="A485" s="124" t="s">
        <v>771</v>
      </c>
      <c r="B485" s="87" t="s">
        <v>1578</v>
      </c>
      <c r="C485" s="88" t="s">
        <v>68</v>
      </c>
      <c r="D485" s="88" t="s">
        <v>1579</v>
      </c>
      <c r="E485" s="88"/>
      <c r="F485" s="90" t="s">
        <v>71</v>
      </c>
      <c r="G485" s="91"/>
      <c r="H485" s="92"/>
      <c r="I485" s="93" t="str">
        <f>IFERROR(IF(OR($F485="O",$G485="O",$H485="O"),CHOOSE(MATCH($A485,{"튜브","고압","진공","튜닝","조립","출하"},0),"T","H","V","N","A","P")&amp;IF($F485="O","R",IF($G485="O","A",IF($H485="O","F",""))),""),"")</f>
        <v>PR</v>
      </c>
      <c r="J485" s="122" t="s">
        <v>71</v>
      </c>
      <c r="K485" s="95"/>
      <c r="L485" s="96"/>
      <c r="M485" s="97"/>
      <c r="N485" s="98"/>
      <c r="O485" s="99"/>
      <c r="P485" s="100" t="str">
        <f t="shared" si="7"/>
        <v>3-PR</v>
      </c>
      <c r="Q485" s="102" t="s">
        <v>1580</v>
      </c>
      <c r="R485" s="108" t="str">
        <f>HYPERLINK("#'마스터_품목'!A799","→ 마스터 R799")</f>
        <v>→ 마스터 R799</v>
      </c>
      <c r="S485" s="109">
        <v>799</v>
      </c>
      <c r="T485" s="109" t="s">
        <v>72</v>
      </c>
    </row>
    <row r="486" spans="1:20" ht="48" customHeight="1" x14ac:dyDescent="0.3">
      <c r="A486" s="124" t="s">
        <v>771</v>
      </c>
      <c r="B486" s="87" t="s">
        <v>1581</v>
      </c>
      <c r="C486" s="88" t="s">
        <v>68</v>
      </c>
      <c r="D486" s="88" t="s">
        <v>1098</v>
      </c>
      <c r="E486" s="88" t="s">
        <v>1097</v>
      </c>
      <c r="F486" s="90" t="s">
        <v>71</v>
      </c>
      <c r="G486" s="91"/>
      <c r="H486" s="92"/>
      <c r="I486" s="93" t="str">
        <f>IFERROR(IF(OR($F486="O",$G486="O",$H486="O"),CHOOSE(MATCH($A486,{"튜브","고압","진공","튜닝","조립","출하"},0),"T","H","V","N","A","P")&amp;IF($F486="O","R",IF($G486="O","A",IF($H486="O","F",""))),""),"")</f>
        <v>PR</v>
      </c>
      <c r="J486" s="122" t="s">
        <v>71</v>
      </c>
      <c r="K486" s="123" t="s">
        <v>71</v>
      </c>
      <c r="L486" s="119" t="s">
        <v>71</v>
      </c>
      <c r="M486" s="120" t="s">
        <v>71</v>
      </c>
      <c r="N486" s="121" t="s">
        <v>71</v>
      </c>
      <c r="O486" s="99"/>
      <c r="P486" s="100" t="str">
        <f t="shared" si="7"/>
        <v>34678-PR</v>
      </c>
      <c r="Q486" s="114"/>
      <c r="R486" s="108" t="str">
        <f>HYPERLINK("#'마스터_품목'!A637","→ 마스터 R637")</f>
        <v>→ 마스터 R637</v>
      </c>
      <c r="S486" s="109">
        <v>637</v>
      </c>
      <c r="T486" s="109" t="s">
        <v>72</v>
      </c>
    </row>
    <row r="487" spans="1:20" ht="48" customHeight="1" x14ac:dyDescent="0.3">
      <c r="A487" s="124" t="s">
        <v>771</v>
      </c>
      <c r="B487" s="87" t="s">
        <v>1582</v>
      </c>
      <c r="C487" s="88" t="s">
        <v>68</v>
      </c>
      <c r="D487" s="88" t="s">
        <v>1583</v>
      </c>
      <c r="E487" s="88"/>
      <c r="F487" s="90" t="s">
        <v>71</v>
      </c>
      <c r="G487" s="91"/>
      <c r="H487" s="92"/>
      <c r="I487" s="93" t="str">
        <f>IFERROR(IF(OR($F487="O",$G487="O",$H487="O"),CHOOSE(MATCH($A487,{"튜브","고압","진공","튜닝","조립","출하"},0),"T","H","V","N","A","P")&amp;IF($F487="O","R",IF($G487="O","A",IF($H487="O","F",""))),""),"")</f>
        <v>PR</v>
      </c>
      <c r="J487" s="122" t="s">
        <v>71</v>
      </c>
      <c r="K487" s="123" t="s">
        <v>71</v>
      </c>
      <c r="L487" s="119" t="s">
        <v>71</v>
      </c>
      <c r="M487" s="120" t="s">
        <v>71</v>
      </c>
      <c r="N487" s="121" t="s">
        <v>71</v>
      </c>
      <c r="O487" s="99"/>
      <c r="P487" s="100" t="str">
        <f t="shared" si="7"/>
        <v>34678-PR</v>
      </c>
      <c r="Q487" s="102" t="s">
        <v>1384</v>
      </c>
      <c r="R487" s="108" t="str">
        <f>HYPERLINK("#'마스터_품목'!A800","→ 마스터 R800")</f>
        <v>→ 마스터 R800</v>
      </c>
      <c r="S487" s="109">
        <v>800</v>
      </c>
      <c r="T487" s="109" t="s">
        <v>72</v>
      </c>
    </row>
    <row r="488" spans="1:20" ht="48" customHeight="1" x14ac:dyDescent="0.3">
      <c r="A488" s="124" t="s">
        <v>771</v>
      </c>
      <c r="B488" s="87" t="s">
        <v>1096</v>
      </c>
      <c r="C488" s="88" t="s">
        <v>68</v>
      </c>
      <c r="D488" s="88" t="s">
        <v>1584</v>
      </c>
      <c r="E488" s="88"/>
      <c r="F488" s="90" t="s">
        <v>71</v>
      </c>
      <c r="G488" s="91"/>
      <c r="H488" s="92"/>
      <c r="I488" s="93" t="str">
        <f>IFERROR(IF(OR($F488="O",$G488="O",$H488="O"),CHOOSE(MATCH($A488,{"튜브","고압","진공","튜닝","조립","출하"},0),"T","H","V","N","A","P")&amp;IF($F488="O","R",IF($G488="O","A",IF($H488="O","F",""))),""),"")</f>
        <v>PR</v>
      </c>
      <c r="J488" s="122" t="s">
        <v>71</v>
      </c>
      <c r="K488" s="123" t="s">
        <v>71</v>
      </c>
      <c r="L488" s="119" t="s">
        <v>71</v>
      </c>
      <c r="M488" s="120" t="s">
        <v>71</v>
      </c>
      <c r="N488" s="121" t="s">
        <v>71</v>
      </c>
      <c r="O488" s="99"/>
      <c r="P488" s="100" t="str">
        <f t="shared" si="7"/>
        <v>34678-PR</v>
      </c>
      <c r="Q488" s="102" t="s">
        <v>1585</v>
      </c>
      <c r="R488" s="108" t="str">
        <f>HYPERLINK("#'마스터_품목'!A801","→ 마스터 R801")</f>
        <v>→ 마스터 R801</v>
      </c>
      <c r="S488" s="109">
        <v>801</v>
      </c>
      <c r="T488" s="109" t="s">
        <v>72</v>
      </c>
    </row>
    <row r="489" spans="1:20" ht="48" customHeight="1" x14ac:dyDescent="0.3">
      <c r="A489" s="124" t="s">
        <v>771</v>
      </c>
      <c r="B489" s="87" t="s">
        <v>1096</v>
      </c>
      <c r="C489" s="88" t="s">
        <v>68</v>
      </c>
      <c r="D489" s="88" t="s">
        <v>1100</v>
      </c>
      <c r="E489" s="88" t="s">
        <v>1099</v>
      </c>
      <c r="F489" s="90" t="s">
        <v>71</v>
      </c>
      <c r="G489" s="91"/>
      <c r="H489" s="92"/>
      <c r="I489" s="93" t="str">
        <f>IFERROR(IF(OR($F489="O",$G489="O",$H489="O"),CHOOSE(MATCH($A489,{"튜브","고압","진공","튜닝","조립","출하"},0),"T","H","V","N","A","P")&amp;IF($F489="O","R",IF($G489="O","A",IF($H489="O","F",""))),""),"")</f>
        <v>PR</v>
      </c>
      <c r="J489" s="122" t="s">
        <v>71</v>
      </c>
      <c r="K489" s="123" t="s">
        <v>71</v>
      </c>
      <c r="L489" s="119" t="s">
        <v>71</v>
      </c>
      <c r="M489" s="120" t="s">
        <v>71</v>
      </c>
      <c r="N489" s="121" t="s">
        <v>71</v>
      </c>
      <c r="O489" s="99"/>
      <c r="P489" s="100" t="str">
        <f t="shared" si="7"/>
        <v>34678-PR</v>
      </c>
      <c r="Q489" s="102" t="s">
        <v>1585</v>
      </c>
      <c r="R489" s="108" t="str">
        <f>HYPERLINK("#'마스터_품목'!A638","→ 마스터 R638")</f>
        <v>→ 마스터 R638</v>
      </c>
      <c r="S489" s="109">
        <v>638</v>
      </c>
      <c r="T489" s="109" t="s">
        <v>72</v>
      </c>
    </row>
    <row r="490" spans="1:20" ht="48" customHeight="1" x14ac:dyDescent="0.3">
      <c r="A490" s="124" t="s">
        <v>771</v>
      </c>
      <c r="B490" s="87" t="s">
        <v>1096</v>
      </c>
      <c r="C490" s="88" t="s">
        <v>68</v>
      </c>
      <c r="D490" s="88" t="s">
        <v>1586</v>
      </c>
      <c r="E490" s="88"/>
      <c r="F490" s="90" t="s">
        <v>71</v>
      </c>
      <c r="G490" s="91"/>
      <c r="H490" s="92"/>
      <c r="I490" s="93" t="str">
        <f>IFERROR(IF(OR($F490="O",$G490="O",$H490="O"),CHOOSE(MATCH($A490,{"튜브","고압","진공","튜닝","조립","출하"},0),"T","H","V","N","A","P")&amp;IF($F490="O","R",IF($G490="O","A",IF($H490="O","F",""))),""),"")</f>
        <v>PR</v>
      </c>
      <c r="J490" s="122" t="s">
        <v>71</v>
      </c>
      <c r="K490" s="123" t="s">
        <v>71</v>
      </c>
      <c r="L490" s="119" t="s">
        <v>71</v>
      </c>
      <c r="M490" s="120" t="s">
        <v>71</v>
      </c>
      <c r="N490" s="121" t="s">
        <v>71</v>
      </c>
      <c r="O490" s="99"/>
      <c r="P490" s="100" t="str">
        <f t="shared" si="7"/>
        <v>34678-PR</v>
      </c>
      <c r="Q490" s="102" t="s">
        <v>1585</v>
      </c>
      <c r="R490" s="108" t="str">
        <f>HYPERLINK("#'마스터_품목'!A802","→ 마스터 R802")</f>
        <v>→ 마스터 R802</v>
      </c>
      <c r="S490" s="109">
        <v>802</v>
      </c>
      <c r="T490" s="109" t="s">
        <v>72</v>
      </c>
    </row>
    <row r="491" spans="1:20" ht="48" customHeight="1" x14ac:dyDescent="0.3">
      <c r="A491" s="124" t="s">
        <v>771</v>
      </c>
      <c r="B491" s="87" t="s">
        <v>1096</v>
      </c>
      <c r="C491" s="88" t="s">
        <v>68</v>
      </c>
      <c r="D491" s="88" t="s">
        <v>1587</v>
      </c>
      <c r="E491" s="88"/>
      <c r="F491" s="90" t="s">
        <v>71</v>
      </c>
      <c r="G491" s="91"/>
      <c r="H491" s="92"/>
      <c r="I491" s="93" t="str">
        <f>IFERROR(IF(OR($F491="O",$G491="O",$H491="O"),CHOOSE(MATCH($A491,{"튜브","고압","진공","튜닝","조립","출하"},0),"T","H","V","N","A","P")&amp;IF($F491="O","R",IF($G491="O","A",IF($H491="O","F",""))),""),"")</f>
        <v>PR</v>
      </c>
      <c r="J491" s="122" t="s">
        <v>71</v>
      </c>
      <c r="K491" s="123" t="s">
        <v>71</v>
      </c>
      <c r="L491" s="119" t="s">
        <v>71</v>
      </c>
      <c r="M491" s="120" t="s">
        <v>71</v>
      </c>
      <c r="N491" s="121" t="s">
        <v>71</v>
      </c>
      <c r="O491" s="99"/>
      <c r="P491" s="100" t="str">
        <f t="shared" si="7"/>
        <v>34678-PR</v>
      </c>
      <c r="Q491" s="102" t="s">
        <v>1588</v>
      </c>
      <c r="R491" s="108" t="str">
        <f>HYPERLINK("#'마스터_품목'!A803","→ 마스터 R803")</f>
        <v>→ 마스터 R803</v>
      </c>
      <c r="S491" s="109">
        <v>803</v>
      </c>
      <c r="T491" s="109" t="s">
        <v>72</v>
      </c>
    </row>
    <row r="492" spans="1:20" ht="48" customHeight="1" x14ac:dyDescent="0.3">
      <c r="A492" s="124" t="s">
        <v>771</v>
      </c>
      <c r="B492" s="87" t="s">
        <v>1096</v>
      </c>
      <c r="C492" s="88" t="s">
        <v>68</v>
      </c>
      <c r="D492" s="88" t="s">
        <v>1104</v>
      </c>
      <c r="E492" s="88" t="s">
        <v>1103</v>
      </c>
      <c r="F492" s="90" t="s">
        <v>71</v>
      </c>
      <c r="G492" s="91"/>
      <c r="H492" s="92"/>
      <c r="I492" s="93" t="str">
        <f>IFERROR(IF(OR($F492="O",$G492="O",$H492="O"),CHOOSE(MATCH($A492,{"튜브","고압","진공","튜닝","조립","출하"},0),"T","H","V","N","A","P")&amp;IF($F492="O","R",IF($G492="O","A",IF($H492="O","F",""))),""),"")</f>
        <v>PR</v>
      </c>
      <c r="J492" s="122" t="s">
        <v>71</v>
      </c>
      <c r="K492" s="123" t="s">
        <v>71</v>
      </c>
      <c r="L492" s="119" t="s">
        <v>71</v>
      </c>
      <c r="M492" s="120" t="s">
        <v>71</v>
      </c>
      <c r="N492" s="121" t="s">
        <v>71</v>
      </c>
      <c r="O492" s="99"/>
      <c r="P492" s="100" t="str">
        <f t="shared" si="7"/>
        <v>34678-PR</v>
      </c>
      <c r="Q492" s="102" t="s">
        <v>1588</v>
      </c>
      <c r="R492" s="108" t="str">
        <f>HYPERLINK("#'마스터_품목'!A641","→ 마스터 R641")</f>
        <v>→ 마스터 R641</v>
      </c>
      <c r="S492" s="109">
        <v>641</v>
      </c>
      <c r="T492" s="109" t="s">
        <v>72</v>
      </c>
    </row>
    <row r="493" spans="1:20" ht="48" customHeight="1" x14ac:dyDescent="0.3">
      <c r="A493" s="124" t="s">
        <v>771</v>
      </c>
      <c r="B493" s="87" t="s">
        <v>1096</v>
      </c>
      <c r="C493" s="88" t="s">
        <v>68</v>
      </c>
      <c r="D493" s="88" t="s">
        <v>1106</v>
      </c>
      <c r="E493" s="88" t="s">
        <v>1105</v>
      </c>
      <c r="F493" s="90" t="s">
        <v>71</v>
      </c>
      <c r="G493" s="91"/>
      <c r="H493" s="92"/>
      <c r="I493" s="93" t="str">
        <f>IFERROR(IF(OR($F493="O",$G493="O",$H493="O"),CHOOSE(MATCH($A493,{"튜브","고압","진공","튜닝","조립","출하"},0),"T","H","V","N","A","P")&amp;IF($F493="O","R",IF($G493="O","A",IF($H493="O","F",""))),""),"")</f>
        <v>PR</v>
      </c>
      <c r="J493" s="122" t="s">
        <v>71</v>
      </c>
      <c r="K493" s="123" t="s">
        <v>71</v>
      </c>
      <c r="L493" s="119" t="s">
        <v>71</v>
      </c>
      <c r="M493" s="120" t="s">
        <v>71</v>
      </c>
      <c r="N493" s="121" t="s">
        <v>71</v>
      </c>
      <c r="O493" s="99"/>
      <c r="P493" s="100" t="str">
        <f t="shared" si="7"/>
        <v>34678-PR</v>
      </c>
      <c r="Q493" s="102" t="s">
        <v>1588</v>
      </c>
      <c r="R493" s="108" t="str">
        <f>HYPERLINK("#'마스터_품목'!A642","→ 마스터 R642")</f>
        <v>→ 마스터 R642</v>
      </c>
      <c r="S493" s="109">
        <v>642</v>
      </c>
      <c r="T493" s="109" t="s">
        <v>72</v>
      </c>
    </row>
    <row r="494" spans="1:20" ht="48" customHeight="1" x14ac:dyDescent="0.3">
      <c r="A494" s="124" t="s">
        <v>771</v>
      </c>
      <c r="B494" s="87" t="s">
        <v>1096</v>
      </c>
      <c r="C494" s="88" t="s">
        <v>68</v>
      </c>
      <c r="D494" s="88" t="s">
        <v>1108</v>
      </c>
      <c r="E494" s="88" t="s">
        <v>1107</v>
      </c>
      <c r="F494" s="90" t="s">
        <v>71</v>
      </c>
      <c r="G494" s="91"/>
      <c r="H494" s="92"/>
      <c r="I494" s="93" t="str">
        <f>IFERROR(IF(OR($F494="O",$G494="O",$H494="O"),CHOOSE(MATCH($A494,{"튜브","고압","진공","튜닝","조립","출하"},0),"T","H","V","N","A","P")&amp;IF($F494="O","R",IF($G494="O","A",IF($H494="O","F",""))),""),"")</f>
        <v>PR</v>
      </c>
      <c r="J494" s="122" t="s">
        <v>71</v>
      </c>
      <c r="K494" s="123" t="s">
        <v>71</v>
      </c>
      <c r="L494" s="119" t="s">
        <v>71</v>
      </c>
      <c r="M494" s="120" t="s">
        <v>71</v>
      </c>
      <c r="N494" s="121" t="s">
        <v>71</v>
      </c>
      <c r="O494" s="99"/>
      <c r="P494" s="100" t="str">
        <f t="shared" si="7"/>
        <v>34678-PR</v>
      </c>
      <c r="Q494" s="102" t="s">
        <v>1588</v>
      </c>
      <c r="R494" s="108" t="str">
        <f>HYPERLINK("#'마스터_품목'!A643","→ 마스터 R643")</f>
        <v>→ 마스터 R643</v>
      </c>
      <c r="S494" s="109">
        <v>643</v>
      </c>
      <c r="T494" s="109" t="s">
        <v>72</v>
      </c>
    </row>
    <row r="495" spans="1:20" ht="48" customHeight="1" x14ac:dyDescent="0.3">
      <c r="A495" s="124" t="s">
        <v>771</v>
      </c>
      <c r="B495" s="87" t="s">
        <v>1096</v>
      </c>
      <c r="C495" s="88" t="s">
        <v>68</v>
      </c>
      <c r="D495" s="88" t="s">
        <v>1110</v>
      </c>
      <c r="E495" s="88" t="s">
        <v>1109</v>
      </c>
      <c r="F495" s="90" t="s">
        <v>71</v>
      </c>
      <c r="G495" s="91"/>
      <c r="H495" s="92"/>
      <c r="I495" s="93" t="str">
        <f>IFERROR(IF(OR($F495="O",$G495="O",$H495="O"),CHOOSE(MATCH($A495,{"튜브","고압","진공","튜닝","조립","출하"},0),"T","H","V","N","A","P")&amp;IF($F495="O","R",IF($G495="O","A",IF($H495="O","F",""))),""),"")</f>
        <v>PR</v>
      </c>
      <c r="J495" s="122" t="s">
        <v>71</v>
      </c>
      <c r="K495" s="123" t="s">
        <v>71</v>
      </c>
      <c r="L495" s="119" t="s">
        <v>71</v>
      </c>
      <c r="M495" s="120" t="s">
        <v>71</v>
      </c>
      <c r="N495" s="121" t="s">
        <v>71</v>
      </c>
      <c r="O495" s="99"/>
      <c r="P495" s="100" t="str">
        <f t="shared" si="7"/>
        <v>34678-PR</v>
      </c>
      <c r="Q495" s="102" t="s">
        <v>1588</v>
      </c>
      <c r="R495" s="108" t="str">
        <f>HYPERLINK("#'마스터_품목'!A644","→ 마스터 R644")</f>
        <v>→ 마스터 R644</v>
      </c>
      <c r="S495" s="109">
        <v>644</v>
      </c>
      <c r="T495" s="109" t="s">
        <v>72</v>
      </c>
    </row>
    <row r="496" spans="1:20" ht="48" customHeight="1" x14ac:dyDescent="0.3">
      <c r="A496" s="87" t="s">
        <v>1347</v>
      </c>
      <c r="B496" s="87" t="s">
        <v>1456</v>
      </c>
      <c r="C496" s="88" t="s">
        <v>68</v>
      </c>
      <c r="D496" s="88" t="s">
        <v>1042</v>
      </c>
      <c r="E496" s="88" t="s">
        <v>1041</v>
      </c>
      <c r="F496" s="90" t="s">
        <v>71</v>
      </c>
      <c r="G496" s="91"/>
      <c r="H496" s="92"/>
      <c r="I496" s="93" t="str">
        <f>IFERROR(IF(OR($F496="O",$G496="O",$H496="O"),CHOOSE(MATCH($A496,{"튜브","고압","진공","튜닝","조립","출하"},0),"T","H","V","N","A","P")&amp;IF($F496="O","R",IF($G496="O","A",IF($H496="O","F",""))),""),"")</f>
        <v/>
      </c>
      <c r="J496" s="94" t="s">
        <v>71</v>
      </c>
      <c r="K496" s="95" t="s">
        <v>71</v>
      </c>
      <c r="L496" s="96"/>
      <c r="M496" s="97"/>
      <c r="N496" s="98"/>
      <c r="O496" s="99"/>
      <c r="P496" s="100" t="str">
        <f t="shared" si="7"/>
        <v/>
      </c>
      <c r="Q496" s="102" t="s">
        <v>1457</v>
      </c>
      <c r="R496" s="108" t="str">
        <f>HYPERLINK("#'마스터_품목'!A609","→ 마스터 R609")</f>
        <v>→ 마스터 R609</v>
      </c>
      <c r="S496" s="109">
        <v>609</v>
      </c>
      <c r="T496" s="109" t="s">
        <v>72</v>
      </c>
    </row>
    <row r="497" spans="1:20" ht="48" customHeight="1" x14ac:dyDescent="0.3">
      <c r="A497" s="124" t="s">
        <v>771</v>
      </c>
      <c r="B497" s="87" t="s">
        <v>1096</v>
      </c>
      <c r="C497" s="88" t="s">
        <v>68</v>
      </c>
      <c r="D497" s="88" t="s">
        <v>1112</v>
      </c>
      <c r="E497" s="88" t="s">
        <v>1111</v>
      </c>
      <c r="F497" s="90" t="s">
        <v>71</v>
      </c>
      <c r="G497" s="91"/>
      <c r="H497" s="92"/>
      <c r="I497" s="93" t="str">
        <f>IFERROR(IF(OR($F497="O",$G497="O",$H497="O"),CHOOSE(MATCH($A497,{"튜브","고압","진공","튜닝","조립","출하"},0),"T","H","V","N","A","P")&amp;IF($F497="O","R",IF($G497="O","A",IF($H497="O","F",""))),""),"")</f>
        <v>PR</v>
      </c>
      <c r="J497" s="122" t="s">
        <v>71</v>
      </c>
      <c r="K497" s="123" t="s">
        <v>71</v>
      </c>
      <c r="L497" s="119" t="s">
        <v>71</v>
      </c>
      <c r="M497" s="120" t="s">
        <v>71</v>
      </c>
      <c r="N497" s="121" t="s">
        <v>71</v>
      </c>
      <c r="O497" s="99"/>
      <c r="P497" s="100" t="str">
        <f t="shared" si="7"/>
        <v>34678-PR</v>
      </c>
      <c r="Q497" s="102" t="s">
        <v>1588</v>
      </c>
      <c r="R497" s="108" t="str">
        <f>HYPERLINK("#'마스터_품목'!A645","→ 마스터 R645")</f>
        <v>→ 마스터 R645</v>
      </c>
      <c r="S497" s="109">
        <v>645</v>
      </c>
      <c r="T497" s="109" t="s">
        <v>72</v>
      </c>
    </row>
    <row r="498" spans="1:20" ht="48" customHeight="1" x14ac:dyDescent="0.3">
      <c r="A498" s="87" t="s">
        <v>1347</v>
      </c>
      <c r="B498" s="87" t="s">
        <v>1407</v>
      </c>
      <c r="C498" s="88" t="s">
        <v>195</v>
      </c>
      <c r="D498" s="88" t="s">
        <v>816</v>
      </c>
      <c r="E498" s="88" t="s">
        <v>815</v>
      </c>
      <c r="F498" s="90" t="s">
        <v>71</v>
      </c>
      <c r="G498" s="91"/>
      <c r="H498" s="92"/>
      <c r="I498" s="93" t="str">
        <f>IFERROR(IF(OR($F498="O",$G498="O",$H498="O"),CHOOSE(MATCH($A498,{"튜브","고압","진공","튜닝","조립","출하"},0),"T","H","V","N","A","P")&amp;IF($F498="O","R",IF($G498="O","A",IF($H498="O","F",""))),""),"")</f>
        <v/>
      </c>
      <c r="J498" s="94" t="s">
        <v>71</v>
      </c>
      <c r="K498" s="95"/>
      <c r="L498" s="96"/>
      <c r="M498" s="97"/>
      <c r="N498" s="98"/>
      <c r="O498" s="99"/>
      <c r="P498" s="100" t="str">
        <f t="shared" si="7"/>
        <v/>
      </c>
      <c r="Q498" s="102" t="s">
        <v>1408</v>
      </c>
      <c r="R498" s="108" t="str">
        <f>HYPERLINK("#'마스터_품목'!A580","→ 마스터 R580")</f>
        <v>→ 마스터 R580</v>
      </c>
      <c r="S498" s="109">
        <v>580</v>
      </c>
      <c r="T498" s="109" t="s">
        <v>72</v>
      </c>
    </row>
    <row r="499" spans="1:20" ht="48" customHeight="1" x14ac:dyDescent="0.3">
      <c r="A499" s="124" t="s">
        <v>771</v>
      </c>
      <c r="B499" s="87" t="s">
        <v>1096</v>
      </c>
      <c r="C499" s="88" t="s">
        <v>68</v>
      </c>
      <c r="D499" s="88" t="s">
        <v>1114</v>
      </c>
      <c r="E499" s="88" t="s">
        <v>1113</v>
      </c>
      <c r="F499" s="90" t="s">
        <v>71</v>
      </c>
      <c r="G499" s="91"/>
      <c r="H499" s="92"/>
      <c r="I499" s="93" t="str">
        <f>IFERROR(IF(OR($F499="O",$G499="O",$H499="O"),CHOOSE(MATCH($A499,{"튜브","고압","진공","튜닝","조립","출하"},0),"T","H","V","N","A","P")&amp;IF($F499="O","R",IF($G499="O","A",IF($H499="O","F",""))),""),"")</f>
        <v>PR</v>
      </c>
      <c r="J499" s="94"/>
      <c r="K499" s="123" t="s">
        <v>71</v>
      </c>
      <c r="L499" s="96"/>
      <c r="M499" s="97"/>
      <c r="N499" s="98"/>
      <c r="O499" s="99"/>
      <c r="P499" s="100" t="str">
        <f t="shared" si="7"/>
        <v>4-PR</v>
      </c>
      <c r="Q499" s="102" t="s">
        <v>1589</v>
      </c>
      <c r="R499" s="108" t="str">
        <f>HYPERLINK("#'마스터_품목'!A646","→ 마스터 R646")</f>
        <v>→ 마스터 R646</v>
      </c>
      <c r="S499" s="109">
        <v>646</v>
      </c>
      <c r="T499" s="109" t="s">
        <v>72</v>
      </c>
    </row>
    <row r="500" spans="1:20" ht="48" customHeight="1" x14ac:dyDescent="0.3">
      <c r="A500" s="124" t="s">
        <v>771</v>
      </c>
      <c r="B500" s="87" t="s">
        <v>1096</v>
      </c>
      <c r="C500" s="88" t="s">
        <v>68</v>
      </c>
      <c r="D500" s="88" t="s">
        <v>1116</v>
      </c>
      <c r="E500" s="88" t="s">
        <v>1115</v>
      </c>
      <c r="F500" s="90" t="s">
        <v>71</v>
      </c>
      <c r="G500" s="91"/>
      <c r="H500" s="92"/>
      <c r="I500" s="93" t="str">
        <f>IFERROR(IF(OR($F500="O",$G500="O",$H500="O"),CHOOSE(MATCH($A500,{"튜브","고압","진공","튜닝","조립","출하"},0),"T","H","V","N","A","P")&amp;IF($F500="O","R",IF($G500="O","A",IF($H500="O","F",""))),""),"")</f>
        <v>PR</v>
      </c>
      <c r="J500" s="94"/>
      <c r="K500" s="123" t="s">
        <v>71</v>
      </c>
      <c r="L500" s="96"/>
      <c r="M500" s="97"/>
      <c r="N500" s="98"/>
      <c r="O500" s="99"/>
      <c r="P500" s="100" t="str">
        <f t="shared" si="7"/>
        <v>4-PR</v>
      </c>
      <c r="Q500" s="102" t="s">
        <v>1589</v>
      </c>
      <c r="R500" s="108" t="str">
        <f>HYPERLINK("#'마스터_품목'!A647","→ 마스터 R647")</f>
        <v>→ 마스터 R647</v>
      </c>
      <c r="S500" s="109">
        <v>647</v>
      </c>
      <c r="T500" s="109" t="s">
        <v>72</v>
      </c>
    </row>
    <row r="501" spans="1:20" ht="48" customHeight="1" x14ac:dyDescent="0.3">
      <c r="A501" s="124" t="s">
        <v>771</v>
      </c>
      <c r="B501" s="87" t="s">
        <v>1458</v>
      </c>
      <c r="C501" s="88" t="s">
        <v>1361</v>
      </c>
      <c r="D501" s="88" t="s">
        <v>1590</v>
      </c>
      <c r="E501" s="88"/>
      <c r="F501" s="90" t="s">
        <v>71</v>
      </c>
      <c r="G501" s="91"/>
      <c r="H501" s="92"/>
      <c r="I501" s="93" t="str">
        <f>IFERROR(IF(OR($F501="O",$G501="O",$H501="O"),CHOOSE(MATCH($A501,{"튜브","고압","진공","튜닝","조립","출하"},0),"T","H","V","N","A","P")&amp;IF($F501="O","R",IF($G501="O","A",IF($H501="O","F",""))),""),"")</f>
        <v>PR</v>
      </c>
      <c r="J501" s="122" t="s">
        <v>71</v>
      </c>
      <c r="K501" s="123" t="s">
        <v>71</v>
      </c>
      <c r="L501" s="96"/>
      <c r="M501" s="97"/>
      <c r="N501" s="121" t="s">
        <v>71</v>
      </c>
      <c r="O501" s="99"/>
      <c r="P501" s="100" t="str">
        <f t="shared" si="7"/>
        <v>348-PR</v>
      </c>
      <c r="Q501" s="102" t="s">
        <v>1384</v>
      </c>
      <c r="R501" s="108" t="str">
        <f>HYPERLINK("#'마스터_품목'!A804","→ 마스터 R804")</f>
        <v>→ 마스터 R804</v>
      </c>
      <c r="S501" s="109">
        <v>804</v>
      </c>
      <c r="T501" s="109" t="s">
        <v>72</v>
      </c>
    </row>
    <row r="502" spans="1:20" ht="48" customHeight="1" x14ac:dyDescent="0.3">
      <c r="A502" s="124" t="s">
        <v>771</v>
      </c>
      <c r="B502" s="87" t="s">
        <v>1591</v>
      </c>
      <c r="C502" s="88" t="s">
        <v>68</v>
      </c>
      <c r="D502" s="88" t="s">
        <v>1592</v>
      </c>
      <c r="E502" s="88"/>
      <c r="F502" s="90" t="s">
        <v>71</v>
      </c>
      <c r="G502" s="91"/>
      <c r="H502" s="92"/>
      <c r="I502" s="93" t="str">
        <f>IFERROR(IF(OR($F502="O",$G502="O",$H502="O"),CHOOSE(MATCH($A502,{"튜브","고압","진공","튜닝","조립","출하"},0),"T","H","V","N","A","P")&amp;IF($F502="O","R",IF($G502="O","A",IF($H502="O","F",""))),""),"")</f>
        <v>PR</v>
      </c>
      <c r="J502" s="94"/>
      <c r="K502" s="95"/>
      <c r="L502" s="119" t="s">
        <v>71</v>
      </c>
      <c r="M502" s="97"/>
      <c r="N502" s="98"/>
      <c r="O502" s="99"/>
      <c r="P502" s="100" t="str">
        <f t="shared" si="7"/>
        <v>6-PR</v>
      </c>
      <c r="Q502" s="102" t="s">
        <v>1408</v>
      </c>
      <c r="R502" s="108" t="str">
        <f>HYPERLINK("#'마스터_품목'!A805","→ 마스터 R805")</f>
        <v>→ 마스터 R805</v>
      </c>
      <c r="S502" s="109">
        <v>805</v>
      </c>
      <c r="T502" s="109" t="s">
        <v>72</v>
      </c>
    </row>
    <row r="503" spans="1:20" ht="48" customHeight="1" x14ac:dyDescent="0.3">
      <c r="A503" s="87" t="s">
        <v>1347</v>
      </c>
      <c r="B503" s="87" t="s">
        <v>1591</v>
      </c>
      <c r="C503" s="88" t="s">
        <v>117</v>
      </c>
      <c r="D503" s="88" t="s">
        <v>774</v>
      </c>
      <c r="E503" s="88" t="s">
        <v>773</v>
      </c>
      <c r="F503" s="90" t="s">
        <v>71</v>
      </c>
      <c r="G503" s="91"/>
      <c r="H503" s="92"/>
      <c r="I503" s="93" t="str">
        <f>IFERROR(IF(OR($F503="O",$G503="O",$H503="O"),CHOOSE(MATCH($A503,{"튜브","고압","진공","튜닝","조립","출하"},0),"T","H","V","N","A","P")&amp;IF($F503="O","R",IF($G503="O","A",IF($H503="O","F",""))),""),"")</f>
        <v/>
      </c>
      <c r="J503" s="94"/>
      <c r="K503" s="95"/>
      <c r="L503" s="96" t="s">
        <v>71</v>
      </c>
      <c r="M503" s="97"/>
      <c r="N503" s="98"/>
      <c r="O503" s="99"/>
      <c r="P503" s="100" t="str">
        <f t="shared" si="7"/>
        <v/>
      </c>
      <c r="Q503" s="102" t="s">
        <v>1408</v>
      </c>
      <c r="R503" s="108" t="str">
        <f>HYPERLINK("#'마스터_품목'!A559","→ 마스터 R559")</f>
        <v>→ 마스터 R559</v>
      </c>
      <c r="S503" s="109">
        <v>559</v>
      </c>
      <c r="T503" s="109" t="s">
        <v>72</v>
      </c>
    </row>
    <row r="504" spans="1:20" ht="48" customHeight="1" x14ac:dyDescent="0.3">
      <c r="A504" s="87" t="s">
        <v>1347</v>
      </c>
      <c r="B504" s="87" t="s">
        <v>1591</v>
      </c>
      <c r="C504" s="88" t="s">
        <v>117</v>
      </c>
      <c r="D504" s="88" t="s">
        <v>776</v>
      </c>
      <c r="E504" s="88" t="s">
        <v>775</v>
      </c>
      <c r="F504" s="90" t="s">
        <v>71</v>
      </c>
      <c r="G504" s="91"/>
      <c r="H504" s="92"/>
      <c r="I504" s="93" t="str">
        <f>IFERROR(IF(OR($F504="O",$G504="O",$H504="O"),CHOOSE(MATCH($A504,{"튜브","고압","진공","튜닝","조립","출하"},0),"T","H","V","N","A","P")&amp;IF($F504="O","R",IF($G504="O","A",IF($H504="O","F",""))),""),"")</f>
        <v/>
      </c>
      <c r="J504" s="94"/>
      <c r="K504" s="95"/>
      <c r="L504" s="96" t="s">
        <v>71</v>
      </c>
      <c r="M504" s="97"/>
      <c r="N504" s="98"/>
      <c r="O504" s="99"/>
      <c r="P504" s="100" t="str">
        <f t="shared" si="7"/>
        <v/>
      </c>
      <c r="Q504" s="102" t="s">
        <v>1408</v>
      </c>
      <c r="R504" s="108" t="str">
        <f>HYPERLINK("#'마스터_품목'!A560","→ 마스터 R560")</f>
        <v>→ 마스터 R560</v>
      </c>
      <c r="S504" s="109">
        <v>560</v>
      </c>
      <c r="T504" s="109" t="s">
        <v>72</v>
      </c>
    </row>
    <row r="505" spans="1:20" ht="48" customHeight="1" x14ac:dyDescent="0.3">
      <c r="A505" s="87" t="s">
        <v>1347</v>
      </c>
      <c r="B505" s="87" t="s">
        <v>1591</v>
      </c>
      <c r="C505" s="88" t="s">
        <v>117</v>
      </c>
      <c r="D505" s="88" t="s">
        <v>778</v>
      </c>
      <c r="E505" s="88" t="s">
        <v>777</v>
      </c>
      <c r="F505" s="90" t="s">
        <v>71</v>
      </c>
      <c r="G505" s="91"/>
      <c r="H505" s="92"/>
      <c r="I505" s="93" t="str">
        <f>IFERROR(IF(OR($F505="O",$G505="O",$H505="O"),CHOOSE(MATCH($A505,{"튜브","고압","진공","튜닝","조립","출하"},0),"T","H","V","N","A","P")&amp;IF($F505="O","R",IF($G505="O","A",IF($H505="O","F",""))),""),"")</f>
        <v/>
      </c>
      <c r="J505" s="94"/>
      <c r="K505" s="95"/>
      <c r="L505" s="96" t="s">
        <v>71</v>
      </c>
      <c r="M505" s="97"/>
      <c r="N505" s="98"/>
      <c r="O505" s="99"/>
      <c r="P505" s="100" t="str">
        <f t="shared" si="7"/>
        <v/>
      </c>
      <c r="Q505" s="102" t="s">
        <v>1408</v>
      </c>
      <c r="R505" s="108" t="str">
        <f>HYPERLINK("#'마스터_품목'!A561","→ 마스터 R561")</f>
        <v>→ 마스터 R561</v>
      </c>
      <c r="S505" s="109">
        <v>561</v>
      </c>
      <c r="T505" s="109" t="s">
        <v>72</v>
      </c>
    </row>
    <row r="506" spans="1:20" ht="48" customHeight="1" x14ac:dyDescent="0.3">
      <c r="A506" s="87" t="s">
        <v>1347</v>
      </c>
      <c r="B506" s="87" t="s">
        <v>1591</v>
      </c>
      <c r="C506" s="88" t="s">
        <v>117</v>
      </c>
      <c r="D506" s="88" t="s">
        <v>780</v>
      </c>
      <c r="E506" s="88" t="s">
        <v>779</v>
      </c>
      <c r="F506" s="90" t="s">
        <v>71</v>
      </c>
      <c r="G506" s="91"/>
      <c r="H506" s="92"/>
      <c r="I506" s="93" t="str">
        <f>IFERROR(IF(OR($F506="O",$G506="O",$H506="O"),CHOOSE(MATCH($A506,{"튜브","고압","진공","튜닝","조립","출하"},0),"T","H","V","N","A","P")&amp;IF($F506="O","R",IF($G506="O","A",IF($H506="O","F",""))),""),"")</f>
        <v/>
      </c>
      <c r="J506" s="94"/>
      <c r="K506" s="95"/>
      <c r="L506" s="96" t="s">
        <v>71</v>
      </c>
      <c r="M506" s="97"/>
      <c r="N506" s="98"/>
      <c r="O506" s="99"/>
      <c r="P506" s="100" t="str">
        <f t="shared" si="7"/>
        <v/>
      </c>
      <c r="Q506" s="102" t="s">
        <v>1408</v>
      </c>
      <c r="R506" s="108" t="str">
        <f>HYPERLINK("#'마스터_품목'!A562","→ 마스터 R562")</f>
        <v>→ 마스터 R562</v>
      </c>
      <c r="S506" s="109">
        <v>562</v>
      </c>
      <c r="T506" s="109" t="s">
        <v>72</v>
      </c>
    </row>
    <row r="507" spans="1:20" ht="48" customHeight="1" x14ac:dyDescent="0.3">
      <c r="A507" s="87" t="s">
        <v>1347</v>
      </c>
      <c r="B507" s="87" t="s">
        <v>1591</v>
      </c>
      <c r="C507" s="88" t="s">
        <v>117</v>
      </c>
      <c r="D507" s="88" t="s">
        <v>782</v>
      </c>
      <c r="E507" s="88" t="s">
        <v>781</v>
      </c>
      <c r="F507" s="90" t="s">
        <v>71</v>
      </c>
      <c r="G507" s="91"/>
      <c r="H507" s="92"/>
      <c r="I507" s="93" t="str">
        <f>IFERROR(IF(OR($F507="O",$G507="O",$H507="O"),CHOOSE(MATCH($A507,{"튜브","고압","진공","튜닝","조립","출하"},0),"T","H","V","N","A","P")&amp;IF($F507="O","R",IF($G507="O","A",IF($H507="O","F",""))),""),"")</f>
        <v/>
      </c>
      <c r="J507" s="94"/>
      <c r="K507" s="95"/>
      <c r="L507" s="96" t="s">
        <v>71</v>
      </c>
      <c r="M507" s="97"/>
      <c r="N507" s="98"/>
      <c r="O507" s="99"/>
      <c r="P507" s="100" t="str">
        <f t="shared" si="7"/>
        <v/>
      </c>
      <c r="Q507" s="102" t="s">
        <v>1408</v>
      </c>
      <c r="R507" s="108" t="str">
        <f>HYPERLINK("#'마스터_품목'!A563","→ 마스터 R563")</f>
        <v>→ 마스터 R563</v>
      </c>
      <c r="S507" s="109">
        <v>563</v>
      </c>
      <c r="T507" s="109" t="s">
        <v>72</v>
      </c>
    </row>
    <row r="508" spans="1:20" ht="48" customHeight="1" x14ac:dyDescent="0.3">
      <c r="A508" s="87" t="s">
        <v>1347</v>
      </c>
      <c r="B508" s="87" t="s">
        <v>1591</v>
      </c>
      <c r="C508" s="88" t="s">
        <v>117</v>
      </c>
      <c r="D508" s="88" t="s">
        <v>784</v>
      </c>
      <c r="E508" s="88" t="s">
        <v>783</v>
      </c>
      <c r="F508" s="90" t="s">
        <v>71</v>
      </c>
      <c r="G508" s="91"/>
      <c r="H508" s="92"/>
      <c r="I508" s="93" t="str">
        <f>IFERROR(IF(OR($F508="O",$G508="O",$H508="O"),CHOOSE(MATCH($A508,{"튜브","고압","진공","튜닝","조립","출하"},0),"T","H","V","N","A","P")&amp;IF($F508="O","R",IF($G508="O","A",IF($H508="O","F",""))),""),"")</f>
        <v/>
      </c>
      <c r="J508" s="94"/>
      <c r="K508" s="95"/>
      <c r="L508" s="96" t="s">
        <v>71</v>
      </c>
      <c r="M508" s="97"/>
      <c r="N508" s="98"/>
      <c r="O508" s="99"/>
      <c r="P508" s="100" t="str">
        <f t="shared" si="7"/>
        <v/>
      </c>
      <c r="Q508" s="102" t="s">
        <v>1408</v>
      </c>
      <c r="R508" s="108" t="str">
        <f>HYPERLINK("#'마스터_품목'!A564","→ 마스터 R564")</f>
        <v>→ 마스터 R564</v>
      </c>
      <c r="S508" s="109">
        <v>564</v>
      </c>
      <c r="T508" s="109" t="s">
        <v>72</v>
      </c>
    </row>
    <row r="509" spans="1:20" ht="48" customHeight="1" x14ac:dyDescent="0.3">
      <c r="A509" s="87" t="s">
        <v>1347</v>
      </c>
      <c r="B509" s="87" t="s">
        <v>1591</v>
      </c>
      <c r="C509" s="88" t="s">
        <v>117</v>
      </c>
      <c r="D509" s="88" t="s">
        <v>786</v>
      </c>
      <c r="E509" s="88" t="s">
        <v>785</v>
      </c>
      <c r="F509" s="90" t="s">
        <v>71</v>
      </c>
      <c r="G509" s="91"/>
      <c r="H509" s="92"/>
      <c r="I509" s="93" t="str">
        <f>IFERROR(IF(OR($F509="O",$G509="O",$H509="O"),CHOOSE(MATCH($A509,{"튜브","고압","진공","튜닝","조립","출하"},0),"T","H","V","N","A","P")&amp;IF($F509="O","R",IF($G509="O","A",IF($H509="O","F",""))),""),"")</f>
        <v/>
      </c>
      <c r="J509" s="94"/>
      <c r="K509" s="95"/>
      <c r="L509" s="96" t="s">
        <v>71</v>
      </c>
      <c r="M509" s="97"/>
      <c r="N509" s="98"/>
      <c r="O509" s="99"/>
      <c r="P509" s="100" t="str">
        <f t="shared" si="7"/>
        <v/>
      </c>
      <c r="Q509" s="102" t="s">
        <v>1408</v>
      </c>
      <c r="R509" s="108" t="str">
        <f>HYPERLINK("#'마스터_품목'!A565","→ 마스터 R565")</f>
        <v>→ 마스터 R565</v>
      </c>
      <c r="S509" s="109">
        <v>565</v>
      </c>
      <c r="T509" s="109" t="s">
        <v>72</v>
      </c>
    </row>
    <row r="510" spans="1:20" ht="48" customHeight="1" x14ac:dyDescent="0.3">
      <c r="A510" s="87" t="s">
        <v>1347</v>
      </c>
      <c r="B510" s="87" t="s">
        <v>1591</v>
      </c>
      <c r="C510" s="88" t="s">
        <v>117</v>
      </c>
      <c r="D510" s="88" t="s">
        <v>788</v>
      </c>
      <c r="E510" s="88" t="s">
        <v>787</v>
      </c>
      <c r="F510" s="90" t="s">
        <v>71</v>
      </c>
      <c r="G510" s="91"/>
      <c r="H510" s="92"/>
      <c r="I510" s="93" t="str">
        <f>IFERROR(IF(OR($F510="O",$G510="O",$H510="O"),CHOOSE(MATCH($A510,{"튜브","고압","진공","튜닝","조립","출하"},0),"T","H","V","N","A","P")&amp;IF($F510="O","R",IF($G510="O","A",IF($H510="O","F",""))),""),"")</f>
        <v/>
      </c>
      <c r="J510" s="94"/>
      <c r="K510" s="95"/>
      <c r="L510" s="96" t="s">
        <v>71</v>
      </c>
      <c r="M510" s="97"/>
      <c r="N510" s="98"/>
      <c r="O510" s="99"/>
      <c r="P510" s="100" t="str">
        <f t="shared" si="7"/>
        <v/>
      </c>
      <c r="Q510" s="102" t="s">
        <v>1408</v>
      </c>
      <c r="R510" s="108" t="str">
        <f>HYPERLINK("#'마스터_품목'!A566","→ 마스터 R566")</f>
        <v>→ 마스터 R566</v>
      </c>
      <c r="S510" s="109">
        <v>566</v>
      </c>
      <c r="T510" s="109" t="s">
        <v>72</v>
      </c>
    </row>
    <row r="511" spans="1:20" ht="48" customHeight="1" x14ac:dyDescent="0.3">
      <c r="A511" s="87" t="s">
        <v>1347</v>
      </c>
      <c r="B511" s="87" t="s">
        <v>1591</v>
      </c>
      <c r="C511" s="88" t="s">
        <v>117</v>
      </c>
      <c r="D511" s="88" t="s">
        <v>790</v>
      </c>
      <c r="E511" s="88" t="s">
        <v>789</v>
      </c>
      <c r="F511" s="90" t="s">
        <v>71</v>
      </c>
      <c r="G511" s="91"/>
      <c r="H511" s="92"/>
      <c r="I511" s="93" t="str">
        <f>IFERROR(IF(OR($F511="O",$G511="O",$H511="O"),CHOOSE(MATCH($A511,{"튜브","고압","진공","튜닝","조립","출하"},0),"T","H","V","N","A","P")&amp;IF($F511="O","R",IF($G511="O","A",IF($H511="O","F",""))),""),"")</f>
        <v/>
      </c>
      <c r="J511" s="94"/>
      <c r="K511" s="95"/>
      <c r="L511" s="96" t="s">
        <v>71</v>
      </c>
      <c r="M511" s="97"/>
      <c r="N511" s="98"/>
      <c r="O511" s="99"/>
      <c r="P511" s="100" t="str">
        <f t="shared" si="7"/>
        <v/>
      </c>
      <c r="Q511" s="102" t="s">
        <v>1408</v>
      </c>
      <c r="R511" s="108" t="str">
        <f>HYPERLINK("#'마스터_품목'!A567","→ 마스터 R567")</f>
        <v>→ 마스터 R567</v>
      </c>
      <c r="S511" s="109">
        <v>567</v>
      </c>
      <c r="T511" s="109" t="s">
        <v>72</v>
      </c>
    </row>
    <row r="512" spans="1:20" ht="48" customHeight="1" x14ac:dyDescent="0.3">
      <c r="A512" s="87" t="s">
        <v>1347</v>
      </c>
      <c r="B512" s="87" t="s">
        <v>1085</v>
      </c>
      <c r="C512" s="88" t="s">
        <v>333</v>
      </c>
      <c r="D512" s="88" t="s">
        <v>1086</v>
      </c>
      <c r="E512" s="88" t="s">
        <v>1085</v>
      </c>
      <c r="F512" s="90" t="s">
        <v>71</v>
      </c>
      <c r="G512" s="91"/>
      <c r="H512" s="92"/>
      <c r="I512" s="93" t="str">
        <f>IFERROR(IF(OR($F512="O",$G512="O",$H512="O"),CHOOSE(MATCH($A512,{"튜브","고압","진공","튜닝","조립","출하"},0),"T","H","V","N","A","P")&amp;IF($F512="O","R",IF($G512="O","A",IF($H512="O","F",""))),""),"")</f>
        <v/>
      </c>
      <c r="J512" s="94"/>
      <c r="K512" s="95"/>
      <c r="L512" s="96" t="s">
        <v>71</v>
      </c>
      <c r="M512" s="97"/>
      <c r="N512" s="98"/>
      <c r="O512" s="99"/>
      <c r="P512" s="100" t="str">
        <f t="shared" si="7"/>
        <v/>
      </c>
      <c r="Q512" s="102" t="s">
        <v>1408</v>
      </c>
      <c r="R512" s="108" t="str">
        <f>HYPERLINK("#'마스터_품목'!A632","→ 마스터 R632")</f>
        <v>→ 마스터 R632</v>
      </c>
      <c r="S512" s="109">
        <v>632</v>
      </c>
      <c r="T512" s="109" t="s">
        <v>72</v>
      </c>
    </row>
    <row r="513" spans="1:20" ht="48" customHeight="1" x14ac:dyDescent="0.3">
      <c r="A513" s="87" t="s">
        <v>1347</v>
      </c>
      <c r="B513" s="87" t="s">
        <v>1593</v>
      </c>
      <c r="C513" s="88" t="s">
        <v>117</v>
      </c>
      <c r="D513" s="88" t="s">
        <v>1088</v>
      </c>
      <c r="E513" s="88" t="s">
        <v>1087</v>
      </c>
      <c r="F513" s="90" t="s">
        <v>71</v>
      </c>
      <c r="G513" s="91"/>
      <c r="H513" s="92"/>
      <c r="I513" s="93" t="str">
        <f>IFERROR(IF(OR($F513="O",$G513="O",$H513="O"),CHOOSE(MATCH($A513,{"튜브","고압","진공","튜닝","조립","출하"},0),"T","H","V","N","A","P")&amp;IF($F513="O","R",IF($G513="O","A",IF($H513="O","F",""))),""),"")</f>
        <v/>
      </c>
      <c r="J513" s="94"/>
      <c r="K513" s="95"/>
      <c r="L513" s="96" t="s">
        <v>71</v>
      </c>
      <c r="M513" s="97"/>
      <c r="N513" s="98"/>
      <c r="O513" s="99"/>
      <c r="P513" s="100" t="str">
        <f t="shared" si="7"/>
        <v/>
      </c>
      <c r="Q513" s="102" t="s">
        <v>1384</v>
      </c>
      <c r="R513" s="108" t="str">
        <f>HYPERLINK("#'마스터_품목'!A633","→ 마스터 R633")</f>
        <v>→ 마스터 R633</v>
      </c>
      <c r="S513" s="109">
        <v>633</v>
      </c>
      <c r="T513" s="109" t="s">
        <v>72</v>
      </c>
    </row>
    <row r="514" spans="1:20" ht="48" customHeight="1" x14ac:dyDescent="0.3">
      <c r="A514" s="87" t="s">
        <v>1347</v>
      </c>
      <c r="B514" s="87" t="s">
        <v>1492</v>
      </c>
      <c r="C514" s="88" t="s">
        <v>117</v>
      </c>
      <c r="D514" s="88" t="s">
        <v>1090</v>
      </c>
      <c r="E514" s="88" t="s">
        <v>1089</v>
      </c>
      <c r="F514" s="90" t="s">
        <v>71</v>
      </c>
      <c r="G514" s="91"/>
      <c r="H514" s="92"/>
      <c r="I514" s="93" t="str">
        <f>IFERROR(IF(OR($F514="O",$G514="O",$H514="O"),CHOOSE(MATCH($A514,{"튜브","고압","진공","튜닝","조립","출하"},0),"T","H","V","N","A","P")&amp;IF($F514="O","R",IF($G514="O","A",IF($H514="O","F",""))),""),"")</f>
        <v/>
      </c>
      <c r="J514" s="94"/>
      <c r="K514" s="95"/>
      <c r="L514" s="96" t="s">
        <v>71</v>
      </c>
      <c r="M514" s="97"/>
      <c r="N514" s="98"/>
      <c r="O514" s="99"/>
      <c r="P514" s="100" t="str">
        <f t="shared" ref="P514:P577" si="8">IF($I514="","",IF($J514="O","3","")&amp;IF($K514="O","4","")&amp;IF($L514="O","6","")&amp;IF($M514="O","7","")&amp;IF($N514="O","8","")&amp;IF($O514="O","?","")&amp;IF(OR($J514="O",$K514="O",$L514="O",$M514="O",$N514="O",$O514="O"),"-","")&amp;$I514)</f>
        <v/>
      </c>
      <c r="Q514" s="102" t="s">
        <v>1384</v>
      </c>
      <c r="R514" s="108" t="str">
        <f>HYPERLINK("#'마스터_품목'!A634","→ 마스터 R634")</f>
        <v>→ 마스터 R634</v>
      </c>
      <c r="S514" s="109">
        <v>634</v>
      </c>
      <c r="T514" s="109" t="s">
        <v>72</v>
      </c>
    </row>
    <row r="515" spans="1:20" ht="48" customHeight="1" x14ac:dyDescent="0.3">
      <c r="A515" s="124" t="s">
        <v>771</v>
      </c>
      <c r="B515" s="87" t="s">
        <v>1368</v>
      </c>
      <c r="C515" s="88" t="s">
        <v>117</v>
      </c>
      <c r="D515" s="88" t="s">
        <v>1594</v>
      </c>
      <c r="E515" s="88"/>
      <c r="F515" s="90" t="s">
        <v>71</v>
      </c>
      <c r="G515" s="91"/>
      <c r="H515" s="92"/>
      <c r="I515" s="93" t="str">
        <f>IFERROR(IF(OR($F515="O",$G515="O",$H515="O"),CHOOSE(MATCH($A515,{"튜브","고압","진공","튜닝","조립","출하"},0),"T","H","V","N","A","P")&amp;IF($F515="O","R",IF($G515="O","A",IF($H515="O","F",""))),""),"")</f>
        <v>PR</v>
      </c>
      <c r="J515" s="94"/>
      <c r="K515" s="95"/>
      <c r="L515" s="119" t="s">
        <v>71</v>
      </c>
      <c r="M515" s="97"/>
      <c r="N515" s="98"/>
      <c r="O515" s="99"/>
      <c r="P515" s="100" t="str">
        <f t="shared" si="8"/>
        <v>6-PR</v>
      </c>
      <c r="Q515" s="102" t="s">
        <v>1408</v>
      </c>
      <c r="R515" s="108" t="str">
        <f>HYPERLINK("#'마스터_품목'!A806","→ 마스터 R806")</f>
        <v>→ 마스터 R806</v>
      </c>
      <c r="S515" s="109">
        <v>806</v>
      </c>
      <c r="T515" s="109" t="s">
        <v>72</v>
      </c>
    </row>
    <row r="516" spans="1:20" ht="48" customHeight="1" x14ac:dyDescent="0.3">
      <c r="A516" s="87" t="s">
        <v>1347</v>
      </c>
      <c r="B516" s="87" t="s">
        <v>55</v>
      </c>
      <c r="C516" s="88" t="s">
        <v>68</v>
      </c>
      <c r="D516" s="88" t="s">
        <v>793</v>
      </c>
      <c r="E516" s="88" t="s">
        <v>792</v>
      </c>
      <c r="F516" s="90" t="s">
        <v>71</v>
      </c>
      <c r="G516" s="91"/>
      <c r="H516" s="92"/>
      <c r="I516" s="93" t="str">
        <f>IFERROR(IF(OR($F516="O",$G516="O",$H516="O"),CHOOSE(MATCH($A516,{"튜브","고압","진공","튜닝","조립","출하"},0),"T","H","V","N","A","P")&amp;IF($F516="O","R",IF($G516="O","A",IF($H516="O","F",""))),""),"")</f>
        <v/>
      </c>
      <c r="J516" s="94" t="s">
        <v>71</v>
      </c>
      <c r="K516" s="95" t="s">
        <v>71</v>
      </c>
      <c r="L516" s="96" t="s">
        <v>71</v>
      </c>
      <c r="M516" s="97"/>
      <c r="N516" s="98"/>
      <c r="O516" s="99"/>
      <c r="P516" s="100" t="str">
        <f t="shared" si="8"/>
        <v/>
      </c>
      <c r="Q516" s="102" t="s">
        <v>1595</v>
      </c>
      <c r="R516" s="108" t="str">
        <f>HYPERLINK("#'마스터_품목'!A569","→ 마스터 R569")</f>
        <v>→ 마스터 R569</v>
      </c>
      <c r="S516" s="109">
        <v>569</v>
      </c>
      <c r="T516" s="109" t="s">
        <v>72</v>
      </c>
    </row>
    <row r="517" spans="1:20" ht="48" customHeight="1" x14ac:dyDescent="0.3">
      <c r="A517" s="87" t="s">
        <v>1347</v>
      </c>
      <c r="B517" s="87" t="s">
        <v>55</v>
      </c>
      <c r="C517" s="88" t="s">
        <v>68</v>
      </c>
      <c r="D517" s="88" t="s">
        <v>795</v>
      </c>
      <c r="E517" s="88" t="s">
        <v>794</v>
      </c>
      <c r="F517" s="90" t="s">
        <v>71</v>
      </c>
      <c r="G517" s="91"/>
      <c r="H517" s="92"/>
      <c r="I517" s="93" t="str">
        <f>IFERROR(IF(OR($F517="O",$G517="O",$H517="O"),CHOOSE(MATCH($A517,{"튜브","고압","진공","튜닝","조립","출하"},0),"T","H","V","N","A","P")&amp;IF($F517="O","R",IF($G517="O","A",IF($H517="O","F",""))),""),"")</f>
        <v/>
      </c>
      <c r="J517" s="94" t="s">
        <v>71</v>
      </c>
      <c r="K517" s="95" t="s">
        <v>71</v>
      </c>
      <c r="L517" s="96" t="s">
        <v>71</v>
      </c>
      <c r="M517" s="97"/>
      <c r="N517" s="98"/>
      <c r="O517" s="99"/>
      <c r="P517" s="100" t="str">
        <f t="shared" si="8"/>
        <v/>
      </c>
      <c r="Q517" s="102" t="s">
        <v>1595</v>
      </c>
      <c r="R517" s="108" t="str">
        <f>HYPERLINK("#'마스터_품목'!A570","→ 마스터 R570")</f>
        <v>→ 마스터 R570</v>
      </c>
      <c r="S517" s="109">
        <v>570</v>
      </c>
      <c r="T517" s="109" t="s">
        <v>72</v>
      </c>
    </row>
    <row r="518" spans="1:20" ht="48" customHeight="1" x14ac:dyDescent="0.3">
      <c r="A518" s="87" t="s">
        <v>1347</v>
      </c>
      <c r="B518" s="87" t="s">
        <v>1413</v>
      </c>
      <c r="C518" s="88" t="s">
        <v>333</v>
      </c>
      <c r="D518" s="88" t="s">
        <v>1081</v>
      </c>
      <c r="E518" s="88" t="s">
        <v>1080</v>
      </c>
      <c r="F518" s="90" t="s">
        <v>71</v>
      </c>
      <c r="G518" s="91"/>
      <c r="H518" s="92"/>
      <c r="I518" s="93" t="str">
        <f>IFERROR(IF(OR($F518="O",$G518="O",$H518="O"),CHOOSE(MATCH($A518,{"튜브","고압","진공","튜닝","조립","출하"},0),"T","H","V","N","A","P")&amp;IF($F518="O","R",IF($G518="O","A",IF($H518="O","F",""))),""),"")</f>
        <v/>
      </c>
      <c r="J518" s="94"/>
      <c r="K518" s="95"/>
      <c r="L518" s="96" t="s">
        <v>71</v>
      </c>
      <c r="M518" s="97"/>
      <c r="N518" s="98"/>
      <c r="O518" s="99"/>
      <c r="P518" s="100" t="str">
        <f t="shared" si="8"/>
        <v/>
      </c>
      <c r="Q518" s="102" t="s">
        <v>1487</v>
      </c>
      <c r="R518" s="108" t="str">
        <f>HYPERLINK("#'마스터_품목'!A629","→ 마스터 R629")</f>
        <v>→ 마스터 R629</v>
      </c>
      <c r="S518" s="109">
        <v>629</v>
      </c>
      <c r="T518" s="109" t="s">
        <v>72</v>
      </c>
    </row>
    <row r="519" spans="1:20" ht="48" customHeight="1" x14ac:dyDescent="0.3">
      <c r="A519" s="87" t="s">
        <v>1347</v>
      </c>
      <c r="B519" s="87" t="s">
        <v>55</v>
      </c>
      <c r="C519" s="88" t="s">
        <v>68</v>
      </c>
      <c r="D519" s="88" t="s">
        <v>797</v>
      </c>
      <c r="E519" s="88" t="s">
        <v>796</v>
      </c>
      <c r="F519" s="90" t="s">
        <v>71</v>
      </c>
      <c r="G519" s="91"/>
      <c r="H519" s="92"/>
      <c r="I519" s="93" t="str">
        <f>IFERROR(IF(OR($F519="O",$G519="O",$H519="O"),CHOOSE(MATCH($A519,{"튜브","고압","진공","튜닝","조립","출하"},0),"T","H","V","N","A","P")&amp;IF($F519="O","R",IF($G519="O","A",IF($H519="O","F",""))),""),"")</f>
        <v/>
      </c>
      <c r="J519" s="94"/>
      <c r="K519" s="95"/>
      <c r="L519" s="96" t="s">
        <v>71</v>
      </c>
      <c r="M519" s="97"/>
      <c r="N519" s="98"/>
      <c r="O519" s="99"/>
      <c r="P519" s="100" t="str">
        <f t="shared" si="8"/>
        <v/>
      </c>
      <c r="Q519" s="102" t="s">
        <v>1596</v>
      </c>
      <c r="R519" s="108" t="str">
        <f>HYPERLINK("#'마스터_품목'!A571","→ 마스터 R571")</f>
        <v>→ 마스터 R571</v>
      </c>
      <c r="S519" s="109">
        <v>571</v>
      </c>
      <c r="T519" s="109" t="s">
        <v>72</v>
      </c>
    </row>
    <row r="520" spans="1:20" ht="48" customHeight="1" x14ac:dyDescent="0.3">
      <c r="A520" s="87" t="s">
        <v>1347</v>
      </c>
      <c r="B520" s="87" t="s">
        <v>55</v>
      </c>
      <c r="C520" s="88" t="s">
        <v>68</v>
      </c>
      <c r="D520" s="88" t="s">
        <v>801</v>
      </c>
      <c r="E520" s="88" t="s">
        <v>800</v>
      </c>
      <c r="F520" s="90" t="s">
        <v>71</v>
      </c>
      <c r="G520" s="91"/>
      <c r="H520" s="92"/>
      <c r="I520" s="93" t="str">
        <f>IFERROR(IF(OR($F520="O",$G520="O",$H520="O"),CHOOSE(MATCH($A520,{"튜브","고압","진공","튜닝","조립","출하"},0),"T","H","V","N","A","P")&amp;IF($F520="O","R",IF($G520="O","A",IF($H520="O","F",""))),""),"")</f>
        <v/>
      </c>
      <c r="J520" s="94"/>
      <c r="K520" s="95"/>
      <c r="L520" s="96" t="s">
        <v>71</v>
      </c>
      <c r="M520" s="97"/>
      <c r="N520" s="98"/>
      <c r="O520" s="99"/>
      <c r="P520" s="100" t="str">
        <f t="shared" si="8"/>
        <v/>
      </c>
      <c r="Q520" s="102" t="s">
        <v>1596</v>
      </c>
      <c r="R520" s="108" t="str">
        <f>HYPERLINK("#'마스터_품목'!A573","→ 마스터 R573")</f>
        <v>→ 마스터 R573</v>
      </c>
      <c r="S520" s="109">
        <v>573</v>
      </c>
      <c r="T520" s="109" t="s">
        <v>72</v>
      </c>
    </row>
    <row r="521" spans="1:20" ht="48" customHeight="1" x14ac:dyDescent="0.3">
      <c r="A521" s="87" t="s">
        <v>1347</v>
      </c>
      <c r="B521" s="87" t="s">
        <v>55</v>
      </c>
      <c r="C521" s="88" t="s">
        <v>68</v>
      </c>
      <c r="D521" s="88" t="s">
        <v>799</v>
      </c>
      <c r="E521" s="88" t="s">
        <v>798</v>
      </c>
      <c r="F521" s="90" t="s">
        <v>71</v>
      </c>
      <c r="G521" s="91"/>
      <c r="H521" s="92"/>
      <c r="I521" s="93" t="str">
        <f>IFERROR(IF(OR($F521="O",$G521="O",$H521="O"),CHOOSE(MATCH($A521,{"튜브","고압","진공","튜닝","조립","출하"},0),"T","H","V","N","A","P")&amp;IF($F521="O","R",IF($G521="O","A",IF($H521="O","F",""))),""),"")</f>
        <v/>
      </c>
      <c r="J521" s="94"/>
      <c r="K521" s="95"/>
      <c r="L521" s="96" t="s">
        <v>71</v>
      </c>
      <c r="M521" s="97"/>
      <c r="N521" s="98"/>
      <c r="O521" s="99"/>
      <c r="P521" s="100" t="str">
        <f t="shared" si="8"/>
        <v/>
      </c>
      <c r="Q521" s="102" t="s">
        <v>1596</v>
      </c>
      <c r="R521" s="108" t="str">
        <f>HYPERLINK("#'마스터_품목'!A572","→ 마스터 R572")</f>
        <v>→ 마스터 R572</v>
      </c>
      <c r="S521" s="109">
        <v>572</v>
      </c>
      <c r="T521" s="109" t="s">
        <v>72</v>
      </c>
    </row>
    <row r="522" spans="1:20" ht="48" customHeight="1" x14ac:dyDescent="0.3">
      <c r="A522" s="87" t="s">
        <v>1347</v>
      </c>
      <c r="B522" s="87" t="s">
        <v>55</v>
      </c>
      <c r="C522" s="88" t="s">
        <v>68</v>
      </c>
      <c r="D522" s="88" t="s">
        <v>803</v>
      </c>
      <c r="E522" s="88" t="s">
        <v>802</v>
      </c>
      <c r="F522" s="90" t="s">
        <v>71</v>
      </c>
      <c r="G522" s="91"/>
      <c r="H522" s="92"/>
      <c r="I522" s="93" t="str">
        <f>IFERROR(IF(OR($F522="O",$G522="O",$H522="O"),CHOOSE(MATCH($A522,{"튜브","고압","진공","튜닝","조립","출하"},0),"T","H","V","N","A","P")&amp;IF($F522="O","R",IF($G522="O","A",IF($H522="O","F",""))),""),"")</f>
        <v/>
      </c>
      <c r="J522" s="94"/>
      <c r="K522" s="95"/>
      <c r="L522" s="96" t="s">
        <v>71</v>
      </c>
      <c r="M522" s="97"/>
      <c r="N522" s="98"/>
      <c r="O522" s="99"/>
      <c r="P522" s="100" t="str">
        <f t="shared" si="8"/>
        <v/>
      </c>
      <c r="Q522" s="102" t="s">
        <v>1596</v>
      </c>
      <c r="R522" s="108" t="str">
        <f>HYPERLINK("#'마스터_품목'!A574","→ 마스터 R574")</f>
        <v>→ 마스터 R574</v>
      </c>
      <c r="S522" s="109">
        <v>574</v>
      </c>
      <c r="T522" s="109" t="s">
        <v>72</v>
      </c>
    </row>
    <row r="523" spans="1:20" ht="48" customHeight="1" x14ac:dyDescent="0.3">
      <c r="A523" s="87" t="s">
        <v>1347</v>
      </c>
      <c r="B523" s="87" t="s">
        <v>1597</v>
      </c>
      <c r="C523" s="88" t="s">
        <v>68</v>
      </c>
      <c r="D523" s="88" t="s">
        <v>1074</v>
      </c>
      <c r="E523" s="88" t="s">
        <v>1073</v>
      </c>
      <c r="F523" s="90" t="s">
        <v>71</v>
      </c>
      <c r="G523" s="91"/>
      <c r="H523" s="92"/>
      <c r="I523" s="93" t="str">
        <f>IFERROR(IF(OR($F523="O",$G523="O",$H523="O"),CHOOSE(MATCH($A523,{"튜브","고압","진공","튜닝","조립","출하"},0),"T","H","V","N","A","P")&amp;IF($F523="O","R",IF($G523="O","A",IF($H523="O","F",""))),""),"")</f>
        <v/>
      </c>
      <c r="J523" s="94" t="s">
        <v>71</v>
      </c>
      <c r="K523" s="95" t="s">
        <v>71</v>
      </c>
      <c r="L523" s="96" t="s">
        <v>71</v>
      </c>
      <c r="M523" s="97" t="s">
        <v>71</v>
      </c>
      <c r="N523" s="98" t="s">
        <v>71</v>
      </c>
      <c r="O523" s="99"/>
      <c r="P523" s="100" t="str">
        <f t="shared" si="8"/>
        <v/>
      </c>
      <c r="Q523" s="102" t="s">
        <v>1561</v>
      </c>
      <c r="R523" s="108" t="str">
        <f>HYPERLINK("#'마스터_품목'!A625","→ 마스터 R625")</f>
        <v>→ 마스터 R625</v>
      </c>
      <c r="S523" s="109">
        <v>625</v>
      </c>
      <c r="T523" s="109" t="s">
        <v>72</v>
      </c>
    </row>
    <row r="524" spans="1:20" ht="48" customHeight="1" x14ac:dyDescent="0.3">
      <c r="A524" s="87" t="s">
        <v>1347</v>
      </c>
      <c r="B524" s="87" t="s">
        <v>55</v>
      </c>
      <c r="C524" s="88" t="s">
        <v>68</v>
      </c>
      <c r="D524" s="88" t="s">
        <v>813</v>
      </c>
      <c r="E524" s="88" t="s">
        <v>812</v>
      </c>
      <c r="F524" s="90" t="s">
        <v>71</v>
      </c>
      <c r="G524" s="91"/>
      <c r="H524" s="92"/>
      <c r="I524" s="93" t="str">
        <f>IFERROR(IF(OR($F524="O",$G524="O",$H524="O"),CHOOSE(MATCH($A524,{"튜브","고압","진공","튜닝","조립","출하"},0),"T","H","V","N","A","P")&amp;IF($F524="O","R",IF($G524="O","A",IF($H524="O","F",""))),""),"")</f>
        <v/>
      </c>
      <c r="J524" s="94"/>
      <c r="K524" s="95"/>
      <c r="L524" s="96" t="s">
        <v>71</v>
      </c>
      <c r="M524" s="97"/>
      <c r="N524" s="98"/>
      <c r="O524" s="99"/>
      <c r="P524" s="100" t="str">
        <f t="shared" si="8"/>
        <v/>
      </c>
      <c r="Q524" s="102" t="s">
        <v>1596</v>
      </c>
      <c r="R524" s="108" t="str">
        <f>HYPERLINK("#'마스터_품목'!A579","→ 마스터 R579")</f>
        <v>→ 마스터 R579</v>
      </c>
      <c r="S524" s="109">
        <v>579</v>
      </c>
      <c r="T524" s="109" t="s">
        <v>72</v>
      </c>
    </row>
    <row r="525" spans="1:20" ht="48" customHeight="1" x14ac:dyDescent="0.3">
      <c r="A525" s="124" t="s">
        <v>771</v>
      </c>
      <c r="B525" s="87" t="s">
        <v>1597</v>
      </c>
      <c r="C525" s="88" t="s">
        <v>68</v>
      </c>
      <c r="D525" s="88" t="s">
        <v>1598</v>
      </c>
      <c r="E525" s="88"/>
      <c r="F525" s="90" t="s">
        <v>71</v>
      </c>
      <c r="G525" s="91"/>
      <c r="H525" s="92"/>
      <c r="I525" s="93" t="str">
        <f>IFERROR(IF(OR($F525="O",$G525="O",$H525="O"),CHOOSE(MATCH($A525,{"튜브","고압","진공","튜닝","조립","출하"},0),"T","H","V","N","A","P")&amp;IF($F525="O","R",IF($G525="O","A",IF($H525="O","F",""))),""),"")</f>
        <v>PR</v>
      </c>
      <c r="J525" s="122" t="s">
        <v>71</v>
      </c>
      <c r="K525" s="123" t="s">
        <v>71</v>
      </c>
      <c r="L525" s="119" t="s">
        <v>71</v>
      </c>
      <c r="M525" s="97"/>
      <c r="N525" s="121" t="s">
        <v>71</v>
      </c>
      <c r="O525" s="99"/>
      <c r="P525" s="100" t="str">
        <f t="shared" si="8"/>
        <v>3468-PR</v>
      </c>
      <c r="Q525" s="102" t="s">
        <v>1386</v>
      </c>
      <c r="R525" s="108" t="str">
        <f>HYPERLINK("#'마스터_품목'!A807","→ 마스터 R807")</f>
        <v>→ 마스터 R807</v>
      </c>
      <c r="S525" s="109">
        <v>807</v>
      </c>
      <c r="T525" s="109" t="s">
        <v>72</v>
      </c>
    </row>
    <row r="526" spans="1:20" ht="48" customHeight="1" x14ac:dyDescent="0.3">
      <c r="A526" s="87" t="s">
        <v>1347</v>
      </c>
      <c r="B526" s="87" t="s">
        <v>1393</v>
      </c>
      <c r="C526" s="88" t="s">
        <v>68</v>
      </c>
      <c r="D526" s="88" t="s">
        <v>1033</v>
      </c>
      <c r="E526" s="88" t="s">
        <v>1032</v>
      </c>
      <c r="F526" s="90" t="s">
        <v>71</v>
      </c>
      <c r="G526" s="91"/>
      <c r="H526" s="92"/>
      <c r="I526" s="93" t="str">
        <f>IFERROR(IF(OR($F526="O",$G526="O",$H526="O"),CHOOSE(MATCH($A526,{"튜브","고압","진공","튜닝","조립","출하"},0),"T","H","V","N","A","P")&amp;IF($F526="O","R",IF($G526="O","A",IF($H526="O","F",""))),""),"")</f>
        <v/>
      </c>
      <c r="J526" s="94" t="s">
        <v>71</v>
      </c>
      <c r="K526" s="95" t="s">
        <v>71</v>
      </c>
      <c r="L526" s="96"/>
      <c r="M526" s="97" t="s">
        <v>71</v>
      </c>
      <c r="N526" s="98" t="s">
        <v>71</v>
      </c>
      <c r="O526" s="99"/>
      <c r="P526" s="100" t="str">
        <f t="shared" si="8"/>
        <v/>
      </c>
      <c r="Q526" s="102" t="s">
        <v>1386</v>
      </c>
      <c r="R526" s="108" t="str">
        <f>HYPERLINK("#'마스터_품목'!A604","→ 마스터 R604")</f>
        <v>→ 마스터 R604</v>
      </c>
      <c r="S526" s="109">
        <v>604</v>
      </c>
      <c r="T526" s="109" t="s">
        <v>72</v>
      </c>
    </row>
    <row r="527" spans="1:20" ht="48" customHeight="1" x14ac:dyDescent="0.3">
      <c r="A527" s="124" t="s">
        <v>771</v>
      </c>
      <c r="B527" s="87" t="s">
        <v>1599</v>
      </c>
      <c r="C527" s="88" t="s">
        <v>68</v>
      </c>
      <c r="D527" s="88" t="s">
        <v>1600</v>
      </c>
      <c r="E527" s="88"/>
      <c r="F527" s="90" t="s">
        <v>71</v>
      </c>
      <c r="G527" s="91"/>
      <c r="H527" s="92"/>
      <c r="I527" s="93" t="str">
        <f>IFERROR(IF(OR($F527="O",$G527="O",$H527="O"),CHOOSE(MATCH($A527,{"튜브","고압","진공","튜닝","조립","출하"},0),"T","H","V","N","A","P")&amp;IF($F527="O","R",IF($G527="O","A",IF($H527="O","F",""))),""),"")</f>
        <v>PR</v>
      </c>
      <c r="J527" s="122" t="s">
        <v>71</v>
      </c>
      <c r="K527" s="123" t="s">
        <v>71</v>
      </c>
      <c r="L527" s="119" t="s">
        <v>71</v>
      </c>
      <c r="M527" s="97"/>
      <c r="N527" s="121" t="s">
        <v>71</v>
      </c>
      <c r="O527" s="99"/>
      <c r="P527" s="100" t="str">
        <f t="shared" si="8"/>
        <v>3468-PR</v>
      </c>
      <c r="Q527" s="102" t="s">
        <v>1353</v>
      </c>
      <c r="R527" s="108" t="str">
        <f>HYPERLINK("#'마스터_품목'!A808","→ 마스터 R808")</f>
        <v>→ 마스터 R808</v>
      </c>
      <c r="S527" s="109">
        <v>808</v>
      </c>
      <c r="T527" s="109" t="s">
        <v>72</v>
      </c>
    </row>
    <row r="528" spans="1:20" ht="48" customHeight="1" x14ac:dyDescent="0.3">
      <c r="A528" s="87" t="s">
        <v>1347</v>
      </c>
      <c r="B528" s="87" t="s">
        <v>1031</v>
      </c>
      <c r="C528" s="88" t="s">
        <v>195</v>
      </c>
      <c r="D528" s="88" t="s">
        <v>1045</v>
      </c>
      <c r="E528" s="88" t="s">
        <v>1044</v>
      </c>
      <c r="F528" s="90" t="s">
        <v>71</v>
      </c>
      <c r="G528" s="91"/>
      <c r="H528" s="92"/>
      <c r="I528" s="93" t="str">
        <f>IFERROR(IF(OR($F528="O",$G528="O",$H528="O"),CHOOSE(MATCH($A528,{"튜브","고압","진공","튜닝","조립","출하"},0),"T","H","V","N","A","P")&amp;IF($F528="O","R",IF($G528="O","A",IF($H528="O","F",""))),""),"")</f>
        <v/>
      </c>
      <c r="J528" s="94" t="s">
        <v>71</v>
      </c>
      <c r="K528" s="95"/>
      <c r="L528" s="96"/>
      <c r="M528" s="97"/>
      <c r="N528" s="98"/>
      <c r="O528" s="99"/>
      <c r="P528" s="100" t="str">
        <f t="shared" si="8"/>
        <v/>
      </c>
      <c r="Q528" s="102" t="s">
        <v>1601</v>
      </c>
      <c r="R528" s="108" t="str">
        <f>HYPERLINK("#'마스터_품목'!A611","→ 마스터 R611")</f>
        <v>→ 마스터 R611</v>
      </c>
      <c r="S528" s="109">
        <v>611</v>
      </c>
      <c r="T528" s="109" t="s">
        <v>72</v>
      </c>
    </row>
    <row r="529" spans="1:20" ht="48" customHeight="1" x14ac:dyDescent="0.3">
      <c r="A529" s="124" t="s">
        <v>771</v>
      </c>
      <c r="B529" s="87" t="s">
        <v>1368</v>
      </c>
      <c r="C529" s="88" t="s">
        <v>195</v>
      </c>
      <c r="D529" s="88" t="s">
        <v>1602</v>
      </c>
      <c r="E529" s="88"/>
      <c r="F529" s="90" t="s">
        <v>71</v>
      </c>
      <c r="G529" s="91"/>
      <c r="H529" s="92"/>
      <c r="I529" s="93" t="str">
        <f>IFERROR(IF(OR($F529="O",$G529="O",$H529="O"),CHOOSE(MATCH($A529,{"튜브","고압","진공","튜닝","조립","출하"},0),"T","H","V","N","A","P")&amp;IF($F529="O","R",IF($G529="O","A",IF($H529="O","F",""))),""),"")</f>
        <v>PR</v>
      </c>
      <c r="J529" s="122" t="s">
        <v>71</v>
      </c>
      <c r="K529" s="123" t="s">
        <v>71</v>
      </c>
      <c r="L529" s="96"/>
      <c r="M529" s="97"/>
      <c r="N529" s="121" t="s">
        <v>71</v>
      </c>
      <c r="O529" s="99"/>
      <c r="P529" s="100" t="str">
        <f t="shared" si="8"/>
        <v>348-PR</v>
      </c>
      <c r="Q529" s="102" t="s">
        <v>1369</v>
      </c>
      <c r="R529" s="108" t="str">
        <f>HYPERLINK("#'마스터_품목'!A809","→ 마스터 R809")</f>
        <v>→ 마스터 R809</v>
      </c>
      <c r="S529" s="109">
        <v>809</v>
      </c>
      <c r="T529" s="109" t="s">
        <v>72</v>
      </c>
    </row>
    <row r="530" spans="1:20" ht="48" customHeight="1" x14ac:dyDescent="0.3">
      <c r="A530" s="124" t="s">
        <v>771</v>
      </c>
      <c r="B530" s="87" t="s">
        <v>1368</v>
      </c>
      <c r="C530" s="88" t="s">
        <v>195</v>
      </c>
      <c r="D530" s="88" t="s">
        <v>1603</v>
      </c>
      <c r="E530" s="88"/>
      <c r="F530" s="90" t="s">
        <v>71</v>
      </c>
      <c r="G530" s="91"/>
      <c r="H530" s="92"/>
      <c r="I530" s="93" t="str">
        <f>IFERROR(IF(OR($F530="O",$G530="O",$H530="O"),CHOOSE(MATCH($A530,{"튜브","고압","진공","튜닝","조립","출하"},0),"T","H","V","N","A","P")&amp;IF($F530="O","R",IF($G530="O","A",IF($H530="O","F",""))),""),"")</f>
        <v>PR</v>
      </c>
      <c r="J530" s="122" t="s">
        <v>71</v>
      </c>
      <c r="K530" s="123" t="s">
        <v>71</v>
      </c>
      <c r="L530" s="96"/>
      <c r="M530" s="97"/>
      <c r="N530" s="121" t="s">
        <v>71</v>
      </c>
      <c r="O530" s="99"/>
      <c r="P530" s="100" t="str">
        <f t="shared" si="8"/>
        <v>348-PR</v>
      </c>
      <c r="Q530" s="102" t="s">
        <v>1369</v>
      </c>
      <c r="R530" s="108" t="str">
        <f>HYPERLINK("#'마스터_품목'!A810","→ 마스터 R810")</f>
        <v>→ 마스터 R810</v>
      </c>
      <c r="S530" s="109">
        <v>810</v>
      </c>
      <c r="T530" s="109" t="s">
        <v>72</v>
      </c>
    </row>
    <row r="531" spans="1:20" ht="48" customHeight="1" x14ac:dyDescent="0.3">
      <c r="A531" s="124" t="s">
        <v>771</v>
      </c>
      <c r="B531" s="87" t="s">
        <v>1458</v>
      </c>
      <c r="C531" s="88" t="s">
        <v>68</v>
      </c>
      <c r="D531" s="88" t="s">
        <v>1604</v>
      </c>
      <c r="E531" s="88"/>
      <c r="F531" s="90" t="s">
        <v>71</v>
      </c>
      <c r="G531" s="91"/>
      <c r="H531" s="92"/>
      <c r="I531" s="93" t="str">
        <f>IFERROR(IF(OR($F531="O",$G531="O",$H531="O"),CHOOSE(MATCH($A531,{"튜브","고압","진공","튜닝","조립","출하"},0),"T","H","V","N","A","P")&amp;IF($F531="O","R",IF($G531="O","A",IF($H531="O","F",""))),""),"")</f>
        <v>PR</v>
      </c>
      <c r="J531" s="122" t="s">
        <v>71</v>
      </c>
      <c r="K531" s="123" t="s">
        <v>71</v>
      </c>
      <c r="L531" s="96"/>
      <c r="M531" s="97"/>
      <c r="N531" s="121" t="s">
        <v>71</v>
      </c>
      <c r="O531" s="99"/>
      <c r="P531" s="100" t="str">
        <f t="shared" si="8"/>
        <v>348-PR</v>
      </c>
      <c r="Q531" s="102" t="s">
        <v>1350</v>
      </c>
      <c r="R531" s="108" t="str">
        <f>HYPERLINK("#'마스터_품목'!A811","→ 마스터 R811")</f>
        <v>→ 마스터 R811</v>
      </c>
      <c r="S531" s="109">
        <v>811</v>
      </c>
      <c r="T531" s="109" t="s">
        <v>72</v>
      </c>
    </row>
    <row r="532" spans="1:20" ht="48" customHeight="1" x14ac:dyDescent="0.3">
      <c r="A532" s="124" t="s">
        <v>110</v>
      </c>
      <c r="B532" s="87" t="s">
        <v>1348</v>
      </c>
      <c r="C532" s="88" t="s">
        <v>117</v>
      </c>
      <c r="D532" s="88" t="s">
        <v>1605</v>
      </c>
      <c r="E532" s="88"/>
      <c r="F532" s="90" t="s">
        <v>71</v>
      </c>
      <c r="G532" s="91"/>
      <c r="H532" s="92"/>
      <c r="I532" s="93" t="str">
        <f>IFERROR(IF(OR($F532="O",$G532="O",$H532="O"),CHOOSE(MATCH($A532,{"튜브","고압","진공","튜닝","조립","출하"},0),"T","H","V","N","A","P")&amp;IF($F532="O","R",IF($G532="O","A",IF($H532="O","F",""))),""),"")</f>
        <v>HR</v>
      </c>
      <c r="J532" s="94"/>
      <c r="K532" s="95"/>
      <c r="L532" s="119" t="s">
        <v>71</v>
      </c>
      <c r="M532" s="97"/>
      <c r="N532" s="98"/>
      <c r="O532" s="99"/>
      <c r="P532" s="100" t="str">
        <f t="shared" si="8"/>
        <v>6-HR</v>
      </c>
      <c r="Q532" s="102" t="s">
        <v>1349</v>
      </c>
      <c r="R532" s="108" t="str">
        <f>HYPERLINK("#'마스터_품목'!A812","→ 마스터 R812")</f>
        <v>→ 마스터 R812</v>
      </c>
      <c r="S532" s="109">
        <v>812</v>
      </c>
      <c r="T532" s="109" t="s">
        <v>72</v>
      </c>
    </row>
    <row r="533" spans="1:20" ht="48" customHeight="1" x14ac:dyDescent="0.3">
      <c r="A533" s="87" t="s">
        <v>1347</v>
      </c>
      <c r="B533" s="87" t="s">
        <v>1348</v>
      </c>
      <c r="C533" s="88" t="s">
        <v>117</v>
      </c>
      <c r="D533" s="88" t="s">
        <v>224</v>
      </c>
      <c r="E533" s="88" t="s">
        <v>223</v>
      </c>
      <c r="F533" s="90" t="s">
        <v>71</v>
      </c>
      <c r="G533" s="91"/>
      <c r="H533" s="92"/>
      <c r="I533" s="93" t="str">
        <f>IFERROR(IF(OR($F533="O",$G533="O",$H533="O"),CHOOSE(MATCH($A533,{"튜브","고압","진공","튜닝","조립","출하"},0),"T","H","V","N","A","P")&amp;IF($F533="O","R",IF($G533="O","A",IF($H533="O","F",""))),""),"")</f>
        <v/>
      </c>
      <c r="J533" s="94"/>
      <c r="K533" s="95"/>
      <c r="L533" s="96" t="s">
        <v>71</v>
      </c>
      <c r="M533" s="97"/>
      <c r="N533" s="98"/>
      <c r="O533" s="99"/>
      <c r="P533" s="100" t="str">
        <f t="shared" si="8"/>
        <v/>
      </c>
      <c r="Q533" s="102" t="s">
        <v>1349</v>
      </c>
      <c r="R533" s="108" t="str">
        <f>HYPERLINK("#'마스터_품목'!A96","→ 마스터 R96")</f>
        <v>→ 마스터 R96</v>
      </c>
      <c r="S533" s="109">
        <v>96</v>
      </c>
      <c r="T533" s="109" t="s">
        <v>72</v>
      </c>
    </row>
    <row r="534" spans="1:20" ht="48" customHeight="1" x14ac:dyDescent="0.3">
      <c r="A534" s="124" t="s">
        <v>110</v>
      </c>
      <c r="B534" s="87" t="s">
        <v>1372</v>
      </c>
      <c r="C534" s="88" t="s">
        <v>182</v>
      </c>
      <c r="D534" s="88" t="s">
        <v>1606</v>
      </c>
      <c r="E534" s="88"/>
      <c r="F534" s="90" t="s">
        <v>71</v>
      </c>
      <c r="G534" s="91"/>
      <c r="H534" s="92"/>
      <c r="I534" s="93" t="str">
        <f>IFERROR(IF(OR($F534="O",$G534="O",$H534="O"),CHOOSE(MATCH($A534,{"튜브","고압","진공","튜닝","조립","출하"},0),"T","H","V","N","A","P")&amp;IF($F534="O","R",IF($G534="O","A",IF($H534="O","F",""))),""),"")</f>
        <v>HR</v>
      </c>
      <c r="J534" s="94"/>
      <c r="K534" s="95"/>
      <c r="L534" s="119"/>
      <c r="M534" s="97"/>
      <c r="N534" s="121" t="s">
        <v>71</v>
      </c>
      <c r="O534" s="99"/>
      <c r="P534" s="100" t="str">
        <f t="shared" si="8"/>
        <v>8-HR</v>
      </c>
      <c r="Q534" s="102" t="s">
        <v>1373</v>
      </c>
      <c r="R534" s="108" t="str">
        <f>HYPERLINK("#'마스터_품목'!A813","→ 마스터 R813")</f>
        <v>→ 마스터 R813</v>
      </c>
      <c r="S534" s="109">
        <v>813</v>
      </c>
      <c r="T534" s="109" t="s">
        <v>72</v>
      </c>
    </row>
    <row r="535" spans="1:20" ht="48" customHeight="1" x14ac:dyDescent="0.3">
      <c r="A535" s="124" t="s">
        <v>110</v>
      </c>
      <c r="B535" s="87" t="s">
        <v>1375</v>
      </c>
      <c r="C535" s="88" t="s">
        <v>182</v>
      </c>
      <c r="D535" s="88" t="s">
        <v>1607</v>
      </c>
      <c r="E535" s="88"/>
      <c r="F535" s="90" t="s">
        <v>71</v>
      </c>
      <c r="G535" s="91"/>
      <c r="H535" s="92"/>
      <c r="I535" s="93" t="str">
        <f>IFERROR(IF(OR($F535="O",$G535="O",$H535="O"),CHOOSE(MATCH($A535,{"튜브","고압","진공","튜닝","조립","출하"},0),"T","H","V","N","A","P")&amp;IF($F535="O","R",IF($G535="O","A",IF($H535="O","F",""))),""),"")</f>
        <v>HR</v>
      </c>
      <c r="J535" s="94"/>
      <c r="K535" s="95"/>
      <c r="L535" s="119"/>
      <c r="M535" s="97"/>
      <c r="N535" s="121" t="s">
        <v>71</v>
      </c>
      <c r="O535" s="99"/>
      <c r="P535" s="100" t="str">
        <f t="shared" si="8"/>
        <v>8-HR</v>
      </c>
      <c r="Q535" s="102" t="s">
        <v>1373</v>
      </c>
      <c r="R535" s="108" t="str">
        <f>HYPERLINK("#'마스터_품목'!A814","→ 마스터 R814")</f>
        <v>→ 마스터 R814</v>
      </c>
      <c r="S535" s="109">
        <v>814</v>
      </c>
      <c r="T535" s="109" t="s">
        <v>72</v>
      </c>
    </row>
    <row r="536" spans="1:20" ht="48" customHeight="1" x14ac:dyDescent="0.3">
      <c r="A536" s="87" t="s">
        <v>1347</v>
      </c>
      <c r="B536" s="87" t="s">
        <v>1422</v>
      </c>
      <c r="C536" s="88" t="s">
        <v>182</v>
      </c>
      <c r="D536" s="88" t="s">
        <v>267</v>
      </c>
      <c r="E536" s="88" t="s">
        <v>266</v>
      </c>
      <c r="F536" s="90" t="s">
        <v>71</v>
      </c>
      <c r="G536" s="91"/>
      <c r="H536" s="92"/>
      <c r="I536" s="93" t="str">
        <f>IFERROR(IF(OR($F536="O",$G536="O",$H536="O"),CHOOSE(MATCH($A536,{"튜브","고압","진공","튜닝","조립","출하"},0),"T","H","V","N","A","P")&amp;IF($F536="O","R",IF($G536="O","A",IF($H536="O","F",""))),""),"")</f>
        <v/>
      </c>
      <c r="J536" s="94"/>
      <c r="K536" s="95"/>
      <c r="L536" s="96"/>
      <c r="M536" s="97"/>
      <c r="N536" s="98" t="s">
        <v>71</v>
      </c>
      <c r="O536" s="99"/>
      <c r="P536" s="100" t="str">
        <f t="shared" si="8"/>
        <v/>
      </c>
      <c r="Q536" s="102" t="s">
        <v>1367</v>
      </c>
      <c r="R536" s="108" t="str">
        <f>HYPERLINK("#'마스터_품목'!A88","→ 마스터 R88")</f>
        <v>→ 마스터 R88</v>
      </c>
      <c r="S536" s="109">
        <v>88</v>
      </c>
      <c r="T536" s="109" t="s">
        <v>72</v>
      </c>
    </row>
    <row r="537" spans="1:20" ht="48" customHeight="1" x14ac:dyDescent="0.3">
      <c r="A537" s="124" t="s">
        <v>164</v>
      </c>
      <c r="B537" s="87" t="s">
        <v>1422</v>
      </c>
      <c r="C537" s="88" t="s">
        <v>182</v>
      </c>
      <c r="D537" s="88" t="s">
        <v>1608</v>
      </c>
      <c r="E537" s="88"/>
      <c r="F537" s="90" t="s">
        <v>71</v>
      </c>
      <c r="G537" s="91"/>
      <c r="H537" s="92"/>
      <c r="I537" s="93" t="str">
        <f>IFERROR(IF(OR($F537="O",$G537="O",$H537="O"),CHOOSE(MATCH($A537,{"튜브","고압","진공","튜닝","조립","출하"},0),"T","H","V","N","A","P")&amp;IF($F537="O","R",IF($G537="O","A",IF($H537="O","F",""))),""),"")</f>
        <v>VR</v>
      </c>
      <c r="J537" s="94"/>
      <c r="K537" s="95"/>
      <c r="L537" s="96"/>
      <c r="M537" s="97"/>
      <c r="N537" s="121" t="s">
        <v>71</v>
      </c>
      <c r="O537" s="99"/>
      <c r="P537" s="100" t="str">
        <f t="shared" si="8"/>
        <v>8-VR</v>
      </c>
      <c r="Q537" s="102" t="s">
        <v>1367</v>
      </c>
      <c r="R537" s="108" t="str">
        <f>HYPERLINK("#'마스터_품목'!A815","→ 마스터 R815")</f>
        <v>→ 마스터 R815</v>
      </c>
      <c r="S537" s="109">
        <v>815</v>
      </c>
      <c r="T537" s="109" t="s">
        <v>72</v>
      </c>
    </row>
    <row r="538" spans="1:20" ht="48" customHeight="1" x14ac:dyDescent="0.3">
      <c r="A538" s="124" t="s">
        <v>164</v>
      </c>
      <c r="B538" s="87" t="s">
        <v>1422</v>
      </c>
      <c r="C538" s="88" t="s">
        <v>182</v>
      </c>
      <c r="D538" s="88" t="s">
        <v>1609</v>
      </c>
      <c r="E538" s="88"/>
      <c r="F538" s="90" t="s">
        <v>71</v>
      </c>
      <c r="G538" s="91"/>
      <c r="H538" s="92"/>
      <c r="I538" s="93" t="str">
        <f>IFERROR(IF(OR($F538="O",$G538="O",$H538="O"),CHOOSE(MATCH($A538,{"튜브","고압","진공","튜닝","조립","출하"},0),"T","H","V","N","A","P")&amp;IF($F538="O","R",IF($G538="O","A",IF($H538="O","F",""))),""),"")</f>
        <v>VR</v>
      </c>
      <c r="J538" s="94"/>
      <c r="K538" s="95"/>
      <c r="L538" s="96"/>
      <c r="M538" s="97"/>
      <c r="N538" s="121" t="s">
        <v>71</v>
      </c>
      <c r="O538" s="99"/>
      <c r="P538" s="100" t="str">
        <f t="shared" si="8"/>
        <v>8-VR</v>
      </c>
      <c r="Q538" s="102" t="s">
        <v>1367</v>
      </c>
      <c r="R538" s="108" t="str">
        <f>HYPERLINK("#'마스터_품목'!A816","→ 마스터 R816")</f>
        <v>→ 마스터 R816</v>
      </c>
      <c r="S538" s="109">
        <v>816</v>
      </c>
      <c r="T538" s="109" t="s">
        <v>72</v>
      </c>
    </row>
    <row r="539" spans="1:20" ht="48" customHeight="1" x14ac:dyDescent="0.3">
      <c r="A539" s="124" t="s">
        <v>354</v>
      </c>
      <c r="B539" s="87" t="s">
        <v>1383</v>
      </c>
      <c r="C539" s="88" t="s">
        <v>182</v>
      </c>
      <c r="D539" s="88" t="s">
        <v>1610</v>
      </c>
      <c r="E539" s="88"/>
      <c r="F539" s="90" t="s">
        <v>71</v>
      </c>
      <c r="G539" s="91"/>
      <c r="H539" s="92"/>
      <c r="I539" s="93" t="str">
        <f>IFERROR(IF(OR($F539="O",$G539="O",$H539="O"),CHOOSE(MATCH($A539,{"튜브","고압","진공","튜닝","조립","출하"},0),"T","H","V","N","A","P")&amp;IF($F539="O","R",IF($G539="O","A",IF($H539="O","F",""))),""),"")</f>
        <v>AR</v>
      </c>
      <c r="J539" s="94"/>
      <c r="K539" s="95"/>
      <c r="L539" s="96"/>
      <c r="M539" s="97"/>
      <c r="N539" s="121" t="s">
        <v>71</v>
      </c>
      <c r="O539" s="99"/>
      <c r="P539" s="100" t="str">
        <f t="shared" si="8"/>
        <v>8-AR</v>
      </c>
      <c r="R539" s="108" t="str">
        <f>HYPERLINK("#'마스터_품목'!A817","→ 마스터 R817")</f>
        <v>→ 마스터 R817</v>
      </c>
      <c r="S539" s="109">
        <v>817</v>
      </c>
      <c r="T539" s="109" t="s">
        <v>72</v>
      </c>
    </row>
    <row r="540" spans="1:20" ht="48" customHeight="1" x14ac:dyDescent="0.3">
      <c r="A540" s="124" t="s">
        <v>240</v>
      </c>
      <c r="B540" s="87" t="s">
        <v>1351</v>
      </c>
      <c r="C540" s="88" t="s">
        <v>153</v>
      </c>
      <c r="D540" s="88" t="s">
        <v>1611</v>
      </c>
      <c r="E540" s="88"/>
      <c r="F540" s="90" t="s">
        <v>71</v>
      </c>
      <c r="G540" s="91"/>
      <c r="H540" s="92"/>
      <c r="I540" s="93" t="str">
        <f>IFERROR(IF(OR($F540="O",$G540="O",$H540="O"),CHOOSE(MATCH($A540,{"튜브","고압","진공","튜닝","조립","출하"},0),"T","H","V","N","A","P")&amp;IF($F540="O","R",IF($G540="O","A",IF($H540="O","F",""))),""),"")</f>
        <v>NR</v>
      </c>
      <c r="J540" s="94"/>
      <c r="K540" s="95"/>
      <c r="L540" s="96"/>
      <c r="M540" s="120" t="s">
        <v>71</v>
      </c>
      <c r="N540" s="98"/>
      <c r="O540" s="99"/>
      <c r="P540" s="100" t="str">
        <f t="shared" si="8"/>
        <v>7-NR</v>
      </c>
      <c r="Q540" s="102" t="s">
        <v>1353</v>
      </c>
      <c r="R540" s="108" t="str">
        <f>HYPERLINK("#'마스터_품목'!A818","→ 마스터 R818")</f>
        <v>→ 마스터 R818</v>
      </c>
      <c r="S540" s="109">
        <v>818</v>
      </c>
      <c r="T540" s="109" t="s">
        <v>72</v>
      </c>
    </row>
    <row r="541" spans="1:20" ht="48" customHeight="1" x14ac:dyDescent="0.3">
      <c r="A541" s="124" t="s">
        <v>354</v>
      </c>
      <c r="B541" s="87" t="s">
        <v>1357</v>
      </c>
      <c r="C541" s="88" t="s">
        <v>195</v>
      </c>
      <c r="D541" s="88" t="s">
        <v>1612</v>
      </c>
      <c r="E541" s="88"/>
      <c r="F541" s="90" t="s">
        <v>71</v>
      </c>
      <c r="G541" s="91"/>
      <c r="H541" s="92"/>
      <c r="I541" s="93" t="str">
        <f>IFERROR(IF(OR($F541="O",$G541="O",$H541="O"),CHOOSE(MATCH($A541,{"튜브","고압","진공","튜닝","조립","출하"},0),"T","H","V","N","A","P")&amp;IF($F541="O","R",IF($G541="O","A",IF($H541="O","F",""))),""),"")</f>
        <v>AR</v>
      </c>
      <c r="J541" s="122" t="s">
        <v>71</v>
      </c>
      <c r="K541" s="95"/>
      <c r="L541" s="96"/>
      <c r="M541" s="97"/>
      <c r="N541" s="98"/>
      <c r="O541" s="99"/>
      <c r="P541" s="100" t="str">
        <f t="shared" si="8"/>
        <v>3-AR</v>
      </c>
      <c r="Q541" s="102" t="s">
        <v>1353</v>
      </c>
      <c r="R541" s="108" t="str">
        <f>HYPERLINK("#'마스터_품목'!A819","→ 마스터 R819")</f>
        <v>→ 마스터 R819</v>
      </c>
      <c r="S541" s="109">
        <v>819</v>
      </c>
      <c r="T541" s="109" t="s">
        <v>72</v>
      </c>
    </row>
    <row r="542" spans="1:20" ht="48" customHeight="1" x14ac:dyDescent="0.3">
      <c r="A542" s="124" t="s">
        <v>354</v>
      </c>
      <c r="B542" s="87" t="s">
        <v>1368</v>
      </c>
      <c r="C542" s="88" t="s">
        <v>195</v>
      </c>
      <c r="D542" s="88" t="s">
        <v>1613</v>
      </c>
      <c r="E542" s="88"/>
      <c r="F542" s="90" t="s">
        <v>71</v>
      </c>
      <c r="G542" s="91"/>
      <c r="H542" s="92"/>
      <c r="I542" s="93" t="str">
        <f>IFERROR(IF(OR($F542="O",$G542="O",$H542="O"),CHOOSE(MATCH($A542,{"튜브","고압","진공","튜닝","조립","출하"},0),"T","H","V","N","A","P")&amp;IF($F542="O","R",IF($G542="O","A",IF($H542="O","F",""))),""),"")</f>
        <v>AR</v>
      </c>
      <c r="J542" s="122" t="s">
        <v>71</v>
      </c>
      <c r="K542" s="95"/>
      <c r="L542" s="96"/>
      <c r="M542" s="97"/>
      <c r="N542" s="98"/>
      <c r="O542" s="99"/>
      <c r="P542" s="100" t="str">
        <f t="shared" si="8"/>
        <v>3-AR</v>
      </c>
      <c r="Q542" s="102" t="s">
        <v>1614</v>
      </c>
      <c r="R542" s="108" t="str">
        <f>HYPERLINK("#'마스터_품목'!A820","→ 마스터 R820")</f>
        <v>→ 마스터 R820</v>
      </c>
      <c r="S542" s="109">
        <v>820</v>
      </c>
      <c r="T542" s="109" t="s">
        <v>72</v>
      </c>
    </row>
    <row r="543" spans="1:20" ht="48" customHeight="1" x14ac:dyDescent="0.3">
      <c r="A543" s="124" t="s">
        <v>354</v>
      </c>
      <c r="B543" s="87" t="s">
        <v>1359</v>
      </c>
      <c r="C543" s="88" t="s">
        <v>195</v>
      </c>
      <c r="D543" s="88" t="s">
        <v>1615</v>
      </c>
      <c r="E543" s="88"/>
      <c r="F543" s="90" t="s">
        <v>71</v>
      </c>
      <c r="G543" s="91"/>
      <c r="H543" s="92"/>
      <c r="I543" s="93" t="str">
        <f>IFERROR(IF(OR($F543="O",$G543="O",$H543="O"),CHOOSE(MATCH($A543,{"튜브","고압","진공","튜닝","조립","출하"},0),"T","H","V","N","A","P")&amp;IF($F543="O","R",IF($G543="O","A",IF($H543="O","F",""))),""),"")</f>
        <v>AR</v>
      </c>
      <c r="J543" s="122" t="s">
        <v>71</v>
      </c>
      <c r="K543" s="95"/>
      <c r="L543" s="96"/>
      <c r="M543" s="97"/>
      <c r="N543" s="98"/>
      <c r="O543" s="99"/>
      <c r="P543" s="100" t="str">
        <f t="shared" si="8"/>
        <v>3-AR</v>
      </c>
      <c r="Q543" s="102" t="s">
        <v>1353</v>
      </c>
      <c r="R543" s="108" t="str">
        <f>HYPERLINK("#'마스터_품목'!A821","→ 마스터 R821")</f>
        <v>→ 마스터 R821</v>
      </c>
      <c r="S543" s="109">
        <v>821</v>
      </c>
      <c r="T543" s="109" t="s">
        <v>72</v>
      </c>
    </row>
    <row r="544" spans="1:20" ht="48" customHeight="1" x14ac:dyDescent="0.3">
      <c r="A544" s="124" t="s">
        <v>354</v>
      </c>
      <c r="B544" s="87" t="s">
        <v>1359</v>
      </c>
      <c r="C544" s="88" t="s">
        <v>153</v>
      </c>
      <c r="D544" s="88" t="s">
        <v>1616</v>
      </c>
      <c r="E544" s="88"/>
      <c r="F544" s="90" t="s">
        <v>71</v>
      </c>
      <c r="G544" s="91"/>
      <c r="H544" s="92"/>
      <c r="I544" s="93" t="str">
        <f>IFERROR(IF(OR($F544="O",$G544="O",$H544="O"),CHOOSE(MATCH($A544,{"튜브","고압","진공","튜닝","조립","출하"},0),"T","H","V","N","A","P")&amp;IF($F544="O","R",IF($G544="O","A",IF($H544="O","F",""))),""),"")</f>
        <v>AR</v>
      </c>
      <c r="J544" s="94"/>
      <c r="K544" s="95"/>
      <c r="L544" s="96"/>
      <c r="M544" s="120" t="s">
        <v>71</v>
      </c>
      <c r="N544" s="98"/>
      <c r="O544" s="99"/>
      <c r="P544" s="100" t="str">
        <f t="shared" si="8"/>
        <v>7-AR</v>
      </c>
      <c r="Q544" s="102" t="s">
        <v>1353</v>
      </c>
      <c r="R544" s="108" t="str">
        <f>HYPERLINK("#'마스터_품목'!A822","→ 마스터 R822")</f>
        <v>→ 마스터 R822</v>
      </c>
      <c r="S544" s="109">
        <v>822</v>
      </c>
      <c r="T544" s="109" t="s">
        <v>72</v>
      </c>
    </row>
    <row r="545" spans="1:20" ht="48" customHeight="1" x14ac:dyDescent="0.3">
      <c r="A545" s="124" t="s">
        <v>354</v>
      </c>
      <c r="B545" s="87" t="s">
        <v>1359</v>
      </c>
      <c r="C545" s="88" t="s">
        <v>153</v>
      </c>
      <c r="D545" s="88" t="s">
        <v>1617</v>
      </c>
      <c r="E545" s="88"/>
      <c r="F545" s="90" t="s">
        <v>71</v>
      </c>
      <c r="G545" s="91"/>
      <c r="H545" s="92"/>
      <c r="I545" s="93" t="str">
        <f>IFERROR(IF(OR($F545="O",$G545="O",$H545="O"),CHOOSE(MATCH($A545,{"튜브","고압","진공","튜닝","조립","출하"},0),"T","H","V","N","A","P")&amp;IF($F545="O","R",IF($G545="O","A",IF($H545="O","F",""))),""),"")</f>
        <v>AR</v>
      </c>
      <c r="J545" s="94"/>
      <c r="K545" s="95"/>
      <c r="L545" s="96"/>
      <c r="M545" s="120" t="s">
        <v>71</v>
      </c>
      <c r="N545" s="98"/>
      <c r="O545" s="99"/>
      <c r="P545" s="100" t="str">
        <f t="shared" si="8"/>
        <v>7-AR</v>
      </c>
      <c r="Q545" s="102" t="s">
        <v>1353</v>
      </c>
      <c r="R545" s="108" t="str">
        <f>HYPERLINK("#'마스터_품목'!A823","→ 마스터 R823")</f>
        <v>→ 마스터 R823</v>
      </c>
      <c r="S545" s="109">
        <v>823</v>
      </c>
      <c r="T545" s="109" t="s">
        <v>72</v>
      </c>
    </row>
    <row r="546" spans="1:20" ht="48" customHeight="1" x14ac:dyDescent="0.3">
      <c r="A546" s="124" t="s">
        <v>354</v>
      </c>
      <c r="B546" s="87" t="s">
        <v>1359</v>
      </c>
      <c r="C546" s="88" t="s">
        <v>153</v>
      </c>
      <c r="D546" s="88" t="s">
        <v>1618</v>
      </c>
      <c r="E546" s="88"/>
      <c r="F546" s="90" t="s">
        <v>71</v>
      </c>
      <c r="G546" s="91"/>
      <c r="H546" s="92"/>
      <c r="I546" s="93" t="str">
        <f>IFERROR(IF(OR($F546="O",$G546="O",$H546="O"),CHOOSE(MATCH($A546,{"튜브","고압","진공","튜닝","조립","출하"},0),"T","H","V","N","A","P")&amp;IF($F546="O","R",IF($G546="O","A",IF($H546="O","F",""))),""),"")</f>
        <v>AR</v>
      </c>
      <c r="J546" s="94"/>
      <c r="K546" s="95"/>
      <c r="L546" s="96"/>
      <c r="M546" s="120" t="s">
        <v>71</v>
      </c>
      <c r="N546" s="98"/>
      <c r="O546" s="99"/>
      <c r="P546" s="100" t="str">
        <f t="shared" si="8"/>
        <v>7-AR</v>
      </c>
      <c r="Q546" s="102" t="s">
        <v>1353</v>
      </c>
      <c r="R546" s="108" t="str">
        <f>HYPERLINK("#'마스터_품목'!A824","→ 마스터 R824")</f>
        <v>→ 마스터 R824</v>
      </c>
      <c r="S546" s="109">
        <v>824</v>
      </c>
      <c r="T546" s="109" t="s">
        <v>72</v>
      </c>
    </row>
    <row r="547" spans="1:20" ht="48" customHeight="1" x14ac:dyDescent="0.3">
      <c r="A547" s="87" t="s">
        <v>1347</v>
      </c>
      <c r="B547" s="87" t="s">
        <v>1351</v>
      </c>
      <c r="C547" s="88" t="s">
        <v>117</v>
      </c>
      <c r="D547" s="88" t="s">
        <v>695</v>
      </c>
      <c r="E547" s="88" t="s">
        <v>693</v>
      </c>
      <c r="F547" s="90" t="s">
        <v>71</v>
      </c>
      <c r="G547" s="91"/>
      <c r="H547" s="92"/>
      <c r="I547" s="93" t="str">
        <f>IFERROR(IF(OR($F547="O",$G547="O",$H547="O"),CHOOSE(MATCH($A547,{"튜브","고압","진공","튜닝","조립","출하"},0),"T","H","V","N","A","P")&amp;IF($F547="O","R",IF($G547="O","A",IF($H547="O","F",""))),""),"")</f>
        <v/>
      </c>
      <c r="J547" s="94"/>
      <c r="K547" s="95"/>
      <c r="L547" s="96" t="s">
        <v>71</v>
      </c>
      <c r="M547" s="97"/>
      <c r="N547" s="98"/>
      <c r="O547" s="99"/>
      <c r="P547" s="100" t="str">
        <f t="shared" si="8"/>
        <v/>
      </c>
      <c r="Q547" s="102" t="s">
        <v>1353</v>
      </c>
      <c r="R547" s="108" t="str">
        <f>HYPERLINK("#'마스터_품목'!A358","→ 마스터 R358")</f>
        <v>→ 마스터 R358</v>
      </c>
      <c r="S547" s="109">
        <v>358</v>
      </c>
      <c r="T547" s="109" t="s">
        <v>72</v>
      </c>
    </row>
    <row r="548" spans="1:20" ht="48" customHeight="1" x14ac:dyDescent="0.3">
      <c r="A548" s="87" t="s">
        <v>1347</v>
      </c>
      <c r="B548" s="87" t="s">
        <v>1351</v>
      </c>
      <c r="C548" s="88" t="s">
        <v>117</v>
      </c>
      <c r="D548" s="88" t="s">
        <v>703</v>
      </c>
      <c r="E548" s="88" t="s">
        <v>702</v>
      </c>
      <c r="F548" s="90" t="s">
        <v>71</v>
      </c>
      <c r="G548" s="91"/>
      <c r="H548" s="92"/>
      <c r="I548" s="93" t="str">
        <f>IFERROR(IF(OR($F548="O",$G548="O",$H548="O"),CHOOSE(MATCH($A548,{"튜브","고압","진공","튜닝","조립","출하"},0),"T","H","V","N","A","P")&amp;IF($F548="O","R",IF($G548="O","A",IF($H548="O","F",""))),""),"")</f>
        <v/>
      </c>
      <c r="J548" s="94"/>
      <c r="K548" s="95"/>
      <c r="L548" s="96" t="s">
        <v>71</v>
      </c>
      <c r="M548" s="97"/>
      <c r="N548" s="98"/>
      <c r="O548" s="99"/>
      <c r="P548" s="100" t="str">
        <f t="shared" si="8"/>
        <v/>
      </c>
      <c r="Q548" s="102" t="s">
        <v>1354</v>
      </c>
      <c r="R548" s="108" t="str">
        <f>HYPERLINK("#'마스터_품목'!A362","→ 마스터 R362")</f>
        <v>→ 마스터 R362</v>
      </c>
      <c r="S548" s="109">
        <v>362</v>
      </c>
      <c r="T548" s="109" t="s">
        <v>72</v>
      </c>
    </row>
    <row r="549" spans="1:20" ht="48" customHeight="1" x14ac:dyDescent="0.3">
      <c r="A549" s="87" t="s">
        <v>1347</v>
      </c>
      <c r="B549" s="87" t="s">
        <v>1351</v>
      </c>
      <c r="C549" s="88" t="s">
        <v>117</v>
      </c>
      <c r="D549" s="88" t="s">
        <v>705</v>
      </c>
      <c r="E549" s="88" t="s">
        <v>704</v>
      </c>
      <c r="F549" s="90" t="s">
        <v>71</v>
      </c>
      <c r="G549" s="91"/>
      <c r="H549" s="92"/>
      <c r="I549" s="93" t="str">
        <f>IFERROR(IF(OR($F549="O",$G549="O",$H549="O"),CHOOSE(MATCH($A549,{"튜브","고압","진공","튜닝","조립","출하"},0),"T","H","V","N","A","P")&amp;IF($F549="O","R",IF($G549="O","A",IF($H549="O","F",""))),""),"")</f>
        <v/>
      </c>
      <c r="J549" s="94"/>
      <c r="K549" s="95"/>
      <c r="L549" s="96" t="s">
        <v>71</v>
      </c>
      <c r="M549" s="97"/>
      <c r="N549" s="98"/>
      <c r="O549" s="99"/>
      <c r="P549" s="100" t="str">
        <f t="shared" si="8"/>
        <v/>
      </c>
      <c r="Q549" s="102" t="s">
        <v>1354</v>
      </c>
      <c r="R549" s="108" t="str">
        <f>HYPERLINK("#'마스터_품목'!A363","→ 마스터 R363")</f>
        <v>→ 마스터 R363</v>
      </c>
      <c r="S549" s="109">
        <v>363</v>
      </c>
      <c r="T549" s="109" t="s">
        <v>72</v>
      </c>
    </row>
    <row r="550" spans="1:20" ht="48" customHeight="1" x14ac:dyDescent="0.3">
      <c r="A550" s="87" t="s">
        <v>1347</v>
      </c>
      <c r="B550" s="87" t="s">
        <v>1351</v>
      </c>
      <c r="C550" s="88" t="s">
        <v>333</v>
      </c>
      <c r="D550" s="88" t="s">
        <v>699</v>
      </c>
      <c r="E550" s="88" t="s">
        <v>698</v>
      </c>
      <c r="F550" s="90" t="s">
        <v>71</v>
      </c>
      <c r="G550" s="91"/>
      <c r="H550" s="92"/>
      <c r="I550" s="93" t="str">
        <f>IFERROR(IF(OR($F550="O",$G550="O",$H550="O"),CHOOSE(MATCH($A550,{"튜브","고압","진공","튜닝","조립","출하"},0),"T","H","V","N","A","P")&amp;IF($F550="O","R",IF($G550="O","A",IF($H550="O","F",""))),""),"")</f>
        <v/>
      </c>
      <c r="J550" s="94"/>
      <c r="K550" s="95"/>
      <c r="L550" s="96" t="s">
        <v>71</v>
      </c>
      <c r="M550" s="97"/>
      <c r="N550" s="98"/>
      <c r="O550" s="99"/>
      <c r="P550" s="100" t="str">
        <f t="shared" si="8"/>
        <v/>
      </c>
      <c r="Q550" s="102" t="s">
        <v>1353</v>
      </c>
      <c r="R550" s="108" t="str">
        <f>HYPERLINK("#'마스터_품목'!A360","→ 마스터 R360")</f>
        <v>→ 마스터 R360</v>
      </c>
      <c r="S550" s="109">
        <v>360</v>
      </c>
      <c r="T550" s="109" t="s">
        <v>72</v>
      </c>
    </row>
    <row r="551" spans="1:20" ht="48" customHeight="1" x14ac:dyDescent="0.3">
      <c r="A551" s="87" t="s">
        <v>1347</v>
      </c>
      <c r="B551" s="87" t="s">
        <v>1351</v>
      </c>
      <c r="C551" s="88" t="s">
        <v>333</v>
      </c>
      <c r="D551" s="88" t="s">
        <v>701</v>
      </c>
      <c r="E551" s="88" t="s">
        <v>700</v>
      </c>
      <c r="F551" s="90" t="s">
        <v>71</v>
      </c>
      <c r="G551" s="91"/>
      <c r="H551" s="92"/>
      <c r="I551" s="93" t="str">
        <f>IFERROR(IF(OR($F551="O",$G551="O",$H551="O"),CHOOSE(MATCH($A551,{"튜브","고압","진공","튜닝","조립","출하"},0),"T","H","V","N","A","P")&amp;IF($F551="O","R",IF($G551="O","A",IF($H551="O","F",""))),""),"")</f>
        <v/>
      </c>
      <c r="J551" s="94"/>
      <c r="K551" s="95"/>
      <c r="L551" s="96" t="s">
        <v>71</v>
      </c>
      <c r="M551" s="97"/>
      <c r="N551" s="98"/>
      <c r="O551" s="99"/>
      <c r="P551" s="100" t="str">
        <f t="shared" si="8"/>
        <v/>
      </c>
      <c r="Q551" s="102" t="s">
        <v>1353</v>
      </c>
      <c r="R551" s="108" t="str">
        <f>HYPERLINK("#'마스터_품목'!A361","→ 마스터 R361")</f>
        <v>→ 마스터 R361</v>
      </c>
      <c r="S551" s="109">
        <v>361</v>
      </c>
      <c r="T551" s="109" t="s">
        <v>72</v>
      </c>
    </row>
    <row r="552" spans="1:20" ht="48" customHeight="1" x14ac:dyDescent="0.3">
      <c r="A552" s="87" t="s">
        <v>1347</v>
      </c>
      <c r="B552" s="87" t="s">
        <v>1351</v>
      </c>
      <c r="C552" s="88" t="s">
        <v>117</v>
      </c>
      <c r="D552" s="88" t="s">
        <v>710</v>
      </c>
      <c r="E552" s="88" t="s">
        <v>709</v>
      </c>
      <c r="F552" s="90" t="s">
        <v>71</v>
      </c>
      <c r="G552" s="91"/>
      <c r="H552" s="92"/>
      <c r="I552" s="93" t="str">
        <f>IFERROR(IF(OR($F552="O",$G552="O",$H552="O"),CHOOSE(MATCH($A552,{"튜브","고압","진공","튜닝","조립","출하"},0),"T","H","V","N","A","P")&amp;IF($F552="O","R",IF($G552="O","A",IF($H552="O","F",""))),""),"")</f>
        <v/>
      </c>
      <c r="J552" s="94"/>
      <c r="K552" s="95"/>
      <c r="L552" s="96" t="s">
        <v>71</v>
      </c>
      <c r="M552" s="97"/>
      <c r="N552" s="98"/>
      <c r="O552" s="99"/>
      <c r="P552" s="100" t="str">
        <f t="shared" si="8"/>
        <v/>
      </c>
      <c r="Q552" s="102" t="s">
        <v>1353</v>
      </c>
      <c r="R552" s="108" t="str">
        <f>HYPERLINK("#'마스터_품목'!A366","→ 마스터 R366")</f>
        <v>→ 마스터 R366</v>
      </c>
      <c r="S552" s="109">
        <v>366</v>
      </c>
      <c r="T552" s="109" t="s">
        <v>72</v>
      </c>
    </row>
    <row r="553" spans="1:20" ht="48" customHeight="1" x14ac:dyDescent="0.3">
      <c r="A553" s="124" t="s">
        <v>354</v>
      </c>
      <c r="B553" s="87" t="s">
        <v>1351</v>
      </c>
      <c r="C553" s="88" t="s">
        <v>333</v>
      </c>
      <c r="D553" s="88" t="s">
        <v>1619</v>
      </c>
      <c r="E553" s="88"/>
      <c r="F553" s="90" t="s">
        <v>71</v>
      </c>
      <c r="G553" s="91"/>
      <c r="H553" s="92"/>
      <c r="I553" s="93" t="str">
        <f>IFERROR(IF(OR($F553="O",$G553="O",$H553="O"),CHOOSE(MATCH($A553,{"튜브","고압","진공","튜닝","조립","출하"},0),"T","H","V","N","A","P")&amp;IF($F553="O","R",IF($G553="O","A",IF($H553="O","F",""))),""),"")</f>
        <v>AR</v>
      </c>
      <c r="J553" s="94"/>
      <c r="K553" s="95"/>
      <c r="L553" s="119" t="s">
        <v>71</v>
      </c>
      <c r="M553" s="97"/>
      <c r="N553" s="98"/>
      <c r="O553" s="99"/>
      <c r="P553" s="100" t="str">
        <f t="shared" si="8"/>
        <v>6-AR</v>
      </c>
      <c r="Q553" s="102" t="s">
        <v>1353</v>
      </c>
      <c r="R553" s="108" t="str">
        <f>HYPERLINK("#'마스터_품목'!A825","→ 마스터 R825")</f>
        <v>→ 마스터 R825</v>
      </c>
      <c r="S553" s="109">
        <v>825</v>
      </c>
      <c r="T553" s="109" t="s">
        <v>72</v>
      </c>
    </row>
    <row r="554" spans="1:20" ht="48" customHeight="1" x14ac:dyDescent="0.3">
      <c r="A554" s="124" t="s">
        <v>354</v>
      </c>
      <c r="B554" s="87" t="s">
        <v>1351</v>
      </c>
      <c r="C554" s="88" t="s">
        <v>333</v>
      </c>
      <c r="D554" s="88" t="s">
        <v>1620</v>
      </c>
      <c r="E554" s="88"/>
      <c r="F554" s="90" t="s">
        <v>71</v>
      </c>
      <c r="G554" s="91"/>
      <c r="H554" s="92"/>
      <c r="I554" s="93" t="str">
        <f>IFERROR(IF(OR($F554="O",$G554="O",$H554="O"),CHOOSE(MATCH($A554,{"튜브","고압","진공","튜닝","조립","출하"},0),"T","H","V","N","A","P")&amp;IF($F554="O","R",IF($G554="O","A",IF($H554="O","F",""))),""),"")</f>
        <v>AR</v>
      </c>
      <c r="J554" s="94"/>
      <c r="K554" s="95"/>
      <c r="L554" s="119" t="s">
        <v>71</v>
      </c>
      <c r="M554" s="97"/>
      <c r="N554" s="98"/>
      <c r="O554" s="99"/>
      <c r="P554" s="100" t="str">
        <f t="shared" si="8"/>
        <v>6-AR</v>
      </c>
      <c r="Q554" s="102" t="s">
        <v>1353</v>
      </c>
      <c r="R554" s="108" t="str">
        <f>HYPERLINK("#'마스터_품목'!A826","→ 마스터 R826")</f>
        <v>→ 마스터 R826</v>
      </c>
      <c r="S554" s="109">
        <v>826</v>
      </c>
      <c r="T554" s="109" t="s">
        <v>72</v>
      </c>
    </row>
    <row r="555" spans="1:20" ht="48" customHeight="1" x14ac:dyDescent="0.3">
      <c r="A555" s="87" t="s">
        <v>1347</v>
      </c>
      <c r="B555" s="87" t="s">
        <v>1351</v>
      </c>
      <c r="C555" s="88" t="s">
        <v>117</v>
      </c>
      <c r="D555" s="88" t="s">
        <v>721</v>
      </c>
      <c r="E555" s="88" t="s">
        <v>720</v>
      </c>
      <c r="F555" s="90" t="s">
        <v>71</v>
      </c>
      <c r="G555" s="91"/>
      <c r="H555" s="92"/>
      <c r="I555" s="93" t="str">
        <f>IFERROR(IF(OR($F555="O",$G555="O",$H555="O"),CHOOSE(MATCH($A555,{"튜브","고압","진공","튜닝","조립","출하"},0),"T","H","V","N","A","P")&amp;IF($F555="O","R",IF($G555="O","A",IF($H555="O","F",""))),""),"")</f>
        <v/>
      </c>
      <c r="J555" s="94"/>
      <c r="K555" s="95"/>
      <c r="L555" s="96" t="s">
        <v>71</v>
      </c>
      <c r="M555" s="97"/>
      <c r="N555" s="98"/>
      <c r="O555" s="99"/>
      <c r="P555" s="100" t="str">
        <f t="shared" si="8"/>
        <v/>
      </c>
      <c r="Q555" s="102" t="s">
        <v>1353</v>
      </c>
      <c r="R555" s="108" t="str">
        <f>HYPERLINK("#'마스터_품목'!A372","→ 마스터 R372")</f>
        <v>→ 마스터 R372</v>
      </c>
      <c r="S555" s="109">
        <v>372</v>
      </c>
      <c r="T555" s="109" t="s">
        <v>72</v>
      </c>
    </row>
    <row r="556" spans="1:20" ht="48" customHeight="1" x14ac:dyDescent="0.3">
      <c r="A556" s="124" t="s">
        <v>354</v>
      </c>
      <c r="B556" s="87" t="s">
        <v>1351</v>
      </c>
      <c r="C556" s="88" t="s">
        <v>117</v>
      </c>
      <c r="D556" s="88" t="s">
        <v>1621</v>
      </c>
      <c r="E556" s="88"/>
      <c r="F556" s="90" t="s">
        <v>71</v>
      </c>
      <c r="G556" s="91"/>
      <c r="H556" s="92"/>
      <c r="I556" s="93" t="str">
        <f>IFERROR(IF(OR($F556="O",$G556="O",$H556="O"),CHOOSE(MATCH($A556,{"튜브","고압","진공","튜닝","조립","출하"},0),"T","H","V","N","A","P")&amp;IF($F556="O","R",IF($G556="O","A",IF($H556="O","F",""))),""),"")</f>
        <v>AR</v>
      </c>
      <c r="J556" s="94"/>
      <c r="K556" s="95"/>
      <c r="L556" s="119" t="s">
        <v>71</v>
      </c>
      <c r="M556" s="97"/>
      <c r="N556" s="98"/>
      <c r="O556" s="99"/>
      <c r="P556" s="100" t="str">
        <f t="shared" si="8"/>
        <v>6-AR</v>
      </c>
      <c r="Q556" s="102" t="s">
        <v>1353</v>
      </c>
      <c r="R556" s="108" t="str">
        <f>HYPERLINK("#'마스터_품목'!A827","→ 마스터 R827")</f>
        <v>→ 마스터 R827</v>
      </c>
      <c r="S556" s="109">
        <v>827</v>
      </c>
      <c r="T556" s="109" t="s">
        <v>72</v>
      </c>
    </row>
    <row r="557" spans="1:20" ht="48" customHeight="1" x14ac:dyDescent="0.3">
      <c r="A557" s="124" t="s">
        <v>354</v>
      </c>
      <c r="B557" s="87" t="s">
        <v>1351</v>
      </c>
      <c r="C557" s="88" t="s">
        <v>117</v>
      </c>
      <c r="D557" s="88" t="s">
        <v>1622</v>
      </c>
      <c r="E557" s="88"/>
      <c r="F557" s="90" t="s">
        <v>71</v>
      </c>
      <c r="G557" s="91"/>
      <c r="H557" s="92"/>
      <c r="I557" s="93" t="str">
        <f>IFERROR(IF(OR($F557="O",$G557="O",$H557="O"),CHOOSE(MATCH($A557,{"튜브","고압","진공","튜닝","조립","출하"},0),"T","H","V","N","A","P")&amp;IF($F557="O","R",IF($G557="O","A",IF($H557="O","F",""))),""),"")</f>
        <v>AR</v>
      </c>
      <c r="J557" s="94"/>
      <c r="K557" s="95"/>
      <c r="L557" s="119" t="s">
        <v>71</v>
      </c>
      <c r="M557" s="97"/>
      <c r="N557" s="98"/>
      <c r="O557" s="99"/>
      <c r="P557" s="100" t="str">
        <f t="shared" si="8"/>
        <v>6-AR</v>
      </c>
      <c r="Q557" s="102" t="s">
        <v>1353</v>
      </c>
      <c r="R557" s="108" t="str">
        <f>HYPERLINK("#'마스터_품목'!A828","→ 마스터 R828")</f>
        <v>→ 마스터 R828</v>
      </c>
      <c r="S557" s="109">
        <v>828</v>
      </c>
      <c r="T557" s="109" t="s">
        <v>72</v>
      </c>
    </row>
    <row r="558" spans="1:20" ht="48" customHeight="1" x14ac:dyDescent="0.3">
      <c r="A558" s="124" t="s">
        <v>354</v>
      </c>
      <c r="B558" s="87" t="s">
        <v>1351</v>
      </c>
      <c r="C558" s="88" t="s">
        <v>117</v>
      </c>
      <c r="D558" s="88" t="s">
        <v>1623</v>
      </c>
      <c r="E558" s="88"/>
      <c r="F558" s="90" t="s">
        <v>71</v>
      </c>
      <c r="G558" s="91"/>
      <c r="H558" s="92"/>
      <c r="I558" s="93" t="str">
        <f>IFERROR(IF(OR($F558="O",$G558="O",$H558="O"),CHOOSE(MATCH($A558,{"튜브","고압","진공","튜닝","조립","출하"},0),"T","H","V","N","A","P")&amp;IF($F558="O","R",IF($G558="O","A",IF($H558="O","F",""))),""),"")</f>
        <v>AR</v>
      </c>
      <c r="J558" s="94"/>
      <c r="K558" s="95"/>
      <c r="L558" s="119" t="s">
        <v>71</v>
      </c>
      <c r="M558" s="97"/>
      <c r="N558" s="98"/>
      <c r="O558" s="99"/>
      <c r="P558" s="100" t="str">
        <f t="shared" si="8"/>
        <v>6-AR</v>
      </c>
      <c r="Q558" s="102" t="s">
        <v>1353</v>
      </c>
      <c r="R558" s="108" t="str">
        <f>HYPERLINK("#'마스터_품목'!A829","→ 마스터 R829")</f>
        <v>→ 마스터 R829</v>
      </c>
      <c r="S558" s="109">
        <v>829</v>
      </c>
      <c r="T558" s="109" t="s">
        <v>72</v>
      </c>
    </row>
    <row r="559" spans="1:20" ht="48" customHeight="1" x14ac:dyDescent="0.3">
      <c r="A559" s="124" t="s">
        <v>771</v>
      </c>
      <c r="B559" s="87" t="s">
        <v>1351</v>
      </c>
      <c r="C559" s="88" t="s">
        <v>117</v>
      </c>
      <c r="D559" s="88" t="s">
        <v>1624</v>
      </c>
      <c r="E559" s="88"/>
      <c r="F559" s="90" t="s">
        <v>71</v>
      </c>
      <c r="G559" s="91"/>
      <c r="H559" s="92"/>
      <c r="I559" s="93" t="str">
        <f>IFERROR(IF(OR($F559="O",$G559="O",$H559="O"),CHOOSE(MATCH($A559,{"튜브","고압","진공","튜닝","조립","출하"},0),"T","H","V","N","A","P")&amp;IF($F559="O","R",IF($G559="O","A",IF($H559="O","F",""))),""),"")</f>
        <v>PR</v>
      </c>
      <c r="J559" s="122" t="s">
        <v>71</v>
      </c>
      <c r="K559" s="123" t="s">
        <v>71</v>
      </c>
      <c r="L559" s="119" t="s">
        <v>71</v>
      </c>
      <c r="M559" s="120" t="s">
        <v>71</v>
      </c>
      <c r="N559" s="121" t="s">
        <v>71</v>
      </c>
      <c r="O559" s="99"/>
      <c r="P559" s="100" t="str">
        <f t="shared" si="8"/>
        <v>34678-PR</v>
      </c>
      <c r="Q559" s="102" t="s">
        <v>1353</v>
      </c>
      <c r="R559" s="108" t="str">
        <f>HYPERLINK("#'마스터_품목'!A830","→ 마스터 R830")</f>
        <v>→ 마스터 R830</v>
      </c>
      <c r="S559" s="109">
        <v>830</v>
      </c>
      <c r="T559" s="109" t="s">
        <v>72</v>
      </c>
    </row>
    <row r="560" spans="1:20" ht="48" customHeight="1" x14ac:dyDescent="0.3">
      <c r="A560" s="124" t="s">
        <v>771</v>
      </c>
      <c r="B560" s="87" t="s">
        <v>1351</v>
      </c>
      <c r="C560" s="88" t="s">
        <v>117</v>
      </c>
      <c r="D560" s="88" t="s">
        <v>1625</v>
      </c>
      <c r="E560" s="88"/>
      <c r="F560" s="90" t="s">
        <v>71</v>
      </c>
      <c r="G560" s="91"/>
      <c r="H560" s="92"/>
      <c r="I560" s="93" t="str">
        <f>IFERROR(IF(OR($F560="O",$G560="O",$H560="O"),CHOOSE(MATCH($A560,{"튜브","고압","진공","튜닝","조립","출하"},0),"T","H","V","N","A","P")&amp;IF($F560="O","R",IF($G560="O","A",IF($H560="O","F",""))),""),"")</f>
        <v>PR</v>
      </c>
      <c r="J560" s="122" t="s">
        <v>71</v>
      </c>
      <c r="K560" s="123" t="s">
        <v>71</v>
      </c>
      <c r="L560" s="119" t="s">
        <v>71</v>
      </c>
      <c r="M560" s="120" t="s">
        <v>71</v>
      </c>
      <c r="N560" s="121" t="s">
        <v>71</v>
      </c>
      <c r="O560" s="99"/>
      <c r="P560" s="100" t="str">
        <f t="shared" si="8"/>
        <v>34678-PR</v>
      </c>
      <c r="Q560" s="102" t="s">
        <v>1353</v>
      </c>
      <c r="R560" s="108" t="str">
        <f>HYPERLINK("#'마스터_품목'!A831","→ 마스터 R831")</f>
        <v>→ 마스터 R831</v>
      </c>
      <c r="S560" s="109">
        <v>831</v>
      </c>
      <c r="T560" s="109" t="s">
        <v>72</v>
      </c>
    </row>
    <row r="561" spans="1:20" ht="48" customHeight="1" x14ac:dyDescent="0.3">
      <c r="A561" s="87" t="s">
        <v>1347</v>
      </c>
      <c r="B561" s="87" t="s">
        <v>1359</v>
      </c>
      <c r="C561" s="88" t="s">
        <v>117</v>
      </c>
      <c r="D561" s="88" t="s">
        <v>1626</v>
      </c>
      <c r="E561" s="88" t="s">
        <v>1627</v>
      </c>
      <c r="F561" s="90" t="s">
        <v>71</v>
      </c>
      <c r="G561" s="91"/>
      <c r="H561" s="92"/>
      <c r="I561" s="93" t="str">
        <f>IFERROR(IF(OR($F561="O",$G561="O",$H561="O"),CHOOSE(MATCH($A561,{"튜브","고압","진공","튜닝","조립","출하"},0),"T","H","V","N","A","P")&amp;IF($F561="O","R",IF($G561="O","A",IF($H561="O","F",""))),""),"")</f>
        <v/>
      </c>
      <c r="J561" s="94"/>
      <c r="K561" s="95"/>
      <c r="L561" s="96" t="s">
        <v>71</v>
      </c>
      <c r="M561" s="97"/>
      <c r="N561" s="98"/>
      <c r="O561" s="99"/>
      <c r="P561" s="100" t="str">
        <f t="shared" si="8"/>
        <v/>
      </c>
      <c r="Q561" s="102" t="s">
        <v>1353</v>
      </c>
      <c r="R561" s="108" t="str">
        <f>HYPERLINK("#'마스터_품목'!A390","→ 마스터 R390")</f>
        <v>→ 마스터 R390</v>
      </c>
      <c r="S561" s="109">
        <v>390</v>
      </c>
      <c r="T561" s="109" t="s">
        <v>72</v>
      </c>
    </row>
    <row r="562" spans="1:20" ht="48" customHeight="1" x14ac:dyDescent="0.3">
      <c r="A562" s="124" t="s">
        <v>354</v>
      </c>
      <c r="B562" s="87" t="s">
        <v>1359</v>
      </c>
      <c r="C562" s="88" t="s">
        <v>117</v>
      </c>
      <c r="D562" s="88" t="s">
        <v>1628</v>
      </c>
      <c r="E562" s="88"/>
      <c r="F562" s="90" t="s">
        <v>71</v>
      </c>
      <c r="G562" s="91"/>
      <c r="H562" s="92"/>
      <c r="I562" s="93" t="str">
        <f>IFERROR(IF(OR($F562="O",$G562="O",$H562="O"),CHOOSE(MATCH($A562,{"튜브","고압","진공","튜닝","조립","출하"},0),"T","H","V","N","A","P")&amp;IF($F562="O","R",IF($G562="O","A",IF($H562="O","F",""))),""),"")</f>
        <v>AR</v>
      </c>
      <c r="J562" s="94"/>
      <c r="K562" s="95"/>
      <c r="L562" s="119" t="s">
        <v>71</v>
      </c>
      <c r="M562" s="97"/>
      <c r="N562" s="98"/>
      <c r="O562" s="99"/>
      <c r="P562" s="100" t="str">
        <f t="shared" si="8"/>
        <v>6-AR</v>
      </c>
      <c r="Q562" s="102" t="s">
        <v>1353</v>
      </c>
      <c r="R562" s="108" t="str">
        <f>HYPERLINK("#'마스터_품목'!A832","→ 마스터 R832")</f>
        <v>→ 마스터 R832</v>
      </c>
      <c r="S562" s="109">
        <v>832</v>
      </c>
      <c r="T562" s="109" t="s">
        <v>72</v>
      </c>
    </row>
    <row r="563" spans="1:20" ht="48" customHeight="1" x14ac:dyDescent="0.3">
      <c r="A563" s="87" t="s">
        <v>1347</v>
      </c>
      <c r="B563" s="87" t="s">
        <v>1359</v>
      </c>
      <c r="C563" s="88" t="s">
        <v>333</v>
      </c>
      <c r="D563" s="88" t="s">
        <v>736</v>
      </c>
      <c r="E563" s="88" t="s">
        <v>1629</v>
      </c>
      <c r="F563" s="90" t="s">
        <v>71</v>
      </c>
      <c r="G563" s="91"/>
      <c r="H563" s="92"/>
      <c r="I563" s="93" t="str">
        <f>IFERROR(IF(OR($F563="O",$G563="O",$H563="O"),CHOOSE(MATCH($A563,{"튜브","고압","진공","튜닝","조립","출하"},0),"T","H","V","N","A","P")&amp;IF($F563="O","R",IF($G563="O","A",IF($H563="O","F",""))),""),"")</f>
        <v/>
      </c>
      <c r="J563" s="94"/>
      <c r="K563" s="95"/>
      <c r="L563" s="96" t="s">
        <v>71</v>
      </c>
      <c r="M563" s="97"/>
      <c r="N563" s="98"/>
      <c r="O563" s="99"/>
      <c r="P563" s="100" t="str">
        <f t="shared" si="8"/>
        <v/>
      </c>
      <c r="Q563" s="102" t="s">
        <v>1353</v>
      </c>
      <c r="R563" s="108" t="str">
        <f>HYPERLINK("#'마스터_품목'!A380","→ 마스터 R380")</f>
        <v>→ 마스터 R380</v>
      </c>
      <c r="S563" s="109">
        <v>380</v>
      </c>
      <c r="T563" s="109" t="s">
        <v>72</v>
      </c>
    </row>
    <row r="564" spans="1:20" ht="48" customHeight="1" x14ac:dyDescent="0.3">
      <c r="A564" s="124" t="s">
        <v>354</v>
      </c>
      <c r="B564" s="87" t="s">
        <v>1359</v>
      </c>
      <c r="C564" s="88" t="s">
        <v>117</v>
      </c>
      <c r="D564" s="88" t="s">
        <v>1630</v>
      </c>
      <c r="E564" s="88"/>
      <c r="F564" s="90" t="s">
        <v>71</v>
      </c>
      <c r="G564" s="91"/>
      <c r="H564" s="92"/>
      <c r="I564" s="93" t="str">
        <f>IFERROR(IF(OR($F564="O",$G564="O",$H564="O"),CHOOSE(MATCH($A564,{"튜브","고압","진공","튜닝","조립","출하"},0),"T","H","V","N","A","P")&amp;IF($F564="O","R",IF($G564="O","A",IF($H564="O","F",""))),""),"")</f>
        <v>AR</v>
      </c>
      <c r="J564" s="94"/>
      <c r="K564" s="95"/>
      <c r="L564" s="119" t="s">
        <v>71</v>
      </c>
      <c r="M564" s="97"/>
      <c r="N564" s="98"/>
      <c r="O564" s="99"/>
      <c r="P564" s="100" t="str">
        <f t="shared" si="8"/>
        <v>6-AR</v>
      </c>
      <c r="Q564" s="102" t="s">
        <v>1353</v>
      </c>
      <c r="R564" s="108" t="str">
        <f>HYPERLINK("#'마스터_품목'!A833","→ 마스터 R833")</f>
        <v>→ 마스터 R833</v>
      </c>
      <c r="S564" s="109">
        <v>833</v>
      </c>
      <c r="T564" s="109" t="s">
        <v>72</v>
      </c>
    </row>
    <row r="565" spans="1:20" ht="48" customHeight="1" x14ac:dyDescent="0.3">
      <c r="A565" s="124" t="s">
        <v>354</v>
      </c>
      <c r="B565" s="87" t="s">
        <v>1359</v>
      </c>
      <c r="C565" s="88" t="s">
        <v>117</v>
      </c>
      <c r="D565" s="88" t="s">
        <v>1631</v>
      </c>
      <c r="E565" s="88"/>
      <c r="F565" s="90" t="s">
        <v>71</v>
      </c>
      <c r="G565" s="91"/>
      <c r="H565" s="92"/>
      <c r="I565" s="93" t="str">
        <f>IFERROR(IF(OR($F565="O",$G565="O",$H565="O"),CHOOSE(MATCH($A565,{"튜브","고압","진공","튜닝","조립","출하"},0),"T","H","V","N","A","P")&amp;IF($F565="O","R",IF($G565="O","A",IF($H565="O","F",""))),""),"")</f>
        <v>AR</v>
      </c>
      <c r="J565" s="94"/>
      <c r="K565" s="95"/>
      <c r="L565" s="119" t="s">
        <v>71</v>
      </c>
      <c r="M565" s="97"/>
      <c r="N565" s="98"/>
      <c r="O565" s="99"/>
      <c r="P565" s="100" t="str">
        <f t="shared" si="8"/>
        <v>6-AR</v>
      </c>
      <c r="Q565" s="102" t="s">
        <v>1353</v>
      </c>
      <c r="R565" s="108" t="str">
        <f>HYPERLINK("#'마스터_품목'!A834","→ 마스터 R834")</f>
        <v>→ 마스터 R834</v>
      </c>
      <c r="S565" s="109">
        <v>834</v>
      </c>
      <c r="T565" s="109" t="s">
        <v>72</v>
      </c>
    </row>
    <row r="566" spans="1:20" ht="48" customHeight="1" x14ac:dyDescent="0.3">
      <c r="A566" s="87" t="s">
        <v>1347</v>
      </c>
      <c r="B566" s="87" t="s">
        <v>1359</v>
      </c>
      <c r="C566" s="88" t="s">
        <v>117</v>
      </c>
      <c r="D566" s="88" t="s">
        <v>753</v>
      </c>
      <c r="E566" s="88" t="s">
        <v>752</v>
      </c>
      <c r="F566" s="90" t="s">
        <v>71</v>
      </c>
      <c r="G566" s="91"/>
      <c r="H566" s="92"/>
      <c r="I566" s="93" t="str">
        <f>IFERROR(IF(OR($F566="O",$G566="O",$H566="O"),CHOOSE(MATCH($A566,{"튜브","고압","진공","튜닝","조립","출하"},0),"T","H","V","N","A","P")&amp;IF($F566="O","R",IF($G566="O","A",IF($H566="O","F",""))),""),"")</f>
        <v/>
      </c>
      <c r="J566" s="94"/>
      <c r="K566" s="95"/>
      <c r="L566" s="96" t="s">
        <v>71</v>
      </c>
      <c r="M566" s="97"/>
      <c r="N566" s="98"/>
      <c r="O566" s="99"/>
      <c r="P566" s="100" t="str">
        <f t="shared" si="8"/>
        <v/>
      </c>
      <c r="Q566" s="102" t="s">
        <v>1353</v>
      </c>
      <c r="R566" s="108" t="str">
        <f>HYPERLINK("#'마스터_품목'!A389","→ 마스터 R389")</f>
        <v>→ 마스터 R389</v>
      </c>
      <c r="S566" s="109">
        <v>389</v>
      </c>
      <c r="T566" s="109" t="s">
        <v>72</v>
      </c>
    </row>
    <row r="567" spans="1:20" ht="48" customHeight="1" x14ac:dyDescent="0.3">
      <c r="A567" s="87" t="s">
        <v>1347</v>
      </c>
      <c r="B567" s="87" t="s">
        <v>1359</v>
      </c>
      <c r="C567" s="88" t="s">
        <v>117</v>
      </c>
      <c r="D567" s="88" t="s">
        <v>755</v>
      </c>
      <c r="E567" s="88" t="s">
        <v>754</v>
      </c>
      <c r="F567" s="90" t="s">
        <v>71</v>
      </c>
      <c r="G567" s="91"/>
      <c r="H567" s="92"/>
      <c r="I567" s="93" t="str">
        <f>IFERROR(IF(OR($F567="O",$G567="O",$H567="O"),CHOOSE(MATCH($A567,{"튜브","고압","진공","튜닝","조립","출하"},0),"T","H","V","N","A","P")&amp;IF($F567="O","R",IF($G567="O","A",IF($H567="O","F",""))),""),"")</f>
        <v/>
      </c>
      <c r="J567" s="94"/>
      <c r="K567" s="95"/>
      <c r="L567" s="96" t="s">
        <v>71</v>
      </c>
      <c r="M567" s="97"/>
      <c r="N567" s="98"/>
      <c r="O567" s="99"/>
      <c r="P567" s="100" t="str">
        <f t="shared" si="8"/>
        <v/>
      </c>
      <c r="Q567" s="102" t="s">
        <v>1353</v>
      </c>
      <c r="R567" s="108" t="str">
        <f>HYPERLINK("#'마스터_품목'!A390","→ 마스터 R390")</f>
        <v>→ 마스터 R390</v>
      </c>
      <c r="S567" s="109">
        <v>390</v>
      </c>
      <c r="T567" s="109" t="s">
        <v>72</v>
      </c>
    </row>
    <row r="568" spans="1:20" ht="48" customHeight="1" x14ac:dyDescent="0.3">
      <c r="A568" s="87" t="s">
        <v>1347</v>
      </c>
      <c r="B568" s="87" t="s">
        <v>1359</v>
      </c>
      <c r="C568" s="88" t="s">
        <v>117</v>
      </c>
      <c r="D568" s="88" t="s">
        <v>751</v>
      </c>
      <c r="E568" s="88" t="s">
        <v>750</v>
      </c>
      <c r="F568" s="90" t="s">
        <v>71</v>
      </c>
      <c r="G568" s="91"/>
      <c r="H568" s="92"/>
      <c r="I568" s="93" t="str">
        <f>IFERROR(IF(OR($F568="O",$G568="O",$H568="O"),CHOOSE(MATCH($A568,{"튜브","고압","진공","튜닝","조립","출하"},0),"T","H","V","N","A","P")&amp;IF($F568="O","R",IF($G568="O","A",IF($H568="O","F",""))),""),"")</f>
        <v/>
      </c>
      <c r="J568" s="94"/>
      <c r="K568" s="95"/>
      <c r="L568" s="96" t="s">
        <v>71</v>
      </c>
      <c r="M568" s="97"/>
      <c r="N568" s="98"/>
      <c r="O568" s="99"/>
      <c r="P568" s="100" t="str">
        <f t="shared" si="8"/>
        <v/>
      </c>
      <c r="Q568" s="102" t="s">
        <v>1353</v>
      </c>
      <c r="R568" s="108" t="str">
        <f>HYPERLINK("#'마스터_품목'!A388","→ 마스터 R388")</f>
        <v>→ 마스터 R388</v>
      </c>
      <c r="S568" s="109">
        <v>388</v>
      </c>
      <c r="T568" s="109" t="s">
        <v>72</v>
      </c>
    </row>
    <row r="569" spans="1:20" ht="48" customHeight="1" x14ac:dyDescent="0.3">
      <c r="A569" s="87" t="s">
        <v>1347</v>
      </c>
      <c r="B569" s="87" t="s">
        <v>1359</v>
      </c>
      <c r="C569" s="88" t="s">
        <v>117</v>
      </c>
      <c r="D569" s="88" t="s">
        <v>749</v>
      </c>
      <c r="E569" s="88" t="s">
        <v>1632</v>
      </c>
      <c r="F569" s="90" t="s">
        <v>71</v>
      </c>
      <c r="G569" s="91"/>
      <c r="H569" s="92"/>
      <c r="I569" s="93" t="str">
        <f>IFERROR(IF(OR($F569="O",$G569="O",$H569="O"),CHOOSE(MATCH($A569,{"튜브","고압","진공","튜닝","조립","출하"},0),"T","H","V","N","A","P")&amp;IF($F569="O","R",IF($G569="O","A",IF($H569="O","F",""))),""),"")</f>
        <v/>
      </c>
      <c r="J569" s="94"/>
      <c r="K569" s="95"/>
      <c r="L569" s="96" t="s">
        <v>71</v>
      </c>
      <c r="M569" s="97"/>
      <c r="N569" s="98"/>
      <c r="O569" s="99"/>
      <c r="P569" s="100" t="str">
        <f t="shared" si="8"/>
        <v/>
      </c>
      <c r="Q569" s="102" t="s">
        <v>1353</v>
      </c>
      <c r="R569" s="108" t="str">
        <f>HYPERLINK("#'마스터_품목'!A387","→ 마스터 R387")</f>
        <v>→ 마스터 R387</v>
      </c>
      <c r="S569" s="109">
        <v>387</v>
      </c>
      <c r="T569" s="109" t="s">
        <v>72</v>
      </c>
    </row>
    <row r="570" spans="1:20" ht="48" customHeight="1" x14ac:dyDescent="0.3">
      <c r="A570" s="87" t="s">
        <v>1347</v>
      </c>
      <c r="B570" s="87" t="s">
        <v>1486</v>
      </c>
      <c r="C570" s="88" t="s">
        <v>333</v>
      </c>
      <c r="D570" s="88" t="s">
        <v>690</v>
      </c>
      <c r="E570" s="88" t="s">
        <v>689</v>
      </c>
      <c r="F570" s="90" t="s">
        <v>71</v>
      </c>
      <c r="G570" s="91"/>
      <c r="H570" s="92"/>
      <c r="I570" s="93" t="str">
        <f>IFERROR(IF(OR($F570="O",$G570="O",$H570="O"),CHOOSE(MATCH($A570,{"튜브","고압","진공","튜닝","조립","출하"},0),"T","H","V","N","A","P")&amp;IF($F570="O","R",IF($G570="O","A",IF($H570="O","F",""))),""),"")</f>
        <v/>
      </c>
      <c r="J570" s="94"/>
      <c r="K570" s="95"/>
      <c r="L570" s="96" t="s">
        <v>71</v>
      </c>
      <c r="M570" s="97"/>
      <c r="N570" s="98"/>
      <c r="O570" s="99"/>
      <c r="P570" s="100" t="str">
        <f t="shared" si="8"/>
        <v/>
      </c>
      <c r="Q570" s="102" t="s">
        <v>1485</v>
      </c>
      <c r="R570" s="108" t="str">
        <f>HYPERLINK("#'마스터_품목'!A355","→ 마스터 R355")</f>
        <v>→ 마스터 R355</v>
      </c>
      <c r="S570" s="109">
        <v>355</v>
      </c>
      <c r="T570" s="109" t="s">
        <v>72</v>
      </c>
    </row>
    <row r="571" spans="1:20" ht="48" customHeight="1" x14ac:dyDescent="0.3">
      <c r="A571" s="124" t="s">
        <v>354</v>
      </c>
      <c r="B571" s="87" t="s">
        <v>1368</v>
      </c>
      <c r="C571" s="88" t="s">
        <v>117</v>
      </c>
      <c r="D571" s="88" t="s">
        <v>1633</v>
      </c>
      <c r="E571" s="88"/>
      <c r="F571" s="90" t="s">
        <v>71</v>
      </c>
      <c r="G571" s="91"/>
      <c r="H571" s="92"/>
      <c r="I571" s="93" t="str">
        <f>IFERROR(IF(OR($F571="O",$G571="O",$H571="O"),CHOOSE(MATCH($A571,{"튜브","고압","진공","튜닝","조립","출하"},0),"T","H","V","N","A","P")&amp;IF($F571="O","R",IF($G571="O","A",IF($H571="O","F",""))),""),"")</f>
        <v>AR</v>
      </c>
      <c r="J571" s="94"/>
      <c r="K571" s="95"/>
      <c r="L571" s="119" t="s">
        <v>71</v>
      </c>
      <c r="M571" s="97"/>
      <c r="N571" s="98"/>
      <c r="O571" s="99"/>
      <c r="P571" s="100" t="str">
        <f t="shared" si="8"/>
        <v>6-AR</v>
      </c>
      <c r="Q571" s="102" t="s">
        <v>1369</v>
      </c>
      <c r="R571" s="108" t="str">
        <f>HYPERLINK("#'마스터_품목'!A835","→ 마스터 R835")</f>
        <v>→ 마스터 R835</v>
      </c>
      <c r="S571" s="109">
        <v>835</v>
      </c>
      <c r="T571" s="109" t="s">
        <v>72</v>
      </c>
    </row>
    <row r="572" spans="1:20" ht="48" customHeight="1" x14ac:dyDescent="0.3">
      <c r="A572" s="87" t="s">
        <v>1347</v>
      </c>
      <c r="B572" s="87" t="s">
        <v>1368</v>
      </c>
      <c r="C572" s="88" t="s">
        <v>117</v>
      </c>
      <c r="D572" s="88" t="s">
        <v>599</v>
      </c>
      <c r="E572" s="88" t="s">
        <v>598</v>
      </c>
      <c r="F572" s="90" t="s">
        <v>71</v>
      </c>
      <c r="G572" s="91"/>
      <c r="H572" s="92"/>
      <c r="I572" s="93" t="str">
        <f>IFERROR(IF(OR($F572="O",$G572="O",$H572="O"),CHOOSE(MATCH($A572,{"튜브","고압","진공","튜닝","조립","출하"},0),"T","H","V","N","A","P")&amp;IF($F572="O","R",IF($G572="O","A",IF($H572="O","F",""))),""),"")</f>
        <v/>
      </c>
      <c r="J572" s="94"/>
      <c r="K572" s="95"/>
      <c r="L572" s="96" t="s">
        <v>71</v>
      </c>
      <c r="M572" s="97"/>
      <c r="N572" s="98"/>
      <c r="O572" s="99"/>
      <c r="P572" s="100" t="str">
        <f t="shared" si="8"/>
        <v/>
      </c>
      <c r="Q572" s="102" t="s">
        <v>1369</v>
      </c>
      <c r="R572" s="108" t="str">
        <f>HYPERLINK("#'마스터_품목'!A310","→ 마스터 R310")</f>
        <v>→ 마스터 R310</v>
      </c>
      <c r="S572" s="109">
        <v>310</v>
      </c>
      <c r="T572" s="109" t="s">
        <v>72</v>
      </c>
    </row>
    <row r="573" spans="1:20" ht="48" customHeight="1" x14ac:dyDescent="0.3">
      <c r="A573" s="87" t="s">
        <v>1347</v>
      </c>
      <c r="B573" s="87" t="s">
        <v>1368</v>
      </c>
      <c r="C573" s="88" t="s">
        <v>117</v>
      </c>
      <c r="D573" s="88" t="s">
        <v>601</v>
      </c>
      <c r="E573" s="88" t="s">
        <v>600</v>
      </c>
      <c r="F573" s="90" t="s">
        <v>71</v>
      </c>
      <c r="G573" s="91"/>
      <c r="H573" s="92"/>
      <c r="I573" s="93" t="str">
        <f>IFERROR(IF(OR($F573="O",$G573="O",$H573="O"),CHOOSE(MATCH($A573,{"튜브","고압","진공","튜닝","조립","출하"},0),"T","H","V","N","A","P")&amp;IF($F573="O","R",IF($G573="O","A",IF($H573="O","F",""))),""),"")</f>
        <v/>
      </c>
      <c r="J573" s="94"/>
      <c r="K573" s="95"/>
      <c r="L573" s="96" t="s">
        <v>71</v>
      </c>
      <c r="M573" s="97"/>
      <c r="N573" s="98"/>
      <c r="O573" s="99"/>
      <c r="P573" s="100" t="str">
        <f t="shared" si="8"/>
        <v/>
      </c>
      <c r="Q573" s="102" t="s">
        <v>1369</v>
      </c>
      <c r="R573" s="108" t="str">
        <f>HYPERLINK("#'마스터_품목'!A311","→ 마스터 R311")</f>
        <v>→ 마스터 R311</v>
      </c>
      <c r="S573" s="109">
        <v>311</v>
      </c>
      <c r="T573" s="109" t="s">
        <v>72</v>
      </c>
    </row>
    <row r="574" spans="1:20" ht="48" customHeight="1" x14ac:dyDescent="0.3">
      <c r="A574" s="87" t="s">
        <v>1347</v>
      </c>
      <c r="B574" s="87" t="s">
        <v>1368</v>
      </c>
      <c r="C574" s="88" t="s">
        <v>117</v>
      </c>
      <c r="D574" s="88" t="s">
        <v>603</v>
      </c>
      <c r="E574" s="88" t="s">
        <v>602</v>
      </c>
      <c r="F574" s="90" t="s">
        <v>71</v>
      </c>
      <c r="G574" s="91"/>
      <c r="H574" s="92"/>
      <c r="I574" s="93" t="str">
        <f>IFERROR(IF(OR($F574="O",$G574="O",$H574="O"),CHOOSE(MATCH($A574,{"튜브","고압","진공","튜닝","조립","출하"},0),"T","H","V","N","A","P")&amp;IF($F574="O","R",IF($G574="O","A",IF($H574="O","F",""))),""),"")</f>
        <v/>
      </c>
      <c r="J574" s="94"/>
      <c r="K574" s="95"/>
      <c r="L574" s="96" t="s">
        <v>71</v>
      </c>
      <c r="M574" s="97"/>
      <c r="N574" s="98"/>
      <c r="O574" s="99"/>
      <c r="P574" s="100" t="str">
        <f t="shared" si="8"/>
        <v/>
      </c>
      <c r="Q574" s="102" t="s">
        <v>1369</v>
      </c>
      <c r="R574" s="108" t="str">
        <f>HYPERLINK("#'마스터_품목'!A312","→ 마스터 R312")</f>
        <v>→ 마스터 R312</v>
      </c>
      <c r="S574" s="109">
        <v>312</v>
      </c>
      <c r="T574" s="109" t="s">
        <v>72</v>
      </c>
    </row>
    <row r="575" spans="1:20" ht="48" customHeight="1" x14ac:dyDescent="0.3">
      <c r="A575" s="87" t="s">
        <v>1347</v>
      </c>
      <c r="B575" s="87" t="s">
        <v>1368</v>
      </c>
      <c r="C575" s="88" t="s">
        <v>117</v>
      </c>
      <c r="D575" s="88" t="s">
        <v>647</v>
      </c>
      <c r="E575" s="88" t="s">
        <v>646</v>
      </c>
      <c r="F575" s="90" t="s">
        <v>71</v>
      </c>
      <c r="G575" s="91"/>
      <c r="H575" s="92"/>
      <c r="I575" s="93" t="str">
        <f>IFERROR(IF(OR($F575="O",$G575="O",$H575="O"),CHOOSE(MATCH($A575,{"튜브","고압","진공","튜닝","조립","출하"},0),"T","H","V","N","A","P")&amp;IF($F575="O","R",IF($G575="O","A",IF($H575="O","F",""))),""),"")</f>
        <v/>
      </c>
      <c r="J575" s="94"/>
      <c r="K575" s="95"/>
      <c r="L575" s="96" t="s">
        <v>71</v>
      </c>
      <c r="M575" s="97"/>
      <c r="N575" s="98"/>
      <c r="O575" s="99"/>
      <c r="P575" s="100" t="str">
        <f t="shared" si="8"/>
        <v/>
      </c>
      <c r="Q575" s="102" t="s">
        <v>1369</v>
      </c>
      <c r="R575" s="108" t="str">
        <f>HYPERLINK("#'마스터_품목'!A334","→ 마스터 R334")</f>
        <v>→ 마스터 R334</v>
      </c>
      <c r="S575" s="109">
        <v>334</v>
      </c>
      <c r="T575" s="109" t="s">
        <v>72</v>
      </c>
    </row>
    <row r="576" spans="1:20" ht="48" customHeight="1" x14ac:dyDescent="0.3">
      <c r="A576" s="87" t="s">
        <v>1347</v>
      </c>
      <c r="B576" s="87" t="s">
        <v>1413</v>
      </c>
      <c r="C576" s="88" t="s">
        <v>117</v>
      </c>
      <c r="D576" s="88" t="s">
        <v>605</v>
      </c>
      <c r="E576" s="88" t="s">
        <v>604</v>
      </c>
      <c r="F576" s="90" t="s">
        <v>71</v>
      </c>
      <c r="G576" s="91"/>
      <c r="H576" s="92"/>
      <c r="I576" s="93" t="str">
        <f>IFERROR(IF(OR($F576="O",$G576="O",$H576="O"),CHOOSE(MATCH($A576,{"튜브","고압","진공","튜닝","조립","출하"},0),"T","H","V","N","A","P")&amp;IF($F576="O","R",IF($G576="O","A",IF($H576="O","F",""))),""),"")</f>
        <v/>
      </c>
      <c r="J576" s="94"/>
      <c r="K576" s="95"/>
      <c r="L576" s="96" t="s">
        <v>71</v>
      </c>
      <c r="M576" s="97"/>
      <c r="N576" s="98"/>
      <c r="O576" s="99"/>
      <c r="P576" s="100" t="str">
        <f t="shared" si="8"/>
        <v/>
      </c>
      <c r="Q576" s="102" t="s">
        <v>1487</v>
      </c>
      <c r="R576" s="108" t="str">
        <f>HYPERLINK("#'마스터_품목'!A313","→ 마스터 R313")</f>
        <v>→ 마스터 R313</v>
      </c>
      <c r="S576" s="109">
        <v>313</v>
      </c>
      <c r="T576" s="109" t="s">
        <v>72</v>
      </c>
    </row>
    <row r="577" spans="1:20" ht="48" customHeight="1" x14ac:dyDescent="0.3">
      <c r="A577" s="124" t="s">
        <v>771</v>
      </c>
      <c r="B577" s="87" t="s">
        <v>1634</v>
      </c>
      <c r="C577" s="88" t="s">
        <v>117</v>
      </c>
      <c r="D577" s="88" t="s">
        <v>1635</v>
      </c>
      <c r="E577" s="88"/>
      <c r="F577" s="90" t="s">
        <v>71</v>
      </c>
      <c r="G577" s="91"/>
      <c r="H577" s="92"/>
      <c r="I577" s="93" t="str">
        <f>IFERROR(IF(OR($F577="O",$G577="O",$H577="O"),CHOOSE(MATCH($A577,{"튜브","고압","진공","튜닝","조립","출하"},0),"T","H","V","N","A","P")&amp;IF($F577="O","R",IF($G577="O","A",IF($H577="O","F",""))),""),"")</f>
        <v>PR</v>
      </c>
      <c r="J577" s="94"/>
      <c r="K577" s="95"/>
      <c r="L577" s="119" t="s">
        <v>71</v>
      </c>
      <c r="M577" s="97"/>
      <c r="N577" s="98"/>
      <c r="O577" s="99"/>
      <c r="P577" s="100" t="str">
        <f t="shared" si="8"/>
        <v>6-PR</v>
      </c>
      <c r="Q577" s="102" t="s">
        <v>1408</v>
      </c>
      <c r="R577" s="108" t="str">
        <f>HYPERLINK("#'마스터_품목'!A836","→ 마스터 R836")</f>
        <v>→ 마스터 R836</v>
      </c>
      <c r="S577" s="109">
        <v>836</v>
      </c>
      <c r="T577" s="109" t="s">
        <v>72</v>
      </c>
    </row>
    <row r="578" spans="1:20" ht="48" customHeight="1" x14ac:dyDescent="0.3">
      <c r="A578" s="124" t="s">
        <v>771</v>
      </c>
      <c r="B578" s="87" t="s">
        <v>1634</v>
      </c>
      <c r="C578" s="88" t="s">
        <v>117</v>
      </c>
      <c r="D578" s="88" t="s">
        <v>1636</v>
      </c>
      <c r="E578" s="88"/>
      <c r="F578" s="90" t="s">
        <v>71</v>
      </c>
      <c r="G578" s="91"/>
      <c r="H578" s="92"/>
      <c r="I578" s="93" t="str">
        <f>IFERROR(IF(OR($F578="O",$G578="O",$H578="O"),CHOOSE(MATCH($A578,{"튜브","고압","진공","튜닝","조립","출하"},0),"T","H","V","N","A","P")&amp;IF($F578="O","R",IF($G578="O","A",IF($H578="O","F",""))),""),"")</f>
        <v>PR</v>
      </c>
      <c r="J578" s="94"/>
      <c r="K578" s="95"/>
      <c r="L578" s="119" t="s">
        <v>71</v>
      </c>
      <c r="M578" s="97"/>
      <c r="N578" s="98"/>
      <c r="O578" s="99"/>
      <c r="P578" s="100" t="str">
        <f t="shared" ref="P578:P593" si="9">IF($I578="","",IF($J578="O","3","")&amp;IF($K578="O","4","")&amp;IF($L578="O","6","")&amp;IF($M578="O","7","")&amp;IF($N578="O","8","")&amp;IF($O578="O","?","")&amp;IF(OR($J578="O",$K578="O",$L578="O",$M578="O",$N578="O",$O578="O"),"-","")&amp;$I578)</f>
        <v>6-PR</v>
      </c>
      <c r="Q578" s="102" t="s">
        <v>1408</v>
      </c>
      <c r="R578" s="108" t="str">
        <f>HYPERLINK("#'마스터_품목'!A837","→ 마스터 R837")</f>
        <v>→ 마스터 R837</v>
      </c>
      <c r="S578" s="109">
        <v>837</v>
      </c>
      <c r="T578" s="109" t="s">
        <v>72</v>
      </c>
    </row>
    <row r="579" spans="1:20" ht="48" customHeight="1" x14ac:dyDescent="0.3">
      <c r="A579" s="124" t="s">
        <v>771</v>
      </c>
      <c r="B579" s="87" t="s">
        <v>1634</v>
      </c>
      <c r="C579" s="88" t="s">
        <v>117</v>
      </c>
      <c r="D579" s="88" t="s">
        <v>1637</v>
      </c>
      <c r="E579" s="88"/>
      <c r="F579" s="90" t="s">
        <v>71</v>
      </c>
      <c r="G579" s="91"/>
      <c r="H579" s="92"/>
      <c r="I579" s="93" t="str">
        <f>IFERROR(IF(OR($F579="O",$G579="O",$H579="O"),CHOOSE(MATCH($A579,{"튜브","고압","진공","튜닝","조립","출하"},0),"T","H","V","N","A","P")&amp;IF($F579="O","R",IF($G579="O","A",IF($H579="O","F",""))),""),"")</f>
        <v>PR</v>
      </c>
      <c r="J579" s="94"/>
      <c r="K579" s="95"/>
      <c r="L579" s="119" t="s">
        <v>71</v>
      </c>
      <c r="M579" s="97"/>
      <c r="N579" s="98"/>
      <c r="O579" s="99"/>
      <c r="P579" s="100" t="str">
        <f t="shared" si="9"/>
        <v>6-PR</v>
      </c>
      <c r="Q579" s="102" t="s">
        <v>1408</v>
      </c>
      <c r="R579" s="108" t="str">
        <f>HYPERLINK("#'마스터_품목'!A838","→ 마스터 R838")</f>
        <v>→ 마스터 R838</v>
      </c>
      <c r="S579" s="109">
        <v>838</v>
      </c>
      <c r="T579" s="109" t="s">
        <v>72</v>
      </c>
    </row>
    <row r="580" spans="1:20" ht="48" customHeight="1" x14ac:dyDescent="0.3">
      <c r="A580" s="87" t="s">
        <v>1347</v>
      </c>
      <c r="B580" s="87" t="s">
        <v>1383</v>
      </c>
      <c r="C580" s="88" t="s">
        <v>117</v>
      </c>
      <c r="D580" s="88" t="s">
        <v>613</v>
      </c>
      <c r="E580" s="88" t="s">
        <v>612</v>
      </c>
      <c r="F580" s="90" t="s">
        <v>71</v>
      </c>
      <c r="G580" s="91"/>
      <c r="H580" s="92"/>
      <c r="I580" s="93" t="str">
        <f>IFERROR(IF(OR($F580="O",$G580="O",$H580="O"),CHOOSE(MATCH($A580,{"튜브","고압","진공","튜닝","조립","출하"},0),"T","H","V","N","A","P")&amp;IF($F580="O","R",IF($G580="O","A",IF($H580="O","F",""))),""),"")</f>
        <v/>
      </c>
      <c r="J580" s="94"/>
      <c r="K580" s="95"/>
      <c r="L580" s="96" t="s">
        <v>71</v>
      </c>
      <c r="M580" s="97"/>
      <c r="N580" s="98"/>
      <c r="O580" s="99"/>
      <c r="P580" s="100" t="str">
        <f t="shared" si="9"/>
        <v/>
      </c>
      <c r="Q580" s="102" t="s">
        <v>1408</v>
      </c>
      <c r="R580" s="108" t="str">
        <f>HYPERLINK("#'마스터_품목'!A317","→ 마스터 R317")</f>
        <v>→ 마스터 R317</v>
      </c>
      <c r="S580" s="109">
        <v>317</v>
      </c>
      <c r="T580" s="109" t="s">
        <v>72</v>
      </c>
    </row>
    <row r="581" spans="1:20" ht="48" customHeight="1" x14ac:dyDescent="0.3">
      <c r="A581" s="124" t="s">
        <v>354</v>
      </c>
      <c r="B581" s="87" t="s">
        <v>1383</v>
      </c>
      <c r="C581" s="88" t="s">
        <v>117</v>
      </c>
      <c r="D581" s="88" t="s">
        <v>1638</v>
      </c>
      <c r="E581" s="88"/>
      <c r="F581" s="90" t="s">
        <v>71</v>
      </c>
      <c r="G581" s="91"/>
      <c r="H581" s="92"/>
      <c r="I581" s="93" t="str">
        <f>IFERROR(IF(OR($F581="O",$G581="O",$H581="O"),CHOOSE(MATCH($A581,{"튜브","고압","진공","튜닝","조립","출하"},0),"T","H","V","N","A","P")&amp;IF($F581="O","R",IF($G581="O","A",IF($H581="O","F",""))),""),"")</f>
        <v>AR</v>
      </c>
      <c r="J581" s="94"/>
      <c r="K581" s="95"/>
      <c r="L581" s="119" t="s">
        <v>71</v>
      </c>
      <c r="M581" s="97"/>
      <c r="N581" s="98"/>
      <c r="O581" s="99"/>
      <c r="P581" s="100" t="str">
        <f t="shared" si="9"/>
        <v>6-AR</v>
      </c>
      <c r="Q581" s="102" t="s">
        <v>1408</v>
      </c>
      <c r="R581" s="108" t="str">
        <f>HYPERLINK("#'마스터_품목'!A839","→ 마스터 R839")</f>
        <v>→ 마스터 R839</v>
      </c>
      <c r="S581" s="109">
        <v>839</v>
      </c>
      <c r="T581" s="109" t="s">
        <v>72</v>
      </c>
    </row>
    <row r="582" spans="1:20" ht="48" customHeight="1" x14ac:dyDescent="0.3">
      <c r="A582" s="87" t="s">
        <v>1347</v>
      </c>
      <c r="B582" s="87" t="s">
        <v>1383</v>
      </c>
      <c r="C582" s="88" t="s">
        <v>117</v>
      </c>
      <c r="D582" s="88" t="s">
        <v>607</v>
      </c>
      <c r="E582" s="88" t="s">
        <v>606</v>
      </c>
      <c r="F582" s="90" t="s">
        <v>71</v>
      </c>
      <c r="G582" s="91"/>
      <c r="H582" s="92"/>
      <c r="I582" s="93" t="str">
        <f>IFERROR(IF(OR($F582="O",$G582="O",$H582="O"),CHOOSE(MATCH($A582,{"튜브","고압","진공","튜닝","조립","출하"},0),"T","H","V","N","A","P")&amp;IF($F582="O","R",IF($G582="O","A",IF($H582="O","F",""))),""),"")</f>
        <v/>
      </c>
      <c r="J582" s="94"/>
      <c r="K582" s="95"/>
      <c r="L582" s="96" t="s">
        <v>71</v>
      </c>
      <c r="M582" s="97"/>
      <c r="N582" s="98"/>
      <c r="O582" s="99"/>
      <c r="P582" s="100" t="str">
        <f t="shared" si="9"/>
        <v/>
      </c>
      <c r="Q582" s="102" t="s">
        <v>1384</v>
      </c>
      <c r="R582" s="108" t="str">
        <f>HYPERLINK("#'마스터_품목'!A314","→ 마스터 R314")</f>
        <v>→ 마스터 R314</v>
      </c>
      <c r="S582" s="109">
        <v>314</v>
      </c>
      <c r="T582" s="109" t="s">
        <v>72</v>
      </c>
    </row>
    <row r="583" spans="1:20" ht="48" customHeight="1" x14ac:dyDescent="0.3">
      <c r="A583" s="124" t="s">
        <v>354</v>
      </c>
      <c r="B583" s="87" t="s">
        <v>1456</v>
      </c>
      <c r="C583" s="88" t="s">
        <v>117</v>
      </c>
      <c r="D583" s="88" t="s">
        <v>1639</v>
      </c>
      <c r="E583" s="88"/>
      <c r="F583" s="90" t="s">
        <v>71</v>
      </c>
      <c r="G583" s="91"/>
      <c r="H583" s="92"/>
      <c r="I583" s="93" t="str">
        <f>IFERROR(IF(OR($F583="O",$G583="O",$H583="O"),CHOOSE(MATCH($A583,{"튜브","고압","진공","튜닝","조립","출하"},0),"T","H","V","N","A","P")&amp;IF($F583="O","R",IF($G583="O","A",IF($H583="O","F",""))),""),"")</f>
        <v>AR</v>
      </c>
      <c r="J583" s="94"/>
      <c r="K583" s="95"/>
      <c r="L583" s="119" t="s">
        <v>71</v>
      </c>
      <c r="M583" s="97"/>
      <c r="N583" s="98"/>
      <c r="O583" s="99"/>
      <c r="P583" s="100" t="str">
        <f t="shared" si="9"/>
        <v>6-AR</v>
      </c>
      <c r="Q583" s="102" t="s">
        <v>1386</v>
      </c>
      <c r="R583" s="108" t="str">
        <f>HYPERLINK("#'마스터_품목'!A840","→ 마스터 R840")</f>
        <v>→ 마스터 R840</v>
      </c>
      <c r="S583" s="109">
        <v>840</v>
      </c>
      <c r="T583" s="109" t="s">
        <v>72</v>
      </c>
    </row>
    <row r="584" spans="1:20" ht="48" customHeight="1" x14ac:dyDescent="0.3">
      <c r="A584" s="124" t="s">
        <v>354</v>
      </c>
      <c r="B584" s="87" t="s">
        <v>1456</v>
      </c>
      <c r="C584" s="88" t="s">
        <v>117</v>
      </c>
      <c r="D584" s="88" t="s">
        <v>1640</v>
      </c>
      <c r="E584" s="88"/>
      <c r="F584" s="90" t="s">
        <v>71</v>
      </c>
      <c r="G584" s="91"/>
      <c r="H584" s="92"/>
      <c r="I584" s="93" t="str">
        <f>IFERROR(IF(OR($F584="O",$G584="O",$H584="O"),CHOOSE(MATCH($A584,{"튜브","고압","진공","튜닝","조립","출하"},0),"T","H","V","N","A","P")&amp;IF($F584="O","R",IF($G584="O","A",IF($H584="O","F",""))),""),"")</f>
        <v>AR</v>
      </c>
      <c r="J584" s="94"/>
      <c r="K584" s="95"/>
      <c r="L584" s="119" t="s">
        <v>71</v>
      </c>
      <c r="M584" s="97"/>
      <c r="N584" s="98"/>
      <c r="O584" s="99"/>
      <c r="P584" s="100" t="str">
        <f t="shared" si="9"/>
        <v>6-AR</v>
      </c>
      <c r="Q584" s="102" t="s">
        <v>1386</v>
      </c>
      <c r="R584" s="108" t="str">
        <f>HYPERLINK("#'마스터_품목'!A841","→ 마스터 R841")</f>
        <v>→ 마스터 R841</v>
      </c>
      <c r="S584" s="109">
        <v>841</v>
      </c>
      <c r="T584" s="109" t="s">
        <v>72</v>
      </c>
    </row>
    <row r="585" spans="1:20" ht="48" customHeight="1" x14ac:dyDescent="0.3">
      <c r="A585" s="87" t="s">
        <v>1347</v>
      </c>
      <c r="B585" s="87" t="s">
        <v>1493</v>
      </c>
      <c r="C585" s="88" t="s">
        <v>117</v>
      </c>
      <c r="D585" s="88" t="s">
        <v>653</v>
      </c>
      <c r="E585" s="88" t="s">
        <v>652</v>
      </c>
      <c r="F585" s="90" t="s">
        <v>71</v>
      </c>
      <c r="G585" s="91"/>
      <c r="H585" s="92"/>
      <c r="I585" s="93" t="str">
        <f>IFERROR(IF(OR($F585="O",$G585="O",$H585="O"),CHOOSE(MATCH($A585,{"튜브","고압","진공","튜닝","조립","출하"},0),"T","H","V","N","A","P")&amp;IF($F585="O","R",IF($G585="O","A",IF($H585="O","F",""))),""),"")</f>
        <v/>
      </c>
      <c r="J585" s="94"/>
      <c r="K585" s="95"/>
      <c r="L585" s="96" t="s">
        <v>71</v>
      </c>
      <c r="M585" s="97"/>
      <c r="N585" s="98"/>
      <c r="O585" s="99"/>
      <c r="P585" s="100" t="str">
        <f t="shared" si="9"/>
        <v/>
      </c>
      <c r="Q585" s="102" t="s">
        <v>1494</v>
      </c>
      <c r="R585" s="108" t="str">
        <f>HYPERLINK("#'마스터_품목'!A337","→ 마스터 R337")</f>
        <v>→ 마스터 R337</v>
      </c>
      <c r="S585" s="109">
        <v>337</v>
      </c>
      <c r="T585" s="109" t="s">
        <v>72</v>
      </c>
    </row>
    <row r="586" spans="1:20" ht="48" customHeight="1" x14ac:dyDescent="0.3">
      <c r="A586" s="124" t="s">
        <v>354</v>
      </c>
      <c r="B586" s="87" t="s">
        <v>1493</v>
      </c>
      <c r="C586" s="88" t="s">
        <v>333</v>
      </c>
      <c r="D586" s="88" t="s">
        <v>1641</v>
      </c>
      <c r="E586" s="88"/>
      <c r="F586" s="90" t="s">
        <v>71</v>
      </c>
      <c r="G586" s="91"/>
      <c r="H586" s="92"/>
      <c r="I586" s="93" t="str">
        <f>IFERROR(IF(OR($F586="O",$G586="O",$H586="O"),CHOOSE(MATCH($A586,{"튜브","고압","진공","튜닝","조립","출하"},0),"T","H","V","N","A","P")&amp;IF($F586="O","R",IF($G586="O","A",IF($H586="O","F",""))),""),"")</f>
        <v>AR</v>
      </c>
      <c r="J586" s="94"/>
      <c r="K586" s="95"/>
      <c r="L586" s="119" t="s">
        <v>71</v>
      </c>
      <c r="M586" s="97"/>
      <c r="N586" s="98"/>
      <c r="O586" s="99"/>
      <c r="P586" s="100" t="str">
        <f t="shared" si="9"/>
        <v>6-AR</v>
      </c>
      <c r="Q586" s="102" t="s">
        <v>1494</v>
      </c>
      <c r="R586" s="108" t="str">
        <f>HYPERLINK("#'마스터_품목'!A842","→ 마스터 R842")</f>
        <v>→ 마스터 R842</v>
      </c>
      <c r="S586" s="109">
        <v>842</v>
      </c>
      <c r="T586" s="109" t="s">
        <v>72</v>
      </c>
    </row>
    <row r="587" spans="1:20" ht="48" customHeight="1" x14ac:dyDescent="0.3">
      <c r="A587" s="87" t="s">
        <v>1347</v>
      </c>
      <c r="B587" s="87" t="s">
        <v>1493</v>
      </c>
      <c r="C587" s="88" t="s">
        <v>333</v>
      </c>
      <c r="D587" s="88" t="s">
        <v>661</v>
      </c>
      <c r="E587" s="88" t="s">
        <v>1642</v>
      </c>
      <c r="F587" s="90" t="s">
        <v>71</v>
      </c>
      <c r="G587" s="91"/>
      <c r="H587" s="92"/>
      <c r="I587" s="93" t="str">
        <f>IFERROR(IF(OR($F587="O",$G587="O",$H587="O"),CHOOSE(MATCH($A587,{"튜브","고압","진공","튜닝","조립","출하"},0),"T","H","V","N","A","P")&amp;IF($F587="O","R",IF($G587="O","A",IF($H587="O","F",""))),""),"")</f>
        <v/>
      </c>
      <c r="J587" s="94"/>
      <c r="K587" s="95"/>
      <c r="L587" s="96" t="s">
        <v>71</v>
      </c>
      <c r="M587" s="97"/>
      <c r="N587" s="98"/>
      <c r="O587" s="99"/>
      <c r="P587" s="100" t="str">
        <f t="shared" si="9"/>
        <v/>
      </c>
      <c r="Q587" s="102" t="s">
        <v>1494</v>
      </c>
      <c r="R587" s="108" t="str">
        <f>HYPERLINK("#'마스터_품목'!A341","→ 마스터 R341")</f>
        <v>→ 마스터 R341</v>
      </c>
      <c r="S587" s="109">
        <v>341</v>
      </c>
      <c r="T587" s="109" t="s">
        <v>72</v>
      </c>
    </row>
    <row r="588" spans="1:20" ht="48" customHeight="1" x14ac:dyDescent="0.3">
      <c r="A588" s="87" t="s">
        <v>1347</v>
      </c>
      <c r="B588" s="87" t="s">
        <v>1395</v>
      </c>
      <c r="C588" s="88" t="s">
        <v>117</v>
      </c>
      <c r="D588" s="88" t="s">
        <v>683</v>
      </c>
      <c r="E588" s="88" t="s">
        <v>682</v>
      </c>
      <c r="F588" s="90" t="s">
        <v>71</v>
      </c>
      <c r="G588" s="91"/>
      <c r="H588" s="92"/>
      <c r="I588" s="93" t="str">
        <f>IFERROR(IF(OR($F588="O",$G588="O",$H588="O"),CHOOSE(MATCH($A588,{"튜브","고압","진공","튜닝","조립","출하"},0),"T","H","V","N","A","P")&amp;IF($F588="O","R",IF($G588="O","A",IF($H588="O","F",""))),""),"")</f>
        <v/>
      </c>
      <c r="J588" s="94"/>
      <c r="K588" s="95"/>
      <c r="L588" s="96" t="s">
        <v>71</v>
      </c>
      <c r="M588" s="97"/>
      <c r="N588" s="98"/>
      <c r="O588" s="99"/>
      <c r="P588" s="100" t="str">
        <f t="shared" si="9"/>
        <v/>
      </c>
      <c r="Q588" s="102" t="s">
        <v>1396</v>
      </c>
      <c r="R588" s="108" t="str">
        <f>HYPERLINK("#'마스터_품목'!A352","→ 마스터 R352")</f>
        <v>→ 마스터 R352</v>
      </c>
      <c r="S588" s="109">
        <v>352</v>
      </c>
      <c r="T588" s="109" t="s">
        <v>72</v>
      </c>
    </row>
    <row r="589" spans="1:20" ht="48" customHeight="1" x14ac:dyDescent="0.3">
      <c r="A589" s="124" t="s">
        <v>354</v>
      </c>
      <c r="B589" s="87" t="s">
        <v>1395</v>
      </c>
      <c r="C589" s="88" t="s">
        <v>117</v>
      </c>
      <c r="D589" s="88" t="s">
        <v>1643</v>
      </c>
      <c r="E589" s="88"/>
      <c r="F589" s="90" t="s">
        <v>71</v>
      </c>
      <c r="G589" s="91"/>
      <c r="H589" s="92"/>
      <c r="I589" s="93" t="str">
        <f>IFERROR(IF(OR($F589="O",$G589="O",$H589="O"),CHOOSE(MATCH($A589,{"튜브","고압","진공","튜닝","조립","출하"},0),"T","H","V","N","A","P")&amp;IF($F589="O","R",IF($G589="O","A",IF($H589="O","F",""))),""),"")</f>
        <v>AR</v>
      </c>
      <c r="J589" s="94"/>
      <c r="K589" s="95"/>
      <c r="L589" s="119" t="s">
        <v>71</v>
      </c>
      <c r="M589" s="97"/>
      <c r="N589" s="98"/>
      <c r="O589" s="99"/>
      <c r="P589" s="100" t="str">
        <f t="shared" si="9"/>
        <v>6-AR</v>
      </c>
      <c r="Q589" s="102" t="s">
        <v>1396</v>
      </c>
      <c r="R589" s="108" t="str">
        <f>HYPERLINK("#'마스터_품목'!A843","→ 마스터 R843")</f>
        <v>→ 마스터 R843</v>
      </c>
      <c r="S589" s="109">
        <v>843</v>
      </c>
      <c r="T589" s="109" t="s">
        <v>72</v>
      </c>
    </row>
    <row r="590" spans="1:20" ht="48" customHeight="1" x14ac:dyDescent="0.3">
      <c r="A590" s="124" t="s">
        <v>354</v>
      </c>
      <c r="B590" s="87" t="s">
        <v>1368</v>
      </c>
      <c r="C590" s="88" t="s">
        <v>117</v>
      </c>
      <c r="D590" s="88" t="s">
        <v>1644</v>
      </c>
      <c r="E590" s="88"/>
      <c r="F590" s="90" t="s">
        <v>71</v>
      </c>
      <c r="G590" s="91"/>
      <c r="H590" s="92"/>
      <c r="I590" s="93" t="str">
        <f>IFERROR(IF(OR($F590="O",$G590="O",$H590="O"),CHOOSE(MATCH($A590,{"튜브","고압","진공","튜닝","조립","출하"},0),"T","H","V","N","A","P")&amp;IF($F590="O","R",IF($G590="O","A",IF($H590="O","F",""))),""),"")</f>
        <v>AR</v>
      </c>
      <c r="J590" s="94"/>
      <c r="K590" s="95"/>
      <c r="L590" s="119" t="s">
        <v>71</v>
      </c>
      <c r="M590" s="97"/>
      <c r="N590" s="98"/>
      <c r="O590" s="99"/>
      <c r="P590" s="100" t="str">
        <f t="shared" si="9"/>
        <v>6-AR</v>
      </c>
      <c r="Q590" s="102" t="s">
        <v>1369</v>
      </c>
      <c r="R590" s="108" t="str">
        <f>HYPERLINK("#'마스터_품목'!A844","→ 마스터 R844")</f>
        <v>→ 마스터 R844</v>
      </c>
      <c r="S590" s="109">
        <v>844</v>
      </c>
      <c r="T590" s="109" t="s">
        <v>72</v>
      </c>
    </row>
    <row r="591" spans="1:20" ht="48" customHeight="1" x14ac:dyDescent="0.3">
      <c r="A591" s="124" t="s">
        <v>354</v>
      </c>
      <c r="B591" s="87" t="s">
        <v>1368</v>
      </c>
      <c r="C591" s="88" t="s">
        <v>117</v>
      </c>
      <c r="D591" s="88" t="s">
        <v>1645</v>
      </c>
      <c r="E591" s="88"/>
      <c r="F591" s="90" t="s">
        <v>71</v>
      </c>
      <c r="G591" s="91"/>
      <c r="H591" s="92"/>
      <c r="I591" s="93" t="str">
        <f>IFERROR(IF(OR($F591="O",$G591="O",$H591="O"),CHOOSE(MATCH($A591,{"튜브","고압","진공","튜닝","조립","출하"},0),"T","H","V","N","A","P")&amp;IF($F591="O","R",IF($G591="O","A",IF($H591="O","F",""))),""),"")</f>
        <v>AR</v>
      </c>
      <c r="J591" s="94"/>
      <c r="K591" s="95"/>
      <c r="L591" s="119" t="s">
        <v>71</v>
      </c>
      <c r="M591" s="97"/>
      <c r="N591" s="98"/>
      <c r="O591" s="99"/>
      <c r="P591" s="100" t="str">
        <f t="shared" si="9"/>
        <v>6-AR</v>
      </c>
      <c r="Q591" s="102" t="s">
        <v>1369</v>
      </c>
      <c r="R591" s="108" t="str">
        <f>HYPERLINK("#'마스터_품목'!A845","→ 마스터 R845")</f>
        <v>→ 마스터 R845</v>
      </c>
      <c r="S591" s="109">
        <v>845</v>
      </c>
      <c r="T591" s="109" t="s">
        <v>72</v>
      </c>
    </row>
    <row r="592" spans="1:20" ht="48" customHeight="1" x14ac:dyDescent="0.3">
      <c r="A592" s="124" t="s">
        <v>354</v>
      </c>
      <c r="B592" s="87" t="s">
        <v>1646</v>
      </c>
      <c r="C592" s="88" t="s">
        <v>333</v>
      </c>
      <c r="D592" s="88" t="s">
        <v>1647</v>
      </c>
      <c r="E592" s="88"/>
      <c r="F592" s="90"/>
      <c r="G592" s="91" t="s">
        <v>71</v>
      </c>
      <c r="H592" s="92"/>
      <c r="I592" s="93" t="str">
        <f>IFERROR(IF(OR($F592="O",$G592="O",$H592="O"),CHOOSE(MATCH($A592,{"튜브","고압","진공","튜닝","조립","출하"},0),"T","H","V","N","A","P")&amp;IF($F592="O","R",IF($G592="O","A",IF($H592="O","F",""))),""),"")</f>
        <v>AA</v>
      </c>
      <c r="J592" s="94"/>
      <c r="K592" s="95"/>
      <c r="L592" s="119" t="s">
        <v>71</v>
      </c>
      <c r="M592" s="97"/>
      <c r="N592" s="98"/>
      <c r="O592" s="99"/>
      <c r="P592" s="100" t="str">
        <f t="shared" si="9"/>
        <v>6-AA</v>
      </c>
      <c r="Q592" s="102" t="s">
        <v>1648</v>
      </c>
      <c r="R592" s="108" t="str">
        <f>HYPERLINK("#'마스터_품목'!A846","→ 마스터 R846")</f>
        <v>→ 마스터 R846</v>
      </c>
      <c r="S592" s="109">
        <v>846</v>
      </c>
      <c r="T592" s="109" t="s">
        <v>72</v>
      </c>
    </row>
    <row r="593" spans="1:20" ht="48" customHeight="1" x14ac:dyDescent="0.3">
      <c r="A593" s="124" t="s">
        <v>354</v>
      </c>
      <c r="B593" s="87" t="s">
        <v>1646</v>
      </c>
      <c r="C593" s="88" t="s">
        <v>333</v>
      </c>
      <c r="D593" s="88" t="s">
        <v>1649</v>
      </c>
      <c r="E593" s="88"/>
      <c r="F593" s="90"/>
      <c r="G593" s="91" t="s">
        <v>71</v>
      </c>
      <c r="H593" s="92"/>
      <c r="I593" s="93" t="str">
        <f>IFERROR(IF(OR($F593="O",$G593="O",$H593="O"),CHOOSE(MATCH($A593,{"튜브","고압","진공","튜닝","조립","출하"},0),"T","H","V","N","A","P")&amp;IF($F593="O","R",IF($G593="O","A",IF($H593="O","F",""))),""),"")</f>
        <v>AA</v>
      </c>
      <c r="J593" s="94"/>
      <c r="K593" s="95"/>
      <c r="L593" s="119" t="s">
        <v>71</v>
      </c>
      <c r="M593" s="97"/>
      <c r="N593" s="98"/>
      <c r="O593" s="99"/>
      <c r="P593" s="100" t="str">
        <f t="shared" si="9"/>
        <v>6-AA</v>
      </c>
      <c r="Q593" s="102" t="s">
        <v>1648</v>
      </c>
      <c r="R593" s="108" t="str">
        <f>HYPERLINK("#'마스터_품목'!A847","→ 마스터 R847")</f>
        <v>→ 마스터 R847</v>
      </c>
      <c r="S593" s="109">
        <v>847</v>
      </c>
      <c r="T593" s="109" t="s">
        <v>72</v>
      </c>
    </row>
    <row r="594" spans="1:20" ht="48" customHeight="1" x14ac:dyDescent="0.3">
      <c r="A594" s="87"/>
      <c r="B594" s="87"/>
      <c r="C594" s="88"/>
      <c r="D594" s="88"/>
      <c r="E594" s="88"/>
      <c r="F594" s="90"/>
      <c r="G594" s="91"/>
      <c r="H594" s="92"/>
      <c r="I594" s="93"/>
      <c r="J594" s="94"/>
      <c r="K594" s="95"/>
      <c r="L594" s="96"/>
      <c r="M594" s="97"/>
      <c r="N594" s="98"/>
      <c r="O594" s="99"/>
      <c r="P594" s="100"/>
    </row>
    <row r="595" spans="1:20" ht="48" customHeight="1" x14ac:dyDescent="0.3"/>
    <row r="596" spans="1:20" ht="48" customHeight="1" x14ac:dyDescent="0.3"/>
    <row r="597" spans="1:20" ht="48" customHeight="1" x14ac:dyDescent="0.3"/>
    <row r="598" spans="1:20" ht="48" customHeight="1" x14ac:dyDescent="0.3"/>
    <row r="599" spans="1:20" ht="48" customHeight="1" x14ac:dyDescent="0.3"/>
    <row r="600" spans="1:20" ht="48" customHeight="1" x14ac:dyDescent="0.3"/>
    <row r="601" spans="1:20" ht="48" customHeight="1" x14ac:dyDescent="0.3"/>
    <row r="602" spans="1:20" ht="48" customHeight="1" x14ac:dyDescent="0.3"/>
    <row r="603" spans="1:20" ht="48" customHeight="1" x14ac:dyDescent="0.3"/>
    <row r="604" spans="1:20" ht="48" customHeight="1" x14ac:dyDescent="0.3"/>
    <row r="605" spans="1:20" ht="48" customHeight="1" x14ac:dyDescent="0.3"/>
    <row r="606" spans="1:20" ht="48" customHeight="1" x14ac:dyDescent="0.3"/>
    <row r="607" spans="1:20" ht="48" customHeight="1" x14ac:dyDescent="0.3"/>
    <row r="608" spans="1:20" ht="48" customHeight="1" x14ac:dyDescent="0.3"/>
    <row r="609" ht="48" customHeight="1" x14ac:dyDescent="0.3"/>
    <row r="610" ht="48" customHeight="1" x14ac:dyDescent="0.3"/>
    <row r="611" ht="48" customHeight="1" x14ac:dyDescent="0.3"/>
    <row r="612" ht="48" customHeight="1" x14ac:dyDescent="0.3"/>
    <row r="613" ht="48" customHeight="1" x14ac:dyDescent="0.3"/>
    <row r="614" ht="48" customHeight="1" x14ac:dyDescent="0.3"/>
    <row r="615" ht="48" customHeight="1" x14ac:dyDescent="0.3"/>
    <row r="616" ht="48" customHeight="1" x14ac:dyDescent="0.3"/>
    <row r="617" ht="48" customHeight="1" x14ac:dyDescent="0.3"/>
    <row r="618" ht="48" customHeight="1" x14ac:dyDescent="0.3"/>
    <row r="619" ht="48" customHeight="1" x14ac:dyDescent="0.3"/>
    <row r="620" ht="48" customHeight="1" x14ac:dyDescent="0.3"/>
    <row r="621" ht="48" customHeight="1" x14ac:dyDescent="0.3"/>
    <row r="622" ht="48" customHeight="1" x14ac:dyDescent="0.3"/>
    <row r="623" ht="48" customHeight="1" x14ac:dyDescent="0.3"/>
    <row r="624" ht="48" customHeight="1" x14ac:dyDescent="0.3"/>
    <row r="625" ht="48" customHeight="1" x14ac:dyDescent="0.3"/>
    <row r="626" ht="48" customHeight="1" x14ac:dyDescent="0.3"/>
    <row r="627" ht="48" customHeight="1" x14ac:dyDescent="0.3"/>
    <row r="628" ht="48" customHeight="1" x14ac:dyDescent="0.3"/>
    <row r="629" ht="48" customHeight="1" x14ac:dyDescent="0.3"/>
    <row r="630" ht="48" customHeight="1" x14ac:dyDescent="0.3"/>
    <row r="631" ht="48" customHeight="1" x14ac:dyDescent="0.3"/>
    <row r="632" ht="48" customHeight="1" x14ac:dyDescent="0.3"/>
    <row r="633" ht="48" customHeight="1" x14ac:dyDescent="0.3"/>
    <row r="634" ht="48" customHeight="1" x14ac:dyDescent="0.3"/>
    <row r="635" ht="48" customHeight="1" x14ac:dyDescent="0.3"/>
    <row r="636" ht="48" customHeight="1" x14ac:dyDescent="0.3"/>
  </sheetData>
  <autoFilter ref="A1:T597" xr:uid="{00000000-0009-0000-0000-000005000000}">
    <sortState xmlns:xlrd2="http://schemas.microsoft.com/office/spreadsheetml/2017/richdata2" ref="A2:T597">
      <sortCondition descending="1" ref="K1:K597"/>
    </sortState>
  </autoFilter>
  <phoneticPr fontId="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14" customWidth="1"/>
    <col min="3" max="3" width="22" customWidth="1"/>
    <col min="4" max="4" width="52" customWidth="1"/>
    <col min="6" max="6" width="9" customWidth="1"/>
    <col min="7" max="7" width="13" customWidth="1"/>
    <col min="9" max="9" width="9" customWidth="1"/>
    <col min="10" max="10" width="16" customWidth="1"/>
    <col min="11" max="11" width="13.75" customWidth="1"/>
    <col min="12" max="12" width="13" customWidth="1"/>
    <col min="15" max="15" width="13" customWidth="1"/>
    <col min="16" max="16" width="14" customWidth="1"/>
    <col min="17" max="17" width="16" customWidth="1"/>
    <col min="18" max="18" width="9" customWidth="1"/>
    <col min="19" max="19" width="14" customWidth="1"/>
  </cols>
  <sheetData>
    <row r="1" spans="1:19" ht="36" customHeight="1" x14ac:dyDescent="0.3">
      <c r="A1" s="158" t="s">
        <v>48</v>
      </c>
      <c r="B1" s="158" t="s">
        <v>49</v>
      </c>
      <c r="C1" s="158" t="s">
        <v>50</v>
      </c>
      <c r="D1" s="158" t="s">
        <v>51</v>
      </c>
      <c r="E1" s="159" t="s">
        <v>52</v>
      </c>
      <c r="F1" s="160" t="s">
        <v>53</v>
      </c>
      <c r="G1" s="161" t="s">
        <v>54</v>
      </c>
      <c r="H1" s="162" t="s">
        <v>55</v>
      </c>
      <c r="I1" s="163" t="s">
        <v>56</v>
      </c>
      <c r="J1" s="160" t="s">
        <v>57</v>
      </c>
      <c r="K1" s="161" t="s">
        <v>58</v>
      </c>
      <c r="L1" s="164" t="s">
        <v>59</v>
      </c>
      <c r="M1" s="162" t="s">
        <v>60</v>
      </c>
      <c r="N1" s="165" t="s">
        <v>61</v>
      </c>
      <c r="O1" s="166" t="s">
        <v>62</v>
      </c>
      <c r="P1" s="163" t="s">
        <v>63</v>
      </c>
      <c r="Q1" s="106" t="s">
        <v>64</v>
      </c>
      <c r="R1" s="107" t="s">
        <v>65</v>
      </c>
      <c r="S1" s="107" t="s">
        <v>66</v>
      </c>
    </row>
    <row r="2" spans="1:19" ht="48" customHeight="1" x14ac:dyDescent="0.3">
      <c r="A2" s="167" t="s">
        <v>771</v>
      </c>
      <c r="B2" s="167" t="s">
        <v>1650</v>
      </c>
      <c r="C2" s="168" t="s">
        <v>195</v>
      </c>
      <c r="D2" s="168" t="s">
        <v>1651</v>
      </c>
      <c r="E2" s="168"/>
      <c r="F2" s="153"/>
      <c r="G2" s="154" t="s">
        <v>71</v>
      </c>
      <c r="H2" s="156"/>
      <c r="I2" s="169" t="str">
        <f>IFERROR(IF(OR($F2="O",$G2="O",$H2="O"),CHOOSE(MATCH($A2,{"튜브","고압","진공","튜닝","조립","출하"},0),"T","H","V","N","A","P")&amp;IF($F2="O","R",IF($G2="O","A",IF($H2="O","F",""))),""),"")</f>
        <v>PA</v>
      </c>
      <c r="J2" s="153" t="s">
        <v>71</v>
      </c>
      <c r="K2" s="154"/>
      <c r="L2" s="155"/>
      <c r="M2" s="156"/>
      <c r="N2" s="157"/>
      <c r="O2" s="170"/>
      <c r="P2" s="169" t="str">
        <f t="shared" ref="P2:P33" si="0">IF($I2="","",IF($J2="O","3","")&amp;IF($K2="O","4","")&amp;IF($L2="O","6","")&amp;IF($M2="O","7","")&amp;IF($N2="O","8","")&amp;IF($O2="O","?","")&amp;IF(OR($J2="O",$K2="O",$L2="O",$M2="O",$N2="O",$O2="O"),"-","")&amp;$I2)</f>
        <v>3-PA</v>
      </c>
      <c r="Q2" s="108" t="str">
        <f>HYPERLINK("#'마스터_품목'!A848","→ 마스터 R848")</f>
        <v>→ 마스터 R848</v>
      </c>
      <c r="R2" s="109">
        <v>848</v>
      </c>
      <c r="S2" s="109" t="s">
        <v>72</v>
      </c>
    </row>
    <row r="3" spans="1:19" ht="48" customHeight="1" x14ac:dyDescent="0.3">
      <c r="A3" s="167" t="s">
        <v>771</v>
      </c>
      <c r="B3" s="167" t="s">
        <v>1650</v>
      </c>
      <c r="C3" s="168" t="s">
        <v>195</v>
      </c>
      <c r="D3" s="168" t="s">
        <v>1652</v>
      </c>
      <c r="E3" s="168"/>
      <c r="F3" s="153"/>
      <c r="G3" s="154" t="s">
        <v>71</v>
      </c>
      <c r="H3" s="156"/>
      <c r="I3" s="169" t="str">
        <f>IFERROR(IF(OR($F3="O",$G3="O",$H3="O"),CHOOSE(MATCH($A3,{"튜브","고압","진공","튜닝","조립","출하"},0),"T","H","V","N","A","P")&amp;IF($F3="O","R",IF($G3="O","A",IF($H3="O","F",""))),""),"")</f>
        <v>PA</v>
      </c>
      <c r="J3" s="153" t="s">
        <v>71</v>
      </c>
      <c r="K3" s="154"/>
      <c r="L3" s="155"/>
      <c r="M3" s="156"/>
      <c r="N3" s="157"/>
      <c r="O3" s="170"/>
      <c r="P3" s="169" t="str">
        <f t="shared" si="0"/>
        <v>3-PA</v>
      </c>
      <c r="Q3" s="108" t="str">
        <f>HYPERLINK("#'마스터_품목'!A849","→ 마스터 R849")</f>
        <v>→ 마스터 R849</v>
      </c>
      <c r="R3" s="109">
        <v>849</v>
      </c>
      <c r="S3" s="109" t="s">
        <v>72</v>
      </c>
    </row>
    <row r="4" spans="1:19" ht="48" customHeight="1" x14ac:dyDescent="0.3">
      <c r="A4" s="167" t="s">
        <v>771</v>
      </c>
      <c r="B4" s="167" t="s">
        <v>1650</v>
      </c>
      <c r="C4" s="168" t="s">
        <v>195</v>
      </c>
      <c r="D4" s="168" t="s">
        <v>1653</v>
      </c>
      <c r="E4" s="168"/>
      <c r="F4" s="153"/>
      <c r="G4" s="154" t="s">
        <v>71</v>
      </c>
      <c r="H4" s="156"/>
      <c r="I4" s="169" t="str">
        <f>IFERROR(IF(OR($F4="O",$G4="O",$H4="O"),CHOOSE(MATCH($A4,{"튜브","고압","진공","튜닝","조립","출하"},0),"T","H","V","N","A","P")&amp;IF($F4="O","R",IF($G4="O","A",IF($H4="O","F",""))),""),"")</f>
        <v>PA</v>
      </c>
      <c r="J4" s="153" t="s">
        <v>71</v>
      </c>
      <c r="K4" s="154"/>
      <c r="L4" s="155"/>
      <c r="M4" s="156"/>
      <c r="N4" s="157"/>
      <c r="O4" s="170"/>
      <c r="P4" s="169" t="str">
        <f t="shared" si="0"/>
        <v>3-PA</v>
      </c>
      <c r="Q4" s="108" t="str">
        <f>HYPERLINK("#'마스터_품목'!A850","→ 마스터 R850")</f>
        <v>→ 마스터 R850</v>
      </c>
      <c r="R4" s="109">
        <v>850</v>
      </c>
      <c r="S4" s="109" t="s">
        <v>72</v>
      </c>
    </row>
    <row r="5" spans="1:19" ht="48" customHeight="1" x14ac:dyDescent="0.3">
      <c r="A5" s="167" t="s">
        <v>771</v>
      </c>
      <c r="B5" s="167" t="s">
        <v>1650</v>
      </c>
      <c r="C5" s="168" t="s">
        <v>328</v>
      </c>
      <c r="D5" s="168" t="s">
        <v>1654</v>
      </c>
      <c r="E5" s="168"/>
      <c r="F5" s="153"/>
      <c r="G5" s="154" t="s">
        <v>71</v>
      </c>
      <c r="H5" s="156"/>
      <c r="I5" s="169" t="str">
        <f>IFERROR(IF(OR($F5="O",$G5="O",$H5="O"),CHOOSE(MATCH($A5,{"튜브","고압","진공","튜닝","조립","출하"},0),"T","H","V","N","A","P")&amp;IF($F5="O","R",IF($G5="O","A",IF($H5="O","F",""))),""),"")</f>
        <v>PA</v>
      </c>
      <c r="J5" s="153" t="s">
        <v>71</v>
      </c>
      <c r="K5" s="154"/>
      <c r="L5" s="155"/>
      <c r="M5" s="156"/>
      <c r="N5" s="157"/>
      <c r="O5" s="170"/>
      <c r="P5" s="169" t="str">
        <f t="shared" si="0"/>
        <v>3-PA</v>
      </c>
      <c r="Q5" s="108" t="str">
        <f>HYPERLINK("#'마스터_품목'!A851","→ 마스터 R851")</f>
        <v>→ 마스터 R851</v>
      </c>
      <c r="R5" s="109">
        <v>851</v>
      </c>
      <c r="S5" s="109" t="s">
        <v>72</v>
      </c>
    </row>
    <row r="6" spans="1:19" ht="48" customHeight="1" x14ac:dyDescent="0.3">
      <c r="A6" s="167" t="s">
        <v>771</v>
      </c>
      <c r="B6" s="167" t="s">
        <v>1650</v>
      </c>
      <c r="C6" s="168" t="s">
        <v>328</v>
      </c>
      <c r="D6" s="168" t="s">
        <v>1655</v>
      </c>
      <c r="E6" s="168"/>
      <c r="F6" s="153"/>
      <c r="G6" s="154" t="s">
        <v>71</v>
      </c>
      <c r="H6" s="156"/>
      <c r="I6" s="169" t="str">
        <f>IFERROR(IF(OR($F6="O",$G6="O",$H6="O"),CHOOSE(MATCH($A6,{"튜브","고압","진공","튜닝","조립","출하"},0),"T","H","V","N","A","P")&amp;IF($F6="O","R",IF($G6="O","A",IF($H6="O","F",""))),""),"")</f>
        <v>PA</v>
      </c>
      <c r="J6" s="153" t="s">
        <v>71</v>
      </c>
      <c r="K6" s="154"/>
      <c r="L6" s="155"/>
      <c r="M6" s="156"/>
      <c r="N6" s="157"/>
      <c r="O6" s="170"/>
      <c r="P6" s="169" t="str">
        <f t="shared" si="0"/>
        <v>3-PA</v>
      </c>
      <c r="Q6" s="108" t="str">
        <f>HYPERLINK("#'마스터_품목'!A852","→ 마스터 R852")</f>
        <v>→ 마스터 R852</v>
      </c>
      <c r="R6" s="109">
        <v>852</v>
      </c>
      <c r="S6" s="109" t="s">
        <v>72</v>
      </c>
    </row>
    <row r="7" spans="1:19" ht="48" customHeight="1" x14ac:dyDescent="0.3">
      <c r="A7" s="167" t="s">
        <v>771</v>
      </c>
      <c r="B7" s="167" t="s">
        <v>1650</v>
      </c>
      <c r="C7" s="168" t="s">
        <v>328</v>
      </c>
      <c r="D7" s="168" t="s">
        <v>1656</v>
      </c>
      <c r="E7" s="168"/>
      <c r="F7" s="153"/>
      <c r="G7" s="154" t="s">
        <v>71</v>
      </c>
      <c r="H7" s="156"/>
      <c r="I7" s="169" t="str">
        <f>IFERROR(IF(OR($F7="O",$G7="O",$H7="O"),CHOOSE(MATCH($A7,{"튜브","고압","진공","튜닝","조립","출하"},0),"T","H","V","N","A","P")&amp;IF($F7="O","R",IF($G7="O","A",IF($H7="O","F",""))),""),"")</f>
        <v>PA</v>
      </c>
      <c r="J7" s="153" t="s">
        <v>71</v>
      </c>
      <c r="K7" s="154"/>
      <c r="L7" s="155"/>
      <c r="M7" s="156"/>
      <c r="N7" s="157"/>
      <c r="O7" s="170"/>
      <c r="P7" s="169" t="str">
        <f t="shared" si="0"/>
        <v>3-PA</v>
      </c>
      <c r="Q7" s="108" t="str">
        <f>HYPERLINK("#'마스터_품목'!A853","→ 마스터 R853")</f>
        <v>→ 마스터 R853</v>
      </c>
      <c r="R7" s="109">
        <v>853</v>
      </c>
      <c r="S7" s="109" t="s">
        <v>72</v>
      </c>
    </row>
    <row r="8" spans="1:19" ht="48" customHeight="1" x14ac:dyDescent="0.3">
      <c r="A8" s="167" t="s">
        <v>771</v>
      </c>
      <c r="B8" s="167" t="s">
        <v>1650</v>
      </c>
      <c r="C8" s="168" t="s">
        <v>328</v>
      </c>
      <c r="D8" s="168" t="s">
        <v>1657</v>
      </c>
      <c r="E8" s="168"/>
      <c r="F8" s="153"/>
      <c r="G8" s="154" t="s">
        <v>71</v>
      </c>
      <c r="H8" s="156"/>
      <c r="I8" s="169" t="str">
        <f>IFERROR(IF(OR($F8="O",$G8="O",$H8="O"),CHOOSE(MATCH($A8,{"튜브","고압","진공","튜닝","조립","출하"},0),"T","H","V","N","A","P")&amp;IF($F8="O","R",IF($G8="O","A",IF($H8="O","F",""))),""),"")</f>
        <v>PA</v>
      </c>
      <c r="J8" s="153" t="s">
        <v>71</v>
      </c>
      <c r="K8" s="154"/>
      <c r="L8" s="155"/>
      <c r="M8" s="156"/>
      <c r="N8" s="157"/>
      <c r="O8" s="170"/>
      <c r="P8" s="169" t="str">
        <f t="shared" si="0"/>
        <v>3-PA</v>
      </c>
      <c r="Q8" s="108" t="str">
        <f>HYPERLINK("#'마스터_품목'!A854","→ 마스터 R854")</f>
        <v>→ 마스터 R854</v>
      </c>
      <c r="R8" s="109">
        <v>854</v>
      </c>
      <c r="S8" s="109" t="s">
        <v>72</v>
      </c>
    </row>
    <row r="9" spans="1:19" ht="48" customHeight="1" x14ac:dyDescent="0.3">
      <c r="A9" s="167" t="s">
        <v>771</v>
      </c>
      <c r="B9" s="167" t="s">
        <v>1658</v>
      </c>
      <c r="C9" s="168" t="s">
        <v>195</v>
      </c>
      <c r="D9" s="168" t="s">
        <v>1659</v>
      </c>
      <c r="E9" s="168"/>
      <c r="F9" s="153"/>
      <c r="G9" s="154"/>
      <c r="H9" s="156" t="s">
        <v>71</v>
      </c>
      <c r="I9" s="169" t="str">
        <f>IFERROR(IF(OR($F9="O",$G9="O",$H9="O"),CHOOSE(MATCH($A9,{"튜브","고압","진공","튜닝","조립","출하"},0),"T","H","V","N","A","P")&amp;IF($F9="O","R",IF($G9="O","A",IF($H9="O","F",""))),""),"")</f>
        <v>PF</v>
      </c>
      <c r="J9" s="153" t="s">
        <v>71</v>
      </c>
      <c r="K9" s="154"/>
      <c r="L9" s="155"/>
      <c r="M9" s="156"/>
      <c r="N9" s="157"/>
      <c r="O9" s="170"/>
      <c r="P9" s="169" t="str">
        <f t="shared" si="0"/>
        <v>3-PF</v>
      </c>
      <c r="Q9" s="108" t="str">
        <f>HYPERLINK("#'마스터_품목'!A855","→ 마스터 R855")</f>
        <v>→ 마스터 R855</v>
      </c>
      <c r="R9" s="109">
        <v>855</v>
      </c>
      <c r="S9" s="109" t="s">
        <v>72</v>
      </c>
    </row>
    <row r="10" spans="1:19" ht="48" customHeight="1" x14ac:dyDescent="0.3">
      <c r="A10" s="167" t="s">
        <v>771</v>
      </c>
      <c r="B10" s="167" t="s">
        <v>1658</v>
      </c>
      <c r="C10" s="168" t="s">
        <v>195</v>
      </c>
      <c r="D10" s="168" t="s">
        <v>1660</v>
      </c>
      <c r="E10" s="168"/>
      <c r="F10" s="153"/>
      <c r="G10" s="154"/>
      <c r="H10" s="156" t="s">
        <v>71</v>
      </c>
      <c r="I10" s="169" t="str">
        <f>IFERROR(IF(OR($F10="O",$G10="O",$H10="O"),CHOOSE(MATCH($A10,{"튜브","고압","진공","튜닝","조립","출하"},0),"T","H","V","N","A","P")&amp;IF($F10="O","R",IF($G10="O","A",IF($H10="O","F",""))),""),"")</f>
        <v>PF</v>
      </c>
      <c r="J10" s="153" t="s">
        <v>71</v>
      </c>
      <c r="K10" s="154"/>
      <c r="L10" s="155"/>
      <c r="M10" s="156"/>
      <c r="N10" s="157"/>
      <c r="O10" s="170"/>
      <c r="P10" s="169" t="str">
        <f t="shared" si="0"/>
        <v>3-PF</v>
      </c>
      <c r="Q10" s="108" t="str">
        <f>HYPERLINK("#'마스터_품목'!A856","→ 마스터 R856")</f>
        <v>→ 마스터 R856</v>
      </c>
      <c r="R10" s="109">
        <v>856</v>
      </c>
      <c r="S10" s="109" t="s">
        <v>72</v>
      </c>
    </row>
    <row r="11" spans="1:19" ht="48" customHeight="1" x14ac:dyDescent="0.3">
      <c r="A11" s="167" t="s">
        <v>771</v>
      </c>
      <c r="B11" s="167" t="s">
        <v>1658</v>
      </c>
      <c r="C11" s="168" t="s">
        <v>195</v>
      </c>
      <c r="D11" s="168" t="s">
        <v>1661</v>
      </c>
      <c r="E11" s="168"/>
      <c r="F11" s="153"/>
      <c r="G11" s="154"/>
      <c r="H11" s="156" t="s">
        <v>71</v>
      </c>
      <c r="I11" s="169" t="str">
        <f>IFERROR(IF(OR($F11="O",$G11="O",$H11="O"),CHOOSE(MATCH($A11,{"튜브","고압","진공","튜닝","조립","출하"},0),"T","H","V","N","A","P")&amp;IF($F11="O","R",IF($G11="O","A",IF($H11="O","F",""))),""),"")</f>
        <v>PF</v>
      </c>
      <c r="J11" s="153" t="s">
        <v>71</v>
      </c>
      <c r="K11" s="154"/>
      <c r="L11" s="155"/>
      <c r="M11" s="156"/>
      <c r="N11" s="157"/>
      <c r="O11" s="170"/>
      <c r="P11" s="169" t="str">
        <f t="shared" si="0"/>
        <v>3-PF</v>
      </c>
      <c r="Q11" s="108" t="str">
        <f>HYPERLINK("#'마스터_품목'!A857","→ 마스터 R857")</f>
        <v>→ 마스터 R857</v>
      </c>
      <c r="R11" s="109">
        <v>857</v>
      </c>
      <c r="S11" s="109" t="s">
        <v>72</v>
      </c>
    </row>
    <row r="12" spans="1:19" ht="48" customHeight="1" x14ac:dyDescent="0.3">
      <c r="A12" s="167" t="s">
        <v>771</v>
      </c>
      <c r="B12" s="167" t="s">
        <v>1658</v>
      </c>
      <c r="C12" s="168" t="s">
        <v>328</v>
      </c>
      <c r="D12" s="168" t="s">
        <v>1662</v>
      </c>
      <c r="E12" s="168"/>
      <c r="F12" s="153"/>
      <c r="G12" s="154"/>
      <c r="H12" s="156" t="s">
        <v>71</v>
      </c>
      <c r="I12" s="169" t="str">
        <f>IFERROR(IF(OR($F12="O",$G12="O",$H12="O"),CHOOSE(MATCH($A12,{"튜브","고압","진공","튜닝","조립","출하"},0),"T","H","V","N","A","P")&amp;IF($F12="O","R",IF($G12="O","A",IF($H12="O","F",""))),""),"")</f>
        <v>PF</v>
      </c>
      <c r="J12" s="153" t="s">
        <v>71</v>
      </c>
      <c r="K12" s="154"/>
      <c r="L12" s="155"/>
      <c r="M12" s="156"/>
      <c r="N12" s="157"/>
      <c r="O12" s="170"/>
      <c r="P12" s="169" t="str">
        <f t="shared" si="0"/>
        <v>3-PF</v>
      </c>
      <c r="Q12" s="108" t="str">
        <f>HYPERLINK("#'마스터_품목'!A858","→ 마스터 R858")</f>
        <v>→ 마스터 R858</v>
      </c>
      <c r="R12" s="109">
        <v>858</v>
      </c>
      <c r="S12" s="109" t="s">
        <v>72</v>
      </c>
    </row>
    <row r="13" spans="1:19" ht="48" customHeight="1" x14ac:dyDescent="0.3">
      <c r="A13" s="167" t="s">
        <v>771</v>
      </c>
      <c r="B13" s="167" t="s">
        <v>1658</v>
      </c>
      <c r="C13" s="168" t="s">
        <v>328</v>
      </c>
      <c r="D13" s="168" t="s">
        <v>1663</v>
      </c>
      <c r="E13" s="168"/>
      <c r="F13" s="153"/>
      <c r="G13" s="154"/>
      <c r="H13" s="156" t="s">
        <v>71</v>
      </c>
      <c r="I13" s="169" t="str">
        <f>IFERROR(IF(OR($F13="O",$G13="O",$H13="O"),CHOOSE(MATCH($A13,{"튜브","고압","진공","튜닝","조립","출하"},0),"T","H","V","N","A","P")&amp;IF($F13="O","R",IF($G13="O","A",IF($H13="O","F",""))),""),"")</f>
        <v>PF</v>
      </c>
      <c r="J13" s="153" t="s">
        <v>71</v>
      </c>
      <c r="K13" s="154"/>
      <c r="L13" s="155"/>
      <c r="M13" s="156"/>
      <c r="N13" s="157"/>
      <c r="O13" s="170"/>
      <c r="P13" s="169" t="str">
        <f t="shared" si="0"/>
        <v>3-PF</v>
      </c>
      <c r="Q13" s="108" t="str">
        <f>HYPERLINK("#'마스터_품목'!A859","→ 마스터 R859")</f>
        <v>→ 마스터 R859</v>
      </c>
      <c r="R13" s="109">
        <v>859</v>
      </c>
      <c r="S13" s="109" t="s">
        <v>72</v>
      </c>
    </row>
    <row r="14" spans="1:19" ht="48" customHeight="1" x14ac:dyDescent="0.3">
      <c r="A14" s="167" t="s">
        <v>771</v>
      </c>
      <c r="B14" s="167" t="s">
        <v>1658</v>
      </c>
      <c r="C14" s="168" t="s">
        <v>328</v>
      </c>
      <c r="D14" s="168" t="s">
        <v>1664</v>
      </c>
      <c r="E14" s="168"/>
      <c r="F14" s="153"/>
      <c r="G14" s="154"/>
      <c r="H14" s="156" t="s">
        <v>71</v>
      </c>
      <c r="I14" s="169" t="str">
        <f>IFERROR(IF(OR($F14="O",$G14="O",$H14="O"),CHOOSE(MATCH($A14,{"튜브","고압","진공","튜닝","조립","출하"},0),"T","H","V","N","A","P")&amp;IF($F14="O","R",IF($G14="O","A",IF($H14="O","F",""))),""),"")</f>
        <v>PF</v>
      </c>
      <c r="J14" s="153" t="s">
        <v>71</v>
      </c>
      <c r="K14" s="154"/>
      <c r="L14" s="155"/>
      <c r="M14" s="156"/>
      <c r="N14" s="157"/>
      <c r="O14" s="170"/>
      <c r="P14" s="169" t="str">
        <f t="shared" si="0"/>
        <v>3-PF</v>
      </c>
      <c r="Q14" s="108" t="str">
        <f>HYPERLINK("#'마스터_품목'!A860","→ 마스터 R860")</f>
        <v>→ 마스터 R860</v>
      </c>
      <c r="R14" s="109">
        <v>860</v>
      </c>
      <c r="S14" s="109" t="s">
        <v>72</v>
      </c>
    </row>
    <row r="15" spans="1:19" ht="48" customHeight="1" x14ac:dyDescent="0.3">
      <c r="A15" s="167" t="s">
        <v>771</v>
      </c>
      <c r="B15" s="167" t="s">
        <v>1658</v>
      </c>
      <c r="C15" s="168" t="s">
        <v>328</v>
      </c>
      <c r="D15" s="168" t="s">
        <v>1665</v>
      </c>
      <c r="E15" s="168"/>
      <c r="F15" s="153"/>
      <c r="G15" s="154"/>
      <c r="H15" s="156" t="s">
        <v>71</v>
      </c>
      <c r="I15" s="169" t="str">
        <f>IFERROR(IF(OR($F15="O",$G15="O",$H15="O"),CHOOSE(MATCH($A15,{"튜브","고압","진공","튜닝","조립","출하"},0),"T","H","V","N","A","P")&amp;IF($F15="O","R",IF($G15="O","A",IF($H15="O","F",""))),""),"")</f>
        <v>PF</v>
      </c>
      <c r="J15" s="153" t="s">
        <v>71</v>
      </c>
      <c r="K15" s="154"/>
      <c r="L15" s="155"/>
      <c r="M15" s="156"/>
      <c r="N15" s="157"/>
      <c r="O15" s="170"/>
      <c r="P15" s="169" t="str">
        <f t="shared" si="0"/>
        <v>3-PF</v>
      </c>
      <c r="Q15" s="108" t="str">
        <f>HYPERLINK("#'마스터_품목'!A861","→ 마스터 R861")</f>
        <v>→ 마스터 R861</v>
      </c>
      <c r="R15" s="109">
        <v>861</v>
      </c>
      <c r="S15" s="109" t="s">
        <v>72</v>
      </c>
    </row>
    <row r="16" spans="1:19" ht="48" customHeight="1" x14ac:dyDescent="0.3">
      <c r="A16" s="167" t="s">
        <v>771</v>
      </c>
      <c r="B16" s="167" t="s">
        <v>1650</v>
      </c>
      <c r="C16" s="168" t="s">
        <v>198</v>
      </c>
      <c r="D16" s="168" t="s">
        <v>1666</v>
      </c>
      <c r="E16" s="168"/>
      <c r="F16" s="153"/>
      <c r="G16" s="154" t="s">
        <v>71</v>
      </c>
      <c r="H16" s="156"/>
      <c r="I16" s="169" t="str">
        <f>IFERROR(IF(OR($F16="O",$G16="O",$H16="O"),CHOOSE(MATCH($A16,{"튜브","고압","진공","튜닝","조립","출하"},0),"T","H","V","N","A","P")&amp;IF($F16="O","R",IF($G16="O","A",IF($H16="O","F",""))),""),"")</f>
        <v>PA</v>
      </c>
      <c r="J16" s="153"/>
      <c r="K16" s="154" t="s">
        <v>71</v>
      </c>
      <c r="L16" s="155"/>
      <c r="M16" s="156"/>
      <c r="N16" s="157"/>
      <c r="O16" s="170"/>
      <c r="P16" s="169" t="str">
        <f t="shared" si="0"/>
        <v>4-PA</v>
      </c>
      <c r="Q16" s="108" t="str">
        <f>HYPERLINK("#'마스터_품목'!A862","→ 마스터 R862")</f>
        <v>→ 마스터 R862</v>
      </c>
      <c r="R16" s="109">
        <v>862</v>
      </c>
      <c r="S16" s="109" t="s">
        <v>72</v>
      </c>
    </row>
    <row r="17" spans="1:19" ht="48" customHeight="1" x14ac:dyDescent="0.3">
      <c r="A17" s="167" t="s">
        <v>771</v>
      </c>
      <c r="B17" s="167" t="s">
        <v>1650</v>
      </c>
      <c r="C17" s="168" t="s">
        <v>198</v>
      </c>
      <c r="D17" s="168" t="s">
        <v>1667</v>
      </c>
      <c r="E17" s="168"/>
      <c r="F17" s="153"/>
      <c r="G17" s="154" t="s">
        <v>71</v>
      </c>
      <c r="H17" s="156"/>
      <c r="I17" s="169" t="str">
        <f>IFERROR(IF(OR($F17="O",$G17="O",$H17="O"),CHOOSE(MATCH($A17,{"튜브","고압","진공","튜닝","조립","출하"},0),"T","H","V","N","A","P")&amp;IF($F17="O","R",IF($G17="O","A",IF($H17="O","F",""))),""),"")</f>
        <v>PA</v>
      </c>
      <c r="J17" s="153"/>
      <c r="K17" s="154" t="s">
        <v>71</v>
      </c>
      <c r="L17" s="155"/>
      <c r="M17" s="156"/>
      <c r="N17" s="157"/>
      <c r="O17" s="170"/>
      <c r="P17" s="169" t="str">
        <f t="shared" si="0"/>
        <v>4-PA</v>
      </c>
      <c r="Q17" s="108" t="str">
        <f>HYPERLINK("#'마스터_품목'!A863","→ 마스터 R863")</f>
        <v>→ 마스터 R863</v>
      </c>
      <c r="R17" s="109">
        <v>863</v>
      </c>
      <c r="S17" s="109" t="s">
        <v>72</v>
      </c>
    </row>
    <row r="18" spans="1:19" ht="48" customHeight="1" x14ac:dyDescent="0.3">
      <c r="A18" s="167" t="s">
        <v>771</v>
      </c>
      <c r="B18" s="167" t="s">
        <v>1650</v>
      </c>
      <c r="C18" s="168" t="s">
        <v>198</v>
      </c>
      <c r="D18" s="168" t="s">
        <v>1668</v>
      </c>
      <c r="E18" s="168"/>
      <c r="F18" s="153"/>
      <c r="G18" s="154" t="s">
        <v>71</v>
      </c>
      <c r="H18" s="156"/>
      <c r="I18" s="169" t="str">
        <f>IFERROR(IF(OR($F18="O",$G18="O",$H18="O"),CHOOSE(MATCH($A18,{"튜브","고압","진공","튜닝","조립","출하"},0),"T","H","V","N","A","P")&amp;IF($F18="O","R",IF($G18="O","A",IF($H18="O","F",""))),""),"")</f>
        <v>PA</v>
      </c>
      <c r="J18" s="153"/>
      <c r="K18" s="154" t="s">
        <v>71</v>
      </c>
      <c r="L18" s="155"/>
      <c r="M18" s="156"/>
      <c r="N18" s="157"/>
      <c r="O18" s="170"/>
      <c r="P18" s="169" t="str">
        <f t="shared" si="0"/>
        <v>4-PA</v>
      </c>
      <c r="Q18" s="108" t="str">
        <f>HYPERLINK("#'마스터_품목'!A864","→ 마스터 R864")</f>
        <v>→ 마스터 R864</v>
      </c>
      <c r="R18" s="109">
        <v>864</v>
      </c>
      <c r="S18" s="109" t="s">
        <v>72</v>
      </c>
    </row>
    <row r="19" spans="1:19" ht="48" customHeight="1" x14ac:dyDescent="0.3">
      <c r="A19" s="167" t="s">
        <v>771</v>
      </c>
      <c r="B19" s="167" t="s">
        <v>1658</v>
      </c>
      <c r="C19" s="168" t="s">
        <v>198</v>
      </c>
      <c r="D19" s="168" t="s">
        <v>1669</v>
      </c>
      <c r="E19" s="168"/>
      <c r="F19" s="153"/>
      <c r="G19" s="154"/>
      <c r="H19" s="156" t="s">
        <v>71</v>
      </c>
      <c r="I19" s="169" t="str">
        <f>IFERROR(IF(OR($F19="O",$G19="O",$H19="O"),CHOOSE(MATCH($A19,{"튜브","고압","진공","튜닝","조립","출하"},0),"T","H","V","N","A","P")&amp;IF($F19="O","R",IF($G19="O","A",IF($H19="O","F",""))),""),"")</f>
        <v>PF</v>
      </c>
      <c r="J19" s="153"/>
      <c r="K19" s="154" t="s">
        <v>71</v>
      </c>
      <c r="L19" s="155"/>
      <c r="M19" s="156"/>
      <c r="N19" s="157"/>
      <c r="O19" s="170"/>
      <c r="P19" s="169" t="str">
        <f t="shared" si="0"/>
        <v>4-PF</v>
      </c>
      <c r="Q19" s="108" t="str">
        <f>HYPERLINK("#'마스터_품목'!A865","→ 마스터 R865")</f>
        <v>→ 마스터 R865</v>
      </c>
      <c r="R19" s="109">
        <v>865</v>
      </c>
      <c r="S19" s="109" t="s">
        <v>72</v>
      </c>
    </row>
    <row r="20" spans="1:19" ht="48" customHeight="1" x14ac:dyDescent="0.3">
      <c r="A20" s="167" t="s">
        <v>771</v>
      </c>
      <c r="B20" s="167" t="s">
        <v>1658</v>
      </c>
      <c r="C20" s="168" t="s">
        <v>198</v>
      </c>
      <c r="D20" s="168" t="s">
        <v>1670</v>
      </c>
      <c r="E20" s="168"/>
      <c r="F20" s="153"/>
      <c r="G20" s="154"/>
      <c r="H20" s="156" t="s">
        <v>71</v>
      </c>
      <c r="I20" s="169" t="str">
        <f>IFERROR(IF(OR($F20="O",$G20="O",$H20="O"),CHOOSE(MATCH($A20,{"튜브","고압","진공","튜닝","조립","출하"},0),"T","H","V","N","A","P")&amp;IF($F20="O","R",IF($G20="O","A",IF($H20="O","F",""))),""),"")</f>
        <v>PF</v>
      </c>
      <c r="J20" s="153"/>
      <c r="K20" s="154" t="s">
        <v>71</v>
      </c>
      <c r="L20" s="155"/>
      <c r="M20" s="156"/>
      <c r="N20" s="157"/>
      <c r="O20" s="170"/>
      <c r="P20" s="169" t="str">
        <f t="shared" si="0"/>
        <v>4-PF</v>
      </c>
      <c r="Q20" s="108" t="str">
        <f>HYPERLINK("#'마스터_품목'!A866","→ 마스터 R866")</f>
        <v>→ 마스터 R866</v>
      </c>
      <c r="R20" s="109">
        <v>866</v>
      </c>
      <c r="S20" s="109" t="s">
        <v>72</v>
      </c>
    </row>
    <row r="21" spans="1:19" ht="48" customHeight="1" x14ac:dyDescent="0.3">
      <c r="A21" s="167" t="s">
        <v>771</v>
      </c>
      <c r="B21" s="167" t="s">
        <v>1658</v>
      </c>
      <c r="C21" s="168" t="s">
        <v>198</v>
      </c>
      <c r="D21" s="168" t="s">
        <v>1671</v>
      </c>
      <c r="E21" s="168"/>
      <c r="F21" s="153"/>
      <c r="G21" s="154"/>
      <c r="H21" s="156" t="s">
        <v>71</v>
      </c>
      <c r="I21" s="169" t="str">
        <f>IFERROR(IF(OR($F21="O",$G21="O",$H21="O"),CHOOSE(MATCH($A21,{"튜브","고압","진공","튜닝","조립","출하"},0),"T","H","V","N","A","P")&amp;IF($F21="O","R",IF($G21="O","A",IF($H21="O","F",""))),""),"")</f>
        <v>PF</v>
      </c>
      <c r="J21" s="153"/>
      <c r="K21" s="154" t="s">
        <v>71</v>
      </c>
      <c r="L21" s="155"/>
      <c r="M21" s="156"/>
      <c r="N21" s="157"/>
      <c r="O21" s="170"/>
      <c r="P21" s="169" t="str">
        <f t="shared" si="0"/>
        <v>4-PF</v>
      </c>
      <c r="Q21" s="108" t="str">
        <f>HYPERLINK("#'마스터_품목'!A867","→ 마스터 R867")</f>
        <v>→ 마스터 R867</v>
      </c>
      <c r="R21" s="109">
        <v>867</v>
      </c>
      <c r="S21" s="109" t="s">
        <v>72</v>
      </c>
    </row>
    <row r="22" spans="1:19" ht="48" customHeight="1" x14ac:dyDescent="0.3">
      <c r="A22" s="167" t="s">
        <v>771</v>
      </c>
      <c r="B22" s="167" t="s">
        <v>1650</v>
      </c>
      <c r="C22" s="168" t="s">
        <v>684</v>
      </c>
      <c r="D22" s="168" t="s">
        <v>1672</v>
      </c>
      <c r="E22" s="168"/>
      <c r="F22" s="153"/>
      <c r="G22" s="154" t="s">
        <v>71</v>
      </c>
      <c r="H22" s="156"/>
      <c r="I22" s="169" t="str">
        <f>IFERROR(IF(OR($F22="O",$G22="O",$H22="O"),CHOOSE(MATCH($A22,{"튜브","고압","진공","튜닝","조립","출하"},0),"T","H","V","N","A","P")&amp;IF($F22="O","R",IF($G22="O","A",IF($H22="O","F",""))),""),"")</f>
        <v>PA</v>
      </c>
      <c r="J22" s="153"/>
      <c r="K22" s="154"/>
      <c r="L22" s="155" t="s">
        <v>71</v>
      </c>
      <c r="M22" s="156"/>
      <c r="N22" s="157"/>
      <c r="O22" s="170"/>
      <c r="P22" s="169" t="str">
        <f t="shared" si="0"/>
        <v>6-PA</v>
      </c>
      <c r="Q22" s="108" t="str">
        <f>HYPERLINK("#'마스터_품목'!A868","→ 마스터 R868")</f>
        <v>→ 마스터 R868</v>
      </c>
      <c r="R22" s="109">
        <v>868</v>
      </c>
      <c r="S22" s="109" t="s">
        <v>72</v>
      </c>
    </row>
    <row r="23" spans="1:19" ht="48" customHeight="1" x14ac:dyDescent="0.3">
      <c r="A23" s="167" t="s">
        <v>771</v>
      </c>
      <c r="B23" s="167" t="s">
        <v>1650</v>
      </c>
      <c r="C23" s="168" t="s">
        <v>684</v>
      </c>
      <c r="D23" s="168" t="s">
        <v>1673</v>
      </c>
      <c r="E23" s="168"/>
      <c r="F23" s="153"/>
      <c r="G23" s="154" t="s">
        <v>71</v>
      </c>
      <c r="H23" s="156"/>
      <c r="I23" s="169" t="str">
        <f>IFERROR(IF(OR($F23="O",$G23="O",$H23="O"),CHOOSE(MATCH($A23,{"튜브","고압","진공","튜닝","조립","출하"},0),"T","H","V","N","A","P")&amp;IF($F23="O","R",IF($G23="O","A",IF($H23="O","F",""))),""),"")</f>
        <v>PA</v>
      </c>
      <c r="J23" s="153"/>
      <c r="K23" s="154"/>
      <c r="L23" s="155" t="s">
        <v>71</v>
      </c>
      <c r="M23" s="156"/>
      <c r="N23" s="157"/>
      <c r="O23" s="170"/>
      <c r="P23" s="169" t="str">
        <f t="shared" si="0"/>
        <v>6-PA</v>
      </c>
      <c r="Q23" s="108" t="str">
        <f>HYPERLINK("#'마스터_품목'!A869","→ 마스터 R869")</f>
        <v>→ 마스터 R869</v>
      </c>
      <c r="R23" s="109">
        <v>869</v>
      </c>
      <c r="S23" s="109" t="s">
        <v>72</v>
      </c>
    </row>
    <row r="24" spans="1:19" ht="48" customHeight="1" x14ac:dyDescent="0.3">
      <c r="A24" s="167" t="s">
        <v>771</v>
      </c>
      <c r="B24" s="167" t="s">
        <v>1650</v>
      </c>
      <c r="C24" s="168" t="s">
        <v>684</v>
      </c>
      <c r="D24" s="168" t="s">
        <v>1674</v>
      </c>
      <c r="E24" s="168"/>
      <c r="F24" s="153"/>
      <c r="G24" s="154" t="s">
        <v>71</v>
      </c>
      <c r="H24" s="156"/>
      <c r="I24" s="169" t="str">
        <f>IFERROR(IF(OR($F24="O",$G24="O",$H24="O"),CHOOSE(MATCH($A24,{"튜브","고압","진공","튜닝","조립","출하"},0),"T","H","V","N","A","P")&amp;IF($F24="O","R",IF($G24="O","A",IF($H24="O","F",""))),""),"")</f>
        <v>PA</v>
      </c>
      <c r="J24" s="153"/>
      <c r="K24" s="154"/>
      <c r="L24" s="155" t="s">
        <v>71</v>
      </c>
      <c r="M24" s="156"/>
      <c r="N24" s="157"/>
      <c r="O24" s="170"/>
      <c r="P24" s="169" t="str">
        <f t="shared" si="0"/>
        <v>6-PA</v>
      </c>
      <c r="Q24" s="108" t="str">
        <f>HYPERLINK("#'마스터_품목'!A870","→ 마스터 R870")</f>
        <v>→ 마스터 R870</v>
      </c>
      <c r="R24" s="109">
        <v>870</v>
      </c>
      <c r="S24" s="109" t="s">
        <v>72</v>
      </c>
    </row>
    <row r="25" spans="1:19" ht="48" customHeight="1" x14ac:dyDescent="0.3">
      <c r="A25" s="167" t="s">
        <v>771</v>
      </c>
      <c r="B25" s="167" t="s">
        <v>1650</v>
      </c>
      <c r="C25" s="168" t="s">
        <v>684</v>
      </c>
      <c r="D25" s="168" t="s">
        <v>1675</v>
      </c>
      <c r="E25" s="168"/>
      <c r="F25" s="153"/>
      <c r="G25" s="154" t="s">
        <v>71</v>
      </c>
      <c r="H25" s="156"/>
      <c r="I25" s="169" t="str">
        <f>IFERROR(IF(OR($F25="O",$G25="O",$H25="O"),CHOOSE(MATCH($A25,{"튜브","고압","진공","튜닝","조립","출하"},0),"T","H","V","N","A","P")&amp;IF($F25="O","R",IF($G25="O","A",IF($H25="O","F",""))),""),"")</f>
        <v>PA</v>
      </c>
      <c r="J25" s="153"/>
      <c r="K25" s="154"/>
      <c r="L25" s="155" t="s">
        <v>71</v>
      </c>
      <c r="M25" s="156"/>
      <c r="N25" s="157"/>
      <c r="O25" s="170"/>
      <c r="P25" s="169" t="str">
        <f t="shared" si="0"/>
        <v>6-PA</v>
      </c>
      <c r="Q25" s="108" t="str">
        <f>HYPERLINK("#'마스터_품목'!A871","→ 마스터 R871")</f>
        <v>→ 마스터 R871</v>
      </c>
      <c r="R25" s="109">
        <v>871</v>
      </c>
      <c r="S25" s="109" t="s">
        <v>72</v>
      </c>
    </row>
    <row r="26" spans="1:19" ht="48" customHeight="1" x14ac:dyDescent="0.3">
      <c r="A26" s="167" t="s">
        <v>771</v>
      </c>
      <c r="B26" s="167" t="s">
        <v>1650</v>
      </c>
      <c r="C26" s="168" t="s">
        <v>684</v>
      </c>
      <c r="D26" s="168" t="s">
        <v>1676</v>
      </c>
      <c r="E26" s="168"/>
      <c r="F26" s="153"/>
      <c r="G26" s="154" t="s">
        <v>71</v>
      </c>
      <c r="H26" s="156"/>
      <c r="I26" s="169" t="str">
        <f>IFERROR(IF(OR($F26="O",$G26="O",$H26="O"),CHOOSE(MATCH($A26,{"튜브","고압","진공","튜닝","조립","출하"},0),"T","H","V","N","A","P")&amp;IF($F26="O","R",IF($G26="O","A",IF($H26="O","F",""))),""),"")</f>
        <v>PA</v>
      </c>
      <c r="J26" s="153"/>
      <c r="K26" s="154"/>
      <c r="L26" s="155" t="s">
        <v>71</v>
      </c>
      <c r="M26" s="156"/>
      <c r="N26" s="157"/>
      <c r="O26" s="170"/>
      <c r="P26" s="169" t="str">
        <f t="shared" si="0"/>
        <v>6-PA</v>
      </c>
      <c r="Q26" s="108" t="str">
        <f>HYPERLINK("#'마스터_품목'!A872","→ 마스터 R872")</f>
        <v>→ 마스터 R872</v>
      </c>
      <c r="R26" s="109">
        <v>872</v>
      </c>
      <c r="S26" s="109" t="s">
        <v>72</v>
      </c>
    </row>
    <row r="27" spans="1:19" ht="48" customHeight="1" x14ac:dyDescent="0.3">
      <c r="A27" s="167" t="s">
        <v>771</v>
      </c>
      <c r="B27" s="167" t="s">
        <v>1650</v>
      </c>
      <c r="C27" s="168" t="s">
        <v>684</v>
      </c>
      <c r="D27" s="168" t="s">
        <v>1677</v>
      </c>
      <c r="E27" s="168"/>
      <c r="F27" s="153"/>
      <c r="G27" s="154" t="s">
        <v>71</v>
      </c>
      <c r="H27" s="156"/>
      <c r="I27" s="169" t="str">
        <f>IFERROR(IF(OR($F27="O",$G27="O",$H27="O"),CHOOSE(MATCH($A27,{"튜브","고압","진공","튜닝","조립","출하"},0),"T","H","V","N","A","P")&amp;IF($F27="O","R",IF($G27="O","A",IF($H27="O","F",""))),""),"")</f>
        <v>PA</v>
      </c>
      <c r="J27" s="153"/>
      <c r="K27" s="154"/>
      <c r="L27" s="155" t="s">
        <v>71</v>
      </c>
      <c r="M27" s="156"/>
      <c r="N27" s="157"/>
      <c r="O27" s="170"/>
      <c r="P27" s="169" t="str">
        <f t="shared" si="0"/>
        <v>6-PA</v>
      </c>
      <c r="Q27" s="108" t="str">
        <f>HYPERLINK("#'마스터_품목'!A873","→ 마스터 R873")</f>
        <v>→ 마스터 R873</v>
      </c>
      <c r="R27" s="109">
        <v>873</v>
      </c>
      <c r="S27" s="109" t="s">
        <v>72</v>
      </c>
    </row>
    <row r="28" spans="1:19" ht="48" customHeight="1" x14ac:dyDescent="0.3">
      <c r="A28" s="167" t="s">
        <v>771</v>
      </c>
      <c r="B28" s="167" t="s">
        <v>1650</v>
      </c>
      <c r="C28" s="168" t="s">
        <v>1678</v>
      </c>
      <c r="D28" s="168" t="s">
        <v>1679</v>
      </c>
      <c r="E28" s="168"/>
      <c r="F28" s="153"/>
      <c r="G28" s="154" t="s">
        <v>71</v>
      </c>
      <c r="H28" s="156"/>
      <c r="I28" s="169" t="str">
        <f>IFERROR(IF(OR($F28="O",$G28="O",$H28="O"),CHOOSE(MATCH($A28,{"튜브","고압","진공","튜닝","조립","출하"},0),"T","H","V","N","A","P")&amp;IF($F28="O","R",IF($G28="O","A",IF($H28="O","F",""))),""),"")</f>
        <v>PA</v>
      </c>
      <c r="J28" s="153"/>
      <c r="K28" s="154"/>
      <c r="L28" s="155" t="s">
        <v>71</v>
      </c>
      <c r="M28" s="156"/>
      <c r="N28" s="157"/>
      <c r="O28" s="170"/>
      <c r="P28" s="169" t="str">
        <f t="shared" si="0"/>
        <v>6-PA</v>
      </c>
      <c r="Q28" s="108" t="str">
        <f>HYPERLINK("#'마스터_품목'!A874","→ 마스터 R874")</f>
        <v>→ 마스터 R874</v>
      </c>
      <c r="R28" s="109">
        <v>874</v>
      </c>
      <c r="S28" s="109" t="s">
        <v>72</v>
      </c>
    </row>
    <row r="29" spans="1:19" ht="48" customHeight="1" x14ac:dyDescent="0.3">
      <c r="A29" s="167" t="s">
        <v>771</v>
      </c>
      <c r="B29" s="167" t="s">
        <v>1658</v>
      </c>
      <c r="C29" s="168" t="s">
        <v>684</v>
      </c>
      <c r="D29" s="168" t="s">
        <v>1680</v>
      </c>
      <c r="E29" s="168"/>
      <c r="F29" s="153"/>
      <c r="G29" s="154"/>
      <c r="H29" s="156" t="s">
        <v>71</v>
      </c>
      <c r="I29" s="169" t="str">
        <f>IFERROR(IF(OR($F29="O",$G29="O",$H29="O"),CHOOSE(MATCH($A29,{"튜브","고압","진공","튜닝","조립","출하"},0),"T","H","V","N","A","P")&amp;IF($F29="O","R",IF($G29="O","A",IF($H29="O","F",""))),""),"")</f>
        <v>PF</v>
      </c>
      <c r="J29" s="153"/>
      <c r="K29" s="154"/>
      <c r="L29" s="155" t="s">
        <v>71</v>
      </c>
      <c r="M29" s="156"/>
      <c r="N29" s="157"/>
      <c r="O29" s="170"/>
      <c r="P29" s="169" t="str">
        <f t="shared" si="0"/>
        <v>6-PF</v>
      </c>
      <c r="Q29" s="108" t="str">
        <f>HYPERLINK("#'마스터_품목'!A875","→ 마스터 R875")</f>
        <v>→ 마스터 R875</v>
      </c>
      <c r="R29" s="109">
        <v>875</v>
      </c>
      <c r="S29" s="109" t="s">
        <v>72</v>
      </c>
    </row>
    <row r="30" spans="1:19" ht="48" customHeight="1" x14ac:dyDescent="0.3">
      <c r="A30" s="167" t="s">
        <v>771</v>
      </c>
      <c r="B30" s="167" t="s">
        <v>1658</v>
      </c>
      <c r="C30" s="168" t="s">
        <v>684</v>
      </c>
      <c r="D30" s="168" t="s">
        <v>1681</v>
      </c>
      <c r="E30" s="168"/>
      <c r="F30" s="153"/>
      <c r="G30" s="154"/>
      <c r="H30" s="156" t="s">
        <v>71</v>
      </c>
      <c r="I30" s="169" t="str">
        <f>IFERROR(IF(OR($F30="O",$G30="O",$H30="O"),CHOOSE(MATCH($A30,{"튜브","고압","진공","튜닝","조립","출하"},0),"T","H","V","N","A","P")&amp;IF($F30="O","R",IF($G30="O","A",IF($H30="O","F",""))),""),"")</f>
        <v>PF</v>
      </c>
      <c r="J30" s="153"/>
      <c r="K30" s="154"/>
      <c r="L30" s="155" t="s">
        <v>71</v>
      </c>
      <c r="M30" s="156"/>
      <c r="N30" s="157"/>
      <c r="O30" s="170"/>
      <c r="P30" s="169" t="str">
        <f t="shared" si="0"/>
        <v>6-PF</v>
      </c>
      <c r="Q30" s="108" t="str">
        <f>HYPERLINK("#'마스터_품목'!A876","→ 마스터 R876")</f>
        <v>→ 마스터 R876</v>
      </c>
      <c r="R30" s="109">
        <v>876</v>
      </c>
      <c r="S30" s="109" t="s">
        <v>72</v>
      </c>
    </row>
    <row r="31" spans="1:19" ht="48" customHeight="1" x14ac:dyDescent="0.3">
      <c r="A31" s="167" t="s">
        <v>771</v>
      </c>
      <c r="B31" s="167" t="s">
        <v>1658</v>
      </c>
      <c r="C31" s="168" t="s">
        <v>684</v>
      </c>
      <c r="D31" s="168" t="s">
        <v>1682</v>
      </c>
      <c r="E31" s="168"/>
      <c r="F31" s="153"/>
      <c r="G31" s="154"/>
      <c r="H31" s="156" t="s">
        <v>71</v>
      </c>
      <c r="I31" s="169" t="str">
        <f>IFERROR(IF(OR($F31="O",$G31="O",$H31="O"),CHOOSE(MATCH($A31,{"튜브","고압","진공","튜닝","조립","출하"},0),"T","H","V","N","A","P")&amp;IF($F31="O","R",IF($G31="O","A",IF($H31="O","F",""))),""),"")</f>
        <v>PF</v>
      </c>
      <c r="J31" s="153"/>
      <c r="K31" s="154"/>
      <c r="L31" s="155" t="s">
        <v>71</v>
      </c>
      <c r="M31" s="156"/>
      <c r="N31" s="157"/>
      <c r="O31" s="170"/>
      <c r="P31" s="169" t="str">
        <f t="shared" si="0"/>
        <v>6-PF</v>
      </c>
      <c r="Q31" s="108" t="str">
        <f>HYPERLINK("#'마스터_품목'!A877","→ 마스터 R877")</f>
        <v>→ 마스터 R877</v>
      </c>
      <c r="R31" s="109">
        <v>877</v>
      </c>
      <c r="S31" s="109" t="s">
        <v>72</v>
      </c>
    </row>
    <row r="32" spans="1:19" ht="48" customHeight="1" x14ac:dyDescent="0.3">
      <c r="A32" s="167" t="s">
        <v>771</v>
      </c>
      <c r="B32" s="167" t="s">
        <v>1658</v>
      </c>
      <c r="C32" s="168" t="s">
        <v>684</v>
      </c>
      <c r="D32" s="168" t="s">
        <v>1683</v>
      </c>
      <c r="E32" s="168"/>
      <c r="F32" s="153"/>
      <c r="G32" s="154"/>
      <c r="H32" s="156" t="s">
        <v>71</v>
      </c>
      <c r="I32" s="169" t="str">
        <f>IFERROR(IF(OR($F32="O",$G32="O",$H32="O"),CHOOSE(MATCH($A32,{"튜브","고압","진공","튜닝","조립","출하"},0),"T","H","V","N","A","P")&amp;IF($F32="O","R",IF($G32="O","A",IF($H32="O","F",""))),""),"")</f>
        <v>PF</v>
      </c>
      <c r="J32" s="153"/>
      <c r="K32" s="154"/>
      <c r="L32" s="155" t="s">
        <v>71</v>
      </c>
      <c r="M32" s="156"/>
      <c r="N32" s="157"/>
      <c r="O32" s="170"/>
      <c r="P32" s="169" t="str">
        <f t="shared" si="0"/>
        <v>6-PF</v>
      </c>
      <c r="Q32" s="108" t="str">
        <f>HYPERLINK("#'마스터_품목'!A878","→ 마스터 R878")</f>
        <v>→ 마스터 R878</v>
      </c>
      <c r="R32" s="109">
        <v>878</v>
      </c>
      <c r="S32" s="109" t="s">
        <v>72</v>
      </c>
    </row>
    <row r="33" spans="1:19" ht="48" customHeight="1" x14ac:dyDescent="0.3">
      <c r="A33" s="167" t="s">
        <v>771</v>
      </c>
      <c r="B33" s="167" t="s">
        <v>1658</v>
      </c>
      <c r="C33" s="168" t="s">
        <v>684</v>
      </c>
      <c r="D33" s="168" t="s">
        <v>1684</v>
      </c>
      <c r="E33" s="168"/>
      <c r="F33" s="153"/>
      <c r="G33" s="154"/>
      <c r="H33" s="156" t="s">
        <v>71</v>
      </c>
      <c r="I33" s="169" t="str">
        <f>IFERROR(IF(OR($F33="O",$G33="O",$H33="O"),CHOOSE(MATCH($A33,{"튜브","고압","진공","튜닝","조립","출하"},0),"T","H","V","N","A","P")&amp;IF($F33="O","R",IF($G33="O","A",IF($H33="O","F",""))),""),"")</f>
        <v>PF</v>
      </c>
      <c r="J33" s="153"/>
      <c r="K33" s="154"/>
      <c r="L33" s="155" t="s">
        <v>71</v>
      </c>
      <c r="M33" s="156"/>
      <c r="N33" s="157"/>
      <c r="O33" s="170"/>
      <c r="P33" s="169" t="str">
        <f t="shared" si="0"/>
        <v>6-PF</v>
      </c>
      <c r="Q33" s="108" t="str">
        <f>HYPERLINK("#'마스터_품목'!A879","→ 마스터 R879")</f>
        <v>→ 마스터 R879</v>
      </c>
      <c r="R33" s="109">
        <v>879</v>
      </c>
      <c r="S33" s="109" t="s">
        <v>72</v>
      </c>
    </row>
    <row r="34" spans="1:19" ht="48" customHeight="1" x14ac:dyDescent="0.3">
      <c r="A34" s="167" t="s">
        <v>771</v>
      </c>
      <c r="B34" s="167" t="s">
        <v>1658</v>
      </c>
      <c r="C34" s="168" t="s">
        <v>684</v>
      </c>
      <c r="D34" s="168" t="s">
        <v>1685</v>
      </c>
      <c r="E34" s="168"/>
      <c r="F34" s="153"/>
      <c r="G34" s="154"/>
      <c r="H34" s="156" t="s">
        <v>71</v>
      </c>
      <c r="I34" s="169" t="str">
        <f>IFERROR(IF(OR($F34="O",$G34="O",$H34="O"),CHOOSE(MATCH($A34,{"튜브","고압","진공","튜닝","조립","출하"},0),"T","H","V","N","A","P")&amp;IF($F34="O","R",IF($G34="O","A",IF($H34="O","F",""))),""),"")</f>
        <v>PF</v>
      </c>
      <c r="J34" s="153"/>
      <c r="K34" s="154"/>
      <c r="L34" s="155" t="s">
        <v>71</v>
      </c>
      <c r="M34" s="156"/>
      <c r="N34" s="157"/>
      <c r="O34" s="170"/>
      <c r="P34" s="169" t="str">
        <f t="shared" ref="P34:P51" si="1">IF($I34="","",IF($J34="O","3","")&amp;IF($K34="O","4","")&amp;IF($L34="O","6","")&amp;IF($M34="O","7","")&amp;IF($N34="O","8","")&amp;IF($O34="O","?","")&amp;IF(OR($J34="O",$K34="O",$L34="O",$M34="O",$N34="O",$O34="O"),"-","")&amp;$I34)</f>
        <v>6-PF</v>
      </c>
      <c r="Q34" s="108" t="str">
        <f>HYPERLINK("#'마스터_품목'!A880","→ 마스터 R880")</f>
        <v>→ 마스터 R880</v>
      </c>
      <c r="R34" s="109">
        <v>880</v>
      </c>
      <c r="S34" s="109" t="s">
        <v>72</v>
      </c>
    </row>
    <row r="35" spans="1:19" ht="48" customHeight="1" x14ac:dyDescent="0.3">
      <c r="A35" s="167" t="s">
        <v>771</v>
      </c>
      <c r="B35" s="167" t="s">
        <v>1658</v>
      </c>
      <c r="C35" s="168" t="s">
        <v>1678</v>
      </c>
      <c r="D35" s="168" t="s">
        <v>1686</v>
      </c>
      <c r="E35" s="168"/>
      <c r="F35" s="153"/>
      <c r="G35" s="154"/>
      <c r="H35" s="156" t="s">
        <v>71</v>
      </c>
      <c r="I35" s="169" t="str">
        <f>IFERROR(IF(OR($F35="O",$G35="O",$H35="O"),CHOOSE(MATCH($A35,{"튜브","고압","진공","튜닝","조립","출하"},0),"T","H","V","N","A","P")&amp;IF($F35="O","R",IF($G35="O","A",IF($H35="O","F",""))),""),"")</f>
        <v>PF</v>
      </c>
      <c r="J35" s="153"/>
      <c r="K35" s="154"/>
      <c r="L35" s="155" t="s">
        <v>71</v>
      </c>
      <c r="M35" s="156"/>
      <c r="N35" s="157"/>
      <c r="O35" s="170"/>
      <c r="P35" s="169" t="str">
        <f t="shared" si="1"/>
        <v>6-PF</v>
      </c>
      <c r="Q35" s="108" t="str">
        <f>HYPERLINK("#'마스터_품목'!A881","→ 마스터 R881")</f>
        <v>→ 마스터 R881</v>
      </c>
      <c r="R35" s="109">
        <v>881</v>
      </c>
      <c r="S35" s="109" t="s">
        <v>72</v>
      </c>
    </row>
    <row r="36" spans="1:19" ht="48" customHeight="1" x14ac:dyDescent="0.3">
      <c r="A36" s="167" t="s">
        <v>771</v>
      </c>
      <c r="B36" s="167" t="s">
        <v>1650</v>
      </c>
      <c r="C36" s="168" t="s">
        <v>1687</v>
      </c>
      <c r="D36" s="168" t="s">
        <v>1688</v>
      </c>
      <c r="E36" s="168"/>
      <c r="F36" s="153"/>
      <c r="G36" s="154" t="s">
        <v>71</v>
      </c>
      <c r="H36" s="156"/>
      <c r="I36" s="169" t="str">
        <f>IFERROR(IF(OR($F36="O",$G36="O",$H36="O"),CHOOSE(MATCH($A36,{"튜브","고압","진공","튜닝","조립","출하"},0),"T","H","V","N","A","P")&amp;IF($F36="O","R",IF($G36="O","A",IF($H36="O","F",""))),""),"")</f>
        <v>PA</v>
      </c>
      <c r="J36" s="153"/>
      <c r="K36" s="154"/>
      <c r="L36" s="155"/>
      <c r="M36" s="156" t="s">
        <v>71</v>
      </c>
      <c r="N36" s="157"/>
      <c r="O36" s="170"/>
      <c r="P36" s="169" t="str">
        <f t="shared" si="1"/>
        <v>7-PA</v>
      </c>
      <c r="Q36" s="108" t="str">
        <f>HYPERLINK("#'마스터_품목'!A882","→ 마스터 R882")</f>
        <v>→ 마스터 R882</v>
      </c>
      <c r="R36" s="109">
        <v>882</v>
      </c>
      <c r="S36" s="109" t="s">
        <v>72</v>
      </c>
    </row>
    <row r="37" spans="1:19" ht="48" customHeight="1" x14ac:dyDescent="0.3">
      <c r="A37" s="167" t="s">
        <v>771</v>
      </c>
      <c r="B37" s="167" t="s">
        <v>1650</v>
      </c>
      <c r="C37" s="168" t="s">
        <v>1687</v>
      </c>
      <c r="D37" s="168" t="s">
        <v>1689</v>
      </c>
      <c r="E37" s="168"/>
      <c r="F37" s="153"/>
      <c r="G37" s="154" t="s">
        <v>71</v>
      </c>
      <c r="H37" s="156"/>
      <c r="I37" s="169" t="str">
        <f>IFERROR(IF(OR($F37="O",$G37="O",$H37="O"),CHOOSE(MATCH($A37,{"튜브","고압","진공","튜닝","조립","출하"},0),"T","H","V","N","A","P")&amp;IF($F37="O","R",IF($G37="O","A",IF($H37="O","F",""))),""),"")</f>
        <v>PA</v>
      </c>
      <c r="J37" s="153"/>
      <c r="K37" s="154"/>
      <c r="L37" s="155"/>
      <c r="M37" s="156" t="s">
        <v>71</v>
      </c>
      <c r="N37" s="157"/>
      <c r="O37" s="170"/>
      <c r="P37" s="169" t="str">
        <f t="shared" si="1"/>
        <v>7-PA</v>
      </c>
      <c r="Q37" s="108" t="str">
        <f>HYPERLINK("#'마스터_품목'!A883","→ 마스터 R883")</f>
        <v>→ 마스터 R883</v>
      </c>
      <c r="R37" s="109">
        <v>883</v>
      </c>
      <c r="S37" s="109" t="s">
        <v>72</v>
      </c>
    </row>
    <row r="38" spans="1:19" ht="48" customHeight="1" x14ac:dyDescent="0.3">
      <c r="A38" s="167" t="s">
        <v>771</v>
      </c>
      <c r="B38" s="167" t="s">
        <v>1650</v>
      </c>
      <c r="C38" s="168" t="s">
        <v>1690</v>
      </c>
      <c r="D38" s="168" t="s">
        <v>1691</v>
      </c>
      <c r="E38" s="168"/>
      <c r="F38" s="153"/>
      <c r="G38" s="154" t="s">
        <v>71</v>
      </c>
      <c r="H38" s="156"/>
      <c r="I38" s="169" t="str">
        <f>IFERROR(IF(OR($F38="O",$G38="O",$H38="O"),CHOOSE(MATCH($A38,{"튜브","고압","진공","튜닝","조립","출하"},0),"T","H","V","N","A","P")&amp;IF($F38="O","R",IF($G38="O","A",IF($H38="O","F",""))),""),"")</f>
        <v>PA</v>
      </c>
      <c r="J38" s="153"/>
      <c r="K38" s="154"/>
      <c r="L38" s="155"/>
      <c r="M38" s="156" t="s">
        <v>71</v>
      </c>
      <c r="N38" s="157"/>
      <c r="O38" s="170"/>
      <c r="P38" s="169" t="str">
        <f t="shared" si="1"/>
        <v>7-PA</v>
      </c>
      <c r="Q38" s="108" t="str">
        <f>HYPERLINK("#'마스터_품목'!A884","→ 마스터 R884")</f>
        <v>→ 마스터 R884</v>
      </c>
      <c r="R38" s="109">
        <v>884</v>
      </c>
      <c r="S38" s="109" t="s">
        <v>72</v>
      </c>
    </row>
    <row r="39" spans="1:19" ht="48" customHeight="1" x14ac:dyDescent="0.3">
      <c r="A39" s="167" t="s">
        <v>771</v>
      </c>
      <c r="B39" s="167" t="s">
        <v>1650</v>
      </c>
      <c r="C39" s="168" t="s">
        <v>1690</v>
      </c>
      <c r="D39" s="168" t="s">
        <v>1692</v>
      </c>
      <c r="E39" s="168"/>
      <c r="F39" s="153"/>
      <c r="G39" s="154" t="s">
        <v>71</v>
      </c>
      <c r="H39" s="156"/>
      <c r="I39" s="169" t="str">
        <f>IFERROR(IF(OR($F39="O",$G39="O",$H39="O"),CHOOSE(MATCH($A39,{"튜브","고압","진공","튜닝","조립","출하"},0),"T","H","V","N","A","P")&amp;IF($F39="O","R",IF($G39="O","A",IF($H39="O","F",""))),""),"")</f>
        <v>PA</v>
      </c>
      <c r="J39" s="153"/>
      <c r="K39" s="154"/>
      <c r="L39" s="155"/>
      <c r="M39" s="156" t="s">
        <v>71</v>
      </c>
      <c r="N39" s="157"/>
      <c r="O39" s="170"/>
      <c r="P39" s="169" t="str">
        <f t="shared" si="1"/>
        <v>7-PA</v>
      </c>
      <c r="Q39" s="108" t="str">
        <f>HYPERLINK("#'마스터_품목'!A885","→ 마스터 R885")</f>
        <v>→ 마스터 R885</v>
      </c>
      <c r="R39" s="109">
        <v>885</v>
      </c>
      <c r="S39" s="109" t="s">
        <v>72</v>
      </c>
    </row>
    <row r="40" spans="1:19" ht="48" customHeight="1" x14ac:dyDescent="0.3">
      <c r="A40" s="167" t="s">
        <v>771</v>
      </c>
      <c r="B40" s="167" t="s">
        <v>1650</v>
      </c>
      <c r="C40" s="168" t="s">
        <v>1690</v>
      </c>
      <c r="D40" s="168" t="s">
        <v>1693</v>
      </c>
      <c r="E40" s="168"/>
      <c r="F40" s="153"/>
      <c r="G40" s="154" t="s">
        <v>71</v>
      </c>
      <c r="H40" s="156"/>
      <c r="I40" s="169" t="str">
        <f>IFERROR(IF(OR($F40="O",$G40="O",$H40="O"),CHOOSE(MATCH($A40,{"튜브","고압","진공","튜닝","조립","출하"},0),"T","H","V","N","A","P")&amp;IF($F40="O","R",IF($G40="O","A",IF($H40="O","F",""))),""),"")</f>
        <v>PA</v>
      </c>
      <c r="J40" s="153"/>
      <c r="K40" s="154"/>
      <c r="L40" s="155"/>
      <c r="M40" s="156" t="s">
        <v>71</v>
      </c>
      <c r="N40" s="157"/>
      <c r="O40" s="170"/>
      <c r="P40" s="169" t="str">
        <f t="shared" si="1"/>
        <v>7-PA</v>
      </c>
      <c r="Q40" s="108" t="str">
        <f>HYPERLINK("#'마스터_품목'!A886","→ 마스터 R886")</f>
        <v>→ 마스터 R886</v>
      </c>
      <c r="R40" s="109">
        <v>886</v>
      </c>
      <c r="S40" s="109" t="s">
        <v>72</v>
      </c>
    </row>
    <row r="41" spans="1:19" ht="48" customHeight="1" x14ac:dyDescent="0.3">
      <c r="A41" s="167" t="s">
        <v>771</v>
      </c>
      <c r="B41" s="167" t="s">
        <v>1658</v>
      </c>
      <c r="C41" s="168" t="s">
        <v>1687</v>
      </c>
      <c r="D41" s="168" t="s">
        <v>1694</v>
      </c>
      <c r="E41" s="168"/>
      <c r="F41" s="153"/>
      <c r="G41" s="154"/>
      <c r="H41" s="156" t="s">
        <v>71</v>
      </c>
      <c r="I41" s="169" t="str">
        <f>IFERROR(IF(OR($F41="O",$G41="O",$H41="O"),CHOOSE(MATCH($A41,{"튜브","고압","진공","튜닝","조립","출하"},0),"T","H","V","N","A","P")&amp;IF($F41="O","R",IF($G41="O","A",IF($H41="O","F",""))),""),"")</f>
        <v>PF</v>
      </c>
      <c r="J41" s="153"/>
      <c r="K41" s="154"/>
      <c r="L41" s="155"/>
      <c r="M41" s="156" t="s">
        <v>71</v>
      </c>
      <c r="N41" s="157"/>
      <c r="O41" s="170"/>
      <c r="P41" s="169" t="str">
        <f t="shared" si="1"/>
        <v>7-PF</v>
      </c>
      <c r="Q41" s="108" t="str">
        <f>HYPERLINK("#'마스터_품목'!A887","→ 마스터 R887")</f>
        <v>→ 마스터 R887</v>
      </c>
      <c r="R41" s="109">
        <v>887</v>
      </c>
      <c r="S41" s="109" t="s">
        <v>72</v>
      </c>
    </row>
    <row r="42" spans="1:19" ht="48" customHeight="1" x14ac:dyDescent="0.3">
      <c r="A42" s="167" t="s">
        <v>771</v>
      </c>
      <c r="B42" s="167" t="s">
        <v>1658</v>
      </c>
      <c r="C42" s="168" t="s">
        <v>1687</v>
      </c>
      <c r="D42" s="168" t="s">
        <v>1695</v>
      </c>
      <c r="E42" s="168"/>
      <c r="F42" s="153"/>
      <c r="G42" s="154"/>
      <c r="H42" s="156" t="s">
        <v>71</v>
      </c>
      <c r="I42" s="169" t="str">
        <f>IFERROR(IF(OR($F42="O",$G42="O",$H42="O"),CHOOSE(MATCH($A42,{"튜브","고압","진공","튜닝","조립","출하"},0),"T","H","V","N","A","P")&amp;IF($F42="O","R",IF($G42="O","A",IF($H42="O","F",""))),""),"")</f>
        <v>PF</v>
      </c>
      <c r="J42" s="153"/>
      <c r="K42" s="154"/>
      <c r="L42" s="155"/>
      <c r="M42" s="156" t="s">
        <v>71</v>
      </c>
      <c r="N42" s="157"/>
      <c r="O42" s="170"/>
      <c r="P42" s="169" t="str">
        <f t="shared" si="1"/>
        <v>7-PF</v>
      </c>
      <c r="Q42" s="108" t="str">
        <f>HYPERLINK("#'마스터_품목'!A888","→ 마스터 R888")</f>
        <v>→ 마스터 R888</v>
      </c>
      <c r="R42" s="109">
        <v>888</v>
      </c>
      <c r="S42" s="109" t="s">
        <v>72</v>
      </c>
    </row>
    <row r="43" spans="1:19" ht="48" customHeight="1" x14ac:dyDescent="0.3">
      <c r="A43" s="167" t="s">
        <v>771</v>
      </c>
      <c r="B43" s="167" t="s">
        <v>1658</v>
      </c>
      <c r="C43" s="168" t="s">
        <v>1690</v>
      </c>
      <c r="D43" s="168" t="s">
        <v>1696</v>
      </c>
      <c r="E43" s="168"/>
      <c r="F43" s="153"/>
      <c r="G43" s="154"/>
      <c r="H43" s="156" t="s">
        <v>71</v>
      </c>
      <c r="I43" s="169" t="str">
        <f>IFERROR(IF(OR($F43="O",$G43="O",$H43="O"),CHOOSE(MATCH($A43,{"튜브","고압","진공","튜닝","조립","출하"},0),"T","H","V","N","A","P")&amp;IF($F43="O","R",IF($G43="O","A",IF($H43="O","F",""))),""),"")</f>
        <v>PF</v>
      </c>
      <c r="J43" s="153"/>
      <c r="K43" s="154"/>
      <c r="L43" s="155"/>
      <c r="M43" s="156" t="s">
        <v>71</v>
      </c>
      <c r="N43" s="157"/>
      <c r="O43" s="170"/>
      <c r="P43" s="169" t="str">
        <f t="shared" si="1"/>
        <v>7-PF</v>
      </c>
      <c r="Q43" s="108" t="str">
        <f>HYPERLINK("#'마스터_품목'!A889","→ 마스터 R889")</f>
        <v>→ 마스터 R889</v>
      </c>
      <c r="R43" s="109">
        <v>889</v>
      </c>
      <c r="S43" s="109" t="s">
        <v>72</v>
      </c>
    </row>
    <row r="44" spans="1:19" ht="48" customHeight="1" x14ac:dyDescent="0.3">
      <c r="A44" s="167" t="s">
        <v>771</v>
      </c>
      <c r="B44" s="167" t="s">
        <v>1658</v>
      </c>
      <c r="C44" s="168" t="s">
        <v>1690</v>
      </c>
      <c r="D44" s="168" t="s">
        <v>1697</v>
      </c>
      <c r="E44" s="168"/>
      <c r="F44" s="153"/>
      <c r="G44" s="154"/>
      <c r="H44" s="156" t="s">
        <v>71</v>
      </c>
      <c r="I44" s="169" t="str">
        <f>IFERROR(IF(OR($F44="O",$G44="O",$H44="O"),CHOOSE(MATCH($A44,{"튜브","고압","진공","튜닝","조립","출하"},0),"T","H","V","N","A","P")&amp;IF($F44="O","R",IF($G44="O","A",IF($H44="O","F",""))),""),"")</f>
        <v>PF</v>
      </c>
      <c r="J44" s="153"/>
      <c r="K44" s="154"/>
      <c r="L44" s="155"/>
      <c r="M44" s="156" t="s">
        <v>71</v>
      </c>
      <c r="N44" s="157"/>
      <c r="O44" s="170"/>
      <c r="P44" s="169" t="str">
        <f t="shared" si="1"/>
        <v>7-PF</v>
      </c>
      <c r="Q44" s="108" t="str">
        <f>HYPERLINK("#'마스터_품목'!A890","→ 마스터 R890")</f>
        <v>→ 마스터 R890</v>
      </c>
      <c r="R44" s="109">
        <v>890</v>
      </c>
      <c r="S44" s="109" t="s">
        <v>72</v>
      </c>
    </row>
    <row r="45" spans="1:19" ht="48" customHeight="1" x14ac:dyDescent="0.3">
      <c r="A45" s="167" t="s">
        <v>771</v>
      </c>
      <c r="B45" s="167" t="s">
        <v>1658</v>
      </c>
      <c r="C45" s="168" t="s">
        <v>1690</v>
      </c>
      <c r="D45" s="168" t="s">
        <v>1698</v>
      </c>
      <c r="E45" s="168"/>
      <c r="F45" s="153"/>
      <c r="G45" s="154"/>
      <c r="H45" s="156" t="s">
        <v>71</v>
      </c>
      <c r="I45" s="169" t="str">
        <f>IFERROR(IF(OR($F45="O",$G45="O",$H45="O"),CHOOSE(MATCH($A45,{"튜브","고압","진공","튜닝","조립","출하"},0),"T","H","V","N","A","P")&amp;IF($F45="O","R",IF($G45="O","A",IF($H45="O","F",""))),""),"")</f>
        <v>PF</v>
      </c>
      <c r="J45" s="153"/>
      <c r="K45" s="154"/>
      <c r="L45" s="155"/>
      <c r="M45" s="156" t="s">
        <v>71</v>
      </c>
      <c r="N45" s="157"/>
      <c r="O45" s="170"/>
      <c r="P45" s="169" t="str">
        <f t="shared" si="1"/>
        <v>7-PF</v>
      </c>
      <c r="Q45" s="108" t="str">
        <f>HYPERLINK("#'마스터_품목'!A891","→ 마스터 R891")</f>
        <v>→ 마스터 R891</v>
      </c>
      <c r="R45" s="109">
        <v>891</v>
      </c>
      <c r="S45" s="109" t="s">
        <v>72</v>
      </c>
    </row>
    <row r="46" spans="1:19" ht="48" customHeight="1" x14ac:dyDescent="0.3">
      <c r="A46" s="167" t="s">
        <v>771</v>
      </c>
      <c r="B46" s="167" t="s">
        <v>1650</v>
      </c>
      <c r="C46" s="168" t="s">
        <v>1699</v>
      </c>
      <c r="D46" s="168" t="s">
        <v>1700</v>
      </c>
      <c r="E46" s="168"/>
      <c r="F46" s="153"/>
      <c r="G46" s="154" t="s">
        <v>71</v>
      </c>
      <c r="H46" s="156"/>
      <c r="I46" s="169" t="str">
        <f>IFERROR(IF(OR($F46="O",$G46="O",$H46="O"),CHOOSE(MATCH($A46,{"튜브","고압","진공","튜닝","조립","출하"},0),"T","H","V","N","A","P")&amp;IF($F46="O","R",IF($G46="O","A",IF($H46="O","F",""))),""),"")</f>
        <v>PA</v>
      </c>
      <c r="J46" s="153"/>
      <c r="K46" s="154"/>
      <c r="L46" s="155"/>
      <c r="M46" s="156"/>
      <c r="N46" s="157" t="s">
        <v>71</v>
      </c>
      <c r="O46" s="170"/>
      <c r="P46" s="169" t="str">
        <f t="shared" si="1"/>
        <v>8-PA</v>
      </c>
      <c r="Q46" s="108" t="str">
        <f>HYPERLINK("#'마스터_품목'!A892","→ 마스터 R892")</f>
        <v>→ 마스터 R892</v>
      </c>
      <c r="R46" s="109">
        <v>892</v>
      </c>
      <c r="S46" s="109" t="s">
        <v>72</v>
      </c>
    </row>
    <row r="47" spans="1:19" ht="48" customHeight="1" x14ac:dyDescent="0.3">
      <c r="A47" s="167" t="s">
        <v>771</v>
      </c>
      <c r="B47" s="167" t="s">
        <v>1650</v>
      </c>
      <c r="C47" s="168" t="s">
        <v>1699</v>
      </c>
      <c r="D47" s="168" t="s">
        <v>1701</v>
      </c>
      <c r="E47" s="168"/>
      <c r="F47" s="153"/>
      <c r="G47" s="154" t="s">
        <v>71</v>
      </c>
      <c r="H47" s="156"/>
      <c r="I47" s="169" t="str">
        <f>IFERROR(IF(OR($F47="O",$G47="O",$H47="O"),CHOOSE(MATCH($A47,{"튜브","고압","진공","튜닝","조립","출하"},0),"T","H","V","N","A","P")&amp;IF($F47="O","R",IF($G47="O","A",IF($H47="O","F",""))),""),"")</f>
        <v>PA</v>
      </c>
      <c r="J47" s="153"/>
      <c r="K47" s="154"/>
      <c r="L47" s="155"/>
      <c r="M47" s="156"/>
      <c r="N47" s="157" t="s">
        <v>71</v>
      </c>
      <c r="O47" s="170"/>
      <c r="P47" s="169" t="str">
        <f t="shared" si="1"/>
        <v>8-PA</v>
      </c>
      <c r="Q47" s="108" t="str">
        <f>HYPERLINK("#'마스터_품목'!A893","→ 마스터 R893")</f>
        <v>→ 마스터 R893</v>
      </c>
      <c r="R47" s="109">
        <v>893</v>
      </c>
      <c r="S47" s="109" t="s">
        <v>72</v>
      </c>
    </row>
    <row r="48" spans="1:19" ht="48" customHeight="1" x14ac:dyDescent="0.3">
      <c r="A48" s="167" t="s">
        <v>771</v>
      </c>
      <c r="B48" s="167" t="s">
        <v>1650</v>
      </c>
      <c r="C48" s="168" t="s">
        <v>1699</v>
      </c>
      <c r="D48" s="168" t="s">
        <v>1702</v>
      </c>
      <c r="E48" s="168"/>
      <c r="F48" s="153"/>
      <c r="G48" s="154" t="s">
        <v>71</v>
      </c>
      <c r="H48" s="156"/>
      <c r="I48" s="169" t="str">
        <f>IFERROR(IF(OR($F48="O",$G48="O",$H48="O"),CHOOSE(MATCH($A48,{"튜브","고압","진공","튜닝","조립","출하"},0),"T","H","V","N","A","P")&amp;IF($F48="O","R",IF($G48="O","A",IF($H48="O","F",""))),""),"")</f>
        <v>PA</v>
      </c>
      <c r="J48" s="153"/>
      <c r="K48" s="154"/>
      <c r="L48" s="155"/>
      <c r="M48" s="156"/>
      <c r="N48" s="157" t="s">
        <v>71</v>
      </c>
      <c r="O48" s="170"/>
      <c r="P48" s="169" t="str">
        <f t="shared" si="1"/>
        <v>8-PA</v>
      </c>
      <c r="Q48" s="108" t="str">
        <f>HYPERLINK("#'마스터_품목'!A894","→ 마스터 R894")</f>
        <v>→ 마스터 R894</v>
      </c>
      <c r="R48" s="109">
        <v>894</v>
      </c>
      <c r="S48" s="109" t="s">
        <v>72</v>
      </c>
    </row>
    <row r="49" spans="1:19" ht="48" customHeight="1" x14ac:dyDescent="0.3">
      <c r="A49" s="167" t="s">
        <v>771</v>
      </c>
      <c r="B49" s="167" t="s">
        <v>1658</v>
      </c>
      <c r="C49" s="168" t="s">
        <v>1699</v>
      </c>
      <c r="D49" s="168" t="s">
        <v>1703</v>
      </c>
      <c r="E49" s="168"/>
      <c r="F49" s="153"/>
      <c r="G49" s="154"/>
      <c r="H49" s="156" t="s">
        <v>71</v>
      </c>
      <c r="I49" s="169" t="str">
        <f>IFERROR(IF(OR($F49="O",$G49="O",$H49="O"),CHOOSE(MATCH($A49,{"튜브","고압","진공","튜닝","조립","출하"},0),"T","H","V","N","A","P")&amp;IF($F49="O","R",IF($G49="O","A",IF($H49="O","F",""))),""),"")</f>
        <v>PF</v>
      </c>
      <c r="J49" s="153"/>
      <c r="K49" s="154"/>
      <c r="L49" s="155"/>
      <c r="M49" s="156"/>
      <c r="N49" s="157" t="s">
        <v>71</v>
      </c>
      <c r="O49" s="170"/>
      <c r="P49" s="169" t="str">
        <f t="shared" si="1"/>
        <v>8-PF</v>
      </c>
      <c r="Q49" s="108" t="str">
        <f>HYPERLINK("#'마스터_품목'!A895","→ 마스터 R895")</f>
        <v>→ 마스터 R895</v>
      </c>
      <c r="R49" s="109">
        <v>895</v>
      </c>
      <c r="S49" s="109" t="s">
        <v>72</v>
      </c>
    </row>
    <row r="50" spans="1:19" ht="48" customHeight="1" x14ac:dyDescent="0.3">
      <c r="A50" s="167" t="s">
        <v>771</v>
      </c>
      <c r="B50" s="167" t="s">
        <v>1658</v>
      </c>
      <c r="C50" s="168" t="s">
        <v>1699</v>
      </c>
      <c r="D50" s="168" t="s">
        <v>1704</v>
      </c>
      <c r="E50" s="168"/>
      <c r="F50" s="153"/>
      <c r="G50" s="154"/>
      <c r="H50" s="156" t="s">
        <v>71</v>
      </c>
      <c r="I50" s="169" t="str">
        <f>IFERROR(IF(OR($F50="O",$G50="O",$H50="O"),CHOOSE(MATCH($A50,{"튜브","고압","진공","튜닝","조립","출하"},0),"T","H","V","N","A","P")&amp;IF($F50="O","R",IF($G50="O","A",IF($H50="O","F",""))),""),"")</f>
        <v>PF</v>
      </c>
      <c r="J50" s="153"/>
      <c r="K50" s="154"/>
      <c r="L50" s="155"/>
      <c r="M50" s="156"/>
      <c r="N50" s="157" t="s">
        <v>71</v>
      </c>
      <c r="O50" s="170"/>
      <c r="P50" s="169" t="str">
        <f t="shared" si="1"/>
        <v>8-PF</v>
      </c>
      <c r="Q50" s="108" t="str">
        <f>HYPERLINK("#'마스터_품목'!A896","→ 마스터 R896")</f>
        <v>→ 마스터 R896</v>
      </c>
      <c r="R50" s="109">
        <v>896</v>
      </c>
      <c r="S50" s="109" t="s">
        <v>72</v>
      </c>
    </row>
    <row r="51" spans="1:19" ht="48" customHeight="1" x14ac:dyDescent="0.3">
      <c r="A51" s="167" t="s">
        <v>771</v>
      </c>
      <c r="B51" s="167" t="s">
        <v>1658</v>
      </c>
      <c r="C51" s="168" t="s">
        <v>1699</v>
      </c>
      <c r="D51" s="168" t="s">
        <v>1705</v>
      </c>
      <c r="E51" s="168"/>
      <c r="F51" s="153"/>
      <c r="G51" s="154"/>
      <c r="H51" s="156" t="s">
        <v>71</v>
      </c>
      <c r="I51" s="169" t="str">
        <f>IFERROR(IF(OR($F51="O",$G51="O",$H51="O"),CHOOSE(MATCH($A51,{"튜브","고압","진공","튜닝","조립","출하"},0),"T","H","V","N","A","P")&amp;IF($F51="O","R",IF($G51="O","A",IF($H51="O","F",""))),""),"")</f>
        <v>PF</v>
      </c>
      <c r="J51" s="153"/>
      <c r="K51" s="154"/>
      <c r="L51" s="155"/>
      <c r="M51" s="156"/>
      <c r="N51" s="157" t="s">
        <v>71</v>
      </c>
      <c r="O51" s="170"/>
      <c r="P51" s="169" t="str">
        <f t="shared" si="1"/>
        <v>8-PF</v>
      </c>
      <c r="Q51" s="108" t="str">
        <f>HYPERLINK("#'마스터_품목'!A897","→ 마스터 R897")</f>
        <v>→ 마스터 R897</v>
      </c>
      <c r="R51" s="109">
        <v>897</v>
      </c>
      <c r="S51" s="109" t="s">
        <v>72</v>
      </c>
    </row>
  </sheetData>
  <autoFilter ref="A1:S51" xr:uid="{00000000-0009-0000-0000-000006000000}"/>
  <phoneticPr fontId="2" type="noConversion"/>
  <conditionalFormatting sqref="A2:A51">
    <cfRule type="expression" dxfId="8" priority="1">
      <formula>$A2="출하"</formula>
    </cfRule>
  </conditionalFormatting>
  <conditionalFormatting sqref="I2:I51">
    <cfRule type="expression" dxfId="7" priority="2">
      <formula>RIGHT($I2,1)="R"</formula>
    </cfRule>
    <cfRule type="expression" dxfId="6" priority="3">
      <formula>RIGHT($I2,1)="A"</formula>
    </cfRule>
    <cfRule type="expression" dxfId="5" priority="4">
      <formula>RIGHT($I2,1)="F"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16"/>
  <sheetViews>
    <sheetView tabSelected="1" zoomScale="70" zoomScaleNormal="70" workbookViewId="0">
      <pane xSplit="1" ySplit="1" topLeftCell="G2" activePane="bottomRight" state="frozen"/>
      <selection pane="topRight"/>
      <selection pane="bottomLeft"/>
      <selection pane="bottomRight"/>
    </sheetView>
  </sheetViews>
  <sheetFormatPr defaultRowHeight="16.5" outlineLevelCol="1" x14ac:dyDescent="0.3"/>
  <cols>
    <col min="1" max="1" width="10" customWidth="1"/>
    <col min="2" max="2" width="16" customWidth="1"/>
    <col min="3" max="3" width="18" customWidth="1"/>
    <col min="4" max="4" width="9" customWidth="1" outlineLevel="1"/>
    <col min="5" max="5" width="10" customWidth="1" outlineLevel="1"/>
    <col min="6" max="7" width="38" customWidth="1" outlineLevel="1"/>
    <col min="8" max="8" width="16.375" customWidth="1" outlineLevel="1"/>
    <col min="9" max="9" width="13" customWidth="1" outlineLevel="1"/>
    <col min="10" max="10" width="38" customWidth="1"/>
    <col min="11" max="11" width="56.625" customWidth="1"/>
    <col min="12" max="12" width="22" customWidth="1"/>
    <col min="13" max="13" width="16" hidden="1" customWidth="1"/>
    <col min="14" max="14" width="12.625" bestFit="1" customWidth="1"/>
    <col min="15" max="15" width="16.25" bestFit="1" customWidth="1"/>
    <col min="16" max="16" width="13" customWidth="1" outlineLevel="1"/>
  </cols>
  <sheetData>
    <row r="1" spans="1:16" ht="36" customHeight="1" x14ac:dyDescent="0.3">
      <c r="A1" s="47" t="s">
        <v>1706</v>
      </c>
      <c r="B1" s="47" t="s">
        <v>49</v>
      </c>
      <c r="C1" s="47" t="s">
        <v>50</v>
      </c>
      <c r="D1" s="47" t="s">
        <v>1707</v>
      </c>
      <c r="E1" s="48" t="s">
        <v>1708</v>
      </c>
      <c r="F1" s="47" t="s">
        <v>1709</v>
      </c>
      <c r="G1" s="47" t="s">
        <v>1710</v>
      </c>
      <c r="H1" s="49" t="s">
        <v>1711</v>
      </c>
      <c r="I1" s="48" t="s">
        <v>1712</v>
      </c>
      <c r="J1" s="50" t="s">
        <v>1713</v>
      </c>
      <c r="K1" s="60" t="s">
        <v>1714</v>
      </c>
      <c r="L1" s="81" t="s">
        <v>1715</v>
      </c>
      <c r="M1" s="82" t="s">
        <v>1716</v>
      </c>
      <c r="N1" s="78" t="s">
        <v>1717</v>
      </c>
      <c r="O1" s="78" t="s">
        <v>1716</v>
      </c>
      <c r="P1" s="48" t="s">
        <v>1718</v>
      </c>
    </row>
    <row r="2" spans="1:16" ht="30" customHeight="1" x14ac:dyDescent="0.3">
      <c r="A2" s="51" t="s">
        <v>67</v>
      </c>
      <c r="B2" s="52" t="s">
        <v>68</v>
      </c>
      <c r="C2" s="52"/>
      <c r="D2" s="79" t="str">
        <f t="shared" ref="D2:D65" ca="1" si="0">IF(INDIRECT("'"&amp;$O2&amp;"'!F"&amp;$N2)="O","원자재",IF(INDIRECT("'"&amp;$O2&amp;"'!G"&amp;$N2)="O","반제품",IF(INDIRECT("'"&amp;$O2&amp;"'!H"&amp;$N2)="O","완제품","")))</f>
        <v>원자재</v>
      </c>
      <c r="E2" s="79" t="str">
        <f t="shared" ref="E2:E65" ca="1" si="1">IFERROR(IF(INDIRECT("'"&amp;$O2&amp;"'!I"&amp;$N2)=0,"",INDIRECT("'"&amp;$O2&amp;"'!I"&amp;$N2)),"")</f>
        <v>TR</v>
      </c>
      <c r="F2" s="52" t="s">
        <v>69</v>
      </c>
      <c r="G2" s="52" t="s">
        <v>1719</v>
      </c>
      <c r="H2" s="79" t="str">
        <f t="shared" ref="H2:H65" si="2">IF(AND($F2="",$G2=""),"",IF($F2="","창고전용",IF($G2&lt;&gt;"","매칭완료",IF($D2="반제품","반제품(창고없음)",IF($D2="완제품","완제품(창고없음)",IF($D2="원자재","⚠ 원자재_부서보관","미분류"))))))</f>
        <v>매칭완료</v>
      </c>
      <c r="I2" s="79" t="str">
        <f t="shared" ref="I2:I65" ca="1" si="3">IFERROR(IF(INDIRECT("'"&amp;$O2&amp;"'!P"&amp;$N2)=0,"",INDIRECT("'"&amp;$O2&amp;"'!P"&amp;$N2)),"")</f>
        <v>7-TR</v>
      </c>
      <c r="J2" s="61" t="s">
        <v>69</v>
      </c>
      <c r="K2" s="61" t="s">
        <v>69</v>
      </c>
      <c r="L2" s="83" t="str">
        <f t="shared" ref="L2:L20" si="4">HYPERLINK("#'"&amp;$O2&amp;"'!A"&amp;$N2,"→ 튜브파트 R"&amp;$N2)</f>
        <v>→ 튜브파트 R2</v>
      </c>
      <c r="M2" s="84"/>
      <c r="N2" s="80">
        <v>2</v>
      </c>
      <c r="O2" s="80" t="s">
        <v>1720</v>
      </c>
      <c r="P2" s="79" t="s">
        <v>1721</v>
      </c>
    </row>
    <row r="3" spans="1:16" ht="30" customHeight="1" x14ac:dyDescent="0.3">
      <c r="A3" s="51" t="s">
        <v>67</v>
      </c>
      <c r="B3" s="52" t="s">
        <v>68</v>
      </c>
      <c r="C3" s="52"/>
      <c r="D3" s="79" t="str">
        <f t="shared" ca="1" si="0"/>
        <v>원자재</v>
      </c>
      <c r="E3" s="79" t="str">
        <f t="shared" ca="1" si="1"/>
        <v>TR</v>
      </c>
      <c r="F3" s="52" t="s">
        <v>73</v>
      </c>
      <c r="G3" s="52" t="s">
        <v>1722</v>
      </c>
      <c r="H3" s="79" t="str">
        <f t="shared" si="2"/>
        <v>매칭완료</v>
      </c>
      <c r="I3" s="79" t="str">
        <f t="shared" ca="1" si="3"/>
        <v>7-TR</v>
      </c>
      <c r="J3" s="61" t="s">
        <v>73</v>
      </c>
      <c r="K3" s="61" t="s">
        <v>73</v>
      </c>
      <c r="L3" s="83" t="str">
        <f t="shared" si="4"/>
        <v>→ 튜브파트 R3</v>
      </c>
      <c r="M3" s="84"/>
      <c r="N3" s="80">
        <v>3</v>
      </c>
      <c r="O3" s="80" t="s">
        <v>1720</v>
      </c>
      <c r="P3" s="79" t="s">
        <v>1723</v>
      </c>
    </row>
    <row r="4" spans="1:16" ht="30" customHeight="1" x14ac:dyDescent="0.3">
      <c r="A4" s="51" t="s">
        <v>67</v>
      </c>
      <c r="B4" s="52" t="s">
        <v>68</v>
      </c>
      <c r="C4" s="52"/>
      <c r="D4" s="79" t="str">
        <f t="shared" ca="1" si="0"/>
        <v>원자재</v>
      </c>
      <c r="E4" s="79" t="str">
        <f t="shared" ca="1" si="1"/>
        <v>TR</v>
      </c>
      <c r="F4" s="52" t="s">
        <v>75</v>
      </c>
      <c r="G4" s="52" t="s">
        <v>1724</v>
      </c>
      <c r="H4" s="79" t="str">
        <f t="shared" si="2"/>
        <v>매칭완료</v>
      </c>
      <c r="I4" s="79" t="str">
        <f t="shared" ca="1" si="3"/>
        <v>7-TR</v>
      </c>
      <c r="J4" s="61" t="s">
        <v>75</v>
      </c>
      <c r="K4" s="61" t="s">
        <v>75</v>
      </c>
      <c r="L4" s="83" t="str">
        <f t="shared" si="4"/>
        <v>→ 튜브파트 R4</v>
      </c>
      <c r="M4" s="84"/>
      <c r="N4" s="80">
        <v>4</v>
      </c>
      <c r="O4" s="80" t="s">
        <v>1720</v>
      </c>
      <c r="P4" s="79" t="s">
        <v>1725</v>
      </c>
    </row>
    <row r="5" spans="1:16" ht="30" customHeight="1" x14ac:dyDescent="0.3">
      <c r="A5" s="51" t="s">
        <v>67</v>
      </c>
      <c r="B5" s="52" t="s">
        <v>68</v>
      </c>
      <c r="C5" s="52"/>
      <c r="D5" s="79" t="str">
        <f t="shared" ca="1" si="0"/>
        <v>원자재</v>
      </c>
      <c r="E5" s="79" t="str">
        <f t="shared" ca="1" si="1"/>
        <v>TR</v>
      </c>
      <c r="F5" s="52" t="s">
        <v>77</v>
      </c>
      <c r="G5" s="52" t="s">
        <v>1726</v>
      </c>
      <c r="H5" s="79" t="str">
        <f t="shared" si="2"/>
        <v>매칭완료</v>
      </c>
      <c r="I5" s="79" t="str">
        <f t="shared" ca="1" si="3"/>
        <v>7-TR</v>
      </c>
      <c r="J5" s="61" t="s">
        <v>77</v>
      </c>
      <c r="K5" s="61" t="s">
        <v>77</v>
      </c>
      <c r="L5" s="83" t="str">
        <f t="shared" si="4"/>
        <v>→ 튜브파트 R5</v>
      </c>
      <c r="M5" s="84"/>
      <c r="N5" s="80">
        <v>5</v>
      </c>
      <c r="O5" s="80" t="s">
        <v>1720</v>
      </c>
      <c r="P5" s="79" t="s">
        <v>1727</v>
      </c>
    </row>
    <row r="6" spans="1:16" ht="30" customHeight="1" x14ac:dyDescent="0.3">
      <c r="A6" s="51" t="s">
        <v>67</v>
      </c>
      <c r="B6" s="52" t="s">
        <v>79</v>
      </c>
      <c r="C6" s="52"/>
      <c r="D6" s="79" t="str">
        <f t="shared" ca="1" si="0"/>
        <v>원자재</v>
      </c>
      <c r="E6" s="79" t="str">
        <f t="shared" ca="1" si="1"/>
        <v>TR</v>
      </c>
      <c r="F6" s="52" t="s">
        <v>80</v>
      </c>
      <c r="G6" s="52" t="s">
        <v>1728</v>
      </c>
      <c r="H6" s="79" t="str">
        <f t="shared" si="2"/>
        <v>매칭완료</v>
      </c>
      <c r="I6" s="79" t="str">
        <f t="shared" ca="1" si="3"/>
        <v>7-TR</v>
      </c>
      <c r="J6" s="61" t="s">
        <v>80</v>
      </c>
      <c r="K6" s="61" t="s">
        <v>80</v>
      </c>
      <c r="L6" s="83" t="str">
        <f t="shared" si="4"/>
        <v>→ 튜브파트 R6</v>
      </c>
      <c r="M6" s="84"/>
      <c r="N6" s="80">
        <v>6</v>
      </c>
      <c r="O6" s="80" t="s">
        <v>1720</v>
      </c>
      <c r="P6" s="79" t="s">
        <v>1729</v>
      </c>
    </row>
    <row r="7" spans="1:16" ht="30" customHeight="1" x14ac:dyDescent="0.3">
      <c r="A7" s="51" t="s">
        <v>67</v>
      </c>
      <c r="B7" s="52" t="s">
        <v>79</v>
      </c>
      <c r="C7" s="52"/>
      <c r="D7" s="79" t="str">
        <f t="shared" ca="1" si="0"/>
        <v>원자재</v>
      </c>
      <c r="E7" s="79" t="str">
        <f t="shared" ca="1" si="1"/>
        <v>TR</v>
      </c>
      <c r="F7" s="52" t="s">
        <v>82</v>
      </c>
      <c r="G7" s="52" t="s">
        <v>1730</v>
      </c>
      <c r="H7" s="79" t="str">
        <f t="shared" si="2"/>
        <v>매칭완료</v>
      </c>
      <c r="I7" s="79" t="str">
        <f t="shared" ca="1" si="3"/>
        <v>7-TR</v>
      </c>
      <c r="J7" s="61" t="s">
        <v>82</v>
      </c>
      <c r="K7" s="61" t="s">
        <v>82</v>
      </c>
      <c r="L7" s="83" t="str">
        <f t="shared" si="4"/>
        <v>→ 튜브파트 R7</v>
      </c>
      <c r="M7" s="84"/>
      <c r="N7" s="80">
        <v>7</v>
      </c>
      <c r="O7" s="80" t="s">
        <v>1720</v>
      </c>
      <c r="P7" s="79" t="s">
        <v>1731</v>
      </c>
    </row>
    <row r="8" spans="1:16" ht="30" customHeight="1" x14ac:dyDescent="0.3">
      <c r="A8" s="51" t="s">
        <v>67</v>
      </c>
      <c r="B8" s="52" t="s">
        <v>79</v>
      </c>
      <c r="C8" s="52"/>
      <c r="D8" s="79" t="str">
        <f t="shared" ca="1" si="0"/>
        <v>원자재</v>
      </c>
      <c r="E8" s="79" t="str">
        <f t="shared" ca="1" si="1"/>
        <v>TR</v>
      </c>
      <c r="F8" s="52" t="s">
        <v>84</v>
      </c>
      <c r="G8" s="52" t="s">
        <v>1732</v>
      </c>
      <c r="H8" s="79" t="str">
        <f t="shared" si="2"/>
        <v>매칭완료</v>
      </c>
      <c r="I8" s="79" t="str">
        <f t="shared" ca="1" si="3"/>
        <v>7-TR</v>
      </c>
      <c r="J8" s="61" t="s">
        <v>84</v>
      </c>
      <c r="K8" s="61" t="s">
        <v>84</v>
      </c>
      <c r="L8" s="83" t="str">
        <f t="shared" si="4"/>
        <v>→ 튜브파트 R8</v>
      </c>
      <c r="M8" s="84"/>
      <c r="N8" s="80">
        <v>8</v>
      </c>
      <c r="O8" s="80" t="s">
        <v>1720</v>
      </c>
      <c r="P8" s="79" t="s">
        <v>1733</v>
      </c>
    </row>
    <row r="9" spans="1:16" ht="30" customHeight="1" x14ac:dyDescent="0.3">
      <c r="A9" s="51" t="s">
        <v>67</v>
      </c>
      <c r="B9" s="52" t="s">
        <v>79</v>
      </c>
      <c r="C9" s="52"/>
      <c r="D9" s="79" t="str">
        <f t="shared" ca="1" si="0"/>
        <v>원자재</v>
      </c>
      <c r="E9" s="79" t="str">
        <f t="shared" ca="1" si="1"/>
        <v>TR</v>
      </c>
      <c r="F9" s="52" t="s">
        <v>86</v>
      </c>
      <c r="G9" s="52" t="s">
        <v>1734</v>
      </c>
      <c r="H9" s="79" t="str">
        <f t="shared" si="2"/>
        <v>매칭완료</v>
      </c>
      <c r="I9" s="79" t="str">
        <f t="shared" ca="1" si="3"/>
        <v>7-TR</v>
      </c>
      <c r="J9" s="61" t="s">
        <v>86</v>
      </c>
      <c r="K9" s="61" t="s">
        <v>86</v>
      </c>
      <c r="L9" s="83" t="str">
        <f t="shared" si="4"/>
        <v>→ 튜브파트 R9</v>
      </c>
      <c r="M9" s="84"/>
      <c r="N9" s="80">
        <v>9</v>
      </c>
      <c r="O9" s="80" t="s">
        <v>1720</v>
      </c>
      <c r="P9" s="79" t="s">
        <v>1735</v>
      </c>
    </row>
    <row r="10" spans="1:16" ht="30" customHeight="1" x14ac:dyDescent="0.3">
      <c r="A10" s="51" t="s">
        <v>67</v>
      </c>
      <c r="B10" s="52" t="s">
        <v>79</v>
      </c>
      <c r="C10" s="52"/>
      <c r="D10" s="79" t="str">
        <f t="shared" ca="1" si="0"/>
        <v>원자재</v>
      </c>
      <c r="E10" s="79" t="str">
        <f t="shared" ca="1" si="1"/>
        <v>TR</v>
      </c>
      <c r="F10" s="52" t="s">
        <v>88</v>
      </c>
      <c r="G10" s="52" t="s">
        <v>1736</v>
      </c>
      <c r="H10" s="79" t="str">
        <f t="shared" si="2"/>
        <v>매칭완료</v>
      </c>
      <c r="I10" s="79" t="str">
        <f t="shared" ca="1" si="3"/>
        <v>7-TR</v>
      </c>
      <c r="J10" s="61" t="s">
        <v>88</v>
      </c>
      <c r="K10" s="61" t="s">
        <v>88</v>
      </c>
      <c r="L10" s="83" t="str">
        <f t="shared" si="4"/>
        <v>→ 튜브파트 R10</v>
      </c>
      <c r="M10" s="84"/>
      <c r="N10" s="80">
        <v>10</v>
      </c>
      <c r="O10" s="80" t="s">
        <v>1720</v>
      </c>
      <c r="P10" s="79" t="s">
        <v>1737</v>
      </c>
    </row>
    <row r="11" spans="1:16" ht="30" customHeight="1" x14ac:dyDescent="0.3">
      <c r="A11" s="51" t="s">
        <v>67</v>
      </c>
      <c r="B11" s="52" t="s">
        <v>79</v>
      </c>
      <c r="C11" s="52"/>
      <c r="D11" s="79" t="str">
        <f t="shared" ca="1" si="0"/>
        <v>원자재</v>
      </c>
      <c r="E11" s="79" t="str">
        <f t="shared" ca="1" si="1"/>
        <v>TR</v>
      </c>
      <c r="F11" s="52" t="s">
        <v>90</v>
      </c>
      <c r="G11" s="52" t="s">
        <v>1738</v>
      </c>
      <c r="H11" s="79" t="str">
        <f t="shared" si="2"/>
        <v>매칭완료</v>
      </c>
      <c r="I11" s="79" t="str">
        <f t="shared" ca="1" si="3"/>
        <v>7-TR</v>
      </c>
      <c r="J11" s="61" t="s">
        <v>90</v>
      </c>
      <c r="K11" s="61" t="s">
        <v>90</v>
      </c>
      <c r="L11" s="83" t="str">
        <f t="shared" si="4"/>
        <v>→ 튜브파트 R11</v>
      </c>
      <c r="M11" s="84"/>
      <c r="N11" s="80">
        <v>11</v>
      </c>
      <c r="O11" s="80" t="s">
        <v>1720</v>
      </c>
      <c r="P11" s="79" t="s">
        <v>1739</v>
      </c>
    </row>
    <row r="12" spans="1:16" ht="30" customHeight="1" x14ac:dyDescent="0.3">
      <c r="A12" s="51" t="s">
        <v>67</v>
      </c>
      <c r="B12" s="52" t="s">
        <v>92</v>
      </c>
      <c r="C12" s="52"/>
      <c r="D12" s="79" t="str">
        <f t="shared" ca="1" si="0"/>
        <v>원자재</v>
      </c>
      <c r="E12" s="79" t="str">
        <f t="shared" ca="1" si="1"/>
        <v>TR</v>
      </c>
      <c r="F12" s="52" t="s">
        <v>93</v>
      </c>
      <c r="G12" s="52" t="s">
        <v>1740</v>
      </c>
      <c r="H12" s="79" t="str">
        <f t="shared" si="2"/>
        <v>매칭완료</v>
      </c>
      <c r="I12" s="79" t="str">
        <f t="shared" ca="1" si="3"/>
        <v>?-TR</v>
      </c>
      <c r="J12" s="61" t="s">
        <v>93</v>
      </c>
      <c r="K12" s="61" t="s">
        <v>93</v>
      </c>
      <c r="L12" s="83" t="str">
        <f t="shared" si="4"/>
        <v>→ 튜브파트 R12</v>
      </c>
      <c r="M12" s="84"/>
      <c r="N12" s="80">
        <v>12</v>
      </c>
      <c r="O12" s="80" t="s">
        <v>1720</v>
      </c>
      <c r="P12" s="79" t="s">
        <v>1741</v>
      </c>
    </row>
    <row r="13" spans="1:16" ht="30" customHeight="1" x14ac:dyDescent="0.3">
      <c r="A13" s="51" t="s">
        <v>67</v>
      </c>
      <c r="B13" s="52" t="s">
        <v>92</v>
      </c>
      <c r="C13" s="52"/>
      <c r="D13" s="79" t="str">
        <f t="shared" ca="1" si="0"/>
        <v>원자재</v>
      </c>
      <c r="E13" s="79" t="str">
        <f t="shared" ca="1" si="1"/>
        <v>TR</v>
      </c>
      <c r="F13" s="52" t="s">
        <v>95</v>
      </c>
      <c r="G13" s="52" t="s">
        <v>1742</v>
      </c>
      <c r="H13" s="79" t="str">
        <f t="shared" si="2"/>
        <v>매칭완료</v>
      </c>
      <c r="I13" s="79" t="str">
        <f t="shared" ca="1" si="3"/>
        <v>?-TR</v>
      </c>
      <c r="J13" s="61" t="s">
        <v>95</v>
      </c>
      <c r="K13" s="61" t="s">
        <v>95</v>
      </c>
      <c r="L13" s="83" t="str">
        <f t="shared" si="4"/>
        <v>→ 튜브파트 R13</v>
      </c>
      <c r="M13" s="84"/>
      <c r="N13" s="80">
        <v>13</v>
      </c>
      <c r="O13" s="80" t="s">
        <v>1720</v>
      </c>
      <c r="P13" s="79" t="s">
        <v>1743</v>
      </c>
    </row>
    <row r="14" spans="1:16" ht="30" customHeight="1" x14ac:dyDescent="0.3">
      <c r="A14" s="51" t="s">
        <v>67</v>
      </c>
      <c r="B14" s="52" t="s">
        <v>92</v>
      </c>
      <c r="C14" s="52"/>
      <c r="D14" s="79" t="str">
        <f t="shared" ca="1" si="0"/>
        <v>원자재</v>
      </c>
      <c r="E14" s="79" t="str">
        <f t="shared" ca="1" si="1"/>
        <v>TR</v>
      </c>
      <c r="F14" s="52" t="s">
        <v>97</v>
      </c>
      <c r="G14" s="52" t="s">
        <v>1744</v>
      </c>
      <c r="H14" s="79" t="str">
        <f t="shared" si="2"/>
        <v>매칭완료</v>
      </c>
      <c r="I14" s="79" t="str">
        <f t="shared" ca="1" si="3"/>
        <v>?-TR</v>
      </c>
      <c r="J14" s="61" t="s">
        <v>97</v>
      </c>
      <c r="K14" s="61" t="s">
        <v>97</v>
      </c>
      <c r="L14" s="83" t="str">
        <f t="shared" si="4"/>
        <v>→ 튜브파트 R14</v>
      </c>
      <c r="M14" s="84"/>
      <c r="N14" s="80">
        <v>14</v>
      </c>
      <c r="O14" s="80" t="s">
        <v>1720</v>
      </c>
      <c r="P14" s="79" t="s">
        <v>1745</v>
      </c>
    </row>
    <row r="15" spans="1:16" ht="30" customHeight="1" x14ac:dyDescent="0.3">
      <c r="A15" s="51" t="s">
        <v>67</v>
      </c>
      <c r="B15" s="52" t="s">
        <v>92</v>
      </c>
      <c r="C15" s="52"/>
      <c r="D15" s="79" t="str">
        <f t="shared" ca="1" si="0"/>
        <v>원자재</v>
      </c>
      <c r="E15" s="79" t="str">
        <f t="shared" ca="1" si="1"/>
        <v>TR</v>
      </c>
      <c r="F15" s="52" t="s">
        <v>99</v>
      </c>
      <c r="G15" s="52" t="s">
        <v>1746</v>
      </c>
      <c r="H15" s="79" t="str">
        <f t="shared" si="2"/>
        <v>매칭완료</v>
      </c>
      <c r="I15" s="79" t="str">
        <f t="shared" ca="1" si="3"/>
        <v>?-TR</v>
      </c>
      <c r="J15" s="61" t="s">
        <v>99</v>
      </c>
      <c r="K15" s="61" t="s">
        <v>99</v>
      </c>
      <c r="L15" s="83" t="str">
        <f t="shared" si="4"/>
        <v>→ 튜브파트 R15</v>
      </c>
      <c r="M15" s="84"/>
      <c r="N15" s="80">
        <v>15</v>
      </c>
      <c r="O15" s="80" t="s">
        <v>1720</v>
      </c>
      <c r="P15" s="79" t="s">
        <v>1747</v>
      </c>
    </row>
    <row r="16" spans="1:16" ht="30" customHeight="1" x14ac:dyDescent="0.3">
      <c r="A16" s="51" t="s">
        <v>67</v>
      </c>
      <c r="B16" s="52" t="s">
        <v>92</v>
      </c>
      <c r="C16" s="52"/>
      <c r="D16" s="79" t="str">
        <f t="shared" ca="1" si="0"/>
        <v>원자재</v>
      </c>
      <c r="E16" s="79" t="str">
        <f t="shared" ca="1" si="1"/>
        <v>TR</v>
      </c>
      <c r="F16" s="52" t="s">
        <v>101</v>
      </c>
      <c r="G16" s="52" t="s">
        <v>1748</v>
      </c>
      <c r="H16" s="79" t="str">
        <f t="shared" si="2"/>
        <v>매칭완료</v>
      </c>
      <c r="I16" s="79" t="str">
        <f t="shared" ca="1" si="3"/>
        <v>?-TR</v>
      </c>
      <c r="J16" s="61" t="s">
        <v>101</v>
      </c>
      <c r="K16" s="61" t="s">
        <v>101</v>
      </c>
      <c r="L16" s="83" t="str">
        <f t="shared" si="4"/>
        <v>→ 튜브파트 R16</v>
      </c>
      <c r="M16" s="84"/>
      <c r="N16" s="80">
        <v>16</v>
      </c>
      <c r="O16" s="80" t="s">
        <v>1720</v>
      </c>
      <c r="P16" s="79" t="s">
        <v>1749</v>
      </c>
    </row>
    <row r="17" spans="1:16" ht="30" customHeight="1" x14ac:dyDescent="0.3">
      <c r="A17" s="51" t="s">
        <v>67</v>
      </c>
      <c r="B17" s="52" t="s">
        <v>92</v>
      </c>
      <c r="C17" s="52"/>
      <c r="D17" s="79" t="str">
        <f t="shared" ca="1" si="0"/>
        <v>원자재</v>
      </c>
      <c r="E17" s="79" t="str">
        <f t="shared" ca="1" si="1"/>
        <v>TR</v>
      </c>
      <c r="F17" s="52" t="s">
        <v>103</v>
      </c>
      <c r="G17" s="52" t="s">
        <v>1750</v>
      </c>
      <c r="H17" s="79" t="str">
        <f t="shared" si="2"/>
        <v>매칭완료</v>
      </c>
      <c r="I17" s="79" t="str">
        <f t="shared" ca="1" si="3"/>
        <v>?-TR</v>
      </c>
      <c r="J17" s="61" t="s">
        <v>103</v>
      </c>
      <c r="K17" s="61" t="s">
        <v>103</v>
      </c>
      <c r="L17" s="83" t="str">
        <f t="shared" si="4"/>
        <v>→ 튜브파트 R17</v>
      </c>
      <c r="M17" s="84"/>
      <c r="N17" s="80">
        <v>17</v>
      </c>
      <c r="O17" s="80" t="s">
        <v>1720</v>
      </c>
      <c r="P17" s="79" t="s">
        <v>1751</v>
      </c>
    </row>
    <row r="18" spans="1:16" ht="30" customHeight="1" x14ac:dyDescent="0.3">
      <c r="A18" s="51" t="s">
        <v>67</v>
      </c>
      <c r="B18" s="52" t="s">
        <v>92</v>
      </c>
      <c r="C18" s="52"/>
      <c r="D18" s="79" t="str">
        <f t="shared" ca="1" si="0"/>
        <v>원자재</v>
      </c>
      <c r="E18" s="79" t="str">
        <f t="shared" ca="1" si="1"/>
        <v>TR</v>
      </c>
      <c r="F18" s="52" t="s">
        <v>105</v>
      </c>
      <c r="G18" s="52" t="s">
        <v>1752</v>
      </c>
      <c r="H18" s="79" t="str">
        <f t="shared" si="2"/>
        <v>매칭완료</v>
      </c>
      <c r="I18" s="79" t="str">
        <f t="shared" ca="1" si="3"/>
        <v>?-TR</v>
      </c>
      <c r="J18" s="61" t="s">
        <v>105</v>
      </c>
      <c r="K18" s="61" t="s">
        <v>105</v>
      </c>
      <c r="L18" s="83" t="str">
        <f t="shared" si="4"/>
        <v>→ 튜브파트 R18</v>
      </c>
      <c r="M18" s="84"/>
      <c r="N18" s="80">
        <v>18</v>
      </c>
      <c r="O18" s="80" t="s">
        <v>1720</v>
      </c>
      <c r="P18" s="79" t="s">
        <v>1753</v>
      </c>
    </row>
    <row r="19" spans="1:16" ht="30" customHeight="1" x14ac:dyDescent="0.3">
      <c r="A19" s="51" t="s">
        <v>67</v>
      </c>
      <c r="B19" s="52" t="s">
        <v>107</v>
      </c>
      <c r="C19" s="52"/>
      <c r="D19" s="79" t="str">
        <f t="shared" ca="1" si="0"/>
        <v>완제품</v>
      </c>
      <c r="E19" s="79" t="str">
        <f t="shared" ca="1" si="1"/>
        <v>TF</v>
      </c>
      <c r="F19" s="52" t="s">
        <v>108</v>
      </c>
      <c r="G19" s="52"/>
      <c r="H19" s="79" t="str">
        <f t="shared" ca="1" si="2"/>
        <v>완제품(창고없음)</v>
      </c>
      <c r="I19" s="79" t="str">
        <f t="shared" ca="1" si="3"/>
        <v>7-TF</v>
      </c>
      <c r="J19" s="61" t="s">
        <v>108</v>
      </c>
      <c r="K19" s="61" t="s">
        <v>108</v>
      </c>
      <c r="L19" s="83" t="str">
        <f t="shared" si="4"/>
        <v>→ 튜브파트 R19</v>
      </c>
      <c r="M19" s="84"/>
      <c r="N19" s="80">
        <v>19</v>
      </c>
      <c r="O19" s="80" t="s">
        <v>1720</v>
      </c>
      <c r="P19" s="79" t="s">
        <v>1754</v>
      </c>
    </row>
    <row r="20" spans="1:16" ht="30" customHeight="1" x14ac:dyDescent="0.3">
      <c r="A20" s="51" t="s">
        <v>67</v>
      </c>
      <c r="B20" s="52" t="s">
        <v>107</v>
      </c>
      <c r="C20" s="52"/>
      <c r="D20" s="79" t="str">
        <f t="shared" ca="1" si="0"/>
        <v>완제품</v>
      </c>
      <c r="E20" s="79" t="str">
        <f t="shared" ca="1" si="1"/>
        <v>TF</v>
      </c>
      <c r="F20" s="52" t="s">
        <v>109</v>
      </c>
      <c r="G20" s="52"/>
      <c r="H20" s="79" t="str">
        <f t="shared" ca="1" si="2"/>
        <v>완제품(창고없음)</v>
      </c>
      <c r="I20" s="79" t="str">
        <f t="shared" ca="1" si="3"/>
        <v>?-TF</v>
      </c>
      <c r="J20" s="61" t="s">
        <v>109</v>
      </c>
      <c r="K20" s="61" t="s">
        <v>109</v>
      </c>
      <c r="L20" s="83" t="str">
        <f t="shared" si="4"/>
        <v>→ 튜브파트 R20</v>
      </c>
      <c r="M20" s="84"/>
      <c r="N20" s="80">
        <v>20</v>
      </c>
      <c r="O20" s="80" t="s">
        <v>1720</v>
      </c>
      <c r="P20" s="79" t="s">
        <v>1755</v>
      </c>
    </row>
    <row r="21" spans="1:16" ht="30" customHeight="1" x14ac:dyDescent="0.3">
      <c r="A21" s="53" t="s">
        <v>110</v>
      </c>
      <c r="B21" s="52" t="s">
        <v>67</v>
      </c>
      <c r="C21" s="52" t="s">
        <v>1361</v>
      </c>
      <c r="D21" s="79" t="str">
        <f t="shared" ca="1" si="0"/>
        <v>원자재</v>
      </c>
      <c r="E21" s="79" t="str">
        <f t="shared" ca="1" si="1"/>
        <v>HR</v>
      </c>
      <c r="F21" s="52" t="s">
        <v>112</v>
      </c>
      <c r="G21" s="52" t="s">
        <v>1756</v>
      </c>
      <c r="H21" s="79" t="str">
        <f t="shared" si="2"/>
        <v>매칭완료</v>
      </c>
      <c r="I21" s="79" t="str">
        <f t="shared" ca="1" si="3"/>
        <v>34-HR</v>
      </c>
      <c r="J21" s="61" t="s">
        <v>112</v>
      </c>
      <c r="K21" s="61" t="s">
        <v>112</v>
      </c>
      <c r="L21" s="83" t="str">
        <f t="shared" ref="L21:L52" si="5">HYPERLINK("#'"&amp;$O21&amp;"'!A"&amp;$N21,"→ 고압진공 R"&amp;$N21)</f>
        <v>→ 고압진공 R2</v>
      </c>
      <c r="M21" s="84"/>
      <c r="N21" s="80">
        <v>2</v>
      </c>
      <c r="O21" s="80" t="s">
        <v>1757</v>
      </c>
      <c r="P21" s="79" t="s">
        <v>1758</v>
      </c>
    </row>
    <row r="22" spans="1:16" ht="30" customHeight="1" x14ac:dyDescent="0.3">
      <c r="A22" s="53" t="s">
        <v>110</v>
      </c>
      <c r="B22" s="52" t="s">
        <v>67</v>
      </c>
      <c r="C22" s="52" t="s">
        <v>1759</v>
      </c>
      <c r="D22" s="79" t="str">
        <f t="shared" ca="1" si="0"/>
        <v>원자재</v>
      </c>
      <c r="E22" s="79" t="str">
        <f t="shared" ca="1" si="1"/>
        <v>HR</v>
      </c>
      <c r="F22" s="52" t="s">
        <v>115</v>
      </c>
      <c r="G22" s="52" t="s">
        <v>1760</v>
      </c>
      <c r="H22" s="79" t="str">
        <f t="shared" si="2"/>
        <v>매칭완료</v>
      </c>
      <c r="I22" s="79" t="str">
        <f t="shared" ca="1" si="3"/>
        <v>78-HR</v>
      </c>
      <c r="J22" s="61" t="s">
        <v>115</v>
      </c>
      <c r="K22" s="61" t="s">
        <v>115</v>
      </c>
      <c r="L22" s="83" t="str">
        <f t="shared" si="5"/>
        <v>→ 고압진공 R3</v>
      </c>
      <c r="M22" s="84"/>
      <c r="N22" s="80">
        <v>3</v>
      </c>
      <c r="O22" s="80" t="s">
        <v>1757</v>
      </c>
      <c r="P22" s="79" t="s">
        <v>1761</v>
      </c>
    </row>
    <row r="23" spans="1:16" ht="30" customHeight="1" x14ac:dyDescent="0.3">
      <c r="A23" s="53" t="s">
        <v>110</v>
      </c>
      <c r="B23" s="52" t="s">
        <v>67</v>
      </c>
      <c r="C23" s="52" t="s">
        <v>117</v>
      </c>
      <c r="D23" s="79" t="str">
        <f t="shared" ca="1" si="0"/>
        <v>원자재</v>
      </c>
      <c r="E23" s="79" t="str">
        <f t="shared" ca="1" si="1"/>
        <v>HR</v>
      </c>
      <c r="F23" s="52" t="s">
        <v>118</v>
      </c>
      <c r="G23" s="52" t="s">
        <v>1762</v>
      </c>
      <c r="H23" s="79" t="str">
        <f t="shared" si="2"/>
        <v>매칭완료</v>
      </c>
      <c r="I23" s="79" t="str">
        <f t="shared" ca="1" si="3"/>
        <v>6-HR</v>
      </c>
      <c r="J23" s="61" t="s">
        <v>118</v>
      </c>
      <c r="K23" s="61" t="s">
        <v>118</v>
      </c>
      <c r="L23" s="83" t="str">
        <f t="shared" si="5"/>
        <v>→ 고압진공 R4</v>
      </c>
      <c r="M23" s="84"/>
      <c r="N23" s="80">
        <v>4</v>
      </c>
      <c r="O23" s="80" t="s">
        <v>1757</v>
      </c>
      <c r="P23" s="79" t="s">
        <v>1763</v>
      </c>
    </row>
    <row r="24" spans="1:16" ht="30" customHeight="1" x14ac:dyDescent="0.3">
      <c r="A24" s="53" t="s">
        <v>110</v>
      </c>
      <c r="B24" s="52" t="s">
        <v>67</v>
      </c>
      <c r="C24" s="52" t="s">
        <v>1764</v>
      </c>
      <c r="D24" s="79" t="str">
        <f t="shared" ca="1" si="0"/>
        <v>원자재</v>
      </c>
      <c r="E24" s="79" t="str">
        <f t="shared" ca="1" si="1"/>
        <v>HR</v>
      </c>
      <c r="F24" s="52" t="s">
        <v>121</v>
      </c>
      <c r="G24" s="52" t="s">
        <v>1765</v>
      </c>
      <c r="H24" s="79" t="str">
        <f t="shared" si="2"/>
        <v>매칭완료</v>
      </c>
      <c r="I24" s="79" t="str">
        <f t="shared" ca="1" si="3"/>
        <v>3468-HR</v>
      </c>
      <c r="J24" s="61" t="s">
        <v>121</v>
      </c>
      <c r="K24" s="61" t="s">
        <v>121</v>
      </c>
      <c r="L24" s="83" t="str">
        <f t="shared" si="5"/>
        <v>→ 고압진공 R5</v>
      </c>
      <c r="M24" s="84"/>
      <c r="N24" s="80">
        <v>5</v>
      </c>
      <c r="O24" s="80" t="s">
        <v>1757</v>
      </c>
      <c r="P24" s="79" t="s">
        <v>1766</v>
      </c>
    </row>
    <row r="25" spans="1:16" ht="30" customHeight="1" x14ac:dyDescent="0.3">
      <c r="A25" s="53" t="s">
        <v>110</v>
      </c>
      <c r="B25" s="52" t="s">
        <v>67</v>
      </c>
      <c r="C25" s="52" t="s">
        <v>117</v>
      </c>
      <c r="D25" s="79" t="str">
        <f t="shared" ca="1" si="0"/>
        <v>원자재</v>
      </c>
      <c r="E25" s="79" t="str">
        <f t="shared" ca="1" si="1"/>
        <v>HR</v>
      </c>
      <c r="F25" s="52" t="s">
        <v>123</v>
      </c>
      <c r="G25" s="52" t="s">
        <v>1767</v>
      </c>
      <c r="H25" s="79" t="str">
        <f t="shared" si="2"/>
        <v>매칭완료</v>
      </c>
      <c r="I25" s="79" t="str">
        <f t="shared" ca="1" si="3"/>
        <v>6-HR</v>
      </c>
      <c r="J25" s="61" t="s">
        <v>123</v>
      </c>
      <c r="K25" s="61" t="s">
        <v>123</v>
      </c>
      <c r="L25" s="83" t="str">
        <f t="shared" si="5"/>
        <v>→ 고압진공 R6</v>
      </c>
      <c r="M25" s="84"/>
      <c r="N25" s="80">
        <v>6</v>
      </c>
      <c r="O25" s="80" t="s">
        <v>1757</v>
      </c>
      <c r="P25" s="79" t="s">
        <v>1768</v>
      </c>
    </row>
    <row r="26" spans="1:16" ht="30" customHeight="1" x14ac:dyDescent="0.3">
      <c r="A26" s="53" t="s">
        <v>110</v>
      </c>
      <c r="B26" s="52" t="s">
        <v>67</v>
      </c>
      <c r="C26" s="52" t="s">
        <v>117</v>
      </c>
      <c r="D26" s="79" t="str">
        <f t="shared" ca="1" si="0"/>
        <v>원자재</v>
      </c>
      <c r="E26" s="79" t="str">
        <f t="shared" ca="1" si="1"/>
        <v>HR</v>
      </c>
      <c r="F26" s="52" t="s">
        <v>125</v>
      </c>
      <c r="G26" s="52" t="s">
        <v>1769</v>
      </c>
      <c r="H26" s="79" t="str">
        <f t="shared" si="2"/>
        <v>매칭완료</v>
      </c>
      <c r="I26" s="79" t="str">
        <f t="shared" ca="1" si="3"/>
        <v>6-HR</v>
      </c>
      <c r="J26" s="61" t="s">
        <v>125</v>
      </c>
      <c r="K26" s="61" t="s">
        <v>125</v>
      </c>
      <c r="L26" s="83" t="str">
        <f t="shared" si="5"/>
        <v>→ 고압진공 R7</v>
      </c>
      <c r="M26" s="84"/>
      <c r="N26" s="80">
        <v>7</v>
      </c>
      <c r="O26" s="80" t="s">
        <v>1757</v>
      </c>
      <c r="P26" s="79" t="s">
        <v>1770</v>
      </c>
    </row>
    <row r="27" spans="1:16" ht="30" customHeight="1" x14ac:dyDescent="0.3">
      <c r="A27" s="53" t="s">
        <v>110</v>
      </c>
      <c r="B27" s="52" t="s">
        <v>127</v>
      </c>
      <c r="C27" s="52" t="s">
        <v>1361</v>
      </c>
      <c r="D27" s="79" t="str">
        <f t="shared" ca="1" si="0"/>
        <v>원자재</v>
      </c>
      <c r="E27" s="79" t="str">
        <f t="shared" ca="1" si="1"/>
        <v>HR</v>
      </c>
      <c r="F27" s="52" t="s">
        <v>128</v>
      </c>
      <c r="G27" s="52" t="s">
        <v>1771</v>
      </c>
      <c r="H27" s="79" t="str">
        <f t="shared" si="2"/>
        <v>매칭완료</v>
      </c>
      <c r="I27" s="79" t="str">
        <f t="shared" ca="1" si="3"/>
        <v>34-HR</v>
      </c>
      <c r="J27" s="61" t="s">
        <v>128</v>
      </c>
      <c r="K27" s="61" t="s">
        <v>128</v>
      </c>
      <c r="L27" s="83" t="str">
        <f t="shared" si="5"/>
        <v>→ 고압진공 R8</v>
      </c>
      <c r="M27" s="84"/>
      <c r="N27" s="80">
        <v>8</v>
      </c>
      <c r="O27" s="80" t="s">
        <v>1757</v>
      </c>
      <c r="P27" s="79" t="s">
        <v>1772</v>
      </c>
    </row>
    <row r="28" spans="1:16" ht="30" customHeight="1" x14ac:dyDescent="0.3">
      <c r="A28" s="53" t="s">
        <v>110</v>
      </c>
      <c r="B28" s="52" t="s">
        <v>127</v>
      </c>
      <c r="C28" s="52" t="s">
        <v>1773</v>
      </c>
      <c r="D28" s="79" t="str">
        <f t="shared" ca="1" si="0"/>
        <v>원자재</v>
      </c>
      <c r="E28" s="79" t="str">
        <f t="shared" ca="1" si="1"/>
        <v>HR</v>
      </c>
      <c r="F28" s="52" t="s">
        <v>131</v>
      </c>
      <c r="G28" s="52" t="s">
        <v>1774</v>
      </c>
      <c r="H28" s="79" t="str">
        <f t="shared" si="2"/>
        <v>매칭완료</v>
      </c>
      <c r="I28" s="79" t="str">
        <f t="shared" ca="1" si="3"/>
        <v>347-HR</v>
      </c>
      <c r="J28" s="61" t="s">
        <v>131</v>
      </c>
      <c r="K28" s="61" t="s">
        <v>131</v>
      </c>
      <c r="L28" s="83" t="str">
        <f t="shared" si="5"/>
        <v>→ 고압진공 R9</v>
      </c>
      <c r="M28" s="84"/>
      <c r="N28" s="80">
        <v>9</v>
      </c>
      <c r="O28" s="80" t="s">
        <v>1757</v>
      </c>
      <c r="P28" s="79" t="s">
        <v>1775</v>
      </c>
    </row>
    <row r="29" spans="1:16" ht="30" customHeight="1" x14ac:dyDescent="0.3">
      <c r="A29" s="53" t="s">
        <v>110</v>
      </c>
      <c r="B29" s="52" t="s">
        <v>127</v>
      </c>
      <c r="C29" s="52" t="s">
        <v>1776</v>
      </c>
      <c r="D29" s="79" t="str">
        <f t="shared" ca="1" si="0"/>
        <v>원자재</v>
      </c>
      <c r="E29" s="79" t="str">
        <f t="shared" ca="1" si="1"/>
        <v>HR</v>
      </c>
      <c r="F29" s="52" t="s">
        <v>134</v>
      </c>
      <c r="G29" s="52" t="s">
        <v>1777</v>
      </c>
      <c r="H29" s="79" t="str">
        <f t="shared" si="2"/>
        <v>매칭완료</v>
      </c>
      <c r="I29" s="79" t="str">
        <f t="shared" ca="1" si="3"/>
        <v>346-HR</v>
      </c>
      <c r="J29" s="61" t="s">
        <v>134</v>
      </c>
      <c r="K29" s="61" t="s">
        <v>134</v>
      </c>
      <c r="L29" s="83" t="str">
        <f t="shared" si="5"/>
        <v>→ 고압진공 R10</v>
      </c>
      <c r="M29" s="84"/>
      <c r="N29" s="80">
        <v>10</v>
      </c>
      <c r="O29" s="80" t="s">
        <v>1757</v>
      </c>
      <c r="P29" s="79" t="s">
        <v>1778</v>
      </c>
    </row>
    <row r="30" spans="1:16" ht="30" customHeight="1" x14ac:dyDescent="0.3">
      <c r="A30" s="53" t="s">
        <v>110</v>
      </c>
      <c r="B30" s="52" t="s">
        <v>127</v>
      </c>
      <c r="C30" s="52" t="s">
        <v>1361</v>
      </c>
      <c r="D30" s="79" t="str">
        <f t="shared" ca="1" si="0"/>
        <v>원자재</v>
      </c>
      <c r="E30" s="79" t="str">
        <f t="shared" ca="1" si="1"/>
        <v>HR</v>
      </c>
      <c r="F30" s="52" t="s">
        <v>136</v>
      </c>
      <c r="G30" s="52" t="s">
        <v>1779</v>
      </c>
      <c r="H30" s="79" t="str">
        <f t="shared" si="2"/>
        <v>매칭완료</v>
      </c>
      <c r="I30" s="79" t="str">
        <f t="shared" ca="1" si="3"/>
        <v>34-HR</v>
      </c>
      <c r="J30" s="65" t="s">
        <v>136</v>
      </c>
      <c r="K30" s="65" t="s">
        <v>136</v>
      </c>
      <c r="L30" s="83" t="str">
        <f t="shared" si="5"/>
        <v>→ 고압진공 R11</v>
      </c>
      <c r="M30" s="84"/>
      <c r="N30" s="80">
        <v>11</v>
      </c>
      <c r="O30" s="80" t="s">
        <v>1757</v>
      </c>
      <c r="P30" s="79" t="s">
        <v>1780</v>
      </c>
    </row>
    <row r="31" spans="1:16" ht="30" customHeight="1" x14ac:dyDescent="0.3">
      <c r="A31" s="53" t="s">
        <v>110</v>
      </c>
      <c r="B31" s="52" t="s">
        <v>127</v>
      </c>
      <c r="C31" s="52" t="s">
        <v>1776</v>
      </c>
      <c r="D31" s="79" t="str">
        <f t="shared" ca="1" si="0"/>
        <v>원자재</v>
      </c>
      <c r="E31" s="79" t="str">
        <f t="shared" ca="1" si="1"/>
        <v>HR</v>
      </c>
      <c r="F31" s="52" t="s">
        <v>138</v>
      </c>
      <c r="G31" s="52" t="s">
        <v>1781</v>
      </c>
      <c r="H31" s="79" t="str">
        <f t="shared" si="2"/>
        <v>매칭완료</v>
      </c>
      <c r="I31" s="79" t="str">
        <f t="shared" ca="1" si="3"/>
        <v>346-HR</v>
      </c>
      <c r="J31" s="65" t="s">
        <v>138</v>
      </c>
      <c r="K31" s="65" t="s">
        <v>138</v>
      </c>
      <c r="L31" s="83" t="str">
        <f t="shared" si="5"/>
        <v>→ 고압진공 R12</v>
      </c>
      <c r="M31" s="84"/>
      <c r="N31" s="80">
        <v>12</v>
      </c>
      <c r="O31" s="80" t="s">
        <v>1757</v>
      </c>
      <c r="P31" s="79" t="s">
        <v>1782</v>
      </c>
    </row>
    <row r="32" spans="1:16" ht="30" customHeight="1" x14ac:dyDescent="0.3">
      <c r="A32" s="53" t="s">
        <v>110</v>
      </c>
      <c r="B32" s="52" t="s">
        <v>127</v>
      </c>
      <c r="C32" s="52" t="s">
        <v>117</v>
      </c>
      <c r="D32" s="79" t="str">
        <f t="shared" ca="1" si="0"/>
        <v>원자재</v>
      </c>
      <c r="E32" s="79" t="str">
        <f t="shared" ca="1" si="1"/>
        <v>HR</v>
      </c>
      <c r="F32" s="52" t="s">
        <v>140</v>
      </c>
      <c r="G32" s="52" t="s">
        <v>1783</v>
      </c>
      <c r="H32" s="79" t="str">
        <f t="shared" si="2"/>
        <v>매칭완료</v>
      </c>
      <c r="I32" s="79" t="str">
        <f t="shared" ca="1" si="3"/>
        <v>6-HR</v>
      </c>
      <c r="J32" s="65" t="s">
        <v>140</v>
      </c>
      <c r="K32" s="65" t="s">
        <v>140</v>
      </c>
      <c r="L32" s="83" t="str">
        <f t="shared" si="5"/>
        <v>→ 고압진공 R13</v>
      </c>
      <c r="M32" s="84"/>
      <c r="N32" s="80">
        <v>13</v>
      </c>
      <c r="O32" s="80" t="s">
        <v>1757</v>
      </c>
      <c r="P32" s="79" t="s">
        <v>1784</v>
      </c>
    </row>
    <row r="33" spans="1:16" ht="30" customHeight="1" x14ac:dyDescent="0.3">
      <c r="A33" s="53" t="s">
        <v>110</v>
      </c>
      <c r="B33" s="52" t="s">
        <v>127</v>
      </c>
      <c r="C33" s="52" t="s">
        <v>1776</v>
      </c>
      <c r="D33" s="79" t="str">
        <f t="shared" ca="1" si="0"/>
        <v>원자재</v>
      </c>
      <c r="E33" s="79" t="str">
        <f t="shared" ca="1" si="1"/>
        <v>HR</v>
      </c>
      <c r="F33" s="52" t="s">
        <v>142</v>
      </c>
      <c r="G33" s="52" t="s">
        <v>1785</v>
      </c>
      <c r="H33" s="79" t="str">
        <f t="shared" si="2"/>
        <v>매칭완료</v>
      </c>
      <c r="I33" s="79" t="str">
        <f t="shared" ca="1" si="3"/>
        <v>346-HR</v>
      </c>
      <c r="J33" s="65" t="s">
        <v>142</v>
      </c>
      <c r="K33" s="65" t="s">
        <v>142</v>
      </c>
      <c r="L33" s="83" t="str">
        <f t="shared" si="5"/>
        <v>→ 고압진공 R14</v>
      </c>
      <c r="M33" s="84"/>
      <c r="N33" s="80">
        <v>14</v>
      </c>
      <c r="O33" s="80" t="s">
        <v>1757</v>
      </c>
      <c r="P33" s="79" t="s">
        <v>1786</v>
      </c>
    </row>
    <row r="34" spans="1:16" ht="30" customHeight="1" x14ac:dyDescent="0.3">
      <c r="A34" s="53" t="s">
        <v>110</v>
      </c>
      <c r="B34" s="52" t="s">
        <v>127</v>
      </c>
      <c r="C34" s="52" t="s">
        <v>1361</v>
      </c>
      <c r="D34" s="79" t="str">
        <f t="shared" ca="1" si="0"/>
        <v>원자재</v>
      </c>
      <c r="E34" s="79" t="str">
        <f t="shared" ca="1" si="1"/>
        <v>HR</v>
      </c>
      <c r="F34" s="52" t="s">
        <v>144</v>
      </c>
      <c r="G34" s="52" t="s">
        <v>1787</v>
      </c>
      <c r="H34" s="79" t="str">
        <f t="shared" si="2"/>
        <v>매칭완료</v>
      </c>
      <c r="I34" s="79" t="str">
        <f t="shared" ca="1" si="3"/>
        <v>34-HR</v>
      </c>
      <c r="J34" s="65" t="s">
        <v>144</v>
      </c>
      <c r="K34" s="65" t="s">
        <v>144</v>
      </c>
      <c r="L34" s="83" t="str">
        <f t="shared" si="5"/>
        <v>→ 고압진공 R15</v>
      </c>
      <c r="M34" s="84"/>
      <c r="N34" s="80">
        <v>15</v>
      </c>
      <c r="O34" s="80" t="s">
        <v>1757</v>
      </c>
      <c r="P34" s="79" t="s">
        <v>1788</v>
      </c>
    </row>
    <row r="35" spans="1:16" ht="30" customHeight="1" x14ac:dyDescent="0.3">
      <c r="A35" s="53" t="s">
        <v>110</v>
      </c>
      <c r="B35" s="52" t="s">
        <v>127</v>
      </c>
      <c r="C35" s="52" t="s">
        <v>1776</v>
      </c>
      <c r="D35" s="79" t="str">
        <f t="shared" ca="1" si="0"/>
        <v>원자재</v>
      </c>
      <c r="E35" s="79" t="str">
        <f t="shared" ca="1" si="1"/>
        <v>HR</v>
      </c>
      <c r="F35" s="52" t="s">
        <v>146</v>
      </c>
      <c r="G35" s="52" t="s">
        <v>1789</v>
      </c>
      <c r="H35" s="79" t="str">
        <f t="shared" si="2"/>
        <v>매칭완료</v>
      </c>
      <c r="I35" s="79" t="str">
        <f t="shared" ca="1" si="3"/>
        <v>346-HR</v>
      </c>
      <c r="J35" s="65" t="s">
        <v>146</v>
      </c>
      <c r="K35" s="65" t="s">
        <v>146</v>
      </c>
      <c r="L35" s="83" t="str">
        <f t="shared" si="5"/>
        <v>→ 고압진공 R16</v>
      </c>
      <c r="M35" s="84"/>
      <c r="N35" s="80">
        <v>16</v>
      </c>
      <c r="O35" s="80" t="s">
        <v>1757</v>
      </c>
      <c r="P35" s="79" t="s">
        <v>1790</v>
      </c>
    </row>
    <row r="36" spans="1:16" ht="30" customHeight="1" x14ac:dyDescent="0.3">
      <c r="A36" s="53" t="s">
        <v>110</v>
      </c>
      <c r="B36" s="52" t="s">
        <v>127</v>
      </c>
      <c r="C36" s="52" t="s">
        <v>1791</v>
      </c>
      <c r="D36" s="79" t="str">
        <f t="shared" ca="1" si="0"/>
        <v>원자재</v>
      </c>
      <c r="E36" s="79" t="str">
        <f t="shared" ca="1" si="1"/>
        <v>HR</v>
      </c>
      <c r="F36" s="52" t="s">
        <v>149</v>
      </c>
      <c r="G36" s="52" t="s">
        <v>1792</v>
      </c>
      <c r="H36" s="79" t="str">
        <f t="shared" si="2"/>
        <v>매칭완료</v>
      </c>
      <c r="I36" s="79" t="str">
        <f t="shared" ca="1" si="3"/>
        <v>346-HR</v>
      </c>
      <c r="J36" s="65" t="s">
        <v>149</v>
      </c>
      <c r="K36" s="65" t="s">
        <v>149</v>
      </c>
      <c r="L36" s="83" t="str">
        <f t="shared" si="5"/>
        <v>→ 고압진공 R17</v>
      </c>
      <c r="M36" s="84"/>
      <c r="N36" s="80">
        <v>17</v>
      </c>
      <c r="O36" s="80" t="s">
        <v>1757</v>
      </c>
      <c r="P36" s="79" t="s">
        <v>1793</v>
      </c>
    </row>
    <row r="37" spans="1:16" ht="30" customHeight="1" x14ac:dyDescent="0.3">
      <c r="A37" s="53" t="s">
        <v>110</v>
      </c>
      <c r="B37" s="52" t="s">
        <v>127</v>
      </c>
      <c r="C37" s="52" t="s">
        <v>1791</v>
      </c>
      <c r="D37" s="79" t="str">
        <f t="shared" ca="1" si="0"/>
        <v>원자재</v>
      </c>
      <c r="E37" s="79" t="str">
        <f t="shared" ca="1" si="1"/>
        <v>HR</v>
      </c>
      <c r="F37" s="52" t="s">
        <v>151</v>
      </c>
      <c r="G37" s="52" t="s">
        <v>1794</v>
      </c>
      <c r="H37" s="79" t="str">
        <f t="shared" si="2"/>
        <v>매칭완료</v>
      </c>
      <c r="I37" s="79" t="str">
        <f t="shared" ca="1" si="3"/>
        <v>3467-HR</v>
      </c>
      <c r="J37" s="65" t="s">
        <v>151</v>
      </c>
      <c r="K37" s="65" t="s">
        <v>151</v>
      </c>
      <c r="L37" s="83" t="str">
        <f t="shared" si="5"/>
        <v>→ 고압진공 R18</v>
      </c>
      <c r="M37" s="84"/>
      <c r="N37" s="80">
        <v>18</v>
      </c>
      <c r="O37" s="80" t="s">
        <v>1757</v>
      </c>
      <c r="P37" s="79" t="s">
        <v>1795</v>
      </c>
    </row>
    <row r="38" spans="1:16" ht="30" customHeight="1" x14ac:dyDescent="0.3">
      <c r="A38" s="53" t="s">
        <v>110</v>
      </c>
      <c r="B38" s="52" t="s">
        <v>127</v>
      </c>
      <c r="C38" s="52" t="s">
        <v>153</v>
      </c>
      <c r="D38" s="79" t="str">
        <f t="shared" ca="1" si="0"/>
        <v>원자재</v>
      </c>
      <c r="E38" s="79" t="str">
        <f t="shared" ca="1" si="1"/>
        <v>HR</v>
      </c>
      <c r="F38" s="52" t="s">
        <v>154</v>
      </c>
      <c r="G38" s="52" t="s">
        <v>1796</v>
      </c>
      <c r="H38" s="79" t="str">
        <f t="shared" si="2"/>
        <v>매칭완료</v>
      </c>
      <c r="I38" s="79" t="str">
        <f t="shared" ca="1" si="3"/>
        <v>7-HR</v>
      </c>
      <c r="J38" s="65" t="s">
        <v>154</v>
      </c>
      <c r="K38" s="65" t="s">
        <v>154</v>
      </c>
      <c r="L38" s="83" t="str">
        <f t="shared" si="5"/>
        <v>→ 고압진공 R19</v>
      </c>
      <c r="M38" s="84"/>
      <c r="N38" s="80">
        <v>19</v>
      </c>
      <c r="O38" s="80" t="s">
        <v>1757</v>
      </c>
      <c r="P38" s="79" t="s">
        <v>1797</v>
      </c>
    </row>
    <row r="39" spans="1:16" ht="30" customHeight="1" x14ac:dyDescent="0.3">
      <c r="A39" s="53" t="s">
        <v>110</v>
      </c>
      <c r="B39" s="52" t="s">
        <v>127</v>
      </c>
      <c r="C39" s="52" t="s">
        <v>1798</v>
      </c>
      <c r="D39" s="79" t="str">
        <f t="shared" ca="1" si="0"/>
        <v>원자재</v>
      </c>
      <c r="E39" s="79" t="str">
        <f t="shared" ca="1" si="1"/>
        <v>HR</v>
      </c>
      <c r="F39" s="52" t="s">
        <v>1424</v>
      </c>
      <c r="G39" s="52" t="s">
        <v>1799</v>
      </c>
      <c r="H39" s="79" t="str">
        <f t="shared" si="2"/>
        <v>매칭완료</v>
      </c>
      <c r="I39" s="79" t="str">
        <f t="shared" ca="1" si="3"/>
        <v>67-HR</v>
      </c>
      <c r="J39" s="61" t="s">
        <v>1424</v>
      </c>
      <c r="K39" s="61" t="s">
        <v>1424</v>
      </c>
      <c r="L39" s="83" t="str">
        <f t="shared" si="5"/>
        <v>→ 고압진공 R20</v>
      </c>
      <c r="M39" s="84"/>
      <c r="N39" s="80">
        <v>20</v>
      </c>
      <c r="O39" s="80" t="s">
        <v>1757</v>
      </c>
      <c r="P39" s="79" t="s">
        <v>1800</v>
      </c>
    </row>
    <row r="40" spans="1:16" ht="30" customHeight="1" x14ac:dyDescent="0.3">
      <c r="A40" s="53" t="s">
        <v>110</v>
      </c>
      <c r="B40" s="52" t="s">
        <v>127</v>
      </c>
      <c r="C40" s="52" t="s">
        <v>153</v>
      </c>
      <c r="D40" s="79" t="str">
        <f t="shared" ca="1" si="0"/>
        <v>원자재</v>
      </c>
      <c r="E40" s="79" t="str">
        <f t="shared" ca="1" si="1"/>
        <v>HR</v>
      </c>
      <c r="F40" s="52" t="s">
        <v>159</v>
      </c>
      <c r="G40" s="52" t="s">
        <v>1801</v>
      </c>
      <c r="H40" s="79" t="str">
        <f t="shared" si="2"/>
        <v>매칭완료</v>
      </c>
      <c r="I40" s="79" t="str">
        <f t="shared" ca="1" si="3"/>
        <v>7-HR</v>
      </c>
      <c r="J40" s="61" t="s">
        <v>159</v>
      </c>
      <c r="K40" s="61" t="s">
        <v>159</v>
      </c>
      <c r="L40" s="83" t="str">
        <f t="shared" si="5"/>
        <v>→ 고압진공 R21</v>
      </c>
      <c r="M40" s="84"/>
      <c r="N40" s="80">
        <v>21</v>
      </c>
      <c r="O40" s="80" t="s">
        <v>1757</v>
      </c>
      <c r="P40" s="79" t="s">
        <v>1802</v>
      </c>
    </row>
    <row r="41" spans="1:16" ht="30" customHeight="1" x14ac:dyDescent="0.3">
      <c r="A41" s="53" t="s">
        <v>110</v>
      </c>
      <c r="B41" s="52" t="s">
        <v>127</v>
      </c>
      <c r="C41" s="52" t="s">
        <v>117</v>
      </c>
      <c r="D41" s="79" t="str">
        <f t="shared" ca="1" si="0"/>
        <v>원자재</v>
      </c>
      <c r="E41" s="79" t="str">
        <f t="shared" ca="1" si="1"/>
        <v>HR</v>
      </c>
      <c r="F41" s="52" t="s">
        <v>161</v>
      </c>
      <c r="G41" s="52"/>
      <c r="H41" s="79" t="str">
        <f t="shared" ca="1" si="2"/>
        <v>⚠ 원자재_부서보관</v>
      </c>
      <c r="I41" s="79" t="str">
        <f t="shared" ca="1" si="3"/>
        <v>6-HR</v>
      </c>
      <c r="J41" s="61" t="s">
        <v>161</v>
      </c>
      <c r="K41" s="61" t="s">
        <v>161</v>
      </c>
      <c r="L41" s="83" t="str">
        <f t="shared" si="5"/>
        <v>→ 고압진공 R22</v>
      </c>
      <c r="M41" s="84"/>
      <c r="N41" s="80">
        <v>22</v>
      </c>
      <c r="O41" s="80" t="s">
        <v>1757</v>
      </c>
      <c r="P41" s="79" t="s">
        <v>1803</v>
      </c>
    </row>
    <row r="42" spans="1:16" ht="30" customHeight="1" x14ac:dyDescent="0.3">
      <c r="A42" s="53" t="s">
        <v>110</v>
      </c>
      <c r="B42" s="52" t="s">
        <v>127</v>
      </c>
      <c r="C42" s="52" t="s">
        <v>153</v>
      </c>
      <c r="D42" s="79" t="str">
        <f t="shared" ca="1" si="0"/>
        <v>원자재</v>
      </c>
      <c r="E42" s="79" t="str">
        <f t="shared" ca="1" si="1"/>
        <v>HR</v>
      </c>
      <c r="F42" s="52" t="s">
        <v>162</v>
      </c>
      <c r="G42" s="52" t="s">
        <v>1804</v>
      </c>
      <c r="H42" s="79" t="str">
        <f t="shared" si="2"/>
        <v>매칭완료</v>
      </c>
      <c r="I42" s="79" t="str">
        <f t="shared" ca="1" si="3"/>
        <v>7-HR</v>
      </c>
      <c r="J42" s="61" t="s">
        <v>162</v>
      </c>
      <c r="K42" s="61" t="s">
        <v>162</v>
      </c>
      <c r="L42" s="83" t="str">
        <f t="shared" si="5"/>
        <v>→ 고압진공 R23</v>
      </c>
      <c r="M42" s="84"/>
      <c r="N42" s="80">
        <v>23</v>
      </c>
      <c r="O42" s="80" t="s">
        <v>1757</v>
      </c>
      <c r="P42" s="79" t="s">
        <v>1805</v>
      </c>
    </row>
    <row r="43" spans="1:16" ht="30" customHeight="1" x14ac:dyDescent="0.3">
      <c r="A43" s="53" t="s">
        <v>110</v>
      </c>
      <c r="B43" s="52" t="s">
        <v>1806</v>
      </c>
      <c r="C43" s="52" t="s">
        <v>1776</v>
      </c>
      <c r="D43" s="79" t="str">
        <f t="shared" ca="1" si="0"/>
        <v>원자재</v>
      </c>
      <c r="E43" s="79" t="str">
        <f t="shared" ca="1" si="1"/>
        <v>HR</v>
      </c>
      <c r="F43" s="52" t="s">
        <v>174</v>
      </c>
      <c r="G43" s="52" t="s">
        <v>1807</v>
      </c>
      <c r="H43" s="79" t="str">
        <f t="shared" si="2"/>
        <v>매칭완료</v>
      </c>
      <c r="I43" s="79" t="str">
        <f t="shared" ca="1" si="3"/>
        <v>346-HR</v>
      </c>
      <c r="J43" s="61" t="s">
        <v>174</v>
      </c>
      <c r="K43" s="61" t="s">
        <v>174</v>
      </c>
      <c r="L43" s="83" t="str">
        <f t="shared" si="5"/>
        <v>→ 고압진공 R28</v>
      </c>
      <c r="M43" s="84"/>
      <c r="N43" s="80">
        <v>28</v>
      </c>
      <c r="O43" s="80" t="s">
        <v>1757</v>
      </c>
      <c r="P43" s="79" t="s">
        <v>1808</v>
      </c>
    </row>
    <row r="44" spans="1:16" ht="30" customHeight="1" x14ac:dyDescent="0.3">
      <c r="A44" s="53" t="s">
        <v>110</v>
      </c>
      <c r="B44" s="52" t="s">
        <v>1806</v>
      </c>
      <c r="C44" s="52" t="s">
        <v>1776</v>
      </c>
      <c r="D44" s="79" t="str">
        <f t="shared" ca="1" si="0"/>
        <v>원자재</v>
      </c>
      <c r="E44" s="79" t="str">
        <f t="shared" ca="1" si="1"/>
        <v>HR</v>
      </c>
      <c r="F44" s="52" t="s">
        <v>1382</v>
      </c>
      <c r="G44" s="52" t="s">
        <v>1809</v>
      </c>
      <c r="H44" s="79" t="str">
        <f t="shared" si="2"/>
        <v>매칭완료</v>
      </c>
      <c r="I44" s="79" t="str">
        <f t="shared" ca="1" si="3"/>
        <v>346-HR</v>
      </c>
      <c r="J44" s="61" t="s">
        <v>1382</v>
      </c>
      <c r="K44" s="61" t="s">
        <v>1382</v>
      </c>
      <c r="L44" s="83" t="str">
        <f t="shared" si="5"/>
        <v>→ 고압진공 R29</v>
      </c>
      <c r="M44" s="84"/>
      <c r="N44" s="80">
        <v>29</v>
      </c>
      <c r="O44" s="80" t="s">
        <v>1757</v>
      </c>
      <c r="P44" s="79" t="s">
        <v>1810</v>
      </c>
    </row>
    <row r="45" spans="1:16" ht="30" customHeight="1" x14ac:dyDescent="0.3">
      <c r="A45" s="53" t="s">
        <v>110</v>
      </c>
      <c r="B45" s="52" t="s">
        <v>1806</v>
      </c>
      <c r="C45" s="52" t="s">
        <v>117</v>
      </c>
      <c r="D45" s="79" t="str">
        <f t="shared" ca="1" si="0"/>
        <v>원자재</v>
      </c>
      <c r="E45" s="79" t="str">
        <f t="shared" ca="1" si="1"/>
        <v>HR</v>
      </c>
      <c r="F45" s="52" t="s">
        <v>178</v>
      </c>
      <c r="G45" s="52" t="s">
        <v>1811</v>
      </c>
      <c r="H45" s="79" t="str">
        <f t="shared" si="2"/>
        <v>매칭완료</v>
      </c>
      <c r="I45" s="79" t="str">
        <f t="shared" ca="1" si="3"/>
        <v>6-HR</v>
      </c>
      <c r="J45" s="61" t="s">
        <v>178</v>
      </c>
      <c r="K45" s="61" t="s">
        <v>178</v>
      </c>
      <c r="L45" s="83" t="str">
        <f t="shared" si="5"/>
        <v>→ 고압진공 R30</v>
      </c>
      <c r="M45" s="84"/>
      <c r="N45" s="80">
        <v>30</v>
      </c>
      <c r="O45" s="80" t="s">
        <v>1757</v>
      </c>
      <c r="P45" s="79" t="s">
        <v>1812</v>
      </c>
    </row>
    <row r="46" spans="1:16" ht="30" customHeight="1" x14ac:dyDescent="0.3">
      <c r="A46" s="53" t="s">
        <v>110</v>
      </c>
      <c r="B46" s="52" t="s">
        <v>1806</v>
      </c>
      <c r="C46" s="52" t="s">
        <v>1361</v>
      </c>
      <c r="D46" s="79" t="str">
        <f t="shared" ca="1" si="0"/>
        <v>원자재</v>
      </c>
      <c r="E46" s="79" t="str">
        <f t="shared" ca="1" si="1"/>
        <v>HR</v>
      </c>
      <c r="F46" s="52" t="s">
        <v>180</v>
      </c>
      <c r="G46" s="52" t="s">
        <v>1813</v>
      </c>
      <c r="H46" s="79" t="str">
        <f t="shared" si="2"/>
        <v>매칭완료</v>
      </c>
      <c r="I46" s="79" t="str">
        <f t="shared" ca="1" si="3"/>
        <v>34-HR</v>
      </c>
      <c r="J46" s="61" t="s">
        <v>180</v>
      </c>
      <c r="K46" s="65" t="s">
        <v>1814</v>
      </c>
      <c r="L46" s="83" t="str">
        <f t="shared" si="5"/>
        <v>→ 고압진공 R31</v>
      </c>
      <c r="M46" s="84"/>
      <c r="N46" s="80">
        <v>31</v>
      </c>
      <c r="O46" s="80" t="s">
        <v>1757</v>
      </c>
      <c r="P46" s="79" t="s">
        <v>1815</v>
      </c>
    </row>
    <row r="47" spans="1:16" ht="30" customHeight="1" x14ac:dyDescent="0.3">
      <c r="A47" s="53" t="s">
        <v>110</v>
      </c>
      <c r="B47" s="52" t="s">
        <v>1806</v>
      </c>
      <c r="C47" s="52" t="s">
        <v>182</v>
      </c>
      <c r="D47" s="79" t="str">
        <f t="shared" ca="1" si="0"/>
        <v>원자재</v>
      </c>
      <c r="E47" s="79" t="str">
        <f t="shared" ca="1" si="1"/>
        <v>HR</v>
      </c>
      <c r="F47" s="52" t="s">
        <v>180</v>
      </c>
      <c r="G47" s="52" t="s">
        <v>1816</v>
      </c>
      <c r="H47" s="79" t="str">
        <f t="shared" si="2"/>
        <v>매칭완료</v>
      </c>
      <c r="I47" s="79" t="str">
        <f t="shared" ca="1" si="3"/>
        <v>8-HR</v>
      </c>
      <c r="J47" s="61" t="s">
        <v>180</v>
      </c>
      <c r="K47" s="65" t="s">
        <v>1817</v>
      </c>
      <c r="L47" s="83" t="str">
        <f t="shared" si="5"/>
        <v>→ 고압진공 R32</v>
      </c>
      <c r="M47" s="84"/>
      <c r="N47" s="80">
        <v>32</v>
      </c>
      <c r="O47" s="80" t="s">
        <v>1757</v>
      </c>
      <c r="P47" s="79" t="s">
        <v>1818</v>
      </c>
    </row>
    <row r="48" spans="1:16" ht="30" customHeight="1" x14ac:dyDescent="0.3">
      <c r="A48" s="53" t="s">
        <v>110</v>
      </c>
      <c r="B48" s="52" t="s">
        <v>1806</v>
      </c>
      <c r="C48" s="52" t="s">
        <v>1361</v>
      </c>
      <c r="D48" s="79" t="str">
        <f t="shared" ca="1" si="0"/>
        <v>반제품</v>
      </c>
      <c r="E48" s="79" t="str">
        <f t="shared" ca="1" si="1"/>
        <v>HA</v>
      </c>
      <c r="F48" s="52" t="s">
        <v>184</v>
      </c>
      <c r="G48" s="52"/>
      <c r="H48" s="79" t="str">
        <f t="shared" ca="1" si="2"/>
        <v>반제품(창고없음)</v>
      </c>
      <c r="I48" s="79" t="str">
        <f t="shared" ca="1" si="3"/>
        <v>34-HA</v>
      </c>
      <c r="J48" s="61" t="s">
        <v>184</v>
      </c>
      <c r="K48" s="65" t="s">
        <v>1819</v>
      </c>
      <c r="L48" s="83" t="str">
        <f t="shared" si="5"/>
        <v>→ 고압진공 R33</v>
      </c>
      <c r="M48" s="84"/>
      <c r="N48" s="80">
        <v>33</v>
      </c>
      <c r="O48" s="80" t="s">
        <v>1757</v>
      </c>
      <c r="P48" s="79" t="s">
        <v>1820</v>
      </c>
    </row>
    <row r="49" spans="1:16" ht="30" customHeight="1" x14ac:dyDescent="0.3">
      <c r="A49" s="53" t="s">
        <v>110</v>
      </c>
      <c r="B49" s="52" t="s">
        <v>1806</v>
      </c>
      <c r="C49" s="52" t="s">
        <v>117</v>
      </c>
      <c r="D49" s="79" t="str">
        <f t="shared" ca="1" si="0"/>
        <v>반제품</v>
      </c>
      <c r="E49" s="79" t="str">
        <f t="shared" ca="1" si="1"/>
        <v>HA</v>
      </c>
      <c r="F49" s="52" t="s">
        <v>185</v>
      </c>
      <c r="G49" s="52"/>
      <c r="H49" s="79" t="str">
        <f t="shared" ca="1" si="2"/>
        <v>반제품(창고없음)</v>
      </c>
      <c r="I49" s="79" t="str">
        <f t="shared" ca="1" si="3"/>
        <v>6-HA</v>
      </c>
      <c r="J49" s="61" t="s">
        <v>185</v>
      </c>
      <c r="K49" s="65" t="s">
        <v>1821</v>
      </c>
      <c r="L49" s="83" t="str">
        <f t="shared" si="5"/>
        <v>→ 고압진공 R34</v>
      </c>
      <c r="M49" s="84"/>
      <c r="N49" s="80">
        <v>34</v>
      </c>
      <c r="O49" s="80" t="s">
        <v>1757</v>
      </c>
      <c r="P49" s="79" t="s">
        <v>1822</v>
      </c>
    </row>
    <row r="50" spans="1:16" ht="30" customHeight="1" x14ac:dyDescent="0.3">
      <c r="A50" s="53" t="s">
        <v>110</v>
      </c>
      <c r="B50" s="52" t="s">
        <v>1806</v>
      </c>
      <c r="C50" s="52" t="s">
        <v>182</v>
      </c>
      <c r="D50" s="79" t="str">
        <f t="shared" ca="1" si="0"/>
        <v>반제품</v>
      </c>
      <c r="E50" s="79" t="str">
        <f t="shared" ca="1" si="1"/>
        <v>HA</v>
      </c>
      <c r="F50" s="52" t="s">
        <v>186</v>
      </c>
      <c r="G50" s="52"/>
      <c r="H50" s="79" t="str">
        <f t="shared" ca="1" si="2"/>
        <v>반제품(창고없음)</v>
      </c>
      <c r="I50" s="79" t="str">
        <f t="shared" ca="1" si="3"/>
        <v>8-HA</v>
      </c>
      <c r="J50" s="61" t="s">
        <v>186</v>
      </c>
      <c r="K50" s="65" t="s">
        <v>1823</v>
      </c>
      <c r="L50" s="83" t="str">
        <f t="shared" si="5"/>
        <v>→ 고압진공 R35</v>
      </c>
      <c r="M50" s="84"/>
      <c r="N50" s="80">
        <v>35</v>
      </c>
      <c r="O50" s="80" t="s">
        <v>1757</v>
      </c>
      <c r="P50" s="79" t="s">
        <v>1824</v>
      </c>
    </row>
    <row r="51" spans="1:16" ht="30" customHeight="1" x14ac:dyDescent="0.3">
      <c r="A51" s="53" t="s">
        <v>110</v>
      </c>
      <c r="B51" s="52" t="s">
        <v>1806</v>
      </c>
      <c r="C51" s="52" t="s">
        <v>117</v>
      </c>
      <c r="D51" s="79" t="str">
        <f t="shared" ca="1" si="0"/>
        <v>반제품</v>
      </c>
      <c r="E51" s="79" t="str">
        <f t="shared" ca="1" si="1"/>
        <v>HA</v>
      </c>
      <c r="F51" s="52" t="s">
        <v>187</v>
      </c>
      <c r="G51" s="52"/>
      <c r="H51" s="79" t="str">
        <f t="shared" ca="1" si="2"/>
        <v>반제품(창고없음)</v>
      </c>
      <c r="I51" s="79" t="str">
        <f t="shared" ca="1" si="3"/>
        <v>6-HA</v>
      </c>
      <c r="J51" s="61" t="s">
        <v>187</v>
      </c>
      <c r="K51" s="65" t="s">
        <v>1825</v>
      </c>
      <c r="L51" s="83" t="str">
        <f t="shared" si="5"/>
        <v>→ 고압진공 R36</v>
      </c>
      <c r="M51" s="84"/>
      <c r="N51" s="80">
        <v>36</v>
      </c>
      <c r="O51" s="80" t="s">
        <v>1757</v>
      </c>
      <c r="P51" s="79" t="s">
        <v>1826</v>
      </c>
    </row>
    <row r="52" spans="1:16" ht="30" customHeight="1" x14ac:dyDescent="0.3">
      <c r="A52" s="53" t="s">
        <v>110</v>
      </c>
      <c r="B52" s="52" t="s">
        <v>188</v>
      </c>
      <c r="C52" s="52" t="s">
        <v>1361</v>
      </c>
      <c r="D52" s="79" t="str">
        <f t="shared" ca="1" si="0"/>
        <v>원자재</v>
      </c>
      <c r="E52" s="79" t="str">
        <f t="shared" ca="1" si="1"/>
        <v>HR</v>
      </c>
      <c r="F52" s="52" t="s">
        <v>188</v>
      </c>
      <c r="G52" s="52" t="s">
        <v>1827</v>
      </c>
      <c r="H52" s="79" t="str">
        <f t="shared" si="2"/>
        <v>매칭완료</v>
      </c>
      <c r="I52" s="79" t="str">
        <f t="shared" ca="1" si="3"/>
        <v>34-HR</v>
      </c>
      <c r="J52" s="61" t="s">
        <v>188</v>
      </c>
      <c r="K52" s="65" t="s">
        <v>1828</v>
      </c>
      <c r="L52" s="83" t="str">
        <f t="shared" si="5"/>
        <v>→ 고압진공 R37</v>
      </c>
      <c r="M52" s="84"/>
      <c r="N52" s="80">
        <v>37</v>
      </c>
      <c r="O52" s="80" t="s">
        <v>1757</v>
      </c>
      <c r="P52" s="79" t="s">
        <v>1829</v>
      </c>
    </row>
    <row r="53" spans="1:16" ht="30" customHeight="1" x14ac:dyDescent="0.3">
      <c r="A53" s="53" t="s">
        <v>110</v>
      </c>
      <c r="B53" s="52" t="s">
        <v>188</v>
      </c>
      <c r="C53" s="52" t="s">
        <v>153</v>
      </c>
      <c r="D53" s="79" t="str">
        <f t="shared" ca="1" si="0"/>
        <v>원자재</v>
      </c>
      <c r="E53" s="79" t="str">
        <f t="shared" ca="1" si="1"/>
        <v>HR</v>
      </c>
      <c r="F53" s="52" t="s">
        <v>188</v>
      </c>
      <c r="G53" s="52" t="s">
        <v>1830</v>
      </c>
      <c r="H53" s="79" t="str">
        <f t="shared" si="2"/>
        <v>매칭완료</v>
      </c>
      <c r="I53" s="79" t="str">
        <f t="shared" ca="1" si="3"/>
        <v>7-HR</v>
      </c>
      <c r="J53" s="61" t="s">
        <v>188</v>
      </c>
      <c r="K53" s="65" t="s">
        <v>1831</v>
      </c>
      <c r="L53" s="83" t="str">
        <f t="shared" ref="L53:L84" si="6">HYPERLINK("#'"&amp;$O53&amp;"'!A"&amp;$N53,"→ 고압진공 R"&amp;$N53)</f>
        <v>→ 고압진공 R38</v>
      </c>
      <c r="M53" s="84"/>
      <c r="N53" s="80">
        <v>38</v>
      </c>
      <c r="O53" s="80" t="s">
        <v>1757</v>
      </c>
      <c r="P53" s="79" t="s">
        <v>1832</v>
      </c>
    </row>
    <row r="54" spans="1:16" ht="30" customHeight="1" x14ac:dyDescent="0.3">
      <c r="A54" s="53" t="s">
        <v>110</v>
      </c>
      <c r="B54" s="52" t="s">
        <v>188</v>
      </c>
      <c r="C54" s="52" t="s">
        <v>182</v>
      </c>
      <c r="D54" s="79" t="str">
        <f t="shared" ca="1" si="0"/>
        <v>원자재</v>
      </c>
      <c r="E54" s="79" t="str">
        <f t="shared" ca="1" si="1"/>
        <v>HR</v>
      </c>
      <c r="F54" s="52" t="s">
        <v>188</v>
      </c>
      <c r="G54" s="52"/>
      <c r="H54" s="79" t="str">
        <f t="shared" ca="1" si="2"/>
        <v>⚠ 원자재_부서보관</v>
      </c>
      <c r="I54" s="79" t="str">
        <f t="shared" ca="1" si="3"/>
        <v>8-HR</v>
      </c>
      <c r="J54" s="61" t="s">
        <v>188</v>
      </c>
      <c r="K54" s="65" t="s">
        <v>1833</v>
      </c>
      <c r="L54" s="83" t="str">
        <f t="shared" si="6"/>
        <v>→ 고압진공 R39</v>
      </c>
      <c r="M54" s="84"/>
      <c r="N54" s="80">
        <v>39</v>
      </c>
      <c r="O54" s="80" t="s">
        <v>1757</v>
      </c>
      <c r="P54" s="79" t="s">
        <v>1834</v>
      </c>
    </row>
    <row r="55" spans="1:16" ht="30" customHeight="1" x14ac:dyDescent="0.3">
      <c r="A55" s="53" t="s">
        <v>110</v>
      </c>
      <c r="B55" s="52" t="s">
        <v>188</v>
      </c>
      <c r="C55" s="52" t="s">
        <v>117</v>
      </c>
      <c r="D55" s="79" t="str">
        <f t="shared" ca="1" si="0"/>
        <v>원자재</v>
      </c>
      <c r="E55" s="79" t="str">
        <f t="shared" ca="1" si="1"/>
        <v>HR</v>
      </c>
      <c r="F55" s="52" t="s">
        <v>188</v>
      </c>
      <c r="G55" s="52" t="s">
        <v>1835</v>
      </c>
      <c r="H55" s="79" t="str">
        <f t="shared" si="2"/>
        <v>매칭완료</v>
      </c>
      <c r="I55" s="79" t="str">
        <f t="shared" ca="1" si="3"/>
        <v>6-HR</v>
      </c>
      <c r="J55" s="61" t="s">
        <v>188</v>
      </c>
      <c r="K55" s="65" t="s">
        <v>1836</v>
      </c>
      <c r="L55" s="83" t="str">
        <f t="shared" si="6"/>
        <v>→ 고압진공 R40</v>
      </c>
      <c r="M55" s="84"/>
      <c r="N55" s="80">
        <v>40</v>
      </c>
      <c r="O55" s="80" t="s">
        <v>1757</v>
      </c>
      <c r="P55" s="79" t="s">
        <v>1837</v>
      </c>
    </row>
    <row r="56" spans="1:16" ht="30" customHeight="1" x14ac:dyDescent="0.3">
      <c r="A56" s="53" t="s">
        <v>110</v>
      </c>
      <c r="B56" s="52" t="s">
        <v>192</v>
      </c>
      <c r="C56" s="52" t="s">
        <v>1361</v>
      </c>
      <c r="D56" s="79" t="str">
        <f t="shared" ca="1" si="0"/>
        <v>원자재</v>
      </c>
      <c r="E56" s="79" t="str">
        <f t="shared" ca="1" si="1"/>
        <v>HR</v>
      </c>
      <c r="F56" s="52" t="s">
        <v>193</v>
      </c>
      <c r="G56" s="52" t="s">
        <v>1838</v>
      </c>
      <c r="H56" s="79" t="str">
        <f t="shared" si="2"/>
        <v>매칭완료</v>
      </c>
      <c r="I56" s="79" t="str">
        <f t="shared" ca="1" si="3"/>
        <v>34-HR</v>
      </c>
      <c r="J56" s="61" t="s">
        <v>193</v>
      </c>
      <c r="K56" s="61" t="s">
        <v>1838</v>
      </c>
      <c r="L56" s="83" t="str">
        <f t="shared" si="6"/>
        <v>→ 고압진공 R41</v>
      </c>
      <c r="M56" s="84"/>
      <c r="N56" s="80">
        <v>41</v>
      </c>
      <c r="O56" s="80" t="s">
        <v>1757</v>
      </c>
      <c r="P56" s="79" t="s">
        <v>1839</v>
      </c>
    </row>
    <row r="57" spans="1:16" ht="30" customHeight="1" x14ac:dyDescent="0.3">
      <c r="A57" s="53" t="s">
        <v>110</v>
      </c>
      <c r="B57" s="52" t="s">
        <v>192</v>
      </c>
      <c r="C57" s="52" t="s">
        <v>195</v>
      </c>
      <c r="D57" s="79" t="str">
        <f t="shared" ca="1" si="0"/>
        <v>원자재</v>
      </c>
      <c r="E57" s="79" t="str">
        <f t="shared" ca="1" si="1"/>
        <v>HR</v>
      </c>
      <c r="F57" s="52" t="s">
        <v>196</v>
      </c>
      <c r="G57" s="52" t="s">
        <v>1840</v>
      </c>
      <c r="H57" s="79" t="str">
        <f t="shared" si="2"/>
        <v>매칭완료</v>
      </c>
      <c r="I57" s="79" t="str">
        <f t="shared" ca="1" si="3"/>
        <v>3-HR</v>
      </c>
      <c r="J57" s="61" t="s">
        <v>196</v>
      </c>
      <c r="K57" s="65" t="s">
        <v>1840</v>
      </c>
      <c r="L57" s="83" t="str">
        <f t="shared" si="6"/>
        <v>→ 고압진공 R42</v>
      </c>
      <c r="M57" s="84"/>
      <c r="N57" s="80">
        <v>42</v>
      </c>
      <c r="O57" s="80" t="s">
        <v>1757</v>
      </c>
      <c r="P57" s="79" t="s">
        <v>1841</v>
      </c>
    </row>
    <row r="58" spans="1:16" ht="30" customHeight="1" x14ac:dyDescent="0.3">
      <c r="A58" s="53" t="s">
        <v>110</v>
      </c>
      <c r="B58" s="52" t="s">
        <v>192</v>
      </c>
      <c r="C58" s="52" t="s">
        <v>198</v>
      </c>
      <c r="D58" s="79" t="str">
        <f t="shared" ca="1" si="0"/>
        <v>원자재</v>
      </c>
      <c r="E58" s="79" t="str">
        <f t="shared" ca="1" si="1"/>
        <v>HR</v>
      </c>
      <c r="F58" s="52" t="s">
        <v>196</v>
      </c>
      <c r="G58" s="52" t="s">
        <v>1842</v>
      </c>
      <c r="H58" s="79" t="str">
        <f t="shared" si="2"/>
        <v>매칭완료</v>
      </c>
      <c r="I58" s="79" t="str">
        <f t="shared" ca="1" si="3"/>
        <v>4-HR</v>
      </c>
      <c r="J58" s="61" t="s">
        <v>196</v>
      </c>
      <c r="K58" s="61" t="s">
        <v>1842</v>
      </c>
      <c r="L58" s="83" t="str">
        <f t="shared" si="6"/>
        <v>→ 고압진공 R43</v>
      </c>
      <c r="M58" s="84"/>
      <c r="N58" s="80">
        <v>43</v>
      </c>
      <c r="O58" s="80" t="s">
        <v>1757</v>
      </c>
      <c r="P58" s="79" t="s">
        <v>1843</v>
      </c>
    </row>
    <row r="59" spans="1:16" ht="30" customHeight="1" x14ac:dyDescent="0.3">
      <c r="A59" s="53" t="s">
        <v>110</v>
      </c>
      <c r="B59" s="52" t="s">
        <v>192</v>
      </c>
      <c r="C59" s="52" t="s">
        <v>153</v>
      </c>
      <c r="D59" s="79" t="str">
        <f t="shared" ca="1" si="0"/>
        <v>원자재</v>
      </c>
      <c r="E59" s="79" t="str">
        <f t="shared" ca="1" si="1"/>
        <v>HR</v>
      </c>
      <c r="F59" s="52" t="s">
        <v>200</v>
      </c>
      <c r="G59" s="52" t="s">
        <v>1844</v>
      </c>
      <c r="H59" s="79" t="str">
        <f t="shared" si="2"/>
        <v>매칭완료</v>
      </c>
      <c r="I59" s="79" t="str">
        <f t="shared" ca="1" si="3"/>
        <v>7-HR</v>
      </c>
      <c r="J59" s="61" t="s">
        <v>200</v>
      </c>
      <c r="K59" s="65" t="s">
        <v>1845</v>
      </c>
      <c r="L59" s="83" t="str">
        <f t="shared" si="6"/>
        <v>→ 고압진공 R44</v>
      </c>
      <c r="M59" s="84"/>
      <c r="N59" s="80">
        <v>44</v>
      </c>
      <c r="O59" s="80" t="s">
        <v>1757</v>
      </c>
      <c r="P59" s="79" t="s">
        <v>1846</v>
      </c>
    </row>
    <row r="60" spans="1:16" ht="30" customHeight="1" x14ac:dyDescent="0.3">
      <c r="A60" s="53" t="s">
        <v>110</v>
      </c>
      <c r="B60" s="52" t="s">
        <v>192</v>
      </c>
      <c r="C60" s="52" t="s">
        <v>117</v>
      </c>
      <c r="D60" s="79" t="str">
        <f t="shared" ca="1" si="0"/>
        <v>원자재</v>
      </c>
      <c r="E60" s="79" t="str">
        <f t="shared" ca="1" si="1"/>
        <v>HR</v>
      </c>
      <c r="F60" s="52" t="s">
        <v>202</v>
      </c>
      <c r="G60" s="52" t="s">
        <v>1847</v>
      </c>
      <c r="H60" s="79" t="str">
        <f t="shared" si="2"/>
        <v>매칭완료</v>
      </c>
      <c r="I60" s="79" t="str">
        <f t="shared" ca="1" si="3"/>
        <v>6-HR</v>
      </c>
      <c r="J60" s="61" t="s">
        <v>202</v>
      </c>
      <c r="K60" s="65" t="s">
        <v>202</v>
      </c>
      <c r="L60" s="83" t="str">
        <f t="shared" si="6"/>
        <v>→ 고압진공 R45</v>
      </c>
      <c r="M60" s="84"/>
      <c r="N60" s="80">
        <v>45</v>
      </c>
      <c r="O60" s="80" t="s">
        <v>1757</v>
      </c>
      <c r="P60" s="79" t="s">
        <v>1848</v>
      </c>
    </row>
    <row r="61" spans="1:16" ht="30" customHeight="1" x14ac:dyDescent="0.3">
      <c r="A61" s="53" t="s">
        <v>110</v>
      </c>
      <c r="B61" s="52" t="s">
        <v>192</v>
      </c>
      <c r="C61" s="52" t="s">
        <v>117</v>
      </c>
      <c r="D61" s="79" t="str">
        <f t="shared" ca="1" si="0"/>
        <v>원자재</v>
      </c>
      <c r="E61" s="79" t="str">
        <f t="shared" ca="1" si="1"/>
        <v>HR</v>
      </c>
      <c r="F61" s="52" t="s">
        <v>204</v>
      </c>
      <c r="G61" s="52" t="s">
        <v>1849</v>
      </c>
      <c r="H61" s="79" t="str">
        <f t="shared" si="2"/>
        <v>매칭완료</v>
      </c>
      <c r="I61" s="79" t="str">
        <f t="shared" ca="1" si="3"/>
        <v>6-HR</v>
      </c>
      <c r="J61" s="61" t="s">
        <v>204</v>
      </c>
      <c r="K61" s="61" t="s">
        <v>204</v>
      </c>
      <c r="L61" s="83" t="str">
        <f t="shared" si="6"/>
        <v>→ 고압진공 R46</v>
      </c>
      <c r="M61" s="84"/>
      <c r="N61" s="80">
        <v>46</v>
      </c>
      <c r="O61" s="80" t="s">
        <v>1757</v>
      </c>
      <c r="P61" s="79" t="s">
        <v>1850</v>
      </c>
    </row>
    <row r="62" spans="1:16" ht="30" customHeight="1" x14ac:dyDescent="0.3">
      <c r="A62" s="53" t="s">
        <v>110</v>
      </c>
      <c r="B62" s="52" t="s">
        <v>192</v>
      </c>
      <c r="C62" s="52" t="s">
        <v>1361</v>
      </c>
      <c r="D62" s="79" t="str">
        <f t="shared" ca="1" si="0"/>
        <v>원자재</v>
      </c>
      <c r="E62" s="79" t="str">
        <f t="shared" ca="1" si="1"/>
        <v>HR</v>
      </c>
      <c r="F62" s="52" t="s">
        <v>206</v>
      </c>
      <c r="G62" s="52" t="s">
        <v>1851</v>
      </c>
      <c r="H62" s="79" t="str">
        <f t="shared" si="2"/>
        <v>매칭완료</v>
      </c>
      <c r="I62" s="79" t="str">
        <f t="shared" ca="1" si="3"/>
        <v>34-HR</v>
      </c>
      <c r="J62" s="61" t="s">
        <v>206</v>
      </c>
      <c r="K62" s="65" t="s">
        <v>1852</v>
      </c>
      <c r="L62" s="83" t="str">
        <f t="shared" si="6"/>
        <v>→ 고압진공 R47</v>
      </c>
      <c r="M62" s="84"/>
      <c r="N62" s="80">
        <v>47</v>
      </c>
      <c r="O62" s="80" t="s">
        <v>1757</v>
      </c>
      <c r="P62" s="79" t="s">
        <v>1853</v>
      </c>
    </row>
    <row r="63" spans="1:16" ht="30" customHeight="1" x14ac:dyDescent="0.3">
      <c r="A63" s="53" t="s">
        <v>110</v>
      </c>
      <c r="B63" s="52" t="s">
        <v>192</v>
      </c>
      <c r="C63" s="52" t="s">
        <v>195</v>
      </c>
      <c r="D63" s="79" t="str">
        <f t="shared" ca="1" si="0"/>
        <v>원자재</v>
      </c>
      <c r="E63" s="79" t="str">
        <f t="shared" ca="1" si="1"/>
        <v>HR</v>
      </c>
      <c r="F63" s="52" t="s">
        <v>208</v>
      </c>
      <c r="G63" s="52" t="s">
        <v>1854</v>
      </c>
      <c r="H63" s="79" t="str">
        <f t="shared" si="2"/>
        <v>매칭완료</v>
      </c>
      <c r="I63" s="79" t="str">
        <f t="shared" ca="1" si="3"/>
        <v>3-HR</v>
      </c>
      <c r="J63" s="61" t="s">
        <v>208</v>
      </c>
      <c r="K63" s="65" t="s">
        <v>1855</v>
      </c>
      <c r="L63" s="83" t="str">
        <f t="shared" si="6"/>
        <v>→ 고압진공 R48</v>
      </c>
      <c r="M63" s="84"/>
      <c r="N63" s="80">
        <v>48</v>
      </c>
      <c r="O63" s="80" t="s">
        <v>1757</v>
      </c>
      <c r="P63" s="79" t="s">
        <v>1856</v>
      </c>
    </row>
    <row r="64" spans="1:16" ht="30" customHeight="1" x14ac:dyDescent="0.3">
      <c r="A64" s="53" t="s">
        <v>110</v>
      </c>
      <c r="B64" s="52" t="s">
        <v>192</v>
      </c>
      <c r="C64" s="52" t="s">
        <v>153</v>
      </c>
      <c r="D64" s="79" t="str">
        <f t="shared" ca="1" si="0"/>
        <v>원자재</v>
      </c>
      <c r="E64" s="79" t="str">
        <f t="shared" ca="1" si="1"/>
        <v>HR</v>
      </c>
      <c r="F64" s="52" t="s">
        <v>210</v>
      </c>
      <c r="G64" s="52" t="s">
        <v>1857</v>
      </c>
      <c r="H64" s="79" t="str">
        <f t="shared" si="2"/>
        <v>매칭완료</v>
      </c>
      <c r="I64" s="79" t="str">
        <f t="shared" ca="1" si="3"/>
        <v>7-HR</v>
      </c>
      <c r="J64" s="61" t="s">
        <v>210</v>
      </c>
      <c r="K64" s="65" t="s">
        <v>1858</v>
      </c>
      <c r="L64" s="83" t="str">
        <f t="shared" si="6"/>
        <v>→ 고압진공 R49</v>
      </c>
      <c r="M64" s="84"/>
      <c r="N64" s="80">
        <v>49</v>
      </c>
      <c r="O64" s="80" t="s">
        <v>1757</v>
      </c>
      <c r="P64" s="79" t="s">
        <v>1859</v>
      </c>
    </row>
    <row r="65" spans="1:16" ht="30" customHeight="1" x14ac:dyDescent="0.3">
      <c r="A65" s="53" t="s">
        <v>110</v>
      </c>
      <c r="B65" s="52" t="s">
        <v>192</v>
      </c>
      <c r="C65" s="52" t="s">
        <v>182</v>
      </c>
      <c r="D65" s="79" t="str">
        <f t="shared" ca="1" si="0"/>
        <v>원자재</v>
      </c>
      <c r="E65" s="79" t="str">
        <f t="shared" ca="1" si="1"/>
        <v>HR</v>
      </c>
      <c r="F65" s="52" t="s">
        <v>212</v>
      </c>
      <c r="G65" s="52" t="s">
        <v>1860</v>
      </c>
      <c r="H65" s="79" t="str">
        <f t="shared" si="2"/>
        <v>매칭완료</v>
      </c>
      <c r="I65" s="79" t="str">
        <f t="shared" ca="1" si="3"/>
        <v>8-HR</v>
      </c>
      <c r="J65" s="61" t="s">
        <v>212</v>
      </c>
      <c r="K65" s="65" t="s">
        <v>1861</v>
      </c>
      <c r="L65" s="83" t="str">
        <f t="shared" si="6"/>
        <v>→ 고압진공 R50</v>
      </c>
      <c r="M65" s="84"/>
      <c r="N65" s="80">
        <v>50</v>
      </c>
      <c r="O65" s="80" t="s">
        <v>1757</v>
      </c>
      <c r="P65" s="79" t="s">
        <v>1862</v>
      </c>
    </row>
    <row r="66" spans="1:16" ht="30" customHeight="1" x14ac:dyDescent="0.3">
      <c r="A66" s="53" t="s">
        <v>110</v>
      </c>
      <c r="B66" s="52" t="s">
        <v>192</v>
      </c>
      <c r="C66" s="52" t="s">
        <v>153</v>
      </c>
      <c r="D66" s="79" t="str">
        <f t="shared" ref="D66:D129" ca="1" si="7">IF(INDIRECT("'"&amp;$O66&amp;"'!F"&amp;$N66)="O","원자재",IF(INDIRECT("'"&amp;$O66&amp;"'!G"&amp;$N66)="O","반제품",IF(INDIRECT("'"&amp;$O66&amp;"'!H"&amp;$N66)="O","완제품","")))</f>
        <v>원자재</v>
      </c>
      <c r="E66" s="79" t="str">
        <f t="shared" ref="E66:E129" ca="1" si="8">IFERROR(IF(INDIRECT("'"&amp;$O66&amp;"'!I"&amp;$N66)=0,"",INDIRECT("'"&amp;$O66&amp;"'!I"&amp;$N66)),"")</f>
        <v>HR</v>
      </c>
      <c r="F66" s="52" t="s">
        <v>214</v>
      </c>
      <c r="G66" s="52" t="s">
        <v>1863</v>
      </c>
      <c r="H66" s="79" t="str">
        <f t="shared" ref="H66:H129" si="9">IF(AND($F66="",$G66=""),"",IF($F66="","창고전용",IF($G66&lt;&gt;"","매칭완료",IF($D66="반제품","반제품(창고없음)",IF($D66="완제품","완제품(창고없음)",IF($D66="원자재","⚠ 원자재_부서보관","미분류"))))))</f>
        <v>매칭완료</v>
      </c>
      <c r="I66" s="79" t="str">
        <f t="shared" ref="I66:I129" ca="1" si="10">IFERROR(IF(INDIRECT("'"&amp;$O66&amp;"'!P"&amp;$N66)=0,"",INDIRECT("'"&amp;$O66&amp;"'!P"&amp;$N66)),"")</f>
        <v>7-HR</v>
      </c>
      <c r="J66" s="61" t="s">
        <v>214</v>
      </c>
      <c r="K66" s="65" t="s">
        <v>1864</v>
      </c>
      <c r="L66" s="83" t="str">
        <f t="shared" si="6"/>
        <v>→ 고압진공 R51</v>
      </c>
      <c r="M66" s="84"/>
      <c r="N66" s="80">
        <v>51</v>
      </c>
      <c r="O66" s="80" t="s">
        <v>1757</v>
      </c>
      <c r="P66" s="79" t="s">
        <v>1865</v>
      </c>
    </row>
    <row r="67" spans="1:16" ht="30" customHeight="1" x14ac:dyDescent="0.3">
      <c r="A67" s="53" t="s">
        <v>110</v>
      </c>
      <c r="B67" s="52" t="s">
        <v>192</v>
      </c>
      <c r="C67" s="52" t="s">
        <v>153</v>
      </c>
      <c r="D67" s="79" t="str">
        <f t="shared" ca="1" si="7"/>
        <v>원자재</v>
      </c>
      <c r="E67" s="79" t="str">
        <f t="shared" ca="1" si="8"/>
        <v>HR</v>
      </c>
      <c r="F67" s="52" t="s">
        <v>216</v>
      </c>
      <c r="G67" s="52"/>
      <c r="H67" s="79" t="str">
        <f t="shared" ca="1" si="9"/>
        <v>⚠ 원자재_부서보관</v>
      </c>
      <c r="I67" s="79" t="str">
        <f t="shared" ca="1" si="10"/>
        <v>7-HR</v>
      </c>
      <c r="J67" s="61" t="s">
        <v>216</v>
      </c>
      <c r="K67" s="65" t="s">
        <v>1866</v>
      </c>
      <c r="L67" s="83" t="str">
        <f t="shared" si="6"/>
        <v>→ 고압진공 R52</v>
      </c>
      <c r="M67" s="84"/>
      <c r="N67" s="80">
        <v>52</v>
      </c>
      <c r="O67" s="80" t="s">
        <v>1757</v>
      </c>
      <c r="P67" s="79" t="s">
        <v>1867</v>
      </c>
    </row>
    <row r="68" spans="1:16" ht="30" customHeight="1" x14ac:dyDescent="0.3">
      <c r="A68" s="53" t="s">
        <v>110</v>
      </c>
      <c r="B68" s="52" t="s">
        <v>192</v>
      </c>
      <c r="C68" s="52" t="s">
        <v>217</v>
      </c>
      <c r="D68" s="79" t="str">
        <f t="shared" ca="1" si="7"/>
        <v>원자재</v>
      </c>
      <c r="E68" s="79" t="str">
        <f t="shared" ca="1" si="8"/>
        <v>HR</v>
      </c>
      <c r="F68" s="52" t="s">
        <v>218</v>
      </c>
      <c r="G68" s="52"/>
      <c r="H68" s="79" t="str">
        <f t="shared" ca="1" si="9"/>
        <v>⚠ 원자재_부서보관</v>
      </c>
      <c r="I68" s="79" t="str">
        <f t="shared" ca="1" si="10"/>
        <v>3-HR</v>
      </c>
      <c r="J68" s="61" t="s">
        <v>218</v>
      </c>
      <c r="K68" s="65" t="s">
        <v>1868</v>
      </c>
      <c r="L68" s="83" t="str">
        <f t="shared" si="6"/>
        <v>→ 고압진공 R53</v>
      </c>
      <c r="M68" s="84"/>
      <c r="N68" s="80">
        <v>53</v>
      </c>
      <c r="O68" s="80" t="s">
        <v>1757</v>
      </c>
      <c r="P68" s="79" t="s">
        <v>1869</v>
      </c>
    </row>
    <row r="69" spans="1:16" ht="30" customHeight="1" x14ac:dyDescent="0.3">
      <c r="A69" s="53" t="s">
        <v>110</v>
      </c>
      <c r="B69" s="52" t="s">
        <v>192</v>
      </c>
      <c r="C69" s="52" t="s">
        <v>117</v>
      </c>
      <c r="D69" s="79" t="str">
        <f t="shared" ca="1" si="7"/>
        <v>원자재</v>
      </c>
      <c r="E69" s="79" t="str">
        <f t="shared" ca="1" si="8"/>
        <v>HR</v>
      </c>
      <c r="F69" s="52" t="s">
        <v>193</v>
      </c>
      <c r="G69" s="52" t="s">
        <v>1870</v>
      </c>
      <c r="H69" s="79" t="str">
        <f t="shared" si="9"/>
        <v>매칭완료</v>
      </c>
      <c r="I69" s="79" t="str">
        <f t="shared" ca="1" si="10"/>
        <v>6-HR</v>
      </c>
      <c r="J69" s="61" t="s">
        <v>193</v>
      </c>
      <c r="K69" s="61" t="s">
        <v>1870</v>
      </c>
      <c r="L69" s="83" t="str">
        <f t="shared" si="6"/>
        <v>→ 고압진공 R54</v>
      </c>
      <c r="M69" s="84"/>
      <c r="N69" s="80">
        <v>54</v>
      </c>
      <c r="O69" s="80" t="s">
        <v>1757</v>
      </c>
      <c r="P69" s="79" t="s">
        <v>1871</v>
      </c>
    </row>
    <row r="70" spans="1:16" ht="30" customHeight="1" x14ac:dyDescent="0.3">
      <c r="A70" s="53" t="s">
        <v>110</v>
      </c>
      <c r="B70" s="52" t="s">
        <v>192</v>
      </c>
      <c r="C70" s="52" t="s">
        <v>117</v>
      </c>
      <c r="D70" s="79" t="str">
        <f t="shared" ca="1" si="7"/>
        <v>원자재</v>
      </c>
      <c r="E70" s="79" t="str">
        <f t="shared" ca="1" si="8"/>
        <v>HR</v>
      </c>
      <c r="F70" s="52" t="s">
        <v>196</v>
      </c>
      <c r="G70" s="52" t="s">
        <v>1872</v>
      </c>
      <c r="H70" s="79" t="str">
        <f t="shared" si="9"/>
        <v>매칭완료</v>
      </c>
      <c r="I70" s="79" t="str">
        <f t="shared" ca="1" si="10"/>
        <v>6-HR</v>
      </c>
      <c r="J70" s="61" t="s">
        <v>196</v>
      </c>
      <c r="K70" s="61" t="s">
        <v>1872</v>
      </c>
      <c r="L70" s="83" t="str">
        <f t="shared" si="6"/>
        <v>→ 고압진공 R55</v>
      </c>
      <c r="M70" s="84"/>
      <c r="N70" s="80">
        <v>55</v>
      </c>
      <c r="O70" s="80" t="s">
        <v>1757</v>
      </c>
      <c r="P70" s="79" t="s">
        <v>1873</v>
      </c>
    </row>
    <row r="71" spans="1:16" ht="30" customHeight="1" x14ac:dyDescent="0.3">
      <c r="A71" s="53" t="s">
        <v>110</v>
      </c>
      <c r="B71" s="52" t="s">
        <v>1874</v>
      </c>
      <c r="C71" s="52" t="s">
        <v>1361</v>
      </c>
      <c r="D71" s="79" t="str">
        <f t="shared" ca="1" si="7"/>
        <v>반제품</v>
      </c>
      <c r="E71" s="79" t="str">
        <f t="shared" ca="1" si="8"/>
        <v>HA</v>
      </c>
      <c r="F71" s="52" t="s">
        <v>245</v>
      </c>
      <c r="G71" s="52"/>
      <c r="H71" s="79" t="str">
        <f t="shared" ca="1" si="9"/>
        <v>반제품(창고없음)</v>
      </c>
      <c r="I71" s="79" t="str">
        <f t="shared" ca="1" si="10"/>
        <v>34-HA</v>
      </c>
      <c r="J71" s="61" t="s">
        <v>245</v>
      </c>
      <c r="K71" s="65" t="s">
        <v>1875</v>
      </c>
      <c r="L71" s="83" t="str">
        <f t="shared" si="6"/>
        <v>→ 고압진공 R72</v>
      </c>
      <c r="M71" s="84"/>
      <c r="N71" s="80">
        <v>72</v>
      </c>
      <c r="O71" s="80" t="s">
        <v>1757</v>
      </c>
      <c r="P71" s="79" t="s">
        <v>1876</v>
      </c>
    </row>
    <row r="72" spans="1:16" ht="30" customHeight="1" x14ac:dyDescent="0.3">
      <c r="A72" s="53" t="s">
        <v>110</v>
      </c>
      <c r="B72" s="52" t="s">
        <v>1874</v>
      </c>
      <c r="C72" s="52" t="s">
        <v>1764</v>
      </c>
      <c r="D72" s="79" t="str">
        <f t="shared" ca="1" si="7"/>
        <v>반제품</v>
      </c>
      <c r="E72" s="79" t="str">
        <f t="shared" ca="1" si="8"/>
        <v>HA</v>
      </c>
      <c r="F72" s="52" t="s">
        <v>246</v>
      </c>
      <c r="G72" s="52"/>
      <c r="H72" s="79" t="str">
        <f t="shared" ca="1" si="9"/>
        <v>반제품(창고없음)</v>
      </c>
      <c r="I72" s="79" t="str">
        <f t="shared" ca="1" si="10"/>
        <v>3468-HA</v>
      </c>
      <c r="J72" s="61" t="s">
        <v>246</v>
      </c>
      <c r="K72" s="65" t="s">
        <v>1877</v>
      </c>
      <c r="L72" s="83" t="str">
        <f t="shared" si="6"/>
        <v>→ 고압진공 R73</v>
      </c>
      <c r="M72" s="84"/>
      <c r="N72" s="80">
        <v>73</v>
      </c>
      <c r="O72" s="80" t="s">
        <v>1757</v>
      </c>
      <c r="P72" s="79" t="s">
        <v>1878</v>
      </c>
    </row>
    <row r="73" spans="1:16" ht="30" customHeight="1" x14ac:dyDescent="0.3">
      <c r="A73" s="53" t="s">
        <v>110</v>
      </c>
      <c r="B73" s="52" t="s">
        <v>1874</v>
      </c>
      <c r="C73" s="52" t="s">
        <v>1759</v>
      </c>
      <c r="D73" s="79" t="str">
        <f t="shared" ca="1" si="7"/>
        <v>반제품</v>
      </c>
      <c r="E73" s="79" t="str">
        <f t="shared" ca="1" si="8"/>
        <v>HA</v>
      </c>
      <c r="F73" s="52" t="s">
        <v>247</v>
      </c>
      <c r="G73" s="52"/>
      <c r="H73" s="79" t="str">
        <f t="shared" ca="1" si="9"/>
        <v>반제품(창고없음)</v>
      </c>
      <c r="I73" s="79" t="str">
        <f t="shared" ca="1" si="10"/>
        <v>78-HA</v>
      </c>
      <c r="J73" s="61" t="s">
        <v>247</v>
      </c>
      <c r="K73" s="65" t="s">
        <v>1879</v>
      </c>
      <c r="L73" s="83" t="str">
        <f t="shared" si="6"/>
        <v>→ 고압진공 R74</v>
      </c>
      <c r="M73" s="84"/>
      <c r="N73" s="80">
        <v>74</v>
      </c>
      <c r="O73" s="80" t="s">
        <v>1757</v>
      </c>
      <c r="P73" s="79" t="s">
        <v>1880</v>
      </c>
    </row>
    <row r="74" spans="1:16" ht="30" customHeight="1" x14ac:dyDescent="0.3">
      <c r="A74" s="53" t="s">
        <v>110</v>
      </c>
      <c r="B74" s="52" t="s">
        <v>1874</v>
      </c>
      <c r="C74" s="52" t="s">
        <v>117</v>
      </c>
      <c r="D74" s="79" t="str">
        <f t="shared" ca="1" si="7"/>
        <v>반제품</v>
      </c>
      <c r="E74" s="79" t="str">
        <f t="shared" ca="1" si="8"/>
        <v>HA</v>
      </c>
      <c r="F74" s="52" t="s">
        <v>248</v>
      </c>
      <c r="G74" s="52"/>
      <c r="H74" s="79" t="str">
        <f t="shared" ca="1" si="9"/>
        <v>반제품(창고없음)</v>
      </c>
      <c r="I74" s="79" t="str">
        <f t="shared" ca="1" si="10"/>
        <v>6-HA</v>
      </c>
      <c r="J74" s="61" t="s">
        <v>248</v>
      </c>
      <c r="K74" s="65" t="s">
        <v>1881</v>
      </c>
      <c r="L74" s="83" t="str">
        <f t="shared" si="6"/>
        <v>→ 고압진공 R75</v>
      </c>
      <c r="M74" s="84"/>
      <c r="N74" s="80">
        <v>75</v>
      </c>
      <c r="O74" s="80" t="s">
        <v>1757</v>
      </c>
      <c r="P74" s="79" t="s">
        <v>1882</v>
      </c>
    </row>
    <row r="75" spans="1:16" ht="30" customHeight="1" x14ac:dyDescent="0.3">
      <c r="A75" s="53" t="s">
        <v>110</v>
      </c>
      <c r="B75" s="52" t="s">
        <v>1874</v>
      </c>
      <c r="C75" s="52" t="s">
        <v>117</v>
      </c>
      <c r="D75" s="79" t="str">
        <f t="shared" ca="1" si="7"/>
        <v>반제품</v>
      </c>
      <c r="E75" s="79" t="str">
        <f t="shared" ca="1" si="8"/>
        <v>HA</v>
      </c>
      <c r="F75" s="52" t="s">
        <v>249</v>
      </c>
      <c r="G75" s="52"/>
      <c r="H75" s="79" t="str">
        <f t="shared" ca="1" si="9"/>
        <v>반제품(창고없음)</v>
      </c>
      <c r="I75" s="79" t="str">
        <f t="shared" ca="1" si="10"/>
        <v>6-HA</v>
      </c>
      <c r="J75" s="61" t="s">
        <v>249</v>
      </c>
      <c r="K75" s="65" t="s">
        <v>1883</v>
      </c>
      <c r="L75" s="83" t="str">
        <f t="shared" si="6"/>
        <v>→ 고압진공 R76</v>
      </c>
      <c r="M75" s="84"/>
      <c r="N75" s="80">
        <v>76</v>
      </c>
      <c r="O75" s="80" t="s">
        <v>1757</v>
      </c>
      <c r="P75" s="79" t="s">
        <v>1884</v>
      </c>
    </row>
    <row r="76" spans="1:16" ht="30" customHeight="1" x14ac:dyDescent="0.3">
      <c r="A76" s="53" t="s">
        <v>110</v>
      </c>
      <c r="B76" s="52" t="s">
        <v>1874</v>
      </c>
      <c r="C76" s="52" t="s">
        <v>117</v>
      </c>
      <c r="D76" s="79" t="str">
        <f t="shared" ca="1" si="7"/>
        <v>반제품</v>
      </c>
      <c r="E76" s="79" t="str">
        <f t="shared" ca="1" si="8"/>
        <v>HA</v>
      </c>
      <c r="F76" s="52" t="s">
        <v>250</v>
      </c>
      <c r="G76" s="52"/>
      <c r="H76" s="79" t="str">
        <f t="shared" ca="1" si="9"/>
        <v>반제품(창고없음)</v>
      </c>
      <c r="I76" s="79" t="str">
        <f t="shared" ca="1" si="10"/>
        <v>6-HA</v>
      </c>
      <c r="J76" s="61" t="s">
        <v>250</v>
      </c>
      <c r="K76" s="65" t="s">
        <v>1885</v>
      </c>
      <c r="L76" s="83" t="str">
        <f t="shared" si="6"/>
        <v>→ 고압진공 R77</v>
      </c>
      <c r="M76" s="84"/>
      <c r="N76" s="80">
        <v>77</v>
      </c>
      <c r="O76" s="80" t="s">
        <v>1757</v>
      </c>
      <c r="P76" s="79" t="s">
        <v>1886</v>
      </c>
    </row>
    <row r="77" spans="1:16" ht="30" customHeight="1" x14ac:dyDescent="0.3">
      <c r="A77" s="53" t="s">
        <v>110</v>
      </c>
      <c r="B77" s="52" t="s">
        <v>1887</v>
      </c>
      <c r="C77" s="52" t="s">
        <v>1361</v>
      </c>
      <c r="D77" s="79" t="str">
        <f t="shared" ca="1" si="7"/>
        <v>반제품</v>
      </c>
      <c r="E77" s="79" t="str">
        <f t="shared" ca="1" si="8"/>
        <v>HA</v>
      </c>
      <c r="F77" s="52" t="s">
        <v>252</v>
      </c>
      <c r="G77" s="52"/>
      <c r="H77" s="79" t="str">
        <f t="shared" ca="1" si="9"/>
        <v>반제품(창고없음)</v>
      </c>
      <c r="I77" s="79" t="str">
        <f t="shared" ca="1" si="10"/>
        <v>34-HA</v>
      </c>
      <c r="J77" s="61" t="s">
        <v>252</v>
      </c>
      <c r="K77" s="65" t="s">
        <v>1888</v>
      </c>
      <c r="L77" s="83" t="str">
        <f t="shared" si="6"/>
        <v>→ 고압진공 R78</v>
      </c>
      <c r="M77" s="84"/>
      <c r="N77" s="80">
        <v>78</v>
      </c>
      <c r="O77" s="80" t="s">
        <v>1757</v>
      </c>
      <c r="P77" s="79" t="s">
        <v>1889</v>
      </c>
    </row>
    <row r="78" spans="1:16" ht="30" customHeight="1" x14ac:dyDescent="0.3">
      <c r="A78" s="53" t="s">
        <v>110</v>
      </c>
      <c r="B78" s="52" t="s">
        <v>1887</v>
      </c>
      <c r="C78" s="52" t="s">
        <v>195</v>
      </c>
      <c r="D78" s="79" t="str">
        <f t="shared" ca="1" si="7"/>
        <v>반제품</v>
      </c>
      <c r="E78" s="79" t="str">
        <f t="shared" ca="1" si="8"/>
        <v>HA</v>
      </c>
      <c r="F78" s="52" t="s">
        <v>253</v>
      </c>
      <c r="G78" s="52"/>
      <c r="H78" s="79" t="str">
        <f t="shared" ca="1" si="9"/>
        <v>반제품(창고없음)</v>
      </c>
      <c r="I78" s="79" t="str">
        <f t="shared" ca="1" si="10"/>
        <v>3-HA</v>
      </c>
      <c r="J78" s="61" t="s">
        <v>253</v>
      </c>
      <c r="K78" s="65" t="s">
        <v>1890</v>
      </c>
      <c r="L78" s="83" t="str">
        <f t="shared" si="6"/>
        <v>→ 고압진공 R79</v>
      </c>
      <c r="M78" s="84"/>
      <c r="N78" s="80">
        <v>79</v>
      </c>
      <c r="O78" s="80" t="s">
        <v>1757</v>
      </c>
      <c r="P78" s="79" t="s">
        <v>1891</v>
      </c>
    </row>
    <row r="79" spans="1:16" ht="30" customHeight="1" x14ac:dyDescent="0.3">
      <c r="A79" s="53" t="s">
        <v>110</v>
      </c>
      <c r="B79" s="52" t="s">
        <v>1887</v>
      </c>
      <c r="C79" s="52" t="s">
        <v>117</v>
      </c>
      <c r="D79" s="79" t="str">
        <f t="shared" ca="1" si="7"/>
        <v>반제품</v>
      </c>
      <c r="E79" s="79" t="str">
        <f t="shared" ca="1" si="8"/>
        <v>HA</v>
      </c>
      <c r="F79" s="52" t="s">
        <v>254</v>
      </c>
      <c r="G79" s="52"/>
      <c r="H79" s="79" t="str">
        <f t="shared" ca="1" si="9"/>
        <v>반제품(창고없음)</v>
      </c>
      <c r="I79" s="79" t="str">
        <f t="shared" ca="1" si="10"/>
        <v>6-HA</v>
      </c>
      <c r="J79" s="61" t="s">
        <v>254</v>
      </c>
      <c r="K79" s="65" t="s">
        <v>1892</v>
      </c>
      <c r="L79" s="83" t="str">
        <f t="shared" si="6"/>
        <v>→ 고압진공 R80</v>
      </c>
      <c r="M79" s="84"/>
      <c r="N79" s="80">
        <v>80</v>
      </c>
      <c r="O79" s="80" t="s">
        <v>1757</v>
      </c>
      <c r="P79" s="79" t="s">
        <v>1893</v>
      </c>
    </row>
    <row r="80" spans="1:16" ht="30" customHeight="1" x14ac:dyDescent="0.3">
      <c r="A80" s="53" t="s">
        <v>110</v>
      </c>
      <c r="B80" s="52" t="s">
        <v>1887</v>
      </c>
      <c r="C80" s="52" t="s">
        <v>117</v>
      </c>
      <c r="D80" s="79" t="str">
        <f t="shared" ca="1" si="7"/>
        <v>반제품</v>
      </c>
      <c r="E80" s="79" t="str">
        <f t="shared" ca="1" si="8"/>
        <v>HA</v>
      </c>
      <c r="F80" s="52" t="s">
        <v>255</v>
      </c>
      <c r="G80" s="52"/>
      <c r="H80" s="79" t="str">
        <f t="shared" ca="1" si="9"/>
        <v>반제품(창고없음)</v>
      </c>
      <c r="I80" s="79" t="str">
        <f t="shared" ca="1" si="10"/>
        <v>6-HA</v>
      </c>
      <c r="J80" s="61" t="s">
        <v>255</v>
      </c>
      <c r="K80" s="65" t="s">
        <v>1894</v>
      </c>
      <c r="L80" s="83" t="str">
        <f t="shared" si="6"/>
        <v>→ 고압진공 R81</v>
      </c>
      <c r="M80" s="84"/>
      <c r="N80" s="80">
        <v>81</v>
      </c>
      <c r="O80" s="80" t="s">
        <v>1757</v>
      </c>
      <c r="P80" s="79" t="s">
        <v>1895</v>
      </c>
    </row>
    <row r="81" spans="1:16" ht="30" customHeight="1" x14ac:dyDescent="0.3">
      <c r="A81" s="53" t="s">
        <v>110</v>
      </c>
      <c r="B81" s="52" t="s">
        <v>1887</v>
      </c>
      <c r="C81" s="52" t="s">
        <v>153</v>
      </c>
      <c r="D81" s="79" t="str">
        <f t="shared" ca="1" si="7"/>
        <v>반제품</v>
      </c>
      <c r="E81" s="79" t="str">
        <f t="shared" ca="1" si="8"/>
        <v>HA</v>
      </c>
      <c r="F81" s="52" t="s">
        <v>254</v>
      </c>
      <c r="G81" s="52"/>
      <c r="H81" s="79" t="str">
        <f t="shared" ca="1" si="9"/>
        <v>반제품(창고없음)</v>
      </c>
      <c r="I81" s="79" t="str">
        <f t="shared" ca="1" si="10"/>
        <v>7-HA</v>
      </c>
      <c r="J81" s="61" t="s">
        <v>254</v>
      </c>
      <c r="K81" s="65" t="s">
        <v>1896</v>
      </c>
      <c r="L81" s="83" t="str">
        <f t="shared" si="6"/>
        <v>→ 고압진공 R82</v>
      </c>
      <c r="M81" s="84"/>
      <c r="N81" s="80">
        <v>82</v>
      </c>
      <c r="O81" s="80" t="s">
        <v>1757</v>
      </c>
      <c r="P81" s="79" t="s">
        <v>1897</v>
      </c>
    </row>
    <row r="82" spans="1:16" ht="30" customHeight="1" x14ac:dyDescent="0.3">
      <c r="A82" s="53" t="s">
        <v>110</v>
      </c>
      <c r="B82" s="52" t="s">
        <v>1887</v>
      </c>
      <c r="C82" s="52" t="s">
        <v>153</v>
      </c>
      <c r="D82" s="79" t="str">
        <f t="shared" ca="1" si="7"/>
        <v>반제품</v>
      </c>
      <c r="E82" s="79" t="str">
        <f t="shared" ca="1" si="8"/>
        <v>HA</v>
      </c>
      <c r="F82" s="52" t="s">
        <v>256</v>
      </c>
      <c r="G82" s="52"/>
      <c r="H82" s="79" t="str">
        <f t="shared" ca="1" si="9"/>
        <v>반제품(창고없음)</v>
      </c>
      <c r="I82" s="79" t="str">
        <f t="shared" ca="1" si="10"/>
        <v>7-HA</v>
      </c>
      <c r="J82" s="61" t="s">
        <v>256</v>
      </c>
      <c r="K82" s="65" t="s">
        <v>1898</v>
      </c>
      <c r="L82" s="83" t="str">
        <f t="shared" si="6"/>
        <v>→ 고압진공 R83</v>
      </c>
      <c r="M82" s="84"/>
      <c r="N82" s="80">
        <v>83</v>
      </c>
      <c r="O82" s="80" t="s">
        <v>1757</v>
      </c>
      <c r="P82" s="79" t="s">
        <v>1899</v>
      </c>
    </row>
    <row r="83" spans="1:16" ht="30" customHeight="1" x14ac:dyDescent="0.3">
      <c r="A83" s="53" t="s">
        <v>110</v>
      </c>
      <c r="B83" s="52" t="s">
        <v>1887</v>
      </c>
      <c r="C83" s="52" t="s">
        <v>182</v>
      </c>
      <c r="D83" s="79" t="str">
        <f t="shared" ca="1" si="7"/>
        <v>반제품</v>
      </c>
      <c r="E83" s="79" t="str">
        <f t="shared" ca="1" si="8"/>
        <v>HA</v>
      </c>
      <c r="F83" s="52" t="s">
        <v>257</v>
      </c>
      <c r="G83" s="52"/>
      <c r="H83" s="79" t="str">
        <f t="shared" ca="1" si="9"/>
        <v>반제품(창고없음)</v>
      </c>
      <c r="I83" s="79" t="str">
        <f t="shared" ca="1" si="10"/>
        <v>8-HA</v>
      </c>
      <c r="J83" s="61" t="s">
        <v>257</v>
      </c>
      <c r="K83" s="65" t="s">
        <v>1900</v>
      </c>
      <c r="L83" s="83" t="str">
        <f t="shared" si="6"/>
        <v>→ 고압진공 R84</v>
      </c>
      <c r="M83" s="84"/>
      <c r="N83" s="80">
        <v>84</v>
      </c>
      <c r="O83" s="80" t="s">
        <v>1757</v>
      </c>
      <c r="P83" s="79" t="s">
        <v>1901</v>
      </c>
    </row>
    <row r="84" spans="1:16" ht="30" customHeight="1" x14ac:dyDescent="0.3">
      <c r="A84" s="53" t="s">
        <v>110</v>
      </c>
      <c r="B84" s="52" t="s">
        <v>1887</v>
      </c>
      <c r="C84" s="52" t="s">
        <v>182</v>
      </c>
      <c r="D84" s="79" t="str">
        <f t="shared" ca="1" si="7"/>
        <v>반제품</v>
      </c>
      <c r="E84" s="79" t="str">
        <f t="shared" ca="1" si="8"/>
        <v>HA</v>
      </c>
      <c r="F84" s="52" t="s">
        <v>258</v>
      </c>
      <c r="G84" s="52"/>
      <c r="H84" s="79" t="str">
        <f t="shared" ca="1" si="9"/>
        <v>반제품(창고없음)</v>
      </c>
      <c r="I84" s="79" t="str">
        <f t="shared" ca="1" si="10"/>
        <v>8-HA</v>
      </c>
      <c r="J84" s="61" t="s">
        <v>258</v>
      </c>
      <c r="K84" s="65" t="s">
        <v>1902</v>
      </c>
      <c r="L84" s="83" t="str">
        <f t="shared" si="6"/>
        <v>→ 고압진공 R85</v>
      </c>
      <c r="M84" s="84"/>
      <c r="N84" s="80">
        <v>85</v>
      </c>
      <c r="O84" s="80" t="s">
        <v>1757</v>
      </c>
      <c r="P84" s="79" t="s">
        <v>1903</v>
      </c>
    </row>
    <row r="85" spans="1:16" ht="30" customHeight="1" x14ac:dyDescent="0.3">
      <c r="A85" s="53" t="s">
        <v>110</v>
      </c>
      <c r="B85" s="52" t="s">
        <v>1887</v>
      </c>
      <c r="C85" s="52" t="s">
        <v>217</v>
      </c>
      <c r="D85" s="79" t="str">
        <f t="shared" ca="1" si="7"/>
        <v>반제품</v>
      </c>
      <c r="E85" s="79" t="str">
        <f t="shared" ca="1" si="8"/>
        <v>HA</v>
      </c>
      <c r="F85" s="52" t="s">
        <v>259</v>
      </c>
      <c r="G85" s="52"/>
      <c r="H85" s="79" t="str">
        <f t="shared" ca="1" si="9"/>
        <v>반제품(창고없음)</v>
      </c>
      <c r="I85" s="79" t="str">
        <f t="shared" ca="1" si="10"/>
        <v>3-HA</v>
      </c>
      <c r="J85" s="61" t="s">
        <v>259</v>
      </c>
      <c r="K85" s="65" t="s">
        <v>1904</v>
      </c>
      <c r="L85" s="83" t="str">
        <f t="shared" ref="L85:L116" si="11">HYPERLINK("#'"&amp;$O85&amp;"'!A"&amp;$N85,"→ 고압진공 R"&amp;$N85)</f>
        <v>→ 고압진공 R86</v>
      </c>
      <c r="M85" s="84"/>
      <c r="N85" s="80">
        <v>86</v>
      </c>
      <c r="O85" s="80" t="s">
        <v>1757</v>
      </c>
      <c r="P85" s="79" t="s">
        <v>1905</v>
      </c>
    </row>
    <row r="86" spans="1:16" ht="30" customHeight="1" x14ac:dyDescent="0.3">
      <c r="A86" s="53" t="s">
        <v>110</v>
      </c>
      <c r="B86" s="52" t="s">
        <v>1906</v>
      </c>
      <c r="C86" s="52" t="s">
        <v>1776</v>
      </c>
      <c r="D86" s="79" t="str">
        <f t="shared" ca="1" si="7"/>
        <v>원자재</v>
      </c>
      <c r="E86" s="79" t="str">
        <f t="shared" ca="1" si="8"/>
        <v>HR</v>
      </c>
      <c r="F86" s="52" t="s">
        <v>261</v>
      </c>
      <c r="G86" s="52" t="s">
        <v>1907</v>
      </c>
      <c r="H86" s="79" t="str">
        <f t="shared" si="9"/>
        <v>매칭완료</v>
      </c>
      <c r="I86" s="79" t="str">
        <f t="shared" ca="1" si="10"/>
        <v>346-HR</v>
      </c>
      <c r="J86" s="61" t="s">
        <v>261</v>
      </c>
      <c r="K86" s="65" t="s">
        <v>1908</v>
      </c>
      <c r="L86" s="83" t="str">
        <f t="shared" si="11"/>
        <v>→ 고압진공 R87</v>
      </c>
      <c r="M86" s="84"/>
      <c r="N86" s="80">
        <v>87</v>
      </c>
      <c r="O86" s="80" t="s">
        <v>1757</v>
      </c>
      <c r="P86" s="79" t="s">
        <v>1909</v>
      </c>
    </row>
    <row r="87" spans="1:16" ht="30" customHeight="1" x14ac:dyDescent="0.3">
      <c r="A87" s="53" t="s">
        <v>110</v>
      </c>
      <c r="B87" s="52" t="s">
        <v>1906</v>
      </c>
      <c r="C87" s="52" t="s">
        <v>1759</v>
      </c>
      <c r="D87" s="79" t="str">
        <f t="shared" ca="1" si="7"/>
        <v>원자재</v>
      </c>
      <c r="E87" s="79" t="str">
        <f t="shared" ca="1" si="8"/>
        <v>HR</v>
      </c>
      <c r="F87" s="52" t="s">
        <v>264</v>
      </c>
      <c r="G87" s="52" t="s">
        <v>1910</v>
      </c>
      <c r="H87" s="79" t="str">
        <f t="shared" si="9"/>
        <v>매칭완료</v>
      </c>
      <c r="I87" s="79" t="str">
        <f t="shared" ca="1" si="10"/>
        <v>78-HR</v>
      </c>
      <c r="J87" s="61" t="s">
        <v>264</v>
      </c>
      <c r="K87" s="65" t="s">
        <v>1911</v>
      </c>
      <c r="L87" s="83" t="str">
        <f t="shared" si="11"/>
        <v>→ 고압진공 R88</v>
      </c>
      <c r="M87" s="84"/>
      <c r="N87" s="80">
        <v>88</v>
      </c>
      <c r="O87" s="80" t="s">
        <v>1757</v>
      </c>
      <c r="P87" s="79" t="s">
        <v>1912</v>
      </c>
    </row>
    <row r="88" spans="1:16" ht="30" customHeight="1" x14ac:dyDescent="0.3">
      <c r="A88" s="53" t="s">
        <v>110</v>
      </c>
      <c r="B88" s="52" t="s">
        <v>1906</v>
      </c>
      <c r="C88" s="52" t="s">
        <v>182</v>
      </c>
      <c r="D88" s="79" t="str">
        <f t="shared" ca="1" si="7"/>
        <v>원자재</v>
      </c>
      <c r="E88" s="79" t="str">
        <f t="shared" ca="1" si="8"/>
        <v>HR</v>
      </c>
      <c r="F88" s="52" t="s">
        <v>266</v>
      </c>
      <c r="G88" s="52" t="s">
        <v>1913</v>
      </c>
      <c r="H88" s="79" t="str">
        <f t="shared" si="9"/>
        <v>매칭완료</v>
      </c>
      <c r="I88" s="79" t="str">
        <f t="shared" ca="1" si="10"/>
        <v>8-HR</v>
      </c>
      <c r="J88" s="61" t="s">
        <v>266</v>
      </c>
      <c r="K88" s="65" t="s">
        <v>1914</v>
      </c>
      <c r="L88" s="83" t="str">
        <f t="shared" si="11"/>
        <v>→ 고압진공 R89</v>
      </c>
      <c r="M88" s="84"/>
      <c r="N88" s="80">
        <v>89</v>
      </c>
      <c r="O88" s="80" t="s">
        <v>1757</v>
      </c>
      <c r="P88" s="79" t="s">
        <v>1915</v>
      </c>
    </row>
    <row r="89" spans="1:16" ht="30" customHeight="1" x14ac:dyDescent="0.3">
      <c r="A89" s="53" t="s">
        <v>110</v>
      </c>
      <c r="B89" s="52" t="s">
        <v>1906</v>
      </c>
      <c r="C89" s="52" t="s">
        <v>182</v>
      </c>
      <c r="D89" s="79" t="str">
        <f t="shared" ca="1" si="7"/>
        <v>원자재</v>
      </c>
      <c r="E89" s="79" t="str">
        <f t="shared" ca="1" si="8"/>
        <v>HR</v>
      </c>
      <c r="F89" s="52" t="s">
        <v>268</v>
      </c>
      <c r="G89" s="52" t="s">
        <v>1916</v>
      </c>
      <c r="H89" s="79" t="str">
        <f t="shared" si="9"/>
        <v>매칭완료</v>
      </c>
      <c r="I89" s="79" t="str">
        <f t="shared" ca="1" si="10"/>
        <v>8-HR</v>
      </c>
      <c r="J89" s="61" t="s">
        <v>268</v>
      </c>
      <c r="K89" s="65" t="s">
        <v>1917</v>
      </c>
      <c r="L89" s="83" t="str">
        <f t="shared" si="11"/>
        <v>→ 고압진공 R90</v>
      </c>
      <c r="M89" s="84"/>
      <c r="N89" s="80">
        <v>90</v>
      </c>
      <c r="O89" s="80" t="s">
        <v>1757</v>
      </c>
      <c r="P89" s="79" t="s">
        <v>1918</v>
      </c>
    </row>
    <row r="90" spans="1:16" ht="30" customHeight="1" x14ac:dyDescent="0.3">
      <c r="A90" s="53" t="s">
        <v>110</v>
      </c>
      <c r="B90" s="52" t="s">
        <v>1906</v>
      </c>
      <c r="C90" s="52" t="s">
        <v>117</v>
      </c>
      <c r="D90" s="79" t="str">
        <f t="shared" ca="1" si="7"/>
        <v>원자재</v>
      </c>
      <c r="E90" s="79" t="str">
        <f t="shared" ca="1" si="8"/>
        <v>HR</v>
      </c>
      <c r="F90" s="52" t="s">
        <v>270</v>
      </c>
      <c r="G90" s="52"/>
      <c r="H90" s="79" t="str">
        <f t="shared" ca="1" si="9"/>
        <v>⚠ 원자재_부서보관</v>
      </c>
      <c r="I90" s="79" t="str">
        <f t="shared" ca="1" si="10"/>
        <v>6-HR</v>
      </c>
      <c r="J90" s="61" t="s">
        <v>270</v>
      </c>
      <c r="K90" s="65" t="s">
        <v>1919</v>
      </c>
      <c r="L90" s="83" t="str">
        <f t="shared" si="11"/>
        <v>→ 고압진공 R91</v>
      </c>
      <c r="M90" s="84"/>
      <c r="N90" s="80">
        <v>91</v>
      </c>
      <c r="O90" s="80" t="s">
        <v>1757</v>
      </c>
      <c r="P90" s="79" t="s">
        <v>1920</v>
      </c>
    </row>
    <row r="91" spans="1:16" ht="30" customHeight="1" x14ac:dyDescent="0.3">
      <c r="A91" s="54" t="s">
        <v>164</v>
      </c>
      <c r="B91" s="52" t="s">
        <v>127</v>
      </c>
      <c r="C91" s="52" t="s">
        <v>117</v>
      </c>
      <c r="D91" s="79" t="str">
        <f t="shared" ca="1" si="7"/>
        <v>원자재</v>
      </c>
      <c r="E91" s="79" t="str">
        <f t="shared" ca="1" si="8"/>
        <v>VR</v>
      </c>
      <c r="F91" s="52" t="s">
        <v>165</v>
      </c>
      <c r="G91" s="52" t="s">
        <v>1921</v>
      </c>
      <c r="H91" s="79" t="str">
        <f t="shared" si="9"/>
        <v>매칭완료</v>
      </c>
      <c r="I91" s="79" t="str">
        <f t="shared" ca="1" si="10"/>
        <v>6?-VR</v>
      </c>
      <c r="J91" s="61" t="s">
        <v>165</v>
      </c>
      <c r="K91" s="61" t="s">
        <v>1922</v>
      </c>
      <c r="L91" s="83" t="str">
        <f t="shared" si="11"/>
        <v>→ 고압진공 R24</v>
      </c>
      <c r="M91" s="84"/>
      <c r="N91" s="80">
        <v>24</v>
      </c>
      <c r="O91" s="80" t="s">
        <v>1757</v>
      </c>
      <c r="P91" s="79" t="s">
        <v>1923</v>
      </c>
    </row>
    <row r="92" spans="1:16" ht="30" customHeight="1" x14ac:dyDescent="0.3">
      <c r="A92" s="54" t="s">
        <v>164</v>
      </c>
      <c r="B92" s="52" t="s">
        <v>127</v>
      </c>
      <c r="C92" s="52" t="s">
        <v>153</v>
      </c>
      <c r="D92" s="79" t="str">
        <f t="shared" ca="1" si="7"/>
        <v>원자재</v>
      </c>
      <c r="E92" s="79" t="str">
        <f t="shared" ca="1" si="8"/>
        <v>VR</v>
      </c>
      <c r="F92" s="52" t="s">
        <v>167</v>
      </c>
      <c r="G92" s="52" t="s">
        <v>1924</v>
      </c>
      <c r="H92" s="79" t="str">
        <f t="shared" si="9"/>
        <v>매칭완료</v>
      </c>
      <c r="I92" s="79" t="str">
        <f t="shared" ca="1" si="10"/>
        <v>37-VR</v>
      </c>
      <c r="J92" s="61" t="s">
        <v>167</v>
      </c>
      <c r="K92" s="61" t="s">
        <v>1925</v>
      </c>
      <c r="L92" s="83" t="str">
        <f t="shared" si="11"/>
        <v>→ 고압진공 R25</v>
      </c>
      <c r="M92" s="84"/>
      <c r="N92" s="80">
        <v>25</v>
      </c>
      <c r="O92" s="80" t="s">
        <v>1757</v>
      </c>
      <c r="P92" s="79" t="s">
        <v>1926</v>
      </c>
    </row>
    <row r="93" spans="1:16" ht="30" customHeight="1" x14ac:dyDescent="0.3">
      <c r="A93" s="54" t="s">
        <v>164</v>
      </c>
      <c r="B93" s="52" t="s">
        <v>127</v>
      </c>
      <c r="C93" s="52" t="s">
        <v>1791</v>
      </c>
      <c r="D93" s="79" t="str">
        <f t="shared" ca="1" si="7"/>
        <v>원자재</v>
      </c>
      <c r="E93" s="79" t="str">
        <f t="shared" ca="1" si="8"/>
        <v>VR</v>
      </c>
      <c r="F93" s="52" t="s">
        <v>169</v>
      </c>
      <c r="G93" s="52" t="s">
        <v>1927</v>
      </c>
      <c r="H93" s="79" t="str">
        <f t="shared" si="9"/>
        <v>매칭완료</v>
      </c>
      <c r="I93" s="79" t="str">
        <f t="shared" ca="1" si="10"/>
        <v>3478-VR</v>
      </c>
      <c r="J93" s="61" t="s">
        <v>169</v>
      </c>
      <c r="K93" s="61" t="s">
        <v>1928</v>
      </c>
      <c r="L93" s="83" t="str">
        <f t="shared" si="11"/>
        <v>→ 고압진공 R26</v>
      </c>
      <c r="M93" s="84"/>
      <c r="N93" s="80">
        <v>26</v>
      </c>
      <c r="O93" s="80" t="s">
        <v>1757</v>
      </c>
      <c r="P93" s="79" t="s">
        <v>1929</v>
      </c>
    </row>
    <row r="94" spans="1:16" ht="30" customHeight="1" x14ac:dyDescent="0.3">
      <c r="A94" s="54" t="s">
        <v>164</v>
      </c>
      <c r="B94" s="52" t="s">
        <v>127</v>
      </c>
      <c r="C94" s="52" t="s">
        <v>1791</v>
      </c>
      <c r="D94" s="79" t="str">
        <f t="shared" ca="1" si="7"/>
        <v>원자재</v>
      </c>
      <c r="E94" s="79" t="str">
        <f t="shared" ca="1" si="8"/>
        <v>VR</v>
      </c>
      <c r="F94" s="52" t="s">
        <v>171</v>
      </c>
      <c r="G94" s="52" t="s">
        <v>1930</v>
      </c>
      <c r="H94" s="79" t="str">
        <f t="shared" si="9"/>
        <v>매칭완료</v>
      </c>
      <c r="I94" s="79" t="str">
        <f t="shared" ca="1" si="10"/>
        <v>34678?-VR</v>
      </c>
      <c r="J94" s="61" t="s">
        <v>171</v>
      </c>
      <c r="K94" s="61" t="s">
        <v>1931</v>
      </c>
      <c r="L94" s="83" t="str">
        <f t="shared" si="11"/>
        <v>→ 고압진공 R27</v>
      </c>
      <c r="M94" s="84"/>
      <c r="N94" s="80">
        <v>27</v>
      </c>
      <c r="O94" s="80" t="s">
        <v>1757</v>
      </c>
      <c r="P94" s="79" t="s">
        <v>1932</v>
      </c>
    </row>
    <row r="95" spans="1:16" ht="30" customHeight="1" x14ac:dyDescent="0.3">
      <c r="A95" s="54" t="s">
        <v>164</v>
      </c>
      <c r="B95" s="52" t="s">
        <v>192</v>
      </c>
      <c r="C95" s="52" t="s">
        <v>1361</v>
      </c>
      <c r="D95" s="79" t="str">
        <f t="shared" ca="1" si="7"/>
        <v>원자재</v>
      </c>
      <c r="E95" s="79" t="str">
        <f t="shared" ca="1" si="8"/>
        <v>VR</v>
      </c>
      <c r="F95" s="52" t="s">
        <v>221</v>
      </c>
      <c r="G95" s="52" t="s">
        <v>1933</v>
      </c>
      <c r="H95" s="79" t="str">
        <f t="shared" si="9"/>
        <v>매칭완료</v>
      </c>
      <c r="I95" s="79" t="str">
        <f t="shared" ca="1" si="10"/>
        <v>34-VR</v>
      </c>
      <c r="J95" s="61" t="s">
        <v>221</v>
      </c>
      <c r="K95" s="61" t="s">
        <v>1933</v>
      </c>
      <c r="L95" s="83" t="str">
        <f t="shared" si="11"/>
        <v>→ 고압진공 R56</v>
      </c>
      <c r="M95" s="84"/>
      <c r="N95" s="80">
        <v>56</v>
      </c>
      <c r="O95" s="80" t="s">
        <v>1757</v>
      </c>
      <c r="P95" s="79" t="s">
        <v>1934</v>
      </c>
    </row>
    <row r="96" spans="1:16" ht="30" customHeight="1" x14ac:dyDescent="0.3">
      <c r="A96" s="54" t="s">
        <v>164</v>
      </c>
      <c r="B96" s="52" t="s">
        <v>192</v>
      </c>
      <c r="C96" s="52" t="s">
        <v>117</v>
      </c>
      <c r="D96" s="79" t="str">
        <f t="shared" ca="1" si="7"/>
        <v>원자재</v>
      </c>
      <c r="E96" s="79" t="str">
        <f t="shared" ca="1" si="8"/>
        <v>VR</v>
      </c>
      <c r="F96" s="52" t="s">
        <v>223</v>
      </c>
      <c r="G96" s="52" t="s">
        <v>1935</v>
      </c>
      <c r="H96" s="79" t="str">
        <f t="shared" si="9"/>
        <v>매칭완료</v>
      </c>
      <c r="I96" s="79" t="str">
        <f t="shared" ca="1" si="10"/>
        <v>6-VR</v>
      </c>
      <c r="J96" s="61" t="s">
        <v>223</v>
      </c>
      <c r="K96" s="61" t="s">
        <v>1935</v>
      </c>
      <c r="L96" s="83" t="str">
        <f t="shared" si="11"/>
        <v>→ 고압진공 R57</v>
      </c>
      <c r="M96" s="84"/>
      <c r="N96" s="80">
        <v>57</v>
      </c>
      <c r="O96" s="80" t="s">
        <v>1757</v>
      </c>
      <c r="P96" s="79" t="s">
        <v>1936</v>
      </c>
    </row>
    <row r="97" spans="1:16" ht="30" customHeight="1" x14ac:dyDescent="0.3">
      <c r="A97" s="54" t="s">
        <v>164</v>
      </c>
      <c r="B97" s="52" t="s">
        <v>192</v>
      </c>
      <c r="C97" s="52" t="s">
        <v>117</v>
      </c>
      <c r="D97" s="79" t="str">
        <f t="shared" ca="1" si="7"/>
        <v>원자재</v>
      </c>
      <c r="E97" s="79" t="str">
        <f t="shared" ca="1" si="8"/>
        <v>VR</v>
      </c>
      <c r="F97" s="52" t="s">
        <v>225</v>
      </c>
      <c r="G97" s="52" t="s">
        <v>1937</v>
      </c>
      <c r="H97" s="79" t="str">
        <f t="shared" si="9"/>
        <v>매칭완료</v>
      </c>
      <c r="I97" s="79" t="str">
        <f t="shared" ca="1" si="10"/>
        <v>6-VR</v>
      </c>
      <c r="J97" s="61" t="s">
        <v>225</v>
      </c>
      <c r="K97" s="61" t="s">
        <v>1937</v>
      </c>
      <c r="L97" s="83" t="str">
        <f t="shared" si="11"/>
        <v>→ 고압진공 R58</v>
      </c>
      <c r="M97" s="84"/>
      <c r="N97" s="80">
        <v>58</v>
      </c>
      <c r="O97" s="80" t="s">
        <v>1757</v>
      </c>
      <c r="P97" s="79" t="s">
        <v>1938</v>
      </c>
    </row>
    <row r="98" spans="1:16" ht="30" customHeight="1" x14ac:dyDescent="0.3">
      <c r="A98" s="54" t="s">
        <v>164</v>
      </c>
      <c r="B98" s="52" t="s">
        <v>192</v>
      </c>
      <c r="C98" s="52" t="s">
        <v>153</v>
      </c>
      <c r="D98" s="79" t="str">
        <f t="shared" ca="1" si="7"/>
        <v>원자재</v>
      </c>
      <c r="E98" s="79" t="str">
        <f t="shared" ca="1" si="8"/>
        <v>VR</v>
      </c>
      <c r="F98" s="52" t="s">
        <v>223</v>
      </c>
      <c r="G98" s="52"/>
      <c r="H98" s="79" t="str">
        <f t="shared" ca="1" si="9"/>
        <v>⚠ 원자재_부서보관</v>
      </c>
      <c r="I98" s="79" t="str">
        <f t="shared" ca="1" si="10"/>
        <v>7-VR</v>
      </c>
      <c r="J98" s="61" t="s">
        <v>223</v>
      </c>
      <c r="K98" s="61" t="s">
        <v>1939</v>
      </c>
      <c r="L98" s="83" t="str">
        <f t="shared" si="11"/>
        <v>→ 고압진공 R59</v>
      </c>
      <c r="M98" s="84"/>
      <c r="N98" s="80">
        <v>59</v>
      </c>
      <c r="O98" s="80" t="s">
        <v>1757</v>
      </c>
      <c r="P98" s="79" t="s">
        <v>1940</v>
      </c>
    </row>
    <row r="99" spans="1:16" ht="30" customHeight="1" x14ac:dyDescent="0.3">
      <c r="A99" s="54" t="s">
        <v>164</v>
      </c>
      <c r="B99" s="52" t="s">
        <v>192</v>
      </c>
      <c r="C99" s="52" t="s">
        <v>195</v>
      </c>
      <c r="D99" s="79" t="str">
        <f t="shared" ca="1" si="7"/>
        <v>원자재</v>
      </c>
      <c r="E99" s="79" t="str">
        <f t="shared" ca="1" si="8"/>
        <v>VR</v>
      </c>
      <c r="F99" s="52" t="s">
        <v>227</v>
      </c>
      <c r="G99" s="52" t="s">
        <v>1941</v>
      </c>
      <c r="H99" s="79" t="str">
        <f t="shared" si="9"/>
        <v>매칭완료</v>
      </c>
      <c r="I99" s="79" t="str">
        <f t="shared" ca="1" si="10"/>
        <v>3-VR</v>
      </c>
      <c r="J99" s="61" t="s">
        <v>227</v>
      </c>
      <c r="K99" s="61" t="s">
        <v>1942</v>
      </c>
      <c r="L99" s="83" t="str">
        <f t="shared" si="11"/>
        <v>→ 고압진공 R60</v>
      </c>
      <c r="M99" s="84"/>
      <c r="N99" s="80">
        <v>60</v>
      </c>
      <c r="O99" s="80" t="s">
        <v>1757</v>
      </c>
      <c r="P99" s="79" t="s">
        <v>1943</v>
      </c>
    </row>
    <row r="100" spans="1:16" ht="30" customHeight="1" x14ac:dyDescent="0.3">
      <c r="A100" s="54" t="s">
        <v>164</v>
      </c>
      <c r="B100" s="52" t="s">
        <v>192</v>
      </c>
      <c r="C100" s="52" t="s">
        <v>182</v>
      </c>
      <c r="D100" s="79" t="str">
        <f t="shared" ca="1" si="7"/>
        <v>원자재</v>
      </c>
      <c r="E100" s="79" t="str">
        <f t="shared" ca="1" si="8"/>
        <v>VR</v>
      </c>
      <c r="F100" s="52" t="s">
        <v>227</v>
      </c>
      <c r="G100" s="52" t="s">
        <v>1944</v>
      </c>
      <c r="H100" s="79" t="str">
        <f t="shared" si="9"/>
        <v>매칭완료</v>
      </c>
      <c r="I100" s="79" t="str">
        <f t="shared" ca="1" si="10"/>
        <v>8-VR</v>
      </c>
      <c r="J100" s="61" t="s">
        <v>227</v>
      </c>
      <c r="K100" s="65" t="s">
        <v>1944</v>
      </c>
      <c r="L100" s="83" t="str">
        <f t="shared" si="11"/>
        <v>→ 고압진공 R61</v>
      </c>
      <c r="M100" s="84"/>
      <c r="N100" s="80">
        <v>61</v>
      </c>
      <c r="O100" s="80" t="s">
        <v>1757</v>
      </c>
      <c r="P100" s="79" t="s">
        <v>1945</v>
      </c>
    </row>
    <row r="101" spans="1:16" ht="30" customHeight="1" x14ac:dyDescent="0.3">
      <c r="A101" s="54" t="s">
        <v>164</v>
      </c>
      <c r="B101" s="52" t="s">
        <v>192</v>
      </c>
      <c r="C101" s="52" t="s">
        <v>217</v>
      </c>
      <c r="D101" s="79" t="str">
        <f t="shared" ca="1" si="7"/>
        <v>원자재</v>
      </c>
      <c r="E101" s="79" t="str">
        <f t="shared" ca="1" si="8"/>
        <v>VR</v>
      </c>
      <c r="F101" s="52" t="s">
        <v>225</v>
      </c>
      <c r="G101" s="52"/>
      <c r="H101" s="79" t="str">
        <f t="shared" ca="1" si="9"/>
        <v>⚠ 원자재_부서보관</v>
      </c>
      <c r="I101" s="79" t="str">
        <f t="shared" ca="1" si="10"/>
        <v>3-VR</v>
      </c>
      <c r="J101" s="61" t="s">
        <v>225</v>
      </c>
      <c r="K101" s="61" t="s">
        <v>1946</v>
      </c>
      <c r="L101" s="83" t="str">
        <f t="shared" si="11"/>
        <v>→ 고압진공 R62</v>
      </c>
      <c r="M101" s="84"/>
      <c r="N101" s="80">
        <v>62</v>
      </c>
      <c r="O101" s="80" t="s">
        <v>1757</v>
      </c>
      <c r="P101" s="79" t="s">
        <v>1947</v>
      </c>
    </row>
    <row r="102" spans="1:16" ht="30" customHeight="1" x14ac:dyDescent="0.3">
      <c r="A102" s="54" t="s">
        <v>164</v>
      </c>
      <c r="B102" s="52" t="s">
        <v>192</v>
      </c>
      <c r="C102" s="52" t="s">
        <v>195</v>
      </c>
      <c r="D102" s="79" t="str">
        <f t="shared" ca="1" si="7"/>
        <v>원자재</v>
      </c>
      <c r="E102" s="79" t="str">
        <f t="shared" ca="1" si="8"/>
        <v>VR</v>
      </c>
      <c r="F102" s="52" t="s">
        <v>230</v>
      </c>
      <c r="G102" s="52" t="s">
        <v>1948</v>
      </c>
      <c r="H102" s="79" t="str">
        <f t="shared" si="9"/>
        <v>매칭완료</v>
      </c>
      <c r="I102" s="79" t="str">
        <f t="shared" ca="1" si="10"/>
        <v>3-VR</v>
      </c>
      <c r="J102" s="61" t="s">
        <v>230</v>
      </c>
      <c r="K102" s="65" t="s">
        <v>1949</v>
      </c>
      <c r="L102" s="83" t="str">
        <f t="shared" si="11"/>
        <v>→ 고압진공 R63</v>
      </c>
      <c r="M102" s="84"/>
      <c r="N102" s="80">
        <v>63</v>
      </c>
      <c r="O102" s="80" t="s">
        <v>1757</v>
      </c>
      <c r="P102" s="79" t="s">
        <v>1950</v>
      </c>
    </row>
    <row r="103" spans="1:16" ht="30" customHeight="1" x14ac:dyDescent="0.3">
      <c r="A103" s="54" t="s">
        <v>164</v>
      </c>
      <c r="B103" s="52" t="s">
        <v>192</v>
      </c>
      <c r="C103" s="52" t="s">
        <v>195</v>
      </c>
      <c r="D103" s="79" t="str">
        <f t="shared" ca="1" si="7"/>
        <v>원자재</v>
      </c>
      <c r="E103" s="79" t="str">
        <f t="shared" ca="1" si="8"/>
        <v>VR</v>
      </c>
      <c r="F103" s="52" t="s">
        <v>232</v>
      </c>
      <c r="G103" s="52" t="s">
        <v>1951</v>
      </c>
      <c r="H103" s="79" t="str">
        <f t="shared" si="9"/>
        <v>매칭완료</v>
      </c>
      <c r="I103" s="79" t="str">
        <f t="shared" ca="1" si="10"/>
        <v>3-VR</v>
      </c>
      <c r="J103" s="61" t="s">
        <v>232</v>
      </c>
      <c r="K103" s="61" t="s">
        <v>1951</v>
      </c>
      <c r="L103" s="83" t="str">
        <f t="shared" si="11"/>
        <v>→ 고압진공 R64</v>
      </c>
      <c r="M103" s="84"/>
      <c r="N103" s="80">
        <v>64</v>
      </c>
      <c r="O103" s="80" t="s">
        <v>1757</v>
      </c>
      <c r="P103" s="79" t="s">
        <v>1952</v>
      </c>
    </row>
    <row r="104" spans="1:16" ht="30" customHeight="1" x14ac:dyDescent="0.3">
      <c r="A104" s="54" t="s">
        <v>164</v>
      </c>
      <c r="B104" s="52" t="s">
        <v>192</v>
      </c>
      <c r="C104" s="52" t="s">
        <v>195</v>
      </c>
      <c r="D104" s="79" t="str">
        <f t="shared" ca="1" si="7"/>
        <v>원자재</v>
      </c>
      <c r="E104" s="79" t="str">
        <f t="shared" ca="1" si="8"/>
        <v>VR</v>
      </c>
      <c r="F104" s="52" t="s">
        <v>234</v>
      </c>
      <c r="G104" s="52" t="s">
        <v>1953</v>
      </c>
      <c r="H104" s="79" t="str">
        <f t="shared" si="9"/>
        <v>매칭완료</v>
      </c>
      <c r="I104" s="79" t="str">
        <f t="shared" ca="1" si="10"/>
        <v>3-VR</v>
      </c>
      <c r="J104" s="61" t="s">
        <v>234</v>
      </c>
      <c r="K104" s="61" t="s">
        <v>1953</v>
      </c>
      <c r="L104" s="83" t="str">
        <f t="shared" si="11"/>
        <v>→ 고압진공 R65</v>
      </c>
      <c r="M104" s="84"/>
      <c r="N104" s="80">
        <v>65</v>
      </c>
      <c r="O104" s="80" t="s">
        <v>1757</v>
      </c>
      <c r="P104" s="79" t="s">
        <v>1954</v>
      </c>
    </row>
    <row r="105" spans="1:16" ht="30" customHeight="1" x14ac:dyDescent="0.3">
      <c r="A105" s="54" t="s">
        <v>164</v>
      </c>
      <c r="B105" s="52" t="s">
        <v>192</v>
      </c>
      <c r="C105" s="52" t="s">
        <v>198</v>
      </c>
      <c r="D105" s="79" t="str">
        <f t="shared" ca="1" si="7"/>
        <v>원자재</v>
      </c>
      <c r="E105" s="79" t="str">
        <f t="shared" ca="1" si="8"/>
        <v>VR</v>
      </c>
      <c r="F105" s="52" t="s">
        <v>236</v>
      </c>
      <c r="G105" s="52"/>
      <c r="H105" s="79" t="str">
        <f t="shared" ca="1" si="9"/>
        <v>⚠ 원자재_부서보관</v>
      </c>
      <c r="I105" s="79" t="str">
        <f t="shared" ca="1" si="10"/>
        <v>4-VR</v>
      </c>
      <c r="J105" s="61" t="s">
        <v>236</v>
      </c>
      <c r="K105" s="61" t="s">
        <v>1955</v>
      </c>
      <c r="L105" s="83" t="str">
        <f t="shared" si="11"/>
        <v>→ 고압진공 R66</v>
      </c>
      <c r="M105" s="84"/>
      <c r="N105" s="80">
        <v>66</v>
      </c>
      <c r="O105" s="80" t="s">
        <v>1757</v>
      </c>
      <c r="P105" s="79" t="s">
        <v>1956</v>
      </c>
    </row>
    <row r="106" spans="1:16" ht="30" customHeight="1" x14ac:dyDescent="0.3">
      <c r="A106" s="54" t="s">
        <v>164</v>
      </c>
      <c r="B106" s="52" t="s">
        <v>192</v>
      </c>
      <c r="C106" s="52" t="s">
        <v>153</v>
      </c>
      <c r="D106" s="79" t="str">
        <f t="shared" ca="1" si="7"/>
        <v>원자재</v>
      </c>
      <c r="E106" s="79" t="str">
        <f t="shared" ca="1" si="8"/>
        <v>VR</v>
      </c>
      <c r="F106" s="52" t="s">
        <v>237</v>
      </c>
      <c r="G106" s="52"/>
      <c r="H106" s="79" t="str">
        <f t="shared" ca="1" si="9"/>
        <v>⚠ 원자재_부서보관</v>
      </c>
      <c r="I106" s="79" t="str">
        <f t="shared" ca="1" si="10"/>
        <v>7-VR</v>
      </c>
      <c r="J106" s="61" t="s">
        <v>237</v>
      </c>
      <c r="K106" s="61" t="s">
        <v>1957</v>
      </c>
      <c r="L106" s="83" t="str">
        <f t="shared" si="11"/>
        <v>→ 고압진공 R67</v>
      </c>
      <c r="M106" s="84"/>
      <c r="N106" s="80">
        <v>67</v>
      </c>
      <c r="O106" s="80" t="s">
        <v>1757</v>
      </c>
      <c r="P106" s="79" t="s">
        <v>1958</v>
      </c>
    </row>
    <row r="107" spans="1:16" ht="30" customHeight="1" x14ac:dyDescent="0.3">
      <c r="A107" s="54" t="s">
        <v>164</v>
      </c>
      <c r="B107" s="52" t="s">
        <v>192</v>
      </c>
      <c r="C107" s="52" t="s">
        <v>182</v>
      </c>
      <c r="D107" s="79" t="str">
        <f t="shared" ca="1" si="7"/>
        <v>원자재</v>
      </c>
      <c r="E107" s="79" t="str">
        <f t="shared" ca="1" si="8"/>
        <v>VR</v>
      </c>
      <c r="F107" s="52" t="s">
        <v>238</v>
      </c>
      <c r="G107" s="52"/>
      <c r="H107" s="79" t="str">
        <f t="shared" ca="1" si="9"/>
        <v>⚠ 원자재_부서보관</v>
      </c>
      <c r="I107" s="79" t="str">
        <f t="shared" ca="1" si="10"/>
        <v>8-VR</v>
      </c>
      <c r="J107" s="61" t="s">
        <v>238</v>
      </c>
      <c r="K107" s="61" t="s">
        <v>1959</v>
      </c>
      <c r="L107" s="83" t="str">
        <f t="shared" si="11"/>
        <v>→ 고압진공 R68</v>
      </c>
      <c r="M107" s="84"/>
      <c r="N107" s="80">
        <v>68</v>
      </c>
      <c r="O107" s="80" t="s">
        <v>1757</v>
      </c>
      <c r="P107" s="79" t="s">
        <v>1960</v>
      </c>
    </row>
    <row r="108" spans="1:16" ht="30" customHeight="1" x14ac:dyDescent="0.3">
      <c r="A108" s="54" t="s">
        <v>164</v>
      </c>
      <c r="B108" s="52" t="s">
        <v>192</v>
      </c>
      <c r="C108" s="52" t="s">
        <v>217</v>
      </c>
      <c r="D108" s="79" t="str">
        <f t="shared" ca="1" si="7"/>
        <v>원자재</v>
      </c>
      <c r="E108" s="79" t="str">
        <f t="shared" ca="1" si="8"/>
        <v>VR</v>
      </c>
      <c r="F108" s="52" t="s">
        <v>239</v>
      </c>
      <c r="G108" s="52"/>
      <c r="H108" s="79" t="str">
        <f t="shared" ca="1" si="9"/>
        <v>⚠ 원자재_부서보관</v>
      </c>
      <c r="I108" s="79" t="str">
        <f t="shared" ca="1" si="10"/>
        <v>3-VR</v>
      </c>
      <c r="J108" s="61" t="s">
        <v>239</v>
      </c>
      <c r="K108" s="61" t="s">
        <v>1961</v>
      </c>
      <c r="L108" s="83" t="str">
        <f t="shared" si="11"/>
        <v>→ 고압진공 R69</v>
      </c>
      <c r="M108" s="84"/>
      <c r="N108" s="80">
        <v>69</v>
      </c>
      <c r="O108" s="80" t="s">
        <v>1757</v>
      </c>
      <c r="P108" s="79" t="s">
        <v>1962</v>
      </c>
    </row>
    <row r="109" spans="1:16" ht="30" customHeight="1" x14ac:dyDescent="0.3">
      <c r="A109" s="54" t="s">
        <v>164</v>
      </c>
      <c r="B109" s="52" t="s">
        <v>1963</v>
      </c>
      <c r="C109" s="52" t="s">
        <v>1776</v>
      </c>
      <c r="D109" s="79" t="str">
        <f t="shared" ca="1" si="7"/>
        <v>원자재</v>
      </c>
      <c r="E109" s="79" t="str">
        <f t="shared" ca="1" si="8"/>
        <v>VR</v>
      </c>
      <c r="F109" s="52" t="s">
        <v>272</v>
      </c>
      <c r="G109" s="52" t="s">
        <v>1964</v>
      </c>
      <c r="H109" s="79" t="str">
        <f t="shared" si="9"/>
        <v>매칭완료</v>
      </c>
      <c r="I109" s="79" t="str">
        <f t="shared" ca="1" si="10"/>
        <v>34-VR</v>
      </c>
      <c r="J109" s="61" t="s">
        <v>272</v>
      </c>
      <c r="K109" s="61" t="s">
        <v>1965</v>
      </c>
      <c r="L109" s="83" t="str">
        <f t="shared" si="11"/>
        <v>→ 고압진공 R92</v>
      </c>
      <c r="M109" s="84"/>
      <c r="N109" s="80">
        <v>92</v>
      </c>
      <c r="O109" s="80" t="s">
        <v>1757</v>
      </c>
      <c r="P109" s="79" t="s">
        <v>1966</v>
      </c>
    </row>
    <row r="110" spans="1:16" ht="30" customHeight="1" x14ac:dyDescent="0.3">
      <c r="A110" s="54" t="s">
        <v>164</v>
      </c>
      <c r="B110" s="52" t="s">
        <v>1963</v>
      </c>
      <c r="C110" s="52" t="s">
        <v>153</v>
      </c>
      <c r="D110" s="79" t="str">
        <f t="shared" ca="1" si="7"/>
        <v>원자재</v>
      </c>
      <c r="E110" s="79" t="str">
        <f t="shared" ca="1" si="8"/>
        <v>VR</v>
      </c>
      <c r="F110" s="52" t="s">
        <v>274</v>
      </c>
      <c r="G110" s="52" t="s">
        <v>1967</v>
      </c>
      <c r="H110" s="79" t="str">
        <f t="shared" si="9"/>
        <v>매칭완료</v>
      </c>
      <c r="I110" s="79" t="str">
        <f t="shared" ca="1" si="10"/>
        <v>7-VR</v>
      </c>
      <c r="J110" s="61" t="s">
        <v>274</v>
      </c>
      <c r="K110" s="61" t="s">
        <v>1968</v>
      </c>
      <c r="L110" s="83" t="str">
        <f t="shared" si="11"/>
        <v>→ 고압진공 R93</v>
      </c>
      <c r="M110" s="84"/>
      <c r="N110" s="80">
        <v>93</v>
      </c>
      <c r="O110" s="80" t="s">
        <v>1757</v>
      </c>
      <c r="P110" s="79" t="s">
        <v>1969</v>
      </c>
    </row>
    <row r="111" spans="1:16" ht="30" customHeight="1" x14ac:dyDescent="0.3">
      <c r="A111" s="54" t="s">
        <v>164</v>
      </c>
      <c r="B111" s="52" t="s">
        <v>1963</v>
      </c>
      <c r="C111" s="52" t="s">
        <v>153</v>
      </c>
      <c r="D111" s="79" t="str">
        <f t="shared" ca="1" si="7"/>
        <v>원자재</v>
      </c>
      <c r="E111" s="79" t="str">
        <f t="shared" ca="1" si="8"/>
        <v>VR</v>
      </c>
      <c r="F111" s="52" t="s">
        <v>276</v>
      </c>
      <c r="G111" s="52" t="s">
        <v>1970</v>
      </c>
      <c r="H111" s="79" t="str">
        <f t="shared" si="9"/>
        <v>매칭완료</v>
      </c>
      <c r="I111" s="79" t="str">
        <f t="shared" ca="1" si="10"/>
        <v>7-VR</v>
      </c>
      <c r="J111" s="61" t="s">
        <v>276</v>
      </c>
      <c r="K111" s="61" t="s">
        <v>1971</v>
      </c>
      <c r="L111" s="83" t="str">
        <f t="shared" si="11"/>
        <v>→ 고압진공 R94</v>
      </c>
      <c r="M111" s="84"/>
      <c r="N111" s="80">
        <v>94</v>
      </c>
      <c r="O111" s="80" t="s">
        <v>1757</v>
      </c>
      <c r="P111" s="79" t="s">
        <v>1972</v>
      </c>
    </row>
    <row r="112" spans="1:16" ht="30" customHeight="1" x14ac:dyDescent="0.3">
      <c r="A112" s="54" t="s">
        <v>164</v>
      </c>
      <c r="B112" s="52" t="s">
        <v>1963</v>
      </c>
      <c r="C112" s="52" t="s">
        <v>117</v>
      </c>
      <c r="D112" s="79" t="str">
        <f t="shared" ca="1" si="7"/>
        <v>원자재</v>
      </c>
      <c r="E112" s="79" t="str">
        <f t="shared" ca="1" si="8"/>
        <v>VR</v>
      </c>
      <c r="F112" s="52" t="s">
        <v>274</v>
      </c>
      <c r="G112" s="52"/>
      <c r="H112" s="79" t="str">
        <f t="shared" ca="1" si="9"/>
        <v>⚠ 원자재_부서보관</v>
      </c>
      <c r="I112" s="79" t="str">
        <f t="shared" ca="1" si="10"/>
        <v>36-VR</v>
      </c>
      <c r="J112" s="61" t="s">
        <v>274</v>
      </c>
      <c r="K112" s="61" t="s">
        <v>1973</v>
      </c>
      <c r="L112" s="83" t="str">
        <f t="shared" si="11"/>
        <v>→ 고압진공 R95</v>
      </c>
      <c r="M112" s="84"/>
      <c r="N112" s="80">
        <v>95</v>
      </c>
      <c r="O112" s="80" t="s">
        <v>1757</v>
      </c>
      <c r="P112" s="79" t="s">
        <v>1974</v>
      </c>
    </row>
    <row r="113" spans="1:16" ht="30" customHeight="1" x14ac:dyDescent="0.3">
      <c r="A113" s="54" t="s">
        <v>164</v>
      </c>
      <c r="B113" s="52" t="s">
        <v>1963</v>
      </c>
      <c r="C113" s="52" t="s">
        <v>182</v>
      </c>
      <c r="D113" s="79" t="str">
        <f t="shared" ca="1" si="7"/>
        <v>원자재</v>
      </c>
      <c r="E113" s="79" t="str">
        <f t="shared" ca="1" si="8"/>
        <v>VR</v>
      </c>
      <c r="F113" s="52" t="s">
        <v>274</v>
      </c>
      <c r="G113" s="52" t="s">
        <v>1975</v>
      </c>
      <c r="H113" s="79" t="str">
        <f t="shared" si="9"/>
        <v>매칭완료</v>
      </c>
      <c r="I113" s="79" t="str">
        <f t="shared" ca="1" si="10"/>
        <v>8-VR</v>
      </c>
      <c r="J113" s="61" t="s">
        <v>274</v>
      </c>
      <c r="K113" s="65" t="s">
        <v>1976</v>
      </c>
      <c r="L113" s="83" t="str">
        <f t="shared" si="11"/>
        <v>→ 고압진공 R96</v>
      </c>
      <c r="M113" s="84"/>
      <c r="N113" s="80">
        <v>96</v>
      </c>
      <c r="O113" s="80" t="s">
        <v>1757</v>
      </c>
      <c r="P113" s="79" t="s">
        <v>1977</v>
      </c>
    </row>
    <row r="114" spans="1:16" ht="30" customHeight="1" x14ac:dyDescent="0.3">
      <c r="A114" s="54" t="s">
        <v>164</v>
      </c>
      <c r="B114" s="52" t="s">
        <v>1963</v>
      </c>
      <c r="C114" s="52" t="s">
        <v>182</v>
      </c>
      <c r="D114" s="79" t="str">
        <f t="shared" ca="1" si="7"/>
        <v>원자재</v>
      </c>
      <c r="E114" s="79" t="str">
        <f t="shared" ca="1" si="8"/>
        <v>VR</v>
      </c>
      <c r="F114" s="52" t="s">
        <v>279</v>
      </c>
      <c r="G114" s="52" t="s">
        <v>1978</v>
      </c>
      <c r="H114" s="79" t="str">
        <f t="shared" si="9"/>
        <v>매칭완료</v>
      </c>
      <c r="I114" s="79" t="str">
        <f t="shared" ca="1" si="10"/>
        <v>8-VR</v>
      </c>
      <c r="J114" s="61" t="s">
        <v>279</v>
      </c>
      <c r="K114" s="65" t="s">
        <v>1979</v>
      </c>
      <c r="L114" s="83" t="str">
        <f t="shared" si="11"/>
        <v>→ 고압진공 R97</v>
      </c>
      <c r="M114" s="84"/>
      <c r="N114" s="80">
        <v>97</v>
      </c>
      <c r="O114" s="80" t="s">
        <v>1757</v>
      </c>
      <c r="P114" s="79" t="s">
        <v>1980</v>
      </c>
    </row>
    <row r="115" spans="1:16" ht="30" customHeight="1" x14ac:dyDescent="0.3">
      <c r="A115" s="54" t="s">
        <v>164</v>
      </c>
      <c r="B115" s="52" t="s">
        <v>1906</v>
      </c>
      <c r="C115" s="52" t="s">
        <v>153</v>
      </c>
      <c r="D115" s="79" t="str">
        <f t="shared" ca="1" si="7"/>
        <v>원자재</v>
      </c>
      <c r="E115" s="79" t="str">
        <f t="shared" ca="1" si="8"/>
        <v>VR</v>
      </c>
      <c r="F115" s="52" t="s">
        <v>279</v>
      </c>
      <c r="G115" s="52" t="s">
        <v>1981</v>
      </c>
      <c r="H115" s="79" t="str">
        <f t="shared" si="9"/>
        <v>매칭완료</v>
      </c>
      <c r="I115" s="79" t="str">
        <f t="shared" ca="1" si="10"/>
        <v>7-VR</v>
      </c>
      <c r="J115" s="61" t="s">
        <v>279</v>
      </c>
      <c r="K115" s="65" t="s">
        <v>1982</v>
      </c>
      <c r="L115" s="83" t="str">
        <f t="shared" si="11"/>
        <v>→ 고압진공 R98</v>
      </c>
      <c r="M115" s="84"/>
      <c r="N115" s="80">
        <v>98</v>
      </c>
      <c r="O115" s="80" t="s">
        <v>1757</v>
      </c>
      <c r="P115" s="79" t="s">
        <v>1983</v>
      </c>
    </row>
    <row r="116" spans="1:16" ht="30" customHeight="1" x14ac:dyDescent="0.3">
      <c r="A116" s="54" t="s">
        <v>164</v>
      </c>
      <c r="B116" s="52" t="s">
        <v>1906</v>
      </c>
      <c r="C116" s="52" t="s">
        <v>1361</v>
      </c>
      <c r="D116" s="79" t="str">
        <f t="shared" ca="1" si="7"/>
        <v>원자재</v>
      </c>
      <c r="E116" s="79" t="str">
        <f t="shared" ca="1" si="8"/>
        <v>VR</v>
      </c>
      <c r="F116" s="52" t="s">
        <v>282</v>
      </c>
      <c r="G116" s="52" t="s">
        <v>1984</v>
      </c>
      <c r="H116" s="79" t="str">
        <f t="shared" si="9"/>
        <v>매칭완료</v>
      </c>
      <c r="I116" s="79" t="str">
        <f t="shared" ca="1" si="10"/>
        <v>34-VR</v>
      </c>
      <c r="J116" s="61" t="s">
        <v>282</v>
      </c>
      <c r="K116" s="61" t="s">
        <v>1984</v>
      </c>
      <c r="L116" s="83" t="str">
        <f t="shared" si="11"/>
        <v>→ 고압진공 R99</v>
      </c>
      <c r="M116" s="84"/>
      <c r="N116" s="80">
        <v>99</v>
      </c>
      <c r="O116" s="80" t="s">
        <v>1757</v>
      </c>
      <c r="P116" s="79" t="s">
        <v>1985</v>
      </c>
    </row>
    <row r="117" spans="1:16" ht="30" customHeight="1" x14ac:dyDescent="0.3">
      <c r="A117" s="54" t="s">
        <v>164</v>
      </c>
      <c r="B117" s="52" t="s">
        <v>1906</v>
      </c>
      <c r="C117" s="52" t="s">
        <v>1791</v>
      </c>
      <c r="D117" s="79" t="str">
        <f t="shared" ca="1" si="7"/>
        <v>원자재</v>
      </c>
      <c r="E117" s="79" t="str">
        <f t="shared" ca="1" si="8"/>
        <v>VR</v>
      </c>
      <c r="F117" s="52" t="s">
        <v>284</v>
      </c>
      <c r="G117" s="52" t="s">
        <v>1986</v>
      </c>
      <c r="H117" s="79" t="str">
        <f t="shared" si="9"/>
        <v>매칭완료</v>
      </c>
      <c r="I117" s="79" t="str">
        <f t="shared" ca="1" si="10"/>
        <v>347-VR</v>
      </c>
      <c r="J117" s="61" t="s">
        <v>284</v>
      </c>
      <c r="K117" s="61" t="s">
        <v>1987</v>
      </c>
      <c r="L117" s="83" t="str">
        <f t="shared" ref="L117:L148" si="12">HYPERLINK("#'"&amp;$O117&amp;"'!A"&amp;$N117,"→ 고압진공 R"&amp;$N117)</f>
        <v>→ 고압진공 R100</v>
      </c>
      <c r="M117" s="84"/>
      <c r="N117" s="80">
        <v>100</v>
      </c>
      <c r="O117" s="80" t="s">
        <v>1757</v>
      </c>
      <c r="P117" s="79" t="s">
        <v>1988</v>
      </c>
    </row>
    <row r="118" spans="1:16" ht="30" customHeight="1" x14ac:dyDescent="0.3">
      <c r="A118" s="54" t="s">
        <v>164</v>
      </c>
      <c r="B118" s="52" t="s">
        <v>1906</v>
      </c>
      <c r="C118" s="52" t="s">
        <v>182</v>
      </c>
      <c r="D118" s="79" t="str">
        <f t="shared" ca="1" si="7"/>
        <v>원자재</v>
      </c>
      <c r="E118" s="79" t="str">
        <f t="shared" ca="1" si="8"/>
        <v>VR</v>
      </c>
      <c r="F118" s="52" t="s">
        <v>284</v>
      </c>
      <c r="G118" s="52"/>
      <c r="H118" s="79" t="str">
        <f t="shared" ca="1" si="9"/>
        <v>⚠ 원자재_부서보관</v>
      </c>
      <c r="I118" s="79" t="str">
        <f t="shared" ca="1" si="10"/>
        <v>38?-VR</v>
      </c>
      <c r="J118" s="61" t="s">
        <v>284</v>
      </c>
      <c r="K118" s="61" t="s">
        <v>1989</v>
      </c>
      <c r="L118" s="83" t="str">
        <f t="shared" si="12"/>
        <v>→ 고압진공 R101</v>
      </c>
      <c r="M118" s="84"/>
      <c r="N118" s="80">
        <v>101</v>
      </c>
      <c r="O118" s="80" t="s">
        <v>1757</v>
      </c>
      <c r="P118" s="79" t="s">
        <v>1990</v>
      </c>
    </row>
    <row r="119" spans="1:16" ht="30" customHeight="1" x14ac:dyDescent="0.3">
      <c r="A119" s="54" t="s">
        <v>164</v>
      </c>
      <c r="B119" s="52" t="s">
        <v>1906</v>
      </c>
      <c r="C119" s="52" t="s">
        <v>182</v>
      </c>
      <c r="D119" s="79" t="str">
        <f t="shared" ca="1" si="7"/>
        <v>원자재</v>
      </c>
      <c r="E119" s="79" t="str">
        <f t="shared" ca="1" si="8"/>
        <v>VR</v>
      </c>
      <c r="F119" s="52" t="s">
        <v>286</v>
      </c>
      <c r="G119" s="52"/>
      <c r="H119" s="79" t="str">
        <f t="shared" ca="1" si="9"/>
        <v>⚠ 원자재_부서보관</v>
      </c>
      <c r="I119" s="79" t="str">
        <f t="shared" ca="1" si="10"/>
        <v>38?-VR</v>
      </c>
      <c r="J119" s="61" t="s">
        <v>286</v>
      </c>
      <c r="K119" s="61" t="s">
        <v>1991</v>
      </c>
      <c r="L119" s="83" t="str">
        <f t="shared" si="12"/>
        <v>→ 고압진공 R102</v>
      </c>
      <c r="M119" s="84"/>
      <c r="N119" s="80">
        <v>102</v>
      </c>
      <c r="O119" s="80" t="s">
        <v>1757</v>
      </c>
      <c r="P119" s="79" t="s">
        <v>1992</v>
      </c>
    </row>
    <row r="120" spans="1:16" ht="30" customHeight="1" x14ac:dyDescent="0.3">
      <c r="A120" s="54" t="s">
        <v>164</v>
      </c>
      <c r="B120" s="52" t="s">
        <v>1906</v>
      </c>
      <c r="C120" s="52" t="s">
        <v>287</v>
      </c>
      <c r="D120" s="79" t="str">
        <f t="shared" ca="1" si="7"/>
        <v>원자재</v>
      </c>
      <c r="E120" s="79" t="str">
        <f t="shared" ca="1" si="8"/>
        <v>VR</v>
      </c>
      <c r="F120" s="52" t="s">
        <v>286</v>
      </c>
      <c r="G120" s="52"/>
      <c r="H120" s="79" t="str">
        <f t="shared" ca="1" si="9"/>
        <v>⚠ 원자재_부서보관</v>
      </c>
      <c r="I120" s="79" t="str">
        <f t="shared" ca="1" si="10"/>
        <v>6-VR</v>
      </c>
      <c r="J120" s="61" t="s">
        <v>286</v>
      </c>
      <c r="K120" s="61" t="s">
        <v>1993</v>
      </c>
      <c r="L120" s="83" t="str">
        <f t="shared" si="12"/>
        <v>→ 고압진공 R103</v>
      </c>
      <c r="M120" s="84"/>
      <c r="N120" s="80">
        <v>103</v>
      </c>
      <c r="O120" s="80" t="s">
        <v>1757</v>
      </c>
      <c r="P120" s="79" t="s">
        <v>1994</v>
      </c>
    </row>
    <row r="121" spans="1:16" ht="30" customHeight="1" x14ac:dyDescent="0.3">
      <c r="A121" s="54" t="s">
        <v>164</v>
      </c>
      <c r="B121" s="52" t="s">
        <v>1906</v>
      </c>
      <c r="C121" s="52" t="s">
        <v>195</v>
      </c>
      <c r="D121" s="79" t="str">
        <f t="shared" ca="1" si="7"/>
        <v>원자재</v>
      </c>
      <c r="E121" s="79" t="str">
        <f t="shared" ca="1" si="8"/>
        <v>VR</v>
      </c>
      <c r="F121" s="52" t="s">
        <v>288</v>
      </c>
      <c r="G121" s="52" t="s">
        <v>1995</v>
      </c>
      <c r="H121" s="79" t="str">
        <f t="shared" si="9"/>
        <v>매칭완료</v>
      </c>
      <c r="I121" s="79" t="str">
        <f t="shared" ca="1" si="10"/>
        <v>3-VR</v>
      </c>
      <c r="J121" s="61" t="s">
        <v>288</v>
      </c>
      <c r="K121" s="61" t="s">
        <v>1996</v>
      </c>
      <c r="L121" s="83" t="str">
        <f t="shared" si="12"/>
        <v>→ 고압진공 R104</v>
      </c>
      <c r="M121" s="84"/>
      <c r="N121" s="80">
        <v>104</v>
      </c>
      <c r="O121" s="80" t="s">
        <v>1757</v>
      </c>
      <c r="P121" s="79" t="s">
        <v>1997</v>
      </c>
    </row>
    <row r="122" spans="1:16" ht="30" customHeight="1" x14ac:dyDescent="0.3">
      <c r="A122" s="54" t="s">
        <v>164</v>
      </c>
      <c r="B122" s="52" t="s">
        <v>1906</v>
      </c>
      <c r="C122" s="52" t="s">
        <v>1776</v>
      </c>
      <c r="D122" s="79" t="str">
        <f t="shared" ca="1" si="7"/>
        <v>원자재</v>
      </c>
      <c r="E122" s="79" t="str">
        <f t="shared" ca="1" si="8"/>
        <v>VR</v>
      </c>
      <c r="F122" s="52" t="s">
        <v>279</v>
      </c>
      <c r="G122" s="52" t="s">
        <v>1998</v>
      </c>
      <c r="H122" s="79" t="str">
        <f t="shared" si="9"/>
        <v>매칭완료</v>
      </c>
      <c r="I122" s="79" t="str">
        <f t="shared" ca="1" si="10"/>
        <v>346-VR</v>
      </c>
      <c r="J122" s="61" t="s">
        <v>279</v>
      </c>
      <c r="K122" s="61" t="s">
        <v>1999</v>
      </c>
      <c r="L122" s="83" t="str">
        <f t="shared" si="12"/>
        <v>→ 고압진공 R105</v>
      </c>
      <c r="M122" s="84"/>
      <c r="N122" s="80">
        <v>105</v>
      </c>
      <c r="O122" s="80" t="s">
        <v>1757</v>
      </c>
      <c r="P122" s="79" t="s">
        <v>2000</v>
      </c>
    </row>
    <row r="123" spans="1:16" ht="30" customHeight="1" x14ac:dyDescent="0.3">
      <c r="A123" s="54" t="s">
        <v>164</v>
      </c>
      <c r="B123" s="52" t="s">
        <v>1906</v>
      </c>
      <c r="C123" s="52" t="s">
        <v>198</v>
      </c>
      <c r="D123" s="79" t="str">
        <f t="shared" ca="1" si="7"/>
        <v>원자재</v>
      </c>
      <c r="E123" s="79" t="str">
        <f t="shared" ca="1" si="8"/>
        <v>VR</v>
      </c>
      <c r="F123" s="52" t="s">
        <v>288</v>
      </c>
      <c r="G123" s="52" t="s">
        <v>2001</v>
      </c>
      <c r="H123" s="79" t="str">
        <f t="shared" si="9"/>
        <v>매칭완료</v>
      </c>
      <c r="I123" s="79" t="str">
        <f t="shared" ca="1" si="10"/>
        <v>4-VR</v>
      </c>
      <c r="J123" s="61" t="s">
        <v>288</v>
      </c>
      <c r="K123" s="65" t="s">
        <v>2002</v>
      </c>
      <c r="L123" s="83" t="str">
        <f t="shared" si="12"/>
        <v>→ 고압진공 R106</v>
      </c>
      <c r="M123" s="84"/>
      <c r="N123" s="80">
        <v>106</v>
      </c>
      <c r="O123" s="80" t="s">
        <v>1757</v>
      </c>
      <c r="P123" s="79" t="s">
        <v>2003</v>
      </c>
    </row>
    <row r="124" spans="1:16" ht="30" customHeight="1" x14ac:dyDescent="0.3">
      <c r="A124" s="54" t="s">
        <v>164</v>
      </c>
      <c r="B124" s="52" t="s">
        <v>1906</v>
      </c>
      <c r="C124" s="52" t="s">
        <v>153</v>
      </c>
      <c r="D124" s="79" t="str">
        <f t="shared" ca="1" si="7"/>
        <v>원자재</v>
      </c>
      <c r="E124" s="79" t="str">
        <f t="shared" ca="1" si="8"/>
        <v>VR</v>
      </c>
      <c r="F124" s="52" t="s">
        <v>288</v>
      </c>
      <c r="G124" s="52" t="s">
        <v>2004</v>
      </c>
      <c r="H124" s="79" t="str">
        <f t="shared" si="9"/>
        <v>매칭완료</v>
      </c>
      <c r="I124" s="79" t="str">
        <f t="shared" ca="1" si="10"/>
        <v>7-VR</v>
      </c>
      <c r="J124" s="61" t="s">
        <v>288</v>
      </c>
      <c r="K124" s="65" t="s">
        <v>2005</v>
      </c>
      <c r="L124" s="83" t="str">
        <f t="shared" si="12"/>
        <v>→ 고압진공 R107</v>
      </c>
      <c r="M124" s="84"/>
      <c r="N124" s="80">
        <v>107</v>
      </c>
      <c r="O124" s="80" t="s">
        <v>1757</v>
      </c>
      <c r="P124" s="79" t="s">
        <v>2006</v>
      </c>
    </row>
    <row r="125" spans="1:16" ht="30" customHeight="1" x14ac:dyDescent="0.3">
      <c r="A125" s="54" t="s">
        <v>164</v>
      </c>
      <c r="B125" s="52" t="s">
        <v>1906</v>
      </c>
      <c r="C125" s="52" t="s">
        <v>117</v>
      </c>
      <c r="D125" s="79" t="str">
        <f t="shared" ca="1" si="7"/>
        <v>원자재</v>
      </c>
      <c r="E125" s="79" t="str">
        <f t="shared" ca="1" si="8"/>
        <v>VR</v>
      </c>
      <c r="F125" s="52" t="s">
        <v>288</v>
      </c>
      <c r="G125" s="52" t="s">
        <v>2007</v>
      </c>
      <c r="H125" s="79" t="str">
        <f t="shared" si="9"/>
        <v>매칭완료</v>
      </c>
      <c r="I125" s="79" t="str">
        <f t="shared" ca="1" si="10"/>
        <v>6-VR</v>
      </c>
      <c r="J125" s="61" t="s">
        <v>288</v>
      </c>
      <c r="K125" s="65" t="s">
        <v>2008</v>
      </c>
      <c r="L125" s="83" t="str">
        <f t="shared" si="12"/>
        <v>→ 고압진공 R108</v>
      </c>
      <c r="M125" s="84"/>
      <c r="N125" s="80">
        <v>108</v>
      </c>
      <c r="O125" s="80" t="s">
        <v>1757</v>
      </c>
      <c r="P125" s="79" t="s">
        <v>2009</v>
      </c>
    </row>
    <row r="126" spans="1:16" ht="30" customHeight="1" x14ac:dyDescent="0.3">
      <c r="A126" s="54" t="s">
        <v>164</v>
      </c>
      <c r="B126" s="52" t="s">
        <v>1906</v>
      </c>
      <c r="C126" s="52" t="s">
        <v>117</v>
      </c>
      <c r="D126" s="79" t="str">
        <f t="shared" ca="1" si="7"/>
        <v>원자재</v>
      </c>
      <c r="E126" s="79" t="str">
        <f t="shared" ca="1" si="8"/>
        <v>VR</v>
      </c>
      <c r="F126" s="52" t="s">
        <v>294</v>
      </c>
      <c r="G126" s="52"/>
      <c r="H126" s="79" t="str">
        <f t="shared" ca="1" si="9"/>
        <v>⚠ 원자재_부서보관</v>
      </c>
      <c r="I126" s="79" t="str">
        <f t="shared" ca="1" si="10"/>
        <v>6-VR</v>
      </c>
      <c r="J126" s="61" t="s">
        <v>294</v>
      </c>
      <c r="K126" s="61" t="s">
        <v>2010</v>
      </c>
      <c r="L126" s="83" t="str">
        <f t="shared" si="12"/>
        <v>→ 고압진공 R109</v>
      </c>
      <c r="M126" s="84"/>
      <c r="N126" s="80">
        <v>109</v>
      </c>
      <c r="O126" s="80" t="s">
        <v>1757</v>
      </c>
      <c r="P126" s="79" t="s">
        <v>2011</v>
      </c>
    </row>
    <row r="127" spans="1:16" ht="30" customHeight="1" x14ac:dyDescent="0.3">
      <c r="A127" s="54" t="s">
        <v>164</v>
      </c>
      <c r="B127" s="52" t="s">
        <v>1906</v>
      </c>
      <c r="C127" s="52" t="s">
        <v>217</v>
      </c>
      <c r="D127" s="79" t="str">
        <f t="shared" ca="1" si="7"/>
        <v>원자재</v>
      </c>
      <c r="E127" s="79" t="str">
        <f t="shared" ca="1" si="8"/>
        <v>VR</v>
      </c>
      <c r="F127" s="52" t="s">
        <v>294</v>
      </c>
      <c r="G127" s="52"/>
      <c r="H127" s="79" t="str">
        <f t="shared" ca="1" si="9"/>
        <v>⚠ 원자재_부서보관</v>
      </c>
      <c r="I127" s="79" t="str">
        <f t="shared" ca="1" si="10"/>
        <v>3-VR</v>
      </c>
      <c r="J127" s="61" t="s">
        <v>294</v>
      </c>
      <c r="K127" s="61" t="s">
        <v>2012</v>
      </c>
      <c r="L127" s="83" t="str">
        <f t="shared" si="12"/>
        <v>→ 고압진공 R110</v>
      </c>
      <c r="M127" s="84"/>
      <c r="N127" s="80">
        <v>110</v>
      </c>
      <c r="O127" s="80" t="s">
        <v>1757</v>
      </c>
      <c r="P127" s="79" t="s">
        <v>2013</v>
      </c>
    </row>
    <row r="128" spans="1:16" ht="30" customHeight="1" x14ac:dyDescent="0.3">
      <c r="A128" s="54" t="s">
        <v>164</v>
      </c>
      <c r="B128" s="52" t="s">
        <v>1906</v>
      </c>
      <c r="C128" s="52" t="s">
        <v>182</v>
      </c>
      <c r="D128" s="79" t="str">
        <f t="shared" ca="1" si="7"/>
        <v>원자재</v>
      </c>
      <c r="E128" s="79" t="str">
        <f t="shared" ca="1" si="8"/>
        <v>VR</v>
      </c>
      <c r="F128" s="52" t="s">
        <v>288</v>
      </c>
      <c r="G128" s="52" t="s">
        <v>2014</v>
      </c>
      <c r="H128" s="79" t="str">
        <f t="shared" si="9"/>
        <v>매칭완료</v>
      </c>
      <c r="I128" s="79" t="str">
        <f t="shared" ca="1" si="10"/>
        <v>8-VR</v>
      </c>
      <c r="J128" s="61" t="s">
        <v>288</v>
      </c>
      <c r="K128" s="65" t="s">
        <v>2015</v>
      </c>
      <c r="L128" s="83" t="str">
        <f t="shared" si="12"/>
        <v>→ 고압진공 R111</v>
      </c>
      <c r="M128" s="84"/>
      <c r="N128" s="80">
        <v>111</v>
      </c>
      <c r="O128" s="80" t="s">
        <v>1757</v>
      </c>
      <c r="P128" s="79" t="s">
        <v>2016</v>
      </c>
    </row>
    <row r="129" spans="1:16" ht="30" customHeight="1" x14ac:dyDescent="0.3">
      <c r="A129" s="54" t="s">
        <v>164</v>
      </c>
      <c r="B129" s="52" t="s">
        <v>1906</v>
      </c>
      <c r="C129" s="52" t="s">
        <v>1776</v>
      </c>
      <c r="D129" s="79" t="str">
        <f t="shared" ca="1" si="7"/>
        <v>원자재</v>
      </c>
      <c r="E129" s="79" t="str">
        <f t="shared" ca="1" si="8"/>
        <v>VR</v>
      </c>
      <c r="F129" s="52" t="s">
        <v>296</v>
      </c>
      <c r="G129" s="52" t="s">
        <v>2017</v>
      </c>
      <c r="H129" s="79" t="str">
        <f t="shared" si="9"/>
        <v>매칭완료</v>
      </c>
      <c r="I129" s="79" t="str">
        <f t="shared" ca="1" si="10"/>
        <v>34678-VR</v>
      </c>
      <c r="J129" s="61" t="s">
        <v>296</v>
      </c>
      <c r="K129" s="61" t="s">
        <v>2017</v>
      </c>
      <c r="L129" s="83" t="str">
        <f t="shared" si="12"/>
        <v>→ 고압진공 R112</v>
      </c>
      <c r="M129" s="84"/>
      <c r="N129" s="80">
        <v>112</v>
      </c>
      <c r="O129" s="80" t="s">
        <v>1757</v>
      </c>
      <c r="P129" s="79" t="s">
        <v>2018</v>
      </c>
    </row>
    <row r="130" spans="1:16" ht="30" customHeight="1" x14ac:dyDescent="0.3">
      <c r="A130" s="54" t="s">
        <v>164</v>
      </c>
      <c r="B130" s="52" t="s">
        <v>1906</v>
      </c>
      <c r="C130" s="52" t="s">
        <v>195</v>
      </c>
      <c r="D130" s="79" t="str">
        <f t="shared" ref="D130:D193" ca="1" si="13">IF(INDIRECT("'"&amp;$O130&amp;"'!F"&amp;$N130)="O","원자재",IF(INDIRECT("'"&amp;$O130&amp;"'!G"&amp;$N130)="O","반제품",IF(INDIRECT("'"&amp;$O130&amp;"'!H"&amp;$N130)="O","완제품","")))</f>
        <v>원자재</v>
      </c>
      <c r="E130" s="79" t="str">
        <f t="shared" ref="E130:E193" ca="1" si="14">IFERROR(IF(INDIRECT("'"&amp;$O130&amp;"'!I"&amp;$N130)=0,"",INDIRECT("'"&amp;$O130&amp;"'!I"&amp;$N130)),"")</f>
        <v>VR</v>
      </c>
      <c r="F130" s="52" t="s">
        <v>298</v>
      </c>
      <c r="G130" s="52" t="s">
        <v>2019</v>
      </c>
      <c r="H130" s="79" t="str">
        <f t="shared" ref="H130:H193" si="15">IF(AND($F130="",$G130=""),"",IF($F130="","창고전용",IF($G130&lt;&gt;"","매칭완료",IF($D130="반제품","반제품(창고없음)",IF($D130="완제품","완제품(창고없음)",IF($D130="원자재","⚠ 원자재_부서보관","미분류"))))))</f>
        <v>매칭완료</v>
      </c>
      <c r="I130" s="79" t="str">
        <f t="shared" ref="I130:I193" ca="1" si="16">IFERROR(IF(INDIRECT("'"&amp;$O130&amp;"'!P"&amp;$N130)=0,"",INDIRECT("'"&amp;$O130&amp;"'!P"&amp;$N130)),"")</f>
        <v>34678?-VR</v>
      </c>
      <c r="J130" s="61" t="s">
        <v>298</v>
      </c>
      <c r="K130" s="61" t="s">
        <v>2019</v>
      </c>
      <c r="L130" s="83" t="str">
        <f t="shared" si="12"/>
        <v>→ 고압진공 R113</v>
      </c>
      <c r="M130" s="84"/>
      <c r="N130" s="80">
        <v>113</v>
      </c>
      <c r="O130" s="80" t="s">
        <v>1757</v>
      </c>
      <c r="P130" s="79" t="s">
        <v>2020</v>
      </c>
    </row>
    <row r="131" spans="1:16" ht="30" customHeight="1" x14ac:dyDescent="0.3">
      <c r="A131" s="54" t="s">
        <v>164</v>
      </c>
      <c r="B131" s="52" t="s">
        <v>1906</v>
      </c>
      <c r="C131" s="52" t="s">
        <v>195</v>
      </c>
      <c r="D131" s="79" t="str">
        <f t="shared" ca="1" si="13"/>
        <v>원자재</v>
      </c>
      <c r="E131" s="79" t="str">
        <f t="shared" ca="1" si="14"/>
        <v>VR</v>
      </c>
      <c r="F131" s="52" t="s">
        <v>300</v>
      </c>
      <c r="G131" s="52" t="s">
        <v>2021</v>
      </c>
      <c r="H131" s="79" t="str">
        <f t="shared" si="15"/>
        <v>매칭완료</v>
      </c>
      <c r="I131" s="79" t="str">
        <f t="shared" ca="1" si="16"/>
        <v>34678?-VR</v>
      </c>
      <c r="J131" s="61" t="s">
        <v>300</v>
      </c>
      <c r="K131" s="61" t="s">
        <v>2021</v>
      </c>
      <c r="L131" s="83" t="str">
        <f t="shared" si="12"/>
        <v>→ 고압진공 R114</v>
      </c>
      <c r="M131" s="84"/>
      <c r="N131" s="80">
        <v>114</v>
      </c>
      <c r="O131" s="80" t="s">
        <v>1757</v>
      </c>
      <c r="P131" s="79" t="s">
        <v>2022</v>
      </c>
    </row>
    <row r="132" spans="1:16" ht="30" customHeight="1" x14ac:dyDescent="0.3">
      <c r="A132" s="54" t="s">
        <v>164</v>
      </c>
      <c r="B132" s="52" t="s">
        <v>1963</v>
      </c>
      <c r="C132" s="52" t="s">
        <v>195</v>
      </c>
      <c r="D132" s="79" t="str">
        <f t="shared" ca="1" si="13"/>
        <v>반제품</v>
      </c>
      <c r="E132" s="79" t="str">
        <f t="shared" ca="1" si="14"/>
        <v>VA</v>
      </c>
      <c r="F132" s="52" t="s">
        <v>302</v>
      </c>
      <c r="G132" s="52"/>
      <c r="H132" s="79" t="str">
        <f t="shared" ca="1" si="15"/>
        <v>반제품(창고없음)</v>
      </c>
      <c r="I132" s="79" t="str">
        <f t="shared" ca="1" si="16"/>
        <v>3-VA</v>
      </c>
      <c r="J132" s="61" t="s">
        <v>302</v>
      </c>
      <c r="K132" s="61" t="s">
        <v>2023</v>
      </c>
      <c r="L132" s="83" t="str">
        <f t="shared" si="12"/>
        <v>→ 고압진공 R115</v>
      </c>
      <c r="M132" s="84"/>
      <c r="N132" s="80">
        <v>115</v>
      </c>
      <c r="O132" s="80" t="s">
        <v>1757</v>
      </c>
      <c r="P132" s="79" t="s">
        <v>2024</v>
      </c>
    </row>
    <row r="133" spans="1:16" ht="30" customHeight="1" x14ac:dyDescent="0.3">
      <c r="A133" s="54" t="s">
        <v>164</v>
      </c>
      <c r="B133" s="52" t="s">
        <v>1963</v>
      </c>
      <c r="C133" s="52" t="s">
        <v>195</v>
      </c>
      <c r="D133" s="79" t="str">
        <f t="shared" ca="1" si="13"/>
        <v>반제품</v>
      </c>
      <c r="E133" s="79" t="str">
        <f t="shared" ca="1" si="14"/>
        <v>VA</v>
      </c>
      <c r="F133" s="52" t="s">
        <v>303</v>
      </c>
      <c r="G133" s="52"/>
      <c r="H133" s="79" t="str">
        <f t="shared" ca="1" si="15"/>
        <v>반제품(창고없음)</v>
      </c>
      <c r="I133" s="79" t="str">
        <f t="shared" ca="1" si="16"/>
        <v>3-VA</v>
      </c>
      <c r="J133" s="61" t="s">
        <v>303</v>
      </c>
      <c r="K133" s="61" t="s">
        <v>2025</v>
      </c>
      <c r="L133" s="83" t="str">
        <f t="shared" si="12"/>
        <v>→ 고압진공 R116</v>
      </c>
      <c r="M133" s="84"/>
      <c r="N133" s="80">
        <v>116</v>
      </c>
      <c r="O133" s="80" t="s">
        <v>1757</v>
      </c>
      <c r="P133" s="79" t="s">
        <v>2026</v>
      </c>
    </row>
    <row r="134" spans="1:16" ht="30" customHeight="1" x14ac:dyDescent="0.3">
      <c r="A134" s="54" t="s">
        <v>164</v>
      </c>
      <c r="B134" s="52" t="s">
        <v>1963</v>
      </c>
      <c r="C134" s="52" t="s">
        <v>198</v>
      </c>
      <c r="D134" s="79" t="str">
        <f t="shared" ca="1" si="13"/>
        <v>반제품</v>
      </c>
      <c r="E134" s="79" t="str">
        <f t="shared" ca="1" si="14"/>
        <v>VA</v>
      </c>
      <c r="F134" s="52" t="s">
        <v>302</v>
      </c>
      <c r="G134" s="52"/>
      <c r="H134" s="79" t="str">
        <f t="shared" ca="1" si="15"/>
        <v>반제품(창고없음)</v>
      </c>
      <c r="I134" s="79" t="str">
        <f t="shared" ca="1" si="16"/>
        <v>4-VA</v>
      </c>
      <c r="J134" s="61" t="s">
        <v>302</v>
      </c>
      <c r="K134" s="61" t="s">
        <v>2027</v>
      </c>
      <c r="L134" s="83" t="str">
        <f t="shared" si="12"/>
        <v>→ 고압진공 R117</v>
      </c>
      <c r="M134" s="84"/>
      <c r="N134" s="80">
        <v>117</v>
      </c>
      <c r="O134" s="80" t="s">
        <v>1757</v>
      </c>
      <c r="P134" s="79" t="s">
        <v>2028</v>
      </c>
    </row>
    <row r="135" spans="1:16" ht="30" customHeight="1" x14ac:dyDescent="0.3">
      <c r="A135" s="54" t="s">
        <v>164</v>
      </c>
      <c r="B135" s="52" t="s">
        <v>1963</v>
      </c>
      <c r="C135" s="52" t="s">
        <v>117</v>
      </c>
      <c r="D135" s="79" t="str">
        <f t="shared" ca="1" si="13"/>
        <v>반제품</v>
      </c>
      <c r="E135" s="79" t="str">
        <f t="shared" ca="1" si="14"/>
        <v>VA</v>
      </c>
      <c r="F135" s="52" t="s">
        <v>302</v>
      </c>
      <c r="G135" s="52"/>
      <c r="H135" s="79" t="str">
        <f t="shared" ca="1" si="15"/>
        <v>반제품(창고없음)</v>
      </c>
      <c r="I135" s="79" t="str">
        <f t="shared" ca="1" si="16"/>
        <v>6-VA</v>
      </c>
      <c r="J135" s="61" t="s">
        <v>302</v>
      </c>
      <c r="K135" s="61" t="s">
        <v>2029</v>
      </c>
      <c r="L135" s="83" t="str">
        <f t="shared" si="12"/>
        <v>→ 고압진공 R118</v>
      </c>
      <c r="M135" s="84"/>
      <c r="N135" s="80">
        <v>118</v>
      </c>
      <c r="O135" s="80" t="s">
        <v>1757</v>
      </c>
      <c r="P135" s="79" t="s">
        <v>2030</v>
      </c>
    </row>
    <row r="136" spans="1:16" ht="30" customHeight="1" x14ac:dyDescent="0.3">
      <c r="A136" s="54" t="s">
        <v>164</v>
      </c>
      <c r="B136" s="52" t="s">
        <v>1963</v>
      </c>
      <c r="C136" s="52" t="s">
        <v>117</v>
      </c>
      <c r="D136" s="79" t="str">
        <f t="shared" ca="1" si="13"/>
        <v>반제품</v>
      </c>
      <c r="E136" s="79" t="str">
        <f t="shared" ca="1" si="14"/>
        <v>VA</v>
      </c>
      <c r="F136" s="52" t="s">
        <v>304</v>
      </c>
      <c r="G136" s="52"/>
      <c r="H136" s="79" t="str">
        <f t="shared" ca="1" si="15"/>
        <v>반제품(창고없음)</v>
      </c>
      <c r="I136" s="79" t="str">
        <f t="shared" ca="1" si="16"/>
        <v>6-VA</v>
      </c>
      <c r="J136" s="61" t="s">
        <v>304</v>
      </c>
      <c r="K136" s="61" t="s">
        <v>2031</v>
      </c>
      <c r="L136" s="83" t="str">
        <f t="shared" si="12"/>
        <v>→ 고압진공 R119</v>
      </c>
      <c r="M136" s="84"/>
      <c r="N136" s="80">
        <v>119</v>
      </c>
      <c r="O136" s="80" t="s">
        <v>1757</v>
      </c>
      <c r="P136" s="79" t="s">
        <v>2032</v>
      </c>
    </row>
    <row r="137" spans="1:16" ht="30" customHeight="1" x14ac:dyDescent="0.3">
      <c r="A137" s="54" t="s">
        <v>164</v>
      </c>
      <c r="B137" s="52" t="s">
        <v>1963</v>
      </c>
      <c r="C137" s="52" t="s">
        <v>153</v>
      </c>
      <c r="D137" s="79" t="str">
        <f t="shared" ca="1" si="13"/>
        <v>반제품</v>
      </c>
      <c r="E137" s="79" t="str">
        <f t="shared" ca="1" si="14"/>
        <v>VA</v>
      </c>
      <c r="F137" s="52" t="s">
        <v>302</v>
      </c>
      <c r="G137" s="52"/>
      <c r="H137" s="79" t="str">
        <f t="shared" ca="1" si="15"/>
        <v>반제품(창고없음)</v>
      </c>
      <c r="I137" s="79" t="str">
        <f t="shared" ca="1" si="16"/>
        <v>7-VA</v>
      </c>
      <c r="J137" s="61" t="s">
        <v>302</v>
      </c>
      <c r="K137" s="61" t="s">
        <v>2033</v>
      </c>
      <c r="L137" s="83" t="str">
        <f t="shared" si="12"/>
        <v>→ 고압진공 R120</v>
      </c>
      <c r="M137" s="84"/>
      <c r="N137" s="80">
        <v>120</v>
      </c>
      <c r="O137" s="80" t="s">
        <v>1757</v>
      </c>
      <c r="P137" s="79" t="s">
        <v>2034</v>
      </c>
    </row>
    <row r="138" spans="1:16" ht="30" customHeight="1" x14ac:dyDescent="0.3">
      <c r="A138" s="54" t="s">
        <v>164</v>
      </c>
      <c r="B138" s="52" t="s">
        <v>1963</v>
      </c>
      <c r="C138" s="52" t="s">
        <v>217</v>
      </c>
      <c r="D138" s="79" t="str">
        <f t="shared" ca="1" si="13"/>
        <v>반제품</v>
      </c>
      <c r="E138" s="79" t="str">
        <f t="shared" ca="1" si="14"/>
        <v>VA</v>
      </c>
      <c r="F138" s="52" t="s">
        <v>304</v>
      </c>
      <c r="G138" s="52"/>
      <c r="H138" s="79" t="str">
        <f t="shared" ca="1" si="15"/>
        <v>반제품(창고없음)</v>
      </c>
      <c r="I138" s="79" t="str">
        <f t="shared" ca="1" si="16"/>
        <v>3-VA</v>
      </c>
      <c r="J138" s="61" t="s">
        <v>304</v>
      </c>
      <c r="K138" s="61" t="s">
        <v>2035</v>
      </c>
      <c r="L138" s="83" t="str">
        <f t="shared" si="12"/>
        <v>→ 고압진공 R121</v>
      </c>
      <c r="M138" s="84"/>
      <c r="N138" s="80">
        <v>121</v>
      </c>
      <c r="O138" s="80" t="s">
        <v>1757</v>
      </c>
      <c r="P138" s="79" t="s">
        <v>2036</v>
      </c>
    </row>
    <row r="139" spans="1:16" ht="30" customHeight="1" x14ac:dyDescent="0.3">
      <c r="A139" s="54" t="s">
        <v>164</v>
      </c>
      <c r="B139" s="52" t="s">
        <v>1963</v>
      </c>
      <c r="C139" s="52" t="s">
        <v>182</v>
      </c>
      <c r="D139" s="79" t="str">
        <f t="shared" ca="1" si="13"/>
        <v>반제품</v>
      </c>
      <c r="E139" s="79" t="str">
        <f t="shared" ca="1" si="14"/>
        <v>VA</v>
      </c>
      <c r="F139" s="52" t="s">
        <v>302</v>
      </c>
      <c r="G139" s="52"/>
      <c r="H139" s="79" t="str">
        <f t="shared" ca="1" si="15"/>
        <v>반제품(창고없음)</v>
      </c>
      <c r="I139" s="79" t="str">
        <f t="shared" ca="1" si="16"/>
        <v>8-VA</v>
      </c>
      <c r="J139" s="61" t="s">
        <v>302</v>
      </c>
      <c r="K139" s="61" t="s">
        <v>2037</v>
      </c>
      <c r="L139" s="83" t="str">
        <f t="shared" si="12"/>
        <v>→ 고압진공 R122</v>
      </c>
      <c r="M139" s="84"/>
      <c r="N139" s="80">
        <v>122</v>
      </c>
      <c r="O139" s="80" t="s">
        <v>1757</v>
      </c>
      <c r="P139" s="79" t="s">
        <v>2038</v>
      </c>
    </row>
    <row r="140" spans="1:16" ht="30" customHeight="1" x14ac:dyDescent="0.3">
      <c r="A140" s="54" t="s">
        <v>164</v>
      </c>
      <c r="B140" s="52" t="s">
        <v>2039</v>
      </c>
      <c r="C140" s="52" t="s">
        <v>195</v>
      </c>
      <c r="D140" s="79" t="str">
        <f t="shared" ca="1" si="13"/>
        <v>완제품</v>
      </c>
      <c r="E140" s="79" t="str">
        <f t="shared" ca="1" si="14"/>
        <v>HF</v>
      </c>
      <c r="F140" s="52" t="s">
        <v>306</v>
      </c>
      <c r="G140" s="52"/>
      <c r="H140" s="79" t="str">
        <f t="shared" ca="1" si="15"/>
        <v>완제품(창고없음)</v>
      </c>
      <c r="I140" s="79" t="str">
        <f t="shared" ca="1" si="16"/>
        <v>3-HF</v>
      </c>
      <c r="J140" s="61" t="s">
        <v>306</v>
      </c>
      <c r="K140" s="61" t="s">
        <v>2040</v>
      </c>
      <c r="L140" s="83" t="str">
        <f t="shared" si="12"/>
        <v>→ 고압진공 R123</v>
      </c>
      <c r="M140" s="84"/>
      <c r="N140" s="80">
        <v>123</v>
      </c>
      <c r="O140" s="80" t="s">
        <v>1757</v>
      </c>
      <c r="P140" s="79" t="s">
        <v>2041</v>
      </c>
    </row>
    <row r="141" spans="1:16" ht="30" customHeight="1" x14ac:dyDescent="0.3">
      <c r="A141" s="54" t="s">
        <v>164</v>
      </c>
      <c r="B141" s="52" t="s">
        <v>2039</v>
      </c>
      <c r="C141" s="52" t="s">
        <v>195</v>
      </c>
      <c r="D141" s="79" t="str">
        <f t="shared" ca="1" si="13"/>
        <v>완제품</v>
      </c>
      <c r="E141" s="79" t="str">
        <f t="shared" ca="1" si="14"/>
        <v>HF</v>
      </c>
      <c r="F141" s="52" t="s">
        <v>307</v>
      </c>
      <c r="G141" s="52"/>
      <c r="H141" s="79" t="str">
        <f t="shared" ca="1" si="15"/>
        <v>완제품(창고없음)</v>
      </c>
      <c r="I141" s="79" t="str">
        <f t="shared" ca="1" si="16"/>
        <v>3-HF</v>
      </c>
      <c r="J141" s="61" t="s">
        <v>307</v>
      </c>
      <c r="K141" s="61" t="s">
        <v>2042</v>
      </c>
      <c r="L141" s="83" t="str">
        <f t="shared" si="12"/>
        <v>→ 고압진공 R124</v>
      </c>
      <c r="M141" s="84"/>
      <c r="N141" s="80">
        <v>124</v>
      </c>
      <c r="O141" s="80" t="s">
        <v>1757</v>
      </c>
      <c r="P141" s="79" t="s">
        <v>2043</v>
      </c>
    </row>
    <row r="142" spans="1:16" ht="30" customHeight="1" x14ac:dyDescent="0.3">
      <c r="A142" s="54" t="s">
        <v>164</v>
      </c>
      <c r="B142" s="52" t="s">
        <v>2039</v>
      </c>
      <c r="C142" s="52" t="s">
        <v>198</v>
      </c>
      <c r="D142" s="79" t="str">
        <f t="shared" ca="1" si="13"/>
        <v>완제품</v>
      </c>
      <c r="E142" s="79" t="str">
        <f t="shared" ca="1" si="14"/>
        <v>HF</v>
      </c>
      <c r="F142" s="52" t="s">
        <v>306</v>
      </c>
      <c r="G142" s="52"/>
      <c r="H142" s="79" t="str">
        <f t="shared" ca="1" si="15"/>
        <v>완제품(창고없음)</v>
      </c>
      <c r="I142" s="79" t="str">
        <f t="shared" ca="1" si="16"/>
        <v>4-HF</v>
      </c>
      <c r="J142" s="61" t="s">
        <v>306</v>
      </c>
      <c r="K142" s="61" t="s">
        <v>2044</v>
      </c>
      <c r="L142" s="83" t="str">
        <f t="shared" si="12"/>
        <v>→ 고압진공 R125</v>
      </c>
      <c r="M142" s="84"/>
      <c r="N142" s="80">
        <v>125</v>
      </c>
      <c r="O142" s="80" t="s">
        <v>1757</v>
      </c>
      <c r="P142" s="79" t="s">
        <v>2045</v>
      </c>
    </row>
    <row r="143" spans="1:16" ht="30" customHeight="1" x14ac:dyDescent="0.3">
      <c r="A143" s="54" t="s">
        <v>164</v>
      </c>
      <c r="B143" s="52" t="s">
        <v>2039</v>
      </c>
      <c r="C143" s="52" t="s">
        <v>117</v>
      </c>
      <c r="D143" s="79" t="str">
        <f t="shared" ca="1" si="13"/>
        <v>완제품</v>
      </c>
      <c r="E143" s="79" t="str">
        <f t="shared" ca="1" si="14"/>
        <v>HF</v>
      </c>
      <c r="F143" s="52" t="s">
        <v>308</v>
      </c>
      <c r="G143" s="52"/>
      <c r="H143" s="79" t="str">
        <f t="shared" ca="1" si="15"/>
        <v>완제품(창고없음)</v>
      </c>
      <c r="I143" s="79" t="str">
        <f t="shared" ca="1" si="16"/>
        <v>6-HF</v>
      </c>
      <c r="J143" s="61" t="s">
        <v>308</v>
      </c>
      <c r="K143" s="61" t="s">
        <v>2046</v>
      </c>
      <c r="L143" s="83" t="str">
        <f t="shared" si="12"/>
        <v>→ 고압진공 R126</v>
      </c>
      <c r="M143" s="84"/>
      <c r="N143" s="80">
        <v>126</v>
      </c>
      <c r="O143" s="80" t="s">
        <v>1757</v>
      </c>
      <c r="P143" s="79" t="s">
        <v>2047</v>
      </c>
    </row>
    <row r="144" spans="1:16" ht="30" customHeight="1" x14ac:dyDescent="0.3">
      <c r="A144" s="54" t="s">
        <v>164</v>
      </c>
      <c r="B144" s="52" t="s">
        <v>2039</v>
      </c>
      <c r="C144" s="52" t="s">
        <v>117</v>
      </c>
      <c r="D144" s="79" t="str">
        <f t="shared" ca="1" si="13"/>
        <v>완제품</v>
      </c>
      <c r="E144" s="79" t="str">
        <f t="shared" ca="1" si="14"/>
        <v>HF</v>
      </c>
      <c r="F144" s="52" t="s">
        <v>309</v>
      </c>
      <c r="G144" s="52"/>
      <c r="H144" s="79" t="str">
        <f t="shared" ca="1" si="15"/>
        <v>완제품(창고없음)</v>
      </c>
      <c r="I144" s="79" t="str">
        <f t="shared" ca="1" si="16"/>
        <v>6-HF</v>
      </c>
      <c r="J144" s="61" t="s">
        <v>309</v>
      </c>
      <c r="K144" s="61" t="s">
        <v>2048</v>
      </c>
      <c r="L144" s="83" t="str">
        <f t="shared" si="12"/>
        <v>→ 고압진공 R127</v>
      </c>
      <c r="M144" s="84"/>
      <c r="N144" s="80">
        <v>127</v>
      </c>
      <c r="O144" s="80" t="s">
        <v>1757</v>
      </c>
      <c r="P144" s="79" t="s">
        <v>2049</v>
      </c>
    </row>
    <row r="145" spans="1:16" ht="30" customHeight="1" x14ac:dyDescent="0.3">
      <c r="A145" s="54" t="s">
        <v>164</v>
      </c>
      <c r="B145" s="52" t="s">
        <v>2039</v>
      </c>
      <c r="C145" s="52" t="s">
        <v>117</v>
      </c>
      <c r="D145" s="79" t="str">
        <f t="shared" ca="1" si="13"/>
        <v>완제품</v>
      </c>
      <c r="E145" s="79" t="str">
        <f t="shared" ca="1" si="14"/>
        <v>HF</v>
      </c>
      <c r="F145" s="52" t="s">
        <v>310</v>
      </c>
      <c r="G145" s="52"/>
      <c r="H145" s="79" t="str">
        <f t="shared" ca="1" si="15"/>
        <v>완제품(창고없음)</v>
      </c>
      <c r="I145" s="79" t="str">
        <f t="shared" ca="1" si="16"/>
        <v>6-HF</v>
      </c>
      <c r="J145" s="61" t="s">
        <v>310</v>
      </c>
      <c r="K145" s="61" t="s">
        <v>2050</v>
      </c>
      <c r="L145" s="83" t="str">
        <f t="shared" si="12"/>
        <v>→ 고압진공 R128</v>
      </c>
      <c r="M145" s="84"/>
      <c r="N145" s="80">
        <v>128</v>
      </c>
      <c r="O145" s="80" t="s">
        <v>1757</v>
      </c>
      <c r="P145" s="79" t="s">
        <v>2051</v>
      </c>
    </row>
    <row r="146" spans="1:16" ht="30" customHeight="1" x14ac:dyDescent="0.3">
      <c r="A146" s="54" t="s">
        <v>164</v>
      </c>
      <c r="B146" s="52" t="s">
        <v>2039</v>
      </c>
      <c r="C146" s="52" t="s">
        <v>153</v>
      </c>
      <c r="D146" s="79" t="str">
        <f t="shared" ca="1" si="13"/>
        <v>완제품</v>
      </c>
      <c r="E146" s="79" t="str">
        <f t="shared" ca="1" si="14"/>
        <v>HF</v>
      </c>
      <c r="F146" s="52" t="s">
        <v>306</v>
      </c>
      <c r="G146" s="52"/>
      <c r="H146" s="79" t="str">
        <f t="shared" ca="1" si="15"/>
        <v>완제품(창고없음)</v>
      </c>
      <c r="I146" s="79" t="str">
        <f t="shared" ca="1" si="16"/>
        <v>7-HF</v>
      </c>
      <c r="J146" s="61" t="s">
        <v>306</v>
      </c>
      <c r="K146" s="61" t="s">
        <v>2052</v>
      </c>
      <c r="L146" s="83" t="str">
        <f t="shared" si="12"/>
        <v>→ 고압진공 R129</v>
      </c>
      <c r="M146" s="84"/>
      <c r="N146" s="80">
        <v>129</v>
      </c>
      <c r="O146" s="80" t="s">
        <v>1757</v>
      </c>
      <c r="P146" s="79" t="s">
        <v>2053</v>
      </c>
    </row>
    <row r="147" spans="1:16" ht="30" customHeight="1" x14ac:dyDescent="0.3">
      <c r="A147" s="54" t="s">
        <v>164</v>
      </c>
      <c r="B147" s="52" t="s">
        <v>2039</v>
      </c>
      <c r="C147" s="52" t="s">
        <v>117</v>
      </c>
      <c r="D147" s="79" t="str">
        <f t="shared" ca="1" si="13"/>
        <v>완제품</v>
      </c>
      <c r="E147" s="79" t="str">
        <f t="shared" ca="1" si="14"/>
        <v>HF</v>
      </c>
      <c r="F147" s="52" t="s">
        <v>311</v>
      </c>
      <c r="G147" s="52"/>
      <c r="H147" s="79" t="str">
        <f t="shared" ca="1" si="15"/>
        <v>완제품(창고없음)</v>
      </c>
      <c r="I147" s="79" t="str">
        <f t="shared" ca="1" si="16"/>
        <v>6-HF</v>
      </c>
      <c r="J147" s="61" t="s">
        <v>311</v>
      </c>
      <c r="K147" s="61" t="s">
        <v>2054</v>
      </c>
      <c r="L147" s="83" t="str">
        <f t="shared" si="12"/>
        <v>→ 고압진공 R130</v>
      </c>
      <c r="M147" s="84"/>
      <c r="N147" s="80">
        <v>130</v>
      </c>
      <c r="O147" s="80" t="s">
        <v>1757</v>
      </c>
      <c r="P147" s="79" t="s">
        <v>2055</v>
      </c>
    </row>
    <row r="148" spans="1:16" ht="30" customHeight="1" x14ac:dyDescent="0.3">
      <c r="A148" s="54" t="s">
        <v>164</v>
      </c>
      <c r="B148" s="52" t="s">
        <v>2039</v>
      </c>
      <c r="C148" s="52" t="s">
        <v>153</v>
      </c>
      <c r="D148" s="79" t="str">
        <f t="shared" ca="1" si="13"/>
        <v>반제품</v>
      </c>
      <c r="E148" s="79" t="str">
        <f t="shared" ca="1" si="14"/>
        <v>VA</v>
      </c>
      <c r="F148" s="52" t="s">
        <v>312</v>
      </c>
      <c r="G148" s="52"/>
      <c r="H148" s="79" t="str">
        <f t="shared" ca="1" si="15"/>
        <v>반제품(창고없음)</v>
      </c>
      <c r="I148" s="79" t="str">
        <f t="shared" ca="1" si="16"/>
        <v>7-VA</v>
      </c>
      <c r="J148" s="61" t="s">
        <v>312</v>
      </c>
      <c r="K148" s="61" t="s">
        <v>2056</v>
      </c>
      <c r="L148" s="83" t="str">
        <f t="shared" si="12"/>
        <v>→ 고압진공 R131</v>
      </c>
      <c r="M148" s="84"/>
      <c r="N148" s="80">
        <v>131</v>
      </c>
      <c r="O148" s="80" t="s">
        <v>1757</v>
      </c>
      <c r="P148" s="79" t="s">
        <v>2057</v>
      </c>
    </row>
    <row r="149" spans="1:16" ht="30" customHeight="1" x14ac:dyDescent="0.3">
      <c r="A149" s="54" t="s">
        <v>164</v>
      </c>
      <c r="B149" s="52" t="s">
        <v>2039</v>
      </c>
      <c r="C149" s="52" t="s">
        <v>217</v>
      </c>
      <c r="D149" s="79" t="str">
        <f t="shared" ca="1" si="13"/>
        <v>반제품</v>
      </c>
      <c r="E149" s="79" t="str">
        <f t="shared" ca="1" si="14"/>
        <v>VA</v>
      </c>
      <c r="F149" s="52" t="s">
        <v>311</v>
      </c>
      <c r="G149" s="52"/>
      <c r="H149" s="79" t="str">
        <f t="shared" ca="1" si="15"/>
        <v>반제품(창고없음)</v>
      </c>
      <c r="I149" s="79" t="str">
        <f t="shared" ca="1" si="16"/>
        <v>3-VA</v>
      </c>
      <c r="J149" s="61" t="s">
        <v>311</v>
      </c>
      <c r="K149" s="61" t="s">
        <v>2058</v>
      </c>
      <c r="L149" s="83" t="str">
        <f t="shared" ref="L149:L177" si="17">HYPERLINK("#'"&amp;$O149&amp;"'!A"&amp;$N149,"→ 고압진공 R"&amp;$N149)</f>
        <v>→ 고압진공 R132</v>
      </c>
      <c r="M149" s="84"/>
      <c r="N149" s="80">
        <v>132</v>
      </c>
      <c r="O149" s="80" t="s">
        <v>1757</v>
      </c>
      <c r="P149" s="79" t="s">
        <v>2059</v>
      </c>
    </row>
    <row r="150" spans="1:16" ht="30" customHeight="1" x14ac:dyDescent="0.3">
      <c r="A150" s="54" t="s">
        <v>164</v>
      </c>
      <c r="B150" s="52" t="s">
        <v>2039</v>
      </c>
      <c r="C150" s="52" t="s">
        <v>182</v>
      </c>
      <c r="D150" s="79" t="str">
        <f t="shared" ca="1" si="13"/>
        <v>반제품</v>
      </c>
      <c r="E150" s="79" t="str">
        <f t="shared" ca="1" si="14"/>
        <v>VA</v>
      </c>
      <c r="F150" s="52" t="s">
        <v>2060</v>
      </c>
      <c r="G150" s="52"/>
      <c r="H150" s="79" t="str">
        <f t="shared" ca="1" si="15"/>
        <v>반제품(창고없음)</v>
      </c>
      <c r="I150" s="79" t="str">
        <f t="shared" ca="1" si="16"/>
        <v>8-VA</v>
      </c>
      <c r="J150" s="61" t="s">
        <v>2060</v>
      </c>
      <c r="K150" s="61" t="s">
        <v>313</v>
      </c>
      <c r="L150" s="83" t="str">
        <f t="shared" si="17"/>
        <v>→ 고압진공 R133</v>
      </c>
      <c r="M150" s="84"/>
      <c r="N150" s="80">
        <v>133</v>
      </c>
      <c r="O150" s="80" t="s">
        <v>1757</v>
      </c>
      <c r="P150" s="79" t="s">
        <v>2061</v>
      </c>
    </row>
    <row r="151" spans="1:16" ht="30" customHeight="1" x14ac:dyDescent="0.3">
      <c r="A151" s="54" t="s">
        <v>164</v>
      </c>
      <c r="B151" s="52" t="s">
        <v>164</v>
      </c>
      <c r="C151" s="52" t="s">
        <v>195</v>
      </c>
      <c r="D151" s="79" t="str">
        <f t="shared" ca="1" si="13"/>
        <v>반제품</v>
      </c>
      <c r="E151" s="79" t="str">
        <f t="shared" ca="1" si="14"/>
        <v>VA</v>
      </c>
      <c r="F151" s="52" t="s">
        <v>314</v>
      </c>
      <c r="G151" s="52"/>
      <c r="H151" s="79" t="str">
        <f t="shared" ca="1" si="15"/>
        <v>반제품(창고없음)</v>
      </c>
      <c r="I151" s="79" t="str">
        <f t="shared" ca="1" si="16"/>
        <v>3-VA</v>
      </c>
      <c r="J151" s="61" t="s">
        <v>314</v>
      </c>
      <c r="K151" s="61" t="s">
        <v>2062</v>
      </c>
      <c r="L151" s="83" t="str">
        <f t="shared" si="17"/>
        <v>→ 고압진공 R134</v>
      </c>
      <c r="M151" s="84"/>
      <c r="N151" s="80">
        <v>134</v>
      </c>
      <c r="O151" s="80" t="s">
        <v>1757</v>
      </c>
      <c r="P151" s="79" t="s">
        <v>2063</v>
      </c>
    </row>
    <row r="152" spans="1:16" ht="30" customHeight="1" x14ac:dyDescent="0.3">
      <c r="A152" s="54" t="s">
        <v>164</v>
      </c>
      <c r="B152" s="52" t="s">
        <v>164</v>
      </c>
      <c r="C152" s="52" t="s">
        <v>195</v>
      </c>
      <c r="D152" s="79" t="str">
        <f t="shared" ca="1" si="13"/>
        <v>반제품</v>
      </c>
      <c r="E152" s="79" t="str">
        <f t="shared" ca="1" si="14"/>
        <v>VA</v>
      </c>
      <c r="F152" s="52" t="s">
        <v>315</v>
      </c>
      <c r="G152" s="52"/>
      <c r="H152" s="79" t="str">
        <f t="shared" ca="1" si="15"/>
        <v>반제품(창고없음)</v>
      </c>
      <c r="I152" s="79" t="str">
        <f t="shared" ca="1" si="16"/>
        <v>3-VA</v>
      </c>
      <c r="J152" s="61" t="s">
        <v>315</v>
      </c>
      <c r="K152" s="61" t="s">
        <v>2064</v>
      </c>
      <c r="L152" s="83" t="str">
        <f t="shared" si="17"/>
        <v>→ 고압진공 R135</v>
      </c>
      <c r="M152" s="84"/>
      <c r="N152" s="80">
        <v>135</v>
      </c>
      <c r="O152" s="80" t="s">
        <v>1757</v>
      </c>
      <c r="P152" s="79" t="s">
        <v>2065</v>
      </c>
    </row>
    <row r="153" spans="1:16" ht="30" customHeight="1" x14ac:dyDescent="0.3">
      <c r="A153" s="54" t="s">
        <v>164</v>
      </c>
      <c r="B153" s="52" t="s">
        <v>164</v>
      </c>
      <c r="C153" s="52" t="s">
        <v>198</v>
      </c>
      <c r="D153" s="79" t="str">
        <f t="shared" ca="1" si="13"/>
        <v>반제품</v>
      </c>
      <c r="E153" s="79" t="str">
        <f t="shared" ca="1" si="14"/>
        <v>VA</v>
      </c>
      <c r="F153" s="52" t="s">
        <v>314</v>
      </c>
      <c r="G153" s="52"/>
      <c r="H153" s="79" t="str">
        <f t="shared" ca="1" si="15"/>
        <v>반제품(창고없음)</v>
      </c>
      <c r="I153" s="79" t="str">
        <f t="shared" ca="1" si="16"/>
        <v>4-VA</v>
      </c>
      <c r="J153" s="61" t="s">
        <v>314</v>
      </c>
      <c r="K153" s="61" t="s">
        <v>2066</v>
      </c>
      <c r="L153" s="83" t="str">
        <f t="shared" si="17"/>
        <v>→ 고압진공 R136</v>
      </c>
      <c r="M153" s="84"/>
      <c r="N153" s="80">
        <v>136</v>
      </c>
      <c r="O153" s="80" t="s">
        <v>1757</v>
      </c>
      <c r="P153" s="79" t="s">
        <v>2067</v>
      </c>
    </row>
    <row r="154" spans="1:16" ht="30" customHeight="1" x14ac:dyDescent="0.3">
      <c r="A154" s="54" t="s">
        <v>164</v>
      </c>
      <c r="B154" s="52" t="s">
        <v>164</v>
      </c>
      <c r="C154" s="52" t="s">
        <v>117</v>
      </c>
      <c r="D154" s="79" t="str">
        <f t="shared" ca="1" si="13"/>
        <v>반제품</v>
      </c>
      <c r="E154" s="79" t="str">
        <f t="shared" ca="1" si="14"/>
        <v>VA</v>
      </c>
      <c r="F154" s="52" t="s">
        <v>314</v>
      </c>
      <c r="G154" s="52"/>
      <c r="H154" s="79" t="str">
        <f t="shared" ca="1" si="15"/>
        <v>반제품(창고없음)</v>
      </c>
      <c r="I154" s="79" t="str">
        <f t="shared" ca="1" si="16"/>
        <v>6-VA</v>
      </c>
      <c r="J154" s="61" t="s">
        <v>314</v>
      </c>
      <c r="K154" s="61" t="s">
        <v>2068</v>
      </c>
      <c r="L154" s="83" t="str">
        <f t="shared" si="17"/>
        <v>→ 고압진공 R137</v>
      </c>
      <c r="M154" s="84"/>
      <c r="N154" s="80">
        <v>137</v>
      </c>
      <c r="O154" s="80" t="s">
        <v>1757</v>
      </c>
      <c r="P154" s="79" t="s">
        <v>2069</v>
      </c>
    </row>
    <row r="155" spans="1:16" ht="30" customHeight="1" x14ac:dyDescent="0.3">
      <c r="A155" s="54" t="s">
        <v>164</v>
      </c>
      <c r="B155" s="52" t="s">
        <v>164</v>
      </c>
      <c r="C155" s="52" t="s">
        <v>117</v>
      </c>
      <c r="D155" s="79" t="str">
        <f t="shared" ca="1" si="13"/>
        <v>반제품</v>
      </c>
      <c r="E155" s="79" t="str">
        <f t="shared" ca="1" si="14"/>
        <v>VA</v>
      </c>
      <c r="F155" s="52" t="s">
        <v>316</v>
      </c>
      <c r="G155" s="52"/>
      <c r="H155" s="79" t="str">
        <f t="shared" ca="1" si="15"/>
        <v>반제품(창고없음)</v>
      </c>
      <c r="I155" s="79" t="str">
        <f t="shared" ca="1" si="16"/>
        <v>6-VA</v>
      </c>
      <c r="J155" s="61" t="s">
        <v>316</v>
      </c>
      <c r="K155" s="61" t="s">
        <v>2070</v>
      </c>
      <c r="L155" s="83" t="str">
        <f t="shared" si="17"/>
        <v>→ 고압진공 R138</v>
      </c>
      <c r="M155" s="84"/>
      <c r="N155" s="80">
        <v>138</v>
      </c>
      <c r="O155" s="80" t="s">
        <v>1757</v>
      </c>
      <c r="P155" s="79" t="s">
        <v>2071</v>
      </c>
    </row>
    <row r="156" spans="1:16" ht="30" customHeight="1" x14ac:dyDescent="0.3">
      <c r="A156" s="54" t="s">
        <v>164</v>
      </c>
      <c r="B156" s="52" t="s">
        <v>164</v>
      </c>
      <c r="C156" s="52" t="s">
        <v>153</v>
      </c>
      <c r="D156" s="79" t="str">
        <f t="shared" ca="1" si="13"/>
        <v>반제품</v>
      </c>
      <c r="E156" s="79" t="str">
        <f t="shared" ca="1" si="14"/>
        <v>VA</v>
      </c>
      <c r="F156" s="52" t="s">
        <v>314</v>
      </c>
      <c r="G156" s="52"/>
      <c r="H156" s="79" t="str">
        <f t="shared" ca="1" si="15"/>
        <v>반제품(창고없음)</v>
      </c>
      <c r="I156" s="79" t="str">
        <f t="shared" ca="1" si="16"/>
        <v>7-VA</v>
      </c>
      <c r="J156" s="61" t="s">
        <v>314</v>
      </c>
      <c r="K156" s="61" t="s">
        <v>2072</v>
      </c>
      <c r="L156" s="83" t="str">
        <f t="shared" si="17"/>
        <v>→ 고압진공 R139</v>
      </c>
      <c r="M156" s="84"/>
      <c r="N156" s="80">
        <v>139</v>
      </c>
      <c r="O156" s="80" t="s">
        <v>1757</v>
      </c>
      <c r="P156" s="79" t="s">
        <v>2073</v>
      </c>
    </row>
    <row r="157" spans="1:16" ht="30" customHeight="1" x14ac:dyDescent="0.3">
      <c r="A157" s="54" t="s">
        <v>164</v>
      </c>
      <c r="B157" s="52" t="s">
        <v>164</v>
      </c>
      <c r="C157" s="52" t="s">
        <v>182</v>
      </c>
      <c r="D157" s="79" t="str">
        <f t="shared" ca="1" si="13"/>
        <v>반제품</v>
      </c>
      <c r="E157" s="79" t="str">
        <f t="shared" ca="1" si="14"/>
        <v>VA</v>
      </c>
      <c r="F157" s="52" t="s">
        <v>314</v>
      </c>
      <c r="G157" s="52"/>
      <c r="H157" s="79" t="str">
        <f t="shared" ca="1" si="15"/>
        <v>반제품(창고없음)</v>
      </c>
      <c r="I157" s="79" t="str">
        <f t="shared" ca="1" si="16"/>
        <v>8-VA</v>
      </c>
      <c r="J157" s="61" t="s">
        <v>314</v>
      </c>
      <c r="K157" s="61" t="s">
        <v>2074</v>
      </c>
      <c r="L157" s="83" t="str">
        <f t="shared" si="17"/>
        <v>→ 고압진공 R140</v>
      </c>
      <c r="M157" s="84"/>
      <c r="N157" s="80">
        <v>140</v>
      </c>
      <c r="O157" s="80" t="s">
        <v>1757</v>
      </c>
      <c r="P157" s="79" t="s">
        <v>2075</v>
      </c>
    </row>
    <row r="158" spans="1:16" ht="30" customHeight="1" x14ac:dyDescent="0.3">
      <c r="A158" s="54" t="s">
        <v>164</v>
      </c>
      <c r="B158" s="52" t="s">
        <v>164</v>
      </c>
      <c r="C158" s="52" t="s">
        <v>217</v>
      </c>
      <c r="D158" s="79" t="str">
        <f t="shared" ca="1" si="13"/>
        <v>반제품</v>
      </c>
      <c r="E158" s="79" t="str">
        <f t="shared" ca="1" si="14"/>
        <v>VA</v>
      </c>
      <c r="F158" s="52" t="s">
        <v>316</v>
      </c>
      <c r="G158" s="52"/>
      <c r="H158" s="79" t="str">
        <f t="shared" ca="1" si="15"/>
        <v>반제품(창고없음)</v>
      </c>
      <c r="I158" s="79" t="str">
        <f t="shared" ca="1" si="16"/>
        <v>3-VA</v>
      </c>
      <c r="J158" s="61" t="s">
        <v>316</v>
      </c>
      <c r="K158" s="61" t="s">
        <v>2076</v>
      </c>
      <c r="L158" s="83" t="str">
        <f t="shared" si="17"/>
        <v>→ 고압진공 R141</v>
      </c>
      <c r="M158" s="84"/>
      <c r="N158" s="80">
        <v>141</v>
      </c>
      <c r="O158" s="80" t="s">
        <v>1757</v>
      </c>
      <c r="P158" s="79" t="s">
        <v>2077</v>
      </c>
    </row>
    <row r="159" spans="1:16" ht="30" customHeight="1" x14ac:dyDescent="0.3">
      <c r="A159" s="55" t="s">
        <v>240</v>
      </c>
      <c r="B159" s="52" t="s">
        <v>192</v>
      </c>
      <c r="C159" s="52" t="s">
        <v>117</v>
      </c>
      <c r="D159" s="79" t="str">
        <f t="shared" ca="1" si="13"/>
        <v>원자재</v>
      </c>
      <c r="E159" s="79" t="str">
        <f t="shared" ca="1" si="14"/>
        <v>NR</v>
      </c>
      <c r="F159" s="52" t="s">
        <v>241</v>
      </c>
      <c r="G159" s="52"/>
      <c r="H159" s="79" t="str">
        <f t="shared" ca="1" si="15"/>
        <v>⚠ 원자재_부서보관</v>
      </c>
      <c r="I159" s="79" t="str">
        <f t="shared" ca="1" si="16"/>
        <v>6-NR</v>
      </c>
      <c r="J159" s="61" t="s">
        <v>241</v>
      </c>
      <c r="K159" s="65" t="s">
        <v>241</v>
      </c>
      <c r="L159" s="83" t="str">
        <f t="shared" si="17"/>
        <v>→ 고압진공 R70</v>
      </c>
      <c r="M159" s="84"/>
      <c r="N159" s="80">
        <v>70</v>
      </c>
      <c r="O159" s="80" t="s">
        <v>1757</v>
      </c>
      <c r="P159" s="79" t="s">
        <v>2078</v>
      </c>
    </row>
    <row r="160" spans="1:16" ht="30" customHeight="1" x14ac:dyDescent="0.3">
      <c r="A160" s="55" t="s">
        <v>240</v>
      </c>
      <c r="B160" s="52" t="s">
        <v>192</v>
      </c>
      <c r="C160" s="52" t="s">
        <v>153</v>
      </c>
      <c r="D160" s="79" t="str">
        <f t="shared" ca="1" si="13"/>
        <v>원자재</v>
      </c>
      <c r="E160" s="79" t="str">
        <f t="shared" ca="1" si="14"/>
        <v>NR</v>
      </c>
      <c r="F160" s="52" t="s">
        <v>242</v>
      </c>
      <c r="G160" s="52" t="s">
        <v>2079</v>
      </c>
      <c r="H160" s="79" t="str">
        <f t="shared" si="15"/>
        <v>매칭완료</v>
      </c>
      <c r="I160" s="79" t="str">
        <f t="shared" ca="1" si="16"/>
        <v>7-NR</v>
      </c>
      <c r="J160" s="61" t="s">
        <v>242</v>
      </c>
      <c r="K160" s="61" t="s">
        <v>242</v>
      </c>
      <c r="L160" s="83" t="str">
        <f t="shared" si="17"/>
        <v>→ 고압진공 R71</v>
      </c>
      <c r="M160" s="84"/>
      <c r="N160" s="80">
        <v>71</v>
      </c>
      <c r="O160" s="80" t="s">
        <v>1757</v>
      </c>
      <c r="P160" s="79" t="s">
        <v>2080</v>
      </c>
    </row>
    <row r="161" spans="1:16" ht="30" customHeight="1" x14ac:dyDescent="0.3">
      <c r="A161" s="55" t="s">
        <v>240</v>
      </c>
      <c r="B161" s="52" t="s">
        <v>240</v>
      </c>
      <c r="C161" s="52" t="s">
        <v>195</v>
      </c>
      <c r="D161" s="79" t="str">
        <f t="shared" ca="1" si="13"/>
        <v>완제품</v>
      </c>
      <c r="E161" s="79" t="str">
        <f t="shared" ca="1" si="14"/>
        <v>VF</v>
      </c>
      <c r="F161" s="52" t="s">
        <v>317</v>
      </c>
      <c r="G161" s="52"/>
      <c r="H161" s="79" t="str">
        <f t="shared" ca="1" si="15"/>
        <v>완제품(창고없음)</v>
      </c>
      <c r="I161" s="79" t="str">
        <f t="shared" ca="1" si="16"/>
        <v>3-VF</v>
      </c>
      <c r="J161" s="61" t="s">
        <v>317</v>
      </c>
      <c r="K161" s="61" t="s">
        <v>317</v>
      </c>
      <c r="L161" s="83" t="str">
        <f t="shared" si="17"/>
        <v>→ 고압진공 R142</v>
      </c>
      <c r="M161" s="84"/>
      <c r="N161" s="80">
        <v>142</v>
      </c>
      <c r="O161" s="80" t="s">
        <v>1757</v>
      </c>
      <c r="P161" s="79" t="s">
        <v>2081</v>
      </c>
    </row>
    <row r="162" spans="1:16" ht="30" customHeight="1" x14ac:dyDescent="0.3">
      <c r="A162" s="55" t="s">
        <v>240</v>
      </c>
      <c r="B162" s="52" t="s">
        <v>240</v>
      </c>
      <c r="C162" s="52" t="s">
        <v>195</v>
      </c>
      <c r="D162" s="79" t="str">
        <f t="shared" ca="1" si="13"/>
        <v>완제품</v>
      </c>
      <c r="E162" s="79" t="str">
        <f t="shared" ca="1" si="14"/>
        <v>VF</v>
      </c>
      <c r="F162" s="52" t="s">
        <v>318</v>
      </c>
      <c r="G162" s="52"/>
      <c r="H162" s="79" t="str">
        <f t="shared" ca="1" si="15"/>
        <v>완제품(창고없음)</v>
      </c>
      <c r="I162" s="79" t="str">
        <f t="shared" ca="1" si="16"/>
        <v>3-VF</v>
      </c>
      <c r="J162" s="61" t="s">
        <v>318</v>
      </c>
      <c r="K162" s="61" t="s">
        <v>318</v>
      </c>
      <c r="L162" s="83" t="str">
        <f t="shared" si="17"/>
        <v>→ 고압진공 R143</v>
      </c>
      <c r="M162" s="84"/>
      <c r="N162" s="80">
        <v>143</v>
      </c>
      <c r="O162" s="80" t="s">
        <v>1757</v>
      </c>
      <c r="P162" s="79" t="s">
        <v>2082</v>
      </c>
    </row>
    <row r="163" spans="1:16" ht="30" customHeight="1" x14ac:dyDescent="0.3">
      <c r="A163" s="55" t="s">
        <v>240</v>
      </c>
      <c r="B163" s="52" t="s">
        <v>240</v>
      </c>
      <c r="C163" s="52" t="s">
        <v>195</v>
      </c>
      <c r="D163" s="79" t="str">
        <f t="shared" ca="1" si="13"/>
        <v>완제품</v>
      </c>
      <c r="E163" s="79" t="str">
        <f t="shared" ca="1" si="14"/>
        <v>VF</v>
      </c>
      <c r="F163" s="52" t="s">
        <v>319</v>
      </c>
      <c r="G163" s="52"/>
      <c r="H163" s="79" t="str">
        <f t="shared" ca="1" si="15"/>
        <v>완제품(창고없음)</v>
      </c>
      <c r="I163" s="79" t="str">
        <f t="shared" ca="1" si="16"/>
        <v>3-VF</v>
      </c>
      <c r="J163" s="61" t="s">
        <v>319</v>
      </c>
      <c r="K163" s="61" t="s">
        <v>319</v>
      </c>
      <c r="L163" s="83" t="str">
        <f t="shared" si="17"/>
        <v>→ 고압진공 R144</v>
      </c>
      <c r="M163" s="84"/>
      <c r="N163" s="80">
        <v>144</v>
      </c>
      <c r="O163" s="80" t="s">
        <v>1757</v>
      </c>
      <c r="P163" s="79" t="s">
        <v>2083</v>
      </c>
    </row>
    <row r="164" spans="1:16" ht="30" customHeight="1" x14ac:dyDescent="0.3">
      <c r="A164" s="55" t="s">
        <v>240</v>
      </c>
      <c r="B164" s="52" t="s">
        <v>240</v>
      </c>
      <c r="C164" s="52" t="s">
        <v>198</v>
      </c>
      <c r="D164" s="79" t="str">
        <f t="shared" ca="1" si="13"/>
        <v>완제품</v>
      </c>
      <c r="E164" s="79" t="str">
        <f t="shared" ca="1" si="14"/>
        <v>VF</v>
      </c>
      <c r="F164" s="52" t="s">
        <v>320</v>
      </c>
      <c r="G164" s="52"/>
      <c r="H164" s="79" t="str">
        <f t="shared" ca="1" si="15"/>
        <v>완제품(창고없음)</v>
      </c>
      <c r="I164" s="79" t="str">
        <f t="shared" ca="1" si="16"/>
        <v>4-VF</v>
      </c>
      <c r="J164" s="61" t="s">
        <v>320</v>
      </c>
      <c r="K164" s="61" t="s">
        <v>320</v>
      </c>
      <c r="L164" s="83" t="str">
        <f t="shared" si="17"/>
        <v>→ 고압진공 R145</v>
      </c>
      <c r="M164" s="84"/>
      <c r="N164" s="80">
        <v>145</v>
      </c>
      <c r="O164" s="80" t="s">
        <v>1757</v>
      </c>
      <c r="P164" s="79" t="s">
        <v>2084</v>
      </c>
    </row>
    <row r="165" spans="1:16" ht="30" customHeight="1" x14ac:dyDescent="0.3">
      <c r="A165" s="55" t="s">
        <v>240</v>
      </c>
      <c r="B165" s="52" t="s">
        <v>240</v>
      </c>
      <c r="C165" s="52" t="s">
        <v>117</v>
      </c>
      <c r="D165" s="79" t="str">
        <f t="shared" ca="1" si="13"/>
        <v>완제품</v>
      </c>
      <c r="E165" s="79" t="str">
        <f t="shared" ca="1" si="14"/>
        <v>VF</v>
      </c>
      <c r="F165" s="52" t="s">
        <v>321</v>
      </c>
      <c r="G165" s="52"/>
      <c r="H165" s="79" t="str">
        <f t="shared" ca="1" si="15"/>
        <v>완제품(창고없음)</v>
      </c>
      <c r="I165" s="79" t="str">
        <f t="shared" ca="1" si="16"/>
        <v>6-VF</v>
      </c>
      <c r="J165" s="61" t="s">
        <v>321</v>
      </c>
      <c r="K165" s="61" t="s">
        <v>321</v>
      </c>
      <c r="L165" s="83" t="str">
        <f t="shared" si="17"/>
        <v>→ 고압진공 R146</v>
      </c>
      <c r="M165" s="84"/>
      <c r="N165" s="80">
        <v>146</v>
      </c>
      <c r="O165" s="80" t="s">
        <v>1757</v>
      </c>
      <c r="P165" s="79" t="s">
        <v>2085</v>
      </c>
    </row>
    <row r="166" spans="1:16" ht="30" customHeight="1" x14ac:dyDescent="0.3">
      <c r="A166" s="55" t="s">
        <v>240</v>
      </c>
      <c r="B166" s="52" t="s">
        <v>240</v>
      </c>
      <c r="C166" s="52" t="s">
        <v>182</v>
      </c>
      <c r="D166" s="79" t="str">
        <f t="shared" ca="1" si="13"/>
        <v>완제품</v>
      </c>
      <c r="E166" s="79" t="str">
        <f t="shared" ca="1" si="14"/>
        <v>VF</v>
      </c>
      <c r="F166" s="52" t="s">
        <v>322</v>
      </c>
      <c r="G166" s="52"/>
      <c r="H166" s="79" t="str">
        <f t="shared" ca="1" si="15"/>
        <v>완제품(창고없음)</v>
      </c>
      <c r="I166" s="79" t="str">
        <f t="shared" ca="1" si="16"/>
        <v>8-VF</v>
      </c>
      <c r="J166" s="61" t="s">
        <v>322</v>
      </c>
      <c r="K166" s="61" t="s">
        <v>322</v>
      </c>
      <c r="L166" s="83" t="str">
        <f t="shared" si="17"/>
        <v>→ 고압진공 R147</v>
      </c>
      <c r="M166" s="84"/>
      <c r="N166" s="80">
        <v>147</v>
      </c>
      <c r="O166" s="80" t="s">
        <v>1757</v>
      </c>
      <c r="P166" s="79" t="s">
        <v>2086</v>
      </c>
    </row>
    <row r="167" spans="1:16" ht="30" customHeight="1" x14ac:dyDescent="0.3">
      <c r="A167" s="55" t="s">
        <v>240</v>
      </c>
      <c r="B167" s="52" t="s">
        <v>240</v>
      </c>
      <c r="C167" s="52" t="s">
        <v>153</v>
      </c>
      <c r="D167" s="79" t="str">
        <f t="shared" ca="1" si="13"/>
        <v>완제품</v>
      </c>
      <c r="E167" s="79" t="str">
        <f t="shared" ca="1" si="14"/>
        <v>VF</v>
      </c>
      <c r="F167" s="52" t="s">
        <v>323</v>
      </c>
      <c r="G167" s="52"/>
      <c r="H167" s="79" t="str">
        <f t="shared" ca="1" si="15"/>
        <v>완제품(창고없음)</v>
      </c>
      <c r="I167" s="79" t="str">
        <f t="shared" ca="1" si="16"/>
        <v>7-VF</v>
      </c>
      <c r="J167" s="61" t="s">
        <v>323</v>
      </c>
      <c r="K167" s="61" t="s">
        <v>323</v>
      </c>
      <c r="L167" s="83" t="str">
        <f t="shared" si="17"/>
        <v>→ 고압진공 R148</v>
      </c>
      <c r="M167" s="84"/>
      <c r="N167" s="80">
        <v>148</v>
      </c>
      <c r="O167" s="80" t="s">
        <v>1757</v>
      </c>
      <c r="P167" s="79" t="s">
        <v>2087</v>
      </c>
    </row>
    <row r="168" spans="1:16" ht="30" customHeight="1" x14ac:dyDescent="0.3">
      <c r="A168" s="55" t="s">
        <v>240</v>
      </c>
      <c r="B168" s="52" t="s">
        <v>324</v>
      </c>
      <c r="C168" s="52" t="s">
        <v>195</v>
      </c>
      <c r="D168" s="79" t="str">
        <f t="shared" ca="1" si="13"/>
        <v>완제품</v>
      </c>
      <c r="E168" s="79" t="str">
        <f t="shared" ca="1" si="14"/>
        <v>NF</v>
      </c>
      <c r="F168" s="52" t="s">
        <v>2088</v>
      </c>
      <c r="G168" s="52"/>
      <c r="H168" s="79" t="str">
        <f t="shared" ca="1" si="15"/>
        <v>완제품(창고없음)</v>
      </c>
      <c r="I168" s="79" t="str">
        <f t="shared" ca="1" si="16"/>
        <v>3-NF</v>
      </c>
      <c r="J168" s="61" t="s">
        <v>2088</v>
      </c>
      <c r="K168" s="61" t="s">
        <v>2088</v>
      </c>
      <c r="L168" s="83" t="str">
        <f t="shared" si="17"/>
        <v>→ 고압진공 R149</v>
      </c>
      <c r="M168" s="84"/>
      <c r="N168" s="80">
        <v>149</v>
      </c>
      <c r="O168" s="80" t="s">
        <v>1757</v>
      </c>
      <c r="P168" s="79" t="s">
        <v>2089</v>
      </c>
    </row>
    <row r="169" spans="1:16" ht="30" customHeight="1" x14ac:dyDescent="0.3">
      <c r="A169" s="55" t="s">
        <v>240</v>
      </c>
      <c r="B169" s="52" t="s">
        <v>324</v>
      </c>
      <c r="C169" s="52" t="s">
        <v>195</v>
      </c>
      <c r="D169" s="79" t="str">
        <f t="shared" ca="1" si="13"/>
        <v>완제품</v>
      </c>
      <c r="E169" s="79" t="str">
        <f t="shared" ca="1" si="14"/>
        <v>NF</v>
      </c>
      <c r="F169" s="52" t="s">
        <v>2090</v>
      </c>
      <c r="G169" s="52"/>
      <c r="H169" s="79" t="str">
        <f t="shared" ca="1" si="15"/>
        <v>완제품(창고없음)</v>
      </c>
      <c r="I169" s="79" t="str">
        <f t="shared" ca="1" si="16"/>
        <v>3-NF</v>
      </c>
      <c r="J169" s="61" t="s">
        <v>2090</v>
      </c>
      <c r="K169" s="61" t="s">
        <v>2090</v>
      </c>
      <c r="L169" s="83" t="str">
        <f t="shared" si="17"/>
        <v>→ 고압진공 R150</v>
      </c>
      <c r="M169" s="84"/>
      <c r="N169" s="80">
        <v>150</v>
      </c>
      <c r="O169" s="80" t="s">
        <v>1757</v>
      </c>
      <c r="P169" s="79" t="s">
        <v>2091</v>
      </c>
    </row>
    <row r="170" spans="1:16" ht="30" customHeight="1" x14ac:dyDescent="0.3">
      <c r="A170" s="55" t="s">
        <v>240</v>
      </c>
      <c r="B170" s="52" t="s">
        <v>324</v>
      </c>
      <c r="C170" s="52" t="s">
        <v>195</v>
      </c>
      <c r="D170" s="79" t="str">
        <f t="shared" ca="1" si="13"/>
        <v>완제품</v>
      </c>
      <c r="E170" s="79" t="str">
        <f t="shared" ca="1" si="14"/>
        <v>NF</v>
      </c>
      <c r="F170" s="52" t="s">
        <v>2092</v>
      </c>
      <c r="G170" s="52"/>
      <c r="H170" s="79" t="str">
        <f t="shared" ca="1" si="15"/>
        <v>완제품(창고없음)</v>
      </c>
      <c r="I170" s="79" t="str">
        <f t="shared" ca="1" si="16"/>
        <v>3-NF</v>
      </c>
      <c r="J170" s="61" t="s">
        <v>2092</v>
      </c>
      <c r="K170" s="61" t="s">
        <v>2092</v>
      </c>
      <c r="L170" s="83" t="str">
        <f t="shared" si="17"/>
        <v>→ 고압진공 R151</v>
      </c>
      <c r="M170" s="84"/>
      <c r="N170" s="80">
        <v>151</v>
      </c>
      <c r="O170" s="80" t="s">
        <v>1757</v>
      </c>
      <c r="P170" s="79" t="s">
        <v>2093</v>
      </c>
    </row>
    <row r="171" spans="1:16" ht="30" customHeight="1" x14ac:dyDescent="0.3">
      <c r="A171" s="55" t="s">
        <v>240</v>
      </c>
      <c r="B171" s="52" t="s">
        <v>324</v>
      </c>
      <c r="C171" s="52" t="s">
        <v>328</v>
      </c>
      <c r="D171" s="79" t="str">
        <f t="shared" ca="1" si="13"/>
        <v>완제품</v>
      </c>
      <c r="E171" s="79" t="str">
        <f t="shared" ca="1" si="14"/>
        <v>NF</v>
      </c>
      <c r="F171" s="52" t="s">
        <v>2094</v>
      </c>
      <c r="G171" s="52"/>
      <c r="H171" s="79" t="str">
        <f t="shared" ca="1" si="15"/>
        <v>완제품(창고없음)</v>
      </c>
      <c r="I171" s="79" t="str">
        <f t="shared" ca="1" si="16"/>
        <v>3-NF</v>
      </c>
      <c r="J171" s="61" t="s">
        <v>2094</v>
      </c>
      <c r="K171" s="61" t="s">
        <v>2094</v>
      </c>
      <c r="L171" s="83" t="str">
        <f t="shared" si="17"/>
        <v>→ 고압진공 R152</v>
      </c>
      <c r="M171" s="84"/>
      <c r="N171" s="80">
        <v>152</v>
      </c>
      <c r="O171" s="80" t="s">
        <v>1757</v>
      </c>
      <c r="P171" s="79" t="s">
        <v>2095</v>
      </c>
    </row>
    <row r="172" spans="1:16" ht="30" customHeight="1" x14ac:dyDescent="0.3">
      <c r="A172" s="55" t="s">
        <v>240</v>
      </c>
      <c r="B172" s="52" t="s">
        <v>324</v>
      </c>
      <c r="C172" s="52" t="s">
        <v>198</v>
      </c>
      <c r="D172" s="79" t="str">
        <f t="shared" ca="1" si="13"/>
        <v>완제품</v>
      </c>
      <c r="E172" s="79" t="str">
        <f t="shared" ca="1" si="14"/>
        <v>NF</v>
      </c>
      <c r="F172" s="52" t="s">
        <v>2096</v>
      </c>
      <c r="G172" s="52"/>
      <c r="H172" s="79" t="str">
        <f t="shared" ca="1" si="15"/>
        <v>완제품(창고없음)</v>
      </c>
      <c r="I172" s="79" t="str">
        <f t="shared" ca="1" si="16"/>
        <v>4-NF</v>
      </c>
      <c r="J172" s="61" t="s">
        <v>2096</v>
      </c>
      <c r="K172" s="61" t="s">
        <v>2096</v>
      </c>
      <c r="L172" s="83" t="str">
        <f t="shared" si="17"/>
        <v>→ 고압진공 R153</v>
      </c>
      <c r="M172" s="84"/>
      <c r="N172" s="80">
        <v>153</v>
      </c>
      <c r="O172" s="80" t="s">
        <v>1757</v>
      </c>
      <c r="P172" s="79" t="s">
        <v>2097</v>
      </c>
    </row>
    <row r="173" spans="1:16" ht="30" customHeight="1" x14ac:dyDescent="0.3">
      <c r="A173" s="55" t="s">
        <v>240</v>
      </c>
      <c r="B173" s="52" t="s">
        <v>324</v>
      </c>
      <c r="C173" s="52" t="s">
        <v>198</v>
      </c>
      <c r="D173" s="79" t="str">
        <f t="shared" ca="1" si="13"/>
        <v>완제품</v>
      </c>
      <c r="E173" s="79" t="str">
        <f t="shared" ca="1" si="14"/>
        <v>NF</v>
      </c>
      <c r="F173" s="52" t="s">
        <v>2098</v>
      </c>
      <c r="G173" s="52"/>
      <c r="H173" s="79" t="str">
        <f t="shared" ca="1" si="15"/>
        <v>완제품(창고없음)</v>
      </c>
      <c r="I173" s="79" t="str">
        <f t="shared" ca="1" si="16"/>
        <v>4-NF</v>
      </c>
      <c r="J173" s="61" t="s">
        <v>2098</v>
      </c>
      <c r="K173" s="61" t="s">
        <v>2098</v>
      </c>
      <c r="L173" s="83" t="str">
        <f t="shared" si="17"/>
        <v>→ 고압진공 R154</v>
      </c>
      <c r="M173" s="84"/>
      <c r="N173" s="80">
        <v>154</v>
      </c>
      <c r="O173" s="80" t="s">
        <v>1757</v>
      </c>
      <c r="P173" s="79" t="s">
        <v>2099</v>
      </c>
    </row>
    <row r="174" spans="1:16" ht="30" customHeight="1" x14ac:dyDescent="0.3">
      <c r="A174" s="55" t="s">
        <v>240</v>
      </c>
      <c r="B174" s="52" t="s">
        <v>324</v>
      </c>
      <c r="C174" s="52" t="s">
        <v>117</v>
      </c>
      <c r="D174" s="79" t="str">
        <f t="shared" ca="1" si="13"/>
        <v>완제품</v>
      </c>
      <c r="E174" s="79" t="str">
        <f t="shared" ca="1" si="14"/>
        <v>NF</v>
      </c>
      <c r="F174" s="52" t="s">
        <v>2100</v>
      </c>
      <c r="G174" s="52"/>
      <c r="H174" s="79" t="str">
        <f t="shared" ca="1" si="15"/>
        <v>완제품(창고없음)</v>
      </c>
      <c r="I174" s="79" t="str">
        <f t="shared" ca="1" si="16"/>
        <v>6-NF</v>
      </c>
      <c r="J174" s="61" t="s">
        <v>2100</v>
      </c>
      <c r="K174" s="61" t="s">
        <v>2100</v>
      </c>
      <c r="L174" s="83" t="str">
        <f t="shared" si="17"/>
        <v>→ 고압진공 R155</v>
      </c>
      <c r="M174" s="84"/>
      <c r="N174" s="80">
        <v>155</v>
      </c>
      <c r="O174" s="80" t="s">
        <v>1757</v>
      </c>
      <c r="P174" s="79" t="s">
        <v>2101</v>
      </c>
    </row>
    <row r="175" spans="1:16" ht="30" customHeight="1" x14ac:dyDescent="0.3">
      <c r="A175" s="55" t="s">
        <v>240</v>
      </c>
      <c r="B175" s="52" t="s">
        <v>324</v>
      </c>
      <c r="C175" s="52" t="s">
        <v>333</v>
      </c>
      <c r="D175" s="79" t="str">
        <f t="shared" ca="1" si="13"/>
        <v>완제품</v>
      </c>
      <c r="E175" s="79" t="str">
        <f t="shared" ca="1" si="14"/>
        <v>NF</v>
      </c>
      <c r="F175" s="52" t="s">
        <v>2102</v>
      </c>
      <c r="G175" s="52"/>
      <c r="H175" s="79" t="str">
        <f t="shared" ca="1" si="15"/>
        <v>완제품(창고없음)</v>
      </c>
      <c r="I175" s="79" t="str">
        <f t="shared" ca="1" si="16"/>
        <v>6-NF</v>
      </c>
      <c r="J175" s="61" t="s">
        <v>2102</v>
      </c>
      <c r="K175" s="61" t="s">
        <v>2102</v>
      </c>
      <c r="L175" s="83" t="str">
        <f t="shared" si="17"/>
        <v>→ 고압진공 R156</v>
      </c>
      <c r="M175" s="84"/>
      <c r="N175" s="80">
        <v>156</v>
      </c>
      <c r="O175" s="80" t="s">
        <v>1757</v>
      </c>
      <c r="P175" s="79" t="s">
        <v>2103</v>
      </c>
    </row>
    <row r="176" spans="1:16" ht="30" customHeight="1" x14ac:dyDescent="0.3">
      <c r="A176" s="55" t="s">
        <v>240</v>
      </c>
      <c r="B176" s="52" t="s">
        <v>324</v>
      </c>
      <c r="C176" s="52" t="s">
        <v>153</v>
      </c>
      <c r="D176" s="79" t="str">
        <f t="shared" ca="1" si="13"/>
        <v>완제품</v>
      </c>
      <c r="E176" s="79" t="str">
        <f t="shared" ca="1" si="14"/>
        <v>NF</v>
      </c>
      <c r="F176" s="52" t="s">
        <v>2104</v>
      </c>
      <c r="G176" s="52"/>
      <c r="H176" s="79" t="str">
        <f t="shared" ca="1" si="15"/>
        <v>완제품(창고없음)</v>
      </c>
      <c r="I176" s="79" t="str">
        <f t="shared" ca="1" si="16"/>
        <v>7-NF</v>
      </c>
      <c r="J176" s="61" t="s">
        <v>2104</v>
      </c>
      <c r="K176" s="61" t="s">
        <v>2104</v>
      </c>
      <c r="L176" s="83" t="str">
        <f t="shared" si="17"/>
        <v>→ 고압진공 R157</v>
      </c>
      <c r="M176" s="84"/>
      <c r="N176" s="80">
        <v>157</v>
      </c>
      <c r="O176" s="80" t="s">
        <v>1757</v>
      </c>
      <c r="P176" s="79" t="s">
        <v>2105</v>
      </c>
    </row>
    <row r="177" spans="1:16" ht="30" customHeight="1" x14ac:dyDescent="0.3">
      <c r="A177" s="55" t="s">
        <v>240</v>
      </c>
      <c r="B177" s="52" t="s">
        <v>324</v>
      </c>
      <c r="C177" s="52" t="s">
        <v>182</v>
      </c>
      <c r="D177" s="79" t="str">
        <f t="shared" ca="1" si="13"/>
        <v>완제품</v>
      </c>
      <c r="E177" s="79" t="str">
        <f t="shared" ca="1" si="14"/>
        <v>NF</v>
      </c>
      <c r="F177" s="52" t="s">
        <v>2106</v>
      </c>
      <c r="G177" s="52"/>
      <c r="H177" s="79" t="str">
        <f t="shared" ca="1" si="15"/>
        <v>완제품(창고없음)</v>
      </c>
      <c r="I177" s="79" t="str">
        <f t="shared" ca="1" si="16"/>
        <v>8-NF</v>
      </c>
      <c r="J177" s="61" t="s">
        <v>2106</v>
      </c>
      <c r="K177" s="61" t="s">
        <v>2106</v>
      </c>
      <c r="L177" s="83" t="str">
        <f t="shared" si="17"/>
        <v>→ 고압진공 R158</v>
      </c>
      <c r="M177" s="84"/>
      <c r="N177" s="80">
        <v>158</v>
      </c>
      <c r="O177" s="80" t="s">
        <v>1757</v>
      </c>
      <c r="P177" s="79" t="s">
        <v>2107</v>
      </c>
    </row>
    <row r="178" spans="1:16" ht="30" customHeight="1" x14ac:dyDescent="0.3">
      <c r="A178" s="56" t="s">
        <v>354</v>
      </c>
      <c r="B178" s="52" t="s">
        <v>355</v>
      </c>
      <c r="C178" s="52" t="s">
        <v>195</v>
      </c>
      <c r="D178" s="79" t="str">
        <f t="shared" ca="1" si="13"/>
        <v>원자재</v>
      </c>
      <c r="E178" s="79" t="str">
        <f t="shared" ca="1" si="14"/>
        <v>AR</v>
      </c>
      <c r="F178" s="52" t="s">
        <v>356</v>
      </c>
      <c r="G178" s="52" t="s">
        <v>2108</v>
      </c>
      <c r="H178" s="79" t="str">
        <f t="shared" si="15"/>
        <v>매칭완료</v>
      </c>
      <c r="I178" s="79" t="str">
        <f t="shared" ca="1" si="16"/>
        <v>3-AR</v>
      </c>
      <c r="J178" s="61" t="s">
        <v>356</v>
      </c>
      <c r="K178" s="85" t="s">
        <v>2109</v>
      </c>
      <c r="L178" s="83" t="str">
        <f t="shared" ref="L178:L241" si="18">HYPERLINK("#'"&amp;$O178&amp;"'!A"&amp;$N178,"→ 조립자재 R"&amp;$N178)</f>
        <v>→ 조립자재 R2</v>
      </c>
      <c r="M178" s="84"/>
      <c r="N178" s="80">
        <v>2</v>
      </c>
      <c r="O178" s="80" t="s">
        <v>2110</v>
      </c>
      <c r="P178" s="79" t="s">
        <v>2111</v>
      </c>
    </row>
    <row r="179" spans="1:16" ht="30" customHeight="1" x14ac:dyDescent="0.3">
      <c r="A179" s="56" t="s">
        <v>354</v>
      </c>
      <c r="B179" s="52" t="s">
        <v>355</v>
      </c>
      <c r="C179" s="52" t="s">
        <v>195</v>
      </c>
      <c r="D179" s="79" t="str">
        <f t="shared" ca="1" si="13"/>
        <v>원자재</v>
      </c>
      <c r="E179" s="79" t="str">
        <f t="shared" ca="1" si="14"/>
        <v>AR</v>
      </c>
      <c r="F179" s="52" t="s">
        <v>358</v>
      </c>
      <c r="G179" s="52" t="s">
        <v>2112</v>
      </c>
      <c r="H179" s="79" t="str">
        <f t="shared" si="15"/>
        <v>매칭완료</v>
      </c>
      <c r="I179" s="79" t="str">
        <f t="shared" ca="1" si="16"/>
        <v>38-AR</v>
      </c>
      <c r="J179" s="61" t="s">
        <v>358</v>
      </c>
      <c r="K179" s="85" t="s">
        <v>2113</v>
      </c>
      <c r="L179" s="83" t="str">
        <f t="shared" si="18"/>
        <v>→ 조립자재 R3</v>
      </c>
      <c r="M179" s="84"/>
      <c r="N179" s="80">
        <v>3</v>
      </c>
      <c r="O179" s="80" t="s">
        <v>2110</v>
      </c>
      <c r="P179" s="79" t="s">
        <v>2114</v>
      </c>
    </row>
    <row r="180" spans="1:16" ht="30" customHeight="1" x14ac:dyDescent="0.3">
      <c r="A180" s="56" t="s">
        <v>354</v>
      </c>
      <c r="B180" s="52" t="s">
        <v>360</v>
      </c>
      <c r="C180" s="52" t="s">
        <v>195</v>
      </c>
      <c r="D180" s="79" t="str">
        <f t="shared" ca="1" si="13"/>
        <v>원자재</v>
      </c>
      <c r="E180" s="79" t="str">
        <f t="shared" ca="1" si="14"/>
        <v>AR</v>
      </c>
      <c r="F180" s="52" t="s">
        <v>361</v>
      </c>
      <c r="G180" s="52" t="s">
        <v>2115</v>
      </c>
      <c r="H180" s="79" t="str">
        <f t="shared" si="15"/>
        <v>매칭완료</v>
      </c>
      <c r="I180" s="79" t="str">
        <f t="shared" ca="1" si="16"/>
        <v>3-AR</v>
      </c>
      <c r="J180" s="61" t="s">
        <v>361</v>
      </c>
      <c r="K180" s="85" t="s">
        <v>2116</v>
      </c>
      <c r="L180" s="83" t="str">
        <f t="shared" si="18"/>
        <v>→ 조립자재 R4</v>
      </c>
      <c r="M180" s="84"/>
      <c r="N180" s="80">
        <v>4</v>
      </c>
      <c r="O180" s="80" t="s">
        <v>2110</v>
      </c>
      <c r="P180" s="79" t="s">
        <v>2117</v>
      </c>
    </row>
    <row r="181" spans="1:16" ht="30" customHeight="1" x14ac:dyDescent="0.3">
      <c r="A181" s="56" t="s">
        <v>354</v>
      </c>
      <c r="B181" s="52" t="s">
        <v>360</v>
      </c>
      <c r="C181" s="52" t="s">
        <v>195</v>
      </c>
      <c r="D181" s="79" t="str">
        <f t="shared" ca="1" si="13"/>
        <v>원자재</v>
      </c>
      <c r="E181" s="79" t="str">
        <f t="shared" ca="1" si="14"/>
        <v>AR</v>
      </c>
      <c r="F181" s="52" t="s">
        <v>363</v>
      </c>
      <c r="G181" s="52" t="s">
        <v>2118</v>
      </c>
      <c r="H181" s="79" t="str">
        <f t="shared" si="15"/>
        <v>매칭완료</v>
      </c>
      <c r="I181" s="79" t="str">
        <f t="shared" ca="1" si="16"/>
        <v>3-AR</v>
      </c>
      <c r="J181" s="61" t="s">
        <v>363</v>
      </c>
      <c r="K181" s="85" t="s">
        <v>2119</v>
      </c>
      <c r="L181" s="83" t="str">
        <f t="shared" si="18"/>
        <v>→ 조립자재 R5</v>
      </c>
      <c r="M181" s="84"/>
      <c r="N181" s="80">
        <v>5</v>
      </c>
      <c r="O181" s="80" t="s">
        <v>2110</v>
      </c>
      <c r="P181" s="79" t="s">
        <v>2120</v>
      </c>
    </row>
    <row r="182" spans="1:16" ht="30" customHeight="1" x14ac:dyDescent="0.3">
      <c r="A182" s="56" t="s">
        <v>354</v>
      </c>
      <c r="B182" s="52" t="s">
        <v>360</v>
      </c>
      <c r="C182" s="52" t="s">
        <v>195</v>
      </c>
      <c r="D182" s="79" t="str">
        <f t="shared" ca="1" si="13"/>
        <v>원자재</v>
      </c>
      <c r="E182" s="79" t="str">
        <f t="shared" ca="1" si="14"/>
        <v>AR</v>
      </c>
      <c r="F182" s="52" t="s">
        <v>365</v>
      </c>
      <c r="G182" s="52" t="s">
        <v>2121</v>
      </c>
      <c r="H182" s="79" t="str">
        <f t="shared" si="15"/>
        <v>매칭완료</v>
      </c>
      <c r="I182" s="79" t="str">
        <f t="shared" ca="1" si="16"/>
        <v>3-AR</v>
      </c>
      <c r="J182" s="61" t="s">
        <v>365</v>
      </c>
      <c r="K182" s="85" t="s">
        <v>2122</v>
      </c>
      <c r="L182" s="83" t="str">
        <f t="shared" si="18"/>
        <v>→ 조립자재 R6</v>
      </c>
      <c r="M182" s="84"/>
      <c r="N182" s="80">
        <v>6</v>
      </c>
      <c r="O182" s="80" t="s">
        <v>2110</v>
      </c>
      <c r="P182" s="79" t="s">
        <v>2123</v>
      </c>
    </row>
    <row r="183" spans="1:16" ht="30" customHeight="1" x14ac:dyDescent="0.3">
      <c r="A183" s="56" t="s">
        <v>354</v>
      </c>
      <c r="B183" s="52" t="s">
        <v>360</v>
      </c>
      <c r="C183" s="52" t="s">
        <v>195</v>
      </c>
      <c r="D183" s="79" t="str">
        <f t="shared" ca="1" si="13"/>
        <v>원자재</v>
      </c>
      <c r="E183" s="79" t="str">
        <f t="shared" ca="1" si="14"/>
        <v>AR</v>
      </c>
      <c r="F183" s="52" t="s">
        <v>367</v>
      </c>
      <c r="G183" s="52" t="s">
        <v>2124</v>
      </c>
      <c r="H183" s="79" t="str">
        <f t="shared" si="15"/>
        <v>매칭완료</v>
      </c>
      <c r="I183" s="79" t="str">
        <f t="shared" ca="1" si="16"/>
        <v>3-AR</v>
      </c>
      <c r="J183" s="61" t="s">
        <v>367</v>
      </c>
      <c r="K183" s="85" t="s">
        <v>2125</v>
      </c>
      <c r="L183" s="83" t="str">
        <f t="shared" si="18"/>
        <v>→ 조립자재 R7</v>
      </c>
      <c r="M183" s="84"/>
      <c r="N183" s="80">
        <v>7</v>
      </c>
      <c r="O183" s="80" t="s">
        <v>2110</v>
      </c>
      <c r="P183" s="79" t="s">
        <v>2126</v>
      </c>
    </row>
    <row r="184" spans="1:16" ht="30" customHeight="1" x14ac:dyDescent="0.3">
      <c r="A184" s="56" t="s">
        <v>354</v>
      </c>
      <c r="B184" s="52" t="s">
        <v>360</v>
      </c>
      <c r="C184" s="52" t="s">
        <v>369</v>
      </c>
      <c r="D184" s="79" t="str">
        <f t="shared" ca="1" si="13"/>
        <v>원자재</v>
      </c>
      <c r="E184" s="79" t="str">
        <f t="shared" ca="1" si="14"/>
        <v>AR</v>
      </c>
      <c r="F184" s="52" t="s">
        <v>370</v>
      </c>
      <c r="G184" s="52" t="s">
        <v>2127</v>
      </c>
      <c r="H184" s="79" t="str">
        <f t="shared" si="15"/>
        <v>매칭완료</v>
      </c>
      <c r="I184" s="79" t="str">
        <f t="shared" ca="1" si="16"/>
        <v>3-AR</v>
      </c>
      <c r="J184" s="61" t="s">
        <v>370</v>
      </c>
      <c r="K184" s="85" t="s">
        <v>2128</v>
      </c>
      <c r="L184" s="83" t="str">
        <f t="shared" si="18"/>
        <v>→ 조립자재 R8</v>
      </c>
      <c r="M184" s="84"/>
      <c r="N184" s="80">
        <v>8</v>
      </c>
      <c r="O184" s="80" t="s">
        <v>2110</v>
      </c>
      <c r="P184" s="79" t="s">
        <v>2129</v>
      </c>
    </row>
    <row r="185" spans="1:16" ht="30" customHeight="1" x14ac:dyDescent="0.3">
      <c r="A185" s="56" t="s">
        <v>354</v>
      </c>
      <c r="B185" s="52" t="s">
        <v>360</v>
      </c>
      <c r="C185" s="52" t="s">
        <v>372</v>
      </c>
      <c r="D185" s="79" t="str">
        <f t="shared" ca="1" si="13"/>
        <v>원자재</v>
      </c>
      <c r="E185" s="79" t="str">
        <f t="shared" ca="1" si="14"/>
        <v>AR</v>
      </c>
      <c r="F185" s="52" t="s">
        <v>370</v>
      </c>
      <c r="G185" s="52" t="s">
        <v>2130</v>
      </c>
      <c r="H185" s="79" t="str">
        <f t="shared" si="15"/>
        <v>매칭완료</v>
      </c>
      <c r="I185" s="79" t="str">
        <f t="shared" ca="1" si="16"/>
        <v>3-AR</v>
      </c>
      <c r="J185" s="61" t="s">
        <v>370</v>
      </c>
      <c r="K185" s="85" t="s">
        <v>2131</v>
      </c>
      <c r="L185" s="83" t="str">
        <f t="shared" si="18"/>
        <v>→ 조립자재 R9</v>
      </c>
      <c r="M185" s="84"/>
      <c r="N185" s="80">
        <v>9</v>
      </c>
      <c r="O185" s="80" t="s">
        <v>2110</v>
      </c>
      <c r="P185" s="79" t="s">
        <v>2132</v>
      </c>
    </row>
    <row r="186" spans="1:16" ht="30" customHeight="1" x14ac:dyDescent="0.3">
      <c r="A186" s="56" t="s">
        <v>354</v>
      </c>
      <c r="B186" s="52" t="s">
        <v>360</v>
      </c>
      <c r="C186" s="52" t="s">
        <v>374</v>
      </c>
      <c r="D186" s="79" t="str">
        <f t="shared" ca="1" si="13"/>
        <v>원자재</v>
      </c>
      <c r="E186" s="79" t="str">
        <f t="shared" ca="1" si="14"/>
        <v>AR</v>
      </c>
      <c r="F186" s="52" t="s">
        <v>375</v>
      </c>
      <c r="G186" s="52" t="s">
        <v>2133</v>
      </c>
      <c r="H186" s="79" t="str">
        <f t="shared" si="15"/>
        <v>매칭완료</v>
      </c>
      <c r="I186" s="79" t="str">
        <f t="shared" ca="1" si="16"/>
        <v>3-AR</v>
      </c>
      <c r="J186" s="61" t="s">
        <v>375</v>
      </c>
      <c r="K186" s="85" t="s">
        <v>2134</v>
      </c>
      <c r="L186" s="83" t="str">
        <f t="shared" si="18"/>
        <v>→ 조립자재 R10</v>
      </c>
      <c r="M186" s="84"/>
      <c r="N186" s="80">
        <v>10</v>
      </c>
      <c r="O186" s="80" t="s">
        <v>2110</v>
      </c>
      <c r="P186" s="79" t="s">
        <v>2135</v>
      </c>
    </row>
    <row r="187" spans="1:16" ht="30" customHeight="1" x14ac:dyDescent="0.3">
      <c r="A187" s="56" t="s">
        <v>354</v>
      </c>
      <c r="B187" s="52" t="s">
        <v>360</v>
      </c>
      <c r="C187" s="52" t="s">
        <v>372</v>
      </c>
      <c r="D187" s="79" t="str">
        <f t="shared" ca="1" si="13"/>
        <v>원자재</v>
      </c>
      <c r="E187" s="79" t="str">
        <f t="shared" ca="1" si="14"/>
        <v>AR</v>
      </c>
      <c r="F187" s="52" t="s">
        <v>375</v>
      </c>
      <c r="G187" s="52" t="s">
        <v>2136</v>
      </c>
      <c r="H187" s="79" t="str">
        <f t="shared" si="15"/>
        <v>매칭완료</v>
      </c>
      <c r="I187" s="79" t="str">
        <f t="shared" ca="1" si="16"/>
        <v>3-AR</v>
      </c>
      <c r="J187" s="61" t="s">
        <v>375</v>
      </c>
      <c r="K187" s="85" t="s">
        <v>2137</v>
      </c>
      <c r="L187" s="83" t="str">
        <f t="shared" si="18"/>
        <v>→ 조립자재 R11</v>
      </c>
      <c r="M187" s="84"/>
      <c r="N187" s="80">
        <v>11</v>
      </c>
      <c r="O187" s="80" t="s">
        <v>2110</v>
      </c>
      <c r="P187" s="79" t="s">
        <v>2138</v>
      </c>
    </row>
    <row r="188" spans="1:16" ht="30" customHeight="1" x14ac:dyDescent="0.3">
      <c r="A188" s="56" t="s">
        <v>354</v>
      </c>
      <c r="B188" s="52" t="s">
        <v>360</v>
      </c>
      <c r="C188" s="52" t="s">
        <v>195</v>
      </c>
      <c r="D188" s="79" t="str">
        <f t="shared" ca="1" si="13"/>
        <v>원자재</v>
      </c>
      <c r="E188" s="79" t="str">
        <f t="shared" ca="1" si="14"/>
        <v>AR</v>
      </c>
      <c r="F188" s="52" t="s">
        <v>378</v>
      </c>
      <c r="G188" s="52" t="s">
        <v>2139</v>
      </c>
      <c r="H188" s="79" t="str">
        <f t="shared" si="15"/>
        <v>매칭완료</v>
      </c>
      <c r="I188" s="79" t="str">
        <f t="shared" ca="1" si="16"/>
        <v>3-AR</v>
      </c>
      <c r="J188" s="61" t="s">
        <v>378</v>
      </c>
      <c r="K188" s="85" t="s">
        <v>2140</v>
      </c>
      <c r="L188" s="83" t="str">
        <f t="shared" si="18"/>
        <v>→ 조립자재 R12</v>
      </c>
      <c r="M188" s="84"/>
      <c r="N188" s="80">
        <v>12</v>
      </c>
      <c r="O188" s="80" t="s">
        <v>2110</v>
      </c>
      <c r="P188" s="79" t="s">
        <v>2141</v>
      </c>
    </row>
    <row r="189" spans="1:16" ht="30" customHeight="1" x14ac:dyDescent="0.3">
      <c r="A189" s="56" t="s">
        <v>354</v>
      </c>
      <c r="B189" s="52" t="s">
        <v>360</v>
      </c>
      <c r="C189" s="52" t="s">
        <v>195</v>
      </c>
      <c r="D189" s="79" t="str">
        <f t="shared" ca="1" si="13"/>
        <v>원자재</v>
      </c>
      <c r="E189" s="79" t="str">
        <f t="shared" ca="1" si="14"/>
        <v>AR</v>
      </c>
      <c r="F189" s="52" t="s">
        <v>380</v>
      </c>
      <c r="G189" s="52" t="s">
        <v>2142</v>
      </c>
      <c r="H189" s="79" t="str">
        <f t="shared" si="15"/>
        <v>매칭완료</v>
      </c>
      <c r="I189" s="79" t="str">
        <f t="shared" ca="1" si="16"/>
        <v>3-AR</v>
      </c>
      <c r="J189" s="61" t="s">
        <v>380</v>
      </c>
      <c r="K189" s="85" t="s">
        <v>2143</v>
      </c>
      <c r="L189" s="83" t="str">
        <f t="shared" si="18"/>
        <v>→ 조립자재 R13</v>
      </c>
      <c r="M189" s="84"/>
      <c r="N189" s="80">
        <v>13</v>
      </c>
      <c r="O189" s="80" t="s">
        <v>2110</v>
      </c>
      <c r="P189" s="79" t="s">
        <v>2144</v>
      </c>
    </row>
    <row r="190" spans="1:16" ht="30" customHeight="1" x14ac:dyDescent="0.3">
      <c r="A190" s="56" t="s">
        <v>354</v>
      </c>
      <c r="B190" s="52" t="s">
        <v>360</v>
      </c>
      <c r="C190" s="52" t="s">
        <v>195</v>
      </c>
      <c r="D190" s="79" t="str">
        <f t="shared" ca="1" si="13"/>
        <v>원자재</v>
      </c>
      <c r="E190" s="79" t="str">
        <f t="shared" ca="1" si="14"/>
        <v>AR</v>
      </c>
      <c r="F190" s="52" t="s">
        <v>382</v>
      </c>
      <c r="G190" s="52" t="s">
        <v>2145</v>
      </c>
      <c r="H190" s="79" t="str">
        <f t="shared" si="15"/>
        <v>매칭완료</v>
      </c>
      <c r="I190" s="79" t="str">
        <f t="shared" ca="1" si="16"/>
        <v>3-AR</v>
      </c>
      <c r="J190" s="61" t="s">
        <v>382</v>
      </c>
      <c r="K190" s="85" t="s">
        <v>2146</v>
      </c>
      <c r="L190" s="83" t="str">
        <f t="shared" si="18"/>
        <v>→ 조립자재 R14</v>
      </c>
      <c r="M190" s="84"/>
      <c r="N190" s="80">
        <v>14</v>
      </c>
      <c r="O190" s="80" t="s">
        <v>2110</v>
      </c>
      <c r="P190" s="79" t="s">
        <v>2147</v>
      </c>
    </row>
    <row r="191" spans="1:16" ht="30" customHeight="1" x14ac:dyDescent="0.3">
      <c r="A191" s="56" t="s">
        <v>354</v>
      </c>
      <c r="B191" s="52" t="s">
        <v>360</v>
      </c>
      <c r="C191" s="52" t="s">
        <v>195</v>
      </c>
      <c r="D191" s="79" t="str">
        <f t="shared" ca="1" si="13"/>
        <v>원자재</v>
      </c>
      <c r="E191" s="79" t="str">
        <f t="shared" ca="1" si="14"/>
        <v>AR</v>
      </c>
      <c r="F191" s="52" t="s">
        <v>384</v>
      </c>
      <c r="G191" s="52" t="s">
        <v>2148</v>
      </c>
      <c r="H191" s="79" t="str">
        <f t="shared" si="15"/>
        <v>매칭완료</v>
      </c>
      <c r="I191" s="79" t="str">
        <f t="shared" ca="1" si="16"/>
        <v>3-AR</v>
      </c>
      <c r="J191" s="61" t="s">
        <v>384</v>
      </c>
      <c r="K191" s="85" t="s">
        <v>2149</v>
      </c>
      <c r="L191" s="83" t="str">
        <f t="shared" si="18"/>
        <v>→ 조립자재 R15</v>
      </c>
      <c r="M191" s="84"/>
      <c r="N191" s="80">
        <v>15</v>
      </c>
      <c r="O191" s="80" t="s">
        <v>2110</v>
      </c>
      <c r="P191" s="79" t="s">
        <v>2150</v>
      </c>
    </row>
    <row r="192" spans="1:16" ht="30" customHeight="1" x14ac:dyDescent="0.3">
      <c r="A192" s="56" t="s">
        <v>354</v>
      </c>
      <c r="B192" s="52" t="s">
        <v>360</v>
      </c>
      <c r="C192" s="52" t="s">
        <v>195</v>
      </c>
      <c r="D192" s="79" t="str">
        <f t="shared" ca="1" si="13"/>
        <v>원자재</v>
      </c>
      <c r="E192" s="79" t="str">
        <f t="shared" ca="1" si="14"/>
        <v>AR</v>
      </c>
      <c r="F192" s="52" t="s">
        <v>386</v>
      </c>
      <c r="G192" s="52" t="s">
        <v>2151</v>
      </c>
      <c r="H192" s="79" t="str">
        <f t="shared" si="15"/>
        <v>매칭완료</v>
      </c>
      <c r="I192" s="79" t="str">
        <f t="shared" ca="1" si="16"/>
        <v>3-AR</v>
      </c>
      <c r="J192" s="61" t="s">
        <v>386</v>
      </c>
      <c r="K192" s="85" t="s">
        <v>2152</v>
      </c>
      <c r="L192" s="83" t="str">
        <f t="shared" si="18"/>
        <v>→ 조립자재 R16</v>
      </c>
      <c r="M192" s="84"/>
      <c r="N192" s="80">
        <v>16</v>
      </c>
      <c r="O192" s="80" t="s">
        <v>2110</v>
      </c>
      <c r="P192" s="79" t="s">
        <v>2153</v>
      </c>
    </row>
    <row r="193" spans="1:16" ht="30" customHeight="1" x14ac:dyDescent="0.3">
      <c r="A193" s="56" t="s">
        <v>354</v>
      </c>
      <c r="B193" s="52" t="s">
        <v>360</v>
      </c>
      <c r="C193" s="52" t="s">
        <v>195</v>
      </c>
      <c r="D193" s="79" t="str">
        <f t="shared" ca="1" si="13"/>
        <v>원자재</v>
      </c>
      <c r="E193" s="79" t="str">
        <f t="shared" ca="1" si="14"/>
        <v>AR</v>
      </c>
      <c r="F193" s="52" t="s">
        <v>388</v>
      </c>
      <c r="G193" s="52" t="s">
        <v>2154</v>
      </c>
      <c r="H193" s="79" t="str">
        <f t="shared" si="15"/>
        <v>매칭완료</v>
      </c>
      <c r="I193" s="79" t="str">
        <f t="shared" ca="1" si="16"/>
        <v>3-AR</v>
      </c>
      <c r="J193" s="61" t="s">
        <v>388</v>
      </c>
      <c r="K193" s="85" t="s">
        <v>2155</v>
      </c>
      <c r="L193" s="83" t="str">
        <f t="shared" si="18"/>
        <v>→ 조립자재 R17</v>
      </c>
      <c r="M193" s="84"/>
      <c r="N193" s="80">
        <v>17</v>
      </c>
      <c r="O193" s="80" t="s">
        <v>2110</v>
      </c>
      <c r="P193" s="79" t="s">
        <v>2156</v>
      </c>
    </row>
    <row r="194" spans="1:16" ht="30" customHeight="1" x14ac:dyDescent="0.3">
      <c r="A194" s="56" t="s">
        <v>354</v>
      </c>
      <c r="B194" s="52" t="s">
        <v>360</v>
      </c>
      <c r="C194" s="52" t="s">
        <v>372</v>
      </c>
      <c r="D194" s="79" t="str">
        <f t="shared" ref="D194:D257" ca="1" si="19">IF(INDIRECT("'"&amp;$O194&amp;"'!F"&amp;$N194)="O","원자재",IF(INDIRECT("'"&amp;$O194&amp;"'!G"&amp;$N194)="O","반제품",IF(INDIRECT("'"&amp;$O194&amp;"'!H"&amp;$N194)="O","완제품","")))</f>
        <v>원자재</v>
      </c>
      <c r="E194" s="79" t="str">
        <f t="shared" ref="E194:E257" ca="1" si="20">IFERROR(IF(INDIRECT("'"&amp;$O194&amp;"'!I"&amp;$N194)=0,"",INDIRECT("'"&amp;$O194&amp;"'!I"&amp;$N194)),"")</f>
        <v>AR</v>
      </c>
      <c r="F194" s="52" t="s">
        <v>390</v>
      </c>
      <c r="G194" s="52" t="s">
        <v>2157</v>
      </c>
      <c r="H194" s="79" t="str">
        <f t="shared" ref="H194:H257" si="21">IF(AND($F194="",$G194=""),"",IF($F194="","창고전용",IF($G194&lt;&gt;"","매칭완료",IF($D194="반제품","반제품(창고없음)",IF($D194="완제품","완제품(창고없음)",IF($D194="원자재","⚠ 원자재_부서보관","미분류"))))))</f>
        <v>매칭완료</v>
      </c>
      <c r="I194" s="79" t="str">
        <f t="shared" ref="I194:I257" ca="1" si="22">IFERROR(IF(INDIRECT("'"&amp;$O194&amp;"'!P"&amp;$N194)=0,"",INDIRECT("'"&amp;$O194&amp;"'!P"&amp;$N194)),"")</f>
        <v>3-AR</v>
      </c>
      <c r="J194" s="61" t="s">
        <v>390</v>
      </c>
      <c r="K194" s="85" t="s">
        <v>2158</v>
      </c>
      <c r="L194" s="83" t="str">
        <f t="shared" si="18"/>
        <v>→ 조립자재 R18</v>
      </c>
      <c r="M194" s="84"/>
      <c r="N194" s="80">
        <v>18</v>
      </c>
      <c r="O194" s="80" t="s">
        <v>2110</v>
      </c>
      <c r="P194" s="79" t="s">
        <v>2159</v>
      </c>
    </row>
    <row r="195" spans="1:16" ht="30" customHeight="1" x14ac:dyDescent="0.3">
      <c r="A195" s="56" t="s">
        <v>354</v>
      </c>
      <c r="B195" s="52" t="s">
        <v>360</v>
      </c>
      <c r="C195" s="52" t="s">
        <v>374</v>
      </c>
      <c r="D195" s="79" t="str">
        <f t="shared" ca="1" si="19"/>
        <v>원자재</v>
      </c>
      <c r="E195" s="79" t="str">
        <f t="shared" ca="1" si="20"/>
        <v>AR</v>
      </c>
      <c r="F195" s="52" t="s">
        <v>390</v>
      </c>
      <c r="G195" s="52" t="s">
        <v>2160</v>
      </c>
      <c r="H195" s="79" t="str">
        <f t="shared" si="21"/>
        <v>매칭완료</v>
      </c>
      <c r="I195" s="79" t="str">
        <f t="shared" ca="1" si="22"/>
        <v>3-AR</v>
      </c>
      <c r="J195" s="61" t="s">
        <v>390</v>
      </c>
      <c r="K195" s="85" t="s">
        <v>2161</v>
      </c>
      <c r="L195" s="83" t="str">
        <f t="shared" si="18"/>
        <v>→ 조립자재 R19</v>
      </c>
      <c r="M195" s="84"/>
      <c r="N195" s="80">
        <v>19</v>
      </c>
      <c r="O195" s="80" t="s">
        <v>2110</v>
      </c>
      <c r="P195" s="79" t="s">
        <v>2162</v>
      </c>
    </row>
    <row r="196" spans="1:16" ht="30" customHeight="1" x14ac:dyDescent="0.3">
      <c r="A196" s="56" t="s">
        <v>354</v>
      </c>
      <c r="B196" s="52" t="s">
        <v>360</v>
      </c>
      <c r="C196" s="52" t="s">
        <v>372</v>
      </c>
      <c r="D196" s="79" t="str">
        <f t="shared" ca="1" si="19"/>
        <v>원자재</v>
      </c>
      <c r="E196" s="79" t="str">
        <f t="shared" ca="1" si="20"/>
        <v>AR</v>
      </c>
      <c r="F196" s="52" t="s">
        <v>393</v>
      </c>
      <c r="G196" s="52" t="s">
        <v>2163</v>
      </c>
      <c r="H196" s="79" t="str">
        <f t="shared" si="21"/>
        <v>매칭완료</v>
      </c>
      <c r="I196" s="79" t="str">
        <f t="shared" ca="1" si="22"/>
        <v>3-AR</v>
      </c>
      <c r="J196" s="61" t="s">
        <v>393</v>
      </c>
      <c r="K196" s="85" t="s">
        <v>2164</v>
      </c>
      <c r="L196" s="83" t="str">
        <f t="shared" si="18"/>
        <v>→ 조립자재 R20</v>
      </c>
      <c r="M196" s="84"/>
      <c r="N196" s="80">
        <v>20</v>
      </c>
      <c r="O196" s="80" t="s">
        <v>2110</v>
      </c>
      <c r="P196" s="79" t="s">
        <v>2165</v>
      </c>
    </row>
    <row r="197" spans="1:16" ht="30" customHeight="1" x14ac:dyDescent="0.3">
      <c r="A197" s="56" t="s">
        <v>354</v>
      </c>
      <c r="B197" s="52" t="s">
        <v>360</v>
      </c>
      <c r="C197" s="52" t="s">
        <v>195</v>
      </c>
      <c r="D197" s="79" t="str">
        <f t="shared" ca="1" si="19"/>
        <v>원자재</v>
      </c>
      <c r="E197" s="79" t="str">
        <f t="shared" ca="1" si="20"/>
        <v>AR</v>
      </c>
      <c r="F197" s="52" t="s">
        <v>395</v>
      </c>
      <c r="G197" s="52" t="s">
        <v>2166</v>
      </c>
      <c r="H197" s="79" t="str">
        <f t="shared" si="21"/>
        <v>매칭완료</v>
      </c>
      <c r="I197" s="79" t="str">
        <f t="shared" ca="1" si="22"/>
        <v>3-AR</v>
      </c>
      <c r="J197" s="61" t="s">
        <v>395</v>
      </c>
      <c r="K197" s="85" t="s">
        <v>2167</v>
      </c>
      <c r="L197" s="83" t="str">
        <f t="shared" si="18"/>
        <v>→ 조립자재 R21</v>
      </c>
      <c r="M197" s="84"/>
      <c r="N197" s="80">
        <v>21</v>
      </c>
      <c r="O197" s="80" t="s">
        <v>2110</v>
      </c>
      <c r="P197" s="79" t="s">
        <v>2168</v>
      </c>
    </row>
    <row r="198" spans="1:16" ht="30" customHeight="1" x14ac:dyDescent="0.3">
      <c r="A198" s="56" t="s">
        <v>354</v>
      </c>
      <c r="B198" s="52" t="s">
        <v>360</v>
      </c>
      <c r="C198" s="52" t="s">
        <v>1120</v>
      </c>
      <c r="D198" s="79" t="str">
        <f t="shared" ca="1" si="19"/>
        <v>원자재</v>
      </c>
      <c r="E198" s="79" t="str">
        <f t="shared" ca="1" si="20"/>
        <v>AR</v>
      </c>
      <c r="F198" s="52" t="s">
        <v>398</v>
      </c>
      <c r="G198" s="52" t="s">
        <v>2169</v>
      </c>
      <c r="H198" s="79" t="str">
        <f t="shared" si="21"/>
        <v>매칭완료</v>
      </c>
      <c r="I198" s="79" t="str">
        <f t="shared" ca="1" si="22"/>
        <v>34-AR</v>
      </c>
      <c r="J198" s="61" t="s">
        <v>398</v>
      </c>
      <c r="K198" s="85" t="s">
        <v>2170</v>
      </c>
      <c r="L198" s="83" t="str">
        <f t="shared" si="18"/>
        <v>→ 조립자재 R22</v>
      </c>
      <c r="M198" s="84"/>
      <c r="N198" s="80">
        <v>22</v>
      </c>
      <c r="O198" s="80" t="s">
        <v>2110</v>
      </c>
      <c r="P198" s="79" t="s">
        <v>2171</v>
      </c>
    </row>
    <row r="199" spans="1:16" ht="30" customHeight="1" x14ac:dyDescent="0.3">
      <c r="A199" s="56" t="s">
        <v>354</v>
      </c>
      <c r="B199" s="52" t="s">
        <v>360</v>
      </c>
      <c r="C199" s="52" t="s">
        <v>1120</v>
      </c>
      <c r="D199" s="79" t="str">
        <f t="shared" ca="1" si="19"/>
        <v>원자재</v>
      </c>
      <c r="E199" s="79" t="str">
        <f t="shared" ca="1" si="20"/>
        <v>AR</v>
      </c>
      <c r="F199" s="52" t="s">
        <v>400</v>
      </c>
      <c r="G199" s="52" t="s">
        <v>2172</v>
      </c>
      <c r="H199" s="79" t="str">
        <f t="shared" si="21"/>
        <v>매칭완료</v>
      </c>
      <c r="I199" s="79" t="str">
        <f t="shared" ca="1" si="22"/>
        <v>34-AR</v>
      </c>
      <c r="J199" s="61" t="s">
        <v>400</v>
      </c>
      <c r="K199" s="85" t="s">
        <v>2173</v>
      </c>
      <c r="L199" s="83" t="str">
        <f t="shared" si="18"/>
        <v>→ 조립자재 R23</v>
      </c>
      <c r="M199" s="84"/>
      <c r="N199" s="80">
        <v>23</v>
      </c>
      <c r="O199" s="80" t="s">
        <v>2110</v>
      </c>
      <c r="P199" s="79" t="s">
        <v>2174</v>
      </c>
    </row>
    <row r="200" spans="1:16" ht="30" customHeight="1" x14ac:dyDescent="0.3">
      <c r="A200" s="56" t="s">
        <v>354</v>
      </c>
      <c r="B200" s="52" t="s">
        <v>360</v>
      </c>
      <c r="C200" s="52" t="s">
        <v>1120</v>
      </c>
      <c r="D200" s="79" t="str">
        <f t="shared" ca="1" si="19"/>
        <v>원자재</v>
      </c>
      <c r="E200" s="79" t="str">
        <f t="shared" ca="1" si="20"/>
        <v>AR</v>
      </c>
      <c r="F200" s="52" t="s">
        <v>402</v>
      </c>
      <c r="G200" s="52" t="s">
        <v>2175</v>
      </c>
      <c r="H200" s="79" t="str">
        <f t="shared" si="21"/>
        <v>매칭완료</v>
      </c>
      <c r="I200" s="79" t="str">
        <f t="shared" ca="1" si="22"/>
        <v>3-AR</v>
      </c>
      <c r="J200" s="61" t="s">
        <v>402</v>
      </c>
      <c r="K200" s="85" t="s">
        <v>2176</v>
      </c>
      <c r="L200" s="83" t="str">
        <f t="shared" si="18"/>
        <v>→ 조립자재 R24</v>
      </c>
      <c r="M200" s="84"/>
      <c r="N200" s="80">
        <v>24</v>
      </c>
      <c r="O200" s="80" t="s">
        <v>2110</v>
      </c>
      <c r="P200" s="79" t="s">
        <v>2177</v>
      </c>
    </row>
    <row r="201" spans="1:16" ht="30" customHeight="1" x14ac:dyDescent="0.3">
      <c r="A201" s="56" t="s">
        <v>354</v>
      </c>
      <c r="B201" s="52" t="s">
        <v>360</v>
      </c>
      <c r="C201" s="52" t="s">
        <v>195</v>
      </c>
      <c r="D201" s="79" t="str">
        <f t="shared" ca="1" si="19"/>
        <v>원자재</v>
      </c>
      <c r="E201" s="79" t="str">
        <f t="shared" ca="1" si="20"/>
        <v>AR</v>
      </c>
      <c r="F201" s="52" t="s">
        <v>404</v>
      </c>
      <c r="G201" s="52" t="s">
        <v>2178</v>
      </c>
      <c r="H201" s="79" t="str">
        <f t="shared" si="21"/>
        <v>매칭완료</v>
      </c>
      <c r="I201" s="79" t="str">
        <f t="shared" ca="1" si="22"/>
        <v>3-AR</v>
      </c>
      <c r="J201" s="61" t="s">
        <v>404</v>
      </c>
      <c r="K201" s="85" t="s">
        <v>2179</v>
      </c>
      <c r="L201" s="83" t="str">
        <f t="shared" si="18"/>
        <v>→ 조립자재 R25</v>
      </c>
      <c r="M201" s="84"/>
      <c r="N201" s="80">
        <v>25</v>
      </c>
      <c r="O201" s="80" t="s">
        <v>2110</v>
      </c>
      <c r="P201" s="79" t="s">
        <v>2180</v>
      </c>
    </row>
    <row r="202" spans="1:16" ht="30" customHeight="1" x14ac:dyDescent="0.3">
      <c r="A202" s="56" t="s">
        <v>354</v>
      </c>
      <c r="B202" s="52" t="s">
        <v>360</v>
      </c>
      <c r="C202" s="52" t="s">
        <v>2181</v>
      </c>
      <c r="D202" s="79" t="str">
        <f t="shared" ca="1" si="19"/>
        <v>원자재</v>
      </c>
      <c r="E202" s="79" t="str">
        <f t="shared" ca="1" si="20"/>
        <v>AR</v>
      </c>
      <c r="F202" s="52" t="s">
        <v>407</v>
      </c>
      <c r="G202" s="52" t="s">
        <v>2182</v>
      </c>
      <c r="H202" s="79" t="str">
        <f t="shared" si="21"/>
        <v>매칭완료</v>
      </c>
      <c r="I202" s="79" t="str">
        <f t="shared" ca="1" si="22"/>
        <v>3-AR</v>
      </c>
      <c r="J202" s="61" t="s">
        <v>407</v>
      </c>
      <c r="K202" s="85" t="s">
        <v>2183</v>
      </c>
      <c r="L202" s="83" t="str">
        <f t="shared" si="18"/>
        <v>→ 조립자재 R26</v>
      </c>
      <c r="M202" s="84"/>
      <c r="N202" s="80">
        <v>26</v>
      </c>
      <c r="O202" s="80" t="s">
        <v>2110</v>
      </c>
      <c r="P202" s="79" t="s">
        <v>2184</v>
      </c>
    </row>
    <row r="203" spans="1:16" ht="30" customHeight="1" x14ac:dyDescent="0.3">
      <c r="A203" s="56" t="s">
        <v>354</v>
      </c>
      <c r="B203" s="52" t="s">
        <v>360</v>
      </c>
      <c r="C203" s="52" t="s">
        <v>374</v>
      </c>
      <c r="D203" s="79" t="str">
        <f t="shared" ca="1" si="19"/>
        <v>원자재</v>
      </c>
      <c r="E203" s="79" t="str">
        <f t="shared" ca="1" si="20"/>
        <v>AR</v>
      </c>
      <c r="F203" s="52" t="s">
        <v>407</v>
      </c>
      <c r="G203" s="52" t="s">
        <v>2185</v>
      </c>
      <c r="H203" s="79" t="str">
        <f t="shared" si="21"/>
        <v>매칭완료</v>
      </c>
      <c r="I203" s="79" t="str">
        <f t="shared" ca="1" si="22"/>
        <v>3-AR</v>
      </c>
      <c r="J203" s="61" t="s">
        <v>407</v>
      </c>
      <c r="K203" s="85" t="s">
        <v>2186</v>
      </c>
      <c r="L203" s="83" t="str">
        <f t="shared" si="18"/>
        <v>→ 조립자재 R27</v>
      </c>
      <c r="M203" s="84"/>
      <c r="N203" s="80">
        <v>27</v>
      </c>
      <c r="O203" s="80" t="s">
        <v>2110</v>
      </c>
      <c r="P203" s="79" t="s">
        <v>2187</v>
      </c>
    </row>
    <row r="204" spans="1:16" ht="30" customHeight="1" x14ac:dyDescent="0.3">
      <c r="A204" s="56" t="s">
        <v>354</v>
      </c>
      <c r="B204" s="52" t="s">
        <v>360</v>
      </c>
      <c r="C204" s="52" t="s">
        <v>195</v>
      </c>
      <c r="D204" s="79" t="str">
        <f t="shared" ca="1" si="19"/>
        <v>원자재</v>
      </c>
      <c r="E204" s="79" t="str">
        <f t="shared" ca="1" si="20"/>
        <v>AR</v>
      </c>
      <c r="F204" s="52" t="s">
        <v>411</v>
      </c>
      <c r="G204" s="52" t="s">
        <v>2188</v>
      </c>
      <c r="H204" s="79" t="str">
        <f t="shared" si="21"/>
        <v>매칭완료</v>
      </c>
      <c r="I204" s="79" t="str">
        <f t="shared" ca="1" si="22"/>
        <v>3-AR</v>
      </c>
      <c r="J204" s="61" t="s">
        <v>411</v>
      </c>
      <c r="K204" s="85" t="s">
        <v>2189</v>
      </c>
      <c r="L204" s="83" t="str">
        <f t="shared" si="18"/>
        <v>→ 조립자재 R28</v>
      </c>
      <c r="M204" s="84"/>
      <c r="N204" s="80">
        <v>28</v>
      </c>
      <c r="O204" s="80" t="s">
        <v>2110</v>
      </c>
      <c r="P204" s="79" t="s">
        <v>2190</v>
      </c>
    </row>
    <row r="205" spans="1:16" ht="30" customHeight="1" x14ac:dyDescent="0.3">
      <c r="A205" s="56" t="s">
        <v>354</v>
      </c>
      <c r="B205" s="52" t="s">
        <v>360</v>
      </c>
      <c r="C205" s="52" t="s">
        <v>195</v>
      </c>
      <c r="D205" s="79" t="str">
        <f t="shared" ca="1" si="19"/>
        <v>원자재</v>
      </c>
      <c r="E205" s="79" t="str">
        <f t="shared" ca="1" si="20"/>
        <v>AR</v>
      </c>
      <c r="F205" s="52" t="s">
        <v>413</v>
      </c>
      <c r="G205" s="52" t="s">
        <v>2191</v>
      </c>
      <c r="H205" s="79" t="str">
        <f t="shared" si="21"/>
        <v>매칭완료</v>
      </c>
      <c r="I205" s="79" t="str">
        <f t="shared" ca="1" si="22"/>
        <v>34-AR</v>
      </c>
      <c r="J205" s="61" t="s">
        <v>413</v>
      </c>
      <c r="K205" s="85" t="s">
        <v>2192</v>
      </c>
      <c r="L205" s="83" t="str">
        <f t="shared" si="18"/>
        <v>→ 조립자재 R29</v>
      </c>
      <c r="M205" s="84"/>
      <c r="N205" s="80">
        <v>29</v>
      </c>
      <c r="O205" s="80" t="s">
        <v>2110</v>
      </c>
      <c r="P205" s="79" t="s">
        <v>2193</v>
      </c>
    </row>
    <row r="206" spans="1:16" ht="30" customHeight="1" x14ac:dyDescent="0.3">
      <c r="A206" s="56" t="s">
        <v>354</v>
      </c>
      <c r="B206" s="52" t="s">
        <v>415</v>
      </c>
      <c r="C206" s="52" t="s">
        <v>195</v>
      </c>
      <c r="D206" s="79" t="str">
        <f t="shared" ca="1" si="19"/>
        <v>원자재</v>
      </c>
      <c r="E206" s="79" t="str">
        <f t="shared" ca="1" si="20"/>
        <v>AR</v>
      </c>
      <c r="F206" s="52" t="s">
        <v>1404</v>
      </c>
      <c r="G206" s="52" t="s">
        <v>2194</v>
      </c>
      <c r="H206" s="79" t="str">
        <f t="shared" si="21"/>
        <v>매칭완료</v>
      </c>
      <c r="I206" s="79" t="str">
        <f t="shared" ca="1" si="22"/>
        <v>3-AR</v>
      </c>
      <c r="J206" s="61" t="s">
        <v>1404</v>
      </c>
      <c r="K206" s="85" t="s">
        <v>2195</v>
      </c>
      <c r="L206" s="83" t="str">
        <f t="shared" si="18"/>
        <v>→ 조립자재 R30</v>
      </c>
      <c r="M206" s="84"/>
      <c r="N206" s="80">
        <v>30</v>
      </c>
      <c r="O206" s="80" t="s">
        <v>2110</v>
      </c>
      <c r="P206" s="79" t="s">
        <v>2196</v>
      </c>
    </row>
    <row r="207" spans="1:16" ht="30" customHeight="1" x14ac:dyDescent="0.3">
      <c r="A207" s="56" t="s">
        <v>354</v>
      </c>
      <c r="B207" s="52" t="s">
        <v>415</v>
      </c>
      <c r="C207" s="52" t="s">
        <v>195</v>
      </c>
      <c r="D207" s="79" t="str">
        <f t="shared" ca="1" si="19"/>
        <v>원자재</v>
      </c>
      <c r="E207" s="79" t="str">
        <f t="shared" ca="1" si="20"/>
        <v>AR</v>
      </c>
      <c r="F207" s="52" t="s">
        <v>418</v>
      </c>
      <c r="G207" s="52" t="s">
        <v>2197</v>
      </c>
      <c r="H207" s="79" t="str">
        <f t="shared" si="21"/>
        <v>매칭완료</v>
      </c>
      <c r="I207" s="79" t="str">
        <f t="shared" ca="1" si="22"/>
        <v>3-AR</v>
      </c>
      <c r="J207" s="61" t="s">
        <v>418</v>
      </c>
      <c r="K207" s="85" t="s">
        <v>2198</v>
      </c>
      <c r="L207" s="83" t="str">
        <f t="shared" si="18"/>
        <v>→ 조립자재 R31</v>
      </c>
      <c r="M207" s="84"/>
      <c r="N207" s="80">
        <v>31</v>
      </c>
      <c r="O207" s="80" t="s">
        <v>2110</v>
      </c>
      <c r="P207" s="79" t="s">
        <v>2199</v>
      </c>
    </row>
    <row r="208" spans="1:16" ht="30" customHeight="1" x14ac:dyDescent="0.3">
      <c r="A208" s="56" t="s">
        <v>354</v>
      </c>
      <c r="B208" s="52" t="s">
        <v>415</v>
      </c>
      <c r="C208" s="52" t="s">
        <v>195</v>
      </c>
      <c r="D208" s="79" t="str">
        <f t="shared" ca="1" si="19"/>
        <v>원자재</v>
      </c>
      <c r="E208" s="79" t="str">
        <f t="shared" ca="1" si="20"/>
        <v>AR</v>
      </c>
      <c r="F208" s="52" t="s">
        <v>420</v>
      </c>
      <c r="G208" s="52" t="s">
        <v>2200</v>
      </c>
      <c r="H208" s="79" t="str">
        <f t="shared" si="21"/>
        <v>매칭완료</v>
      </c>
      <c r="I208" s="79" t="str">
        <f t="shared" ca="1" si="22"/>
        <v>3-AR</v>
      </c>
      <c r="J208" s="61" t="s">
        <v>420</v>
      </c>
      <c r="K208" s="85" t="s">
        <v>2201</v>
      </c>
      <c r="L208" s="83" t="str">
        <f t="shared" si="18"/>
        <v>→ 조립자재 R32</v>
      </c>
      <c r="M208" s="84"/>
      <c r="N208" s="80">
        <v>32</v>
      </c>
      <c r="O208" s="80" t="s">
        <v>2110</v>
      </c>
      <c r="P208" s="79" t="s">
        <v>2202</v>
      </c>
    </row>
    <row r="209" spans="1:16" ht="30" customHeight="1" x14ac:dyDescent="0.3">
      <c r="A209" s="56" t="s">
        <v>354</v>
      </c>
      <c r="B209" s="52" t="s">
        <v>415</v>
      </c>
      <c r="C209" s="52" t="s">
        <v>195</v>
      </c>
      <c r="D209" s="79" t="str">
        <f t="shared" ca="1" si="19"/>
        <v>원자재</v>
      </c>
      <c r="E209" s="79" t="str">
        <f t="shared" ca="1" si="20"/>
        <v>AR</v>
      </c>
      <c r="F209" s="52" t="s">
        <v>422</v>
      </c>
      <c r="G209" s="52" t="s">
        <v>2203</v>
      </c>
      <c r="H209" s="79" t="str">
        <f t="shared" si="21"/>
        <v>매칭완료</v>
      </c>
      <c r="I209" s="79" t="str">
        <f t="shared" ca="1" si="22"/>
        <v>3-AR</v>
      </c>
      <c r="J209" s="61" t="s">
        <v>422</v>
      </c>
      <c r="K209" s="85" t="s">
        <v>2204</v>
      </c>
      <c r="L209" s="83" t="str">
        <f t="shared" si="18"/>
        <v>→ 조립자재 R33</v>
      </c>
      <c r="M209" s="84"/>
      <c r="N209" s="80">
        <v>33</v>
      </c>
      <c r="O209" s="80" t="s">
        <v>2110</v>
      </c>
      <c r="P209" s="79" t="s">
        <v>2205</v>
      </c>
    </row>
    <row r="210" spans="1:16" ht="30" customHeight="1" x14ac:dyDescent="0.3">
      <c r="A210" s="56" t="s">
        <v>354</v>
      </c>
      <c r="B210" s="52" t="s">
        <v>415</v>
      </c>
      <c r="C210" s="52" t="s">
        <v>195</v>
      </c>
      <c r="D210" s="79" t="str">
        <f t="shared" ca="1" si="19"/>
        <v>원자재</v>
      </c>
      <c r="E210" s="79" t="str">
        <f t="shared" ca="1" si="20"/>
        <v>AR</v>
      </c>
      <c r="F210" s="52" t="s">
        <v>424</v>
      </c>
      <c r="G210" s="52" t="s">
        <v>2206</v>
      </c>
      <c r="H210" s="79" t="str">
        <f t="shared" si="21"/>
        <v>매칭완료</v>
      </c>
      <c r="I210" s="79" t="str">
        <f t="shared" ca="1" si="22"/>
        <v>3-AR</v>
      </c>
      <c r="J210" s="61" t="s">
        <v>424</v>
      </c>
      <c r="K210" s="85" t="s">
        <v>2207</v>
      </c>
      <c r="L210" s="83" t="str">
        <f t="shared" si="18"/>
        <v>→ 조립자재 R34</v>
      </c>
      <c r="M210" s="84"/>
      <c r="N210" s="80">
        <v>34</v>
      </c>
      <c r="O210" s="80" t="s">
        <v>2110</v>
      </c>
      <c r="P210" s="79" t="s">
        <v>2208</v>
      </c>
    </row>
    <row r="211" spans="1:16" ht="30" customHeight="1" x14ac:dyDescent="0.3">
      <c r="A211" s="56" t="s">
        <v>354</v>
      </c>
      <c r="B211" s="52" t="s">
        <v>415</v>
      </c>
      <c r="C211" s="52" t="s">
        <v>195</v>
      </c>
      <c r="D211" s="79" t="str">
        <f t="shared" ca="1" si="19"/>
        <v>원자재</v>
      </c>
      <c r="E211" s="79" t="str">
        <f t="shared" ca="1" si="20"/>
        <v>AR</v>
      </c>
      <c r="F211" s="52" t="s">
        <v>426</v>
      </c>
      <c r="G211" s="52" t="s">
        <v>2209</v>
      </c>
      <c r="H211" s="79" t="str">
        <f t="shared" si="21"/>
        <v>매칭완료</v>
      </c>
      <c r="I211" s="79" t="str">
        <f t="shared" ca="1" si="22"/>
        <v>3-AR</v>
      </c>
      <c r="J211" s="61" t="s">
        <v>426</v>
      </c>
      <c r="K211" s="85" t="s">
        <v>2210</v>
      </c>
      <c r="L211" s="83" t="str">
        <f t="shared" si="18"/>
        <v>→ 조립자재 R35</v>
      </c>
      <c r="M211" s="84"/>
      <c r="N211" s="80">
        <v>35</v>
      </c>
      <c r="O211" s="80" t="s">
        <v>2110</v>
      </c>
      <c r="P211" s="79" t="s">
        <v>2211</v>
      </c>
    </row>
    <row r="212" spans="1:16" ht="30" customHeight="1" x14ac:dyDescent="0.3">
      <c r="A212" s="56" t="s">
        <v>354</v>
      </c>
      <c r="B212" s="52" t="s">
        <v>415</v>
      </c>
      <c r="C212" s="52" t="s">
        <v>195</v>
      </c>
      <c r="D212" s="79" t="str">
        <f t="shared" ca="1" si="19"/>
        <v>원자재</v>
      </c>
      <c r="E212" s="79" t="str">
        <f t="shared" ca="1" si="20"/>
        <v>AR</v>
      </c>
      <c r="F212" s="52" t="s">
        <v>428</v>
      </c>
      <c r="G212" s="52" t="s">
        <v>2212</v>
      </c>
      <c r="H212" s="79" t="str">
        <f t="shared" si="21"/>
        <v>매칭완료</v>
      </c>
      <c r="I212" s="79" t="str">
        <f t="shared" ca="1" si="22"/>
        <v>3-AR</v>
      </c>
      <c r="J212" s="61" t="s">
        <v>428</v>
      </c>
      <c r="K212" s="85" t="s">
        <v>2213</v>
      </c>
      <c r="L212" s="83" t="str">
        <f t="shared" si="18"/>
        <v>→ 조립자재 R36</v>
      </c>
      <c r="M212" s="84"/>
      <c r="N212" s="80">
        <v>36</v>
      </c>
      <c r="O212" s="80" t="s">
        <v>2110</v>
      </c>
      <c r="P212" s="79" t="s">
        <v>2214</v>
      </c>
    </row>
    <row r="213" spans="1:16" ht="30" customHeight="1" x14ac:dyDescent="0.3">
      <c r="A213" s="56" t="s">
        <v>354</v>
      </c>
      <c r="B213" s="52" t="s">
        <v>415</v>
      </c>
      <c r="C213" s="52" t="s">
        <v>195</v>
      </c>
      <c r="D213" s="79" t="str">
        <f t="shared" ca="1" si="19"/>
        <v>원자재</v>
      </c>
      <c r="E213" s="79" t="str">
        <f t="shared" ca="1" si="20"/>
        <v>AR</v>
      </c>
      <c r="F213" s="52" t="s">
        <v>1399</v>
      </c>
      <c r="G213" s="52" t="s">
        <v>2215</v>
      </c>
      <c r="H213" s="79" t="str">
        <f t="shared" si="21"/>
        <v>매칭완료</v>
      </c>
      <c r="I213" s="79" t="str">
        <f t="shared" ca="1" si="22"/>
        <v>3-AR</v>
      </c>
      <c r="J213" s="61" t="s">
        <v>1399</v>
      </c>
      <c r="K213" s="85" t="s">
        <v>2216</v>
      </c>
      <c r="L213" s="83" t="str">
        <f t="shared" si="18"/>
        <v>→ 조립자재 R37</v>
      </c>
      <c r="M213" s="84"/>
      <c r="N213" s="80">
        <v>37</v>
      </c>
      <c r="O213" s="80" t="s">
        <v>2110</v>
      </c>
      <c r="P213" s="79" t="s">
        <v>2217</v>
      </c>
    </row>
    <row r="214" spans="1:16" ht="30" customHeight="1" x14ac:dyDescent="0.3">
      <c r="A214" s="56" t="s">
        <v>354</v>
      </c>
      <c r="B214" s="52" t="s">
        <v>415</v>
      </c>
      <c r="C214" s="52" t="s">
        <v>195</v>
      </c>
      <c r="D214" s="79" t="str">
        <f t="shared" ca="1" si="19"/>
        <v>원자재</v>
      </c>
      <c r="E214" s="79" t="str">
        <f t="shared" ca="1" si="20"/>
        <v>AR</v>
      </c>
      <c r="F214" s="52" t="s">
        <v>432</v>
      </c>
      <c r="G214" s="52" t="s">
        <v>2218</v>
      </c>
      <c r="H214" s="79" t="str">
        <f t="shared" si="21"/>
        <v>매칭완료</v>
      </c>
      <c r="I214" s="79" t="str">
        <f t="shared" ca="1" si="22"/>
        <v>3-AR</v>
      </c>
      <c r="J214" s="61" t="s">
        <v>432</v>
      </c>
      <c r="K214" s="85" t="s">
        <v>2219</v>
      </c>
      <c r="L214" s="83" t="str">
        <f t="shared" si="18"/>
        <v>→ 조립자재 R38</v>
      </c>
      <c r="M214" s="84"/>
      <c r="N214" s="80">
        <v>38</v>
      </c>
      <c r="O214" s="80" t="s">
        <v>2110</v>
      </c>
      <c r="P214" s="79" t="s">
        <v>2220</v>
      </c>
    </row>
    <row r="215" spans="1:16" ht="30" customHeight="1" x14ac:dyDescent="0.3">
      <c r="A215" s="56" t="s">
        <v>354</v>
      </c>
      <c r="B215" s="52" t="s">
        <v>415</v>
      </c>
      <c r="C215" s="52" t="s">
        <v>195</v>
      </c>
      <c r="D215" s="79" t="str">
        <f t="shared" ca="1" si="19"/>
        <v>원자재</v>
      </c>
      <c r="E215" s="79" t="str">
        <f t="shared" ca="1" si="20"/>
        <v>AR</v>
      </c>
      <c r="F215" s="52" t="s">
        <v>434</v>
      </c>
      <c r="G215" s="52" t="s">
        <v>2221</v>
      </c>
      <c r="H215" s="79" t="str">
        <f t="shared" si="21"/>
        <v>매칭완료</v>
      </c>
      <c r="I215" s="79" t="str">
        <f t="shared" ca="1" si="22"/>
        <v>3-AR</v>
      </c>
      <c r="J215" s="61" t="s">
        <v>434</v>
      </c>
      <c r="K215" s="85" t="s">
        <v>2222</v>
      </c>
      <c r="L215" s="83" t="str">
        <f t="shared" si="18"/>
        <v>→ 조립자재 R39</v>
      </c>
      <c r="M215" s="84"/>
      <c r="N215" s="80">
        <v>39</v>
      </c>
      <c r="O215" s="80" t="s">
        <v>2110</v>
      </c>
      <c r="P215" s="79" t="s">
        <v>2223</v>
      </c>
    </row>
    <row r="216" spans="1:16" ht="30" customHeight="1" x14ac:dyDescent="0.3">
      <c r="A216" s="56" t="s">
        <v>354</v>
      </c>
      <c r="B216" s="52" t="s">
        <v>436</v>
      </c>
      <c r="C216" s="52" t="s">
        <v>195</v>
      </c>
      <c r="D216" s="79" t="str">
        <f t="shared" ca="1" si="19"/>
        <v>반제품</v>
      </c>
      <c r="E216" s="79" t="str">
        <f t="shared" ca="1" si="20"/>
        <v>AA</v>
      </c>
      <c r="F216" s="52" t="s">
        <v>437</v>
      </c>
      <c r="G216" s="52"/>
      <c r="H216" s="79" t="str">
        <f t="shared" ca="1" si="21"/>
        <v>반제품(창고없음)</v>
      </c>
      <c r="I216" s="79" t="str">
        <f t="shared" ca="1" si="22"/>
        <v>3-AA</v>
      </c>
      <c r="J216" s="61" t="s">
        <v>437</v>
      </c>
      <c r="K216" s="85" t="s">
        <v>2224</v>
      </c>
      <c r="L216" s="83" t="str">
        <f t="shared" si="18"/>
        <v>→ 조립자재 R40</v>
      </c>
      <c r="M216" s="84"/>
      <c r="N216" s="80">
        <v>40</v>
      </c>
      <c r="O216" s="80" t="s">
        <v>2110</v>
      </c>
      <c r="P216" s="79" t="s">
        <v>2225</v>
      </c>
    </row>
    <row r="217" spans="1:16" ht="30" customHeight="1" x14ac:dyDescent="0.3">
      <c r="A217" s="56" t="s">
        <v>354</v>
      </c>
      <c r="B217" s="52" t="s">
        <v>436</v>
      </c>
      <c r="C217" s="52" t="s">
        <v>195</v>
      </c>
      <c r="D217" s="79" t="str">
        <f t="shared" ca="1" si="19"/>
        <v>반제품</v>
      </c>
      <c r="E217" s="79" t="str">
        <f t="shared" ca="1" si="20"/>
        <v>AA</v>
      </c>
      <c r="F217" s="52" t="s">
        <v>438</v>
      </c>
      <c r="G217" s="52"/>
      <c r="H217" s="79" t="str">
        <f t="shared" ca="1" si="21"/>
        <v>반제품(창고없음)</v>
      </c>
      <c r="I217" s="79" t="str">
        <f t="shared" ca="1" si="22"/>
        <v>3-AA</v>
      </c>
      <c r="J217" s="61" t="s">
        <v>438</v>
      </c>
      <c r="K217" s="85" t="s">
        <v>2226</v>
      </c>
      <c r="L217" s="83" t="str">
        <f t="shared" si="18"/>
        <v>→ 조립자재 R41</v>
      </c>
      <c r="M217" s="84"/>
      <c r="N217" s="80">
        <v>41</v>
      </c>
      <c r="O217" s="80" t="s">
        <v>2110</v>
      </c>
      <c r="P217" s="79" t="s">
        <v>2227</v>
      </c>
    </row>
    <row r="218" spans="1:16" ht="30" customHeight="1" x14ac:dyDescent="0.3">
      <c r="A218" s="56" t="s">
        <v>354</v>
      </c>
      <c r="B218" s="52" t="s">
        <v>436</v>
      </c>
      <c r="C218" s="52" t="s">
        <v>195</v>
      </c>
      <c r="D218" s="79" t="str">
        <f t="shared" ca="1" si="19"/>
        <v>반제품</v>
      </c>
      <c r="E218" s="79" t="str">
        <f t="shared" ca="1" si="20"/>
        <v>AA</v>
      </c>
      <c r="F218" s="52" t="s">
        <v>2228</v>
      </c>
      <c r="G218" s="52"/>
      <c r="H218" s="79" t="str">
        <f t="shared" ca="1" si="21"/>
        <v>반제품(창고없음)</v>
      </c>
      <c r="I218" s="79" t="str">
        <f t="shared" ca="1" si="22"/>
        <v>3-AA</v>
      </c>
      <c r="J218" s="61" t="s">
        <v>2228</v>
      </c>
      <c r="K218" s="85" t="s">
        <v>2229</v>
      </c>
      <c r="L218" s="83" t="str">
        <f t="shared" si="18"/>
        <v>→ 조립자재 R42</v>
      </c>
      <c r="M218" s="84"/>
      <c r="N218" s="80">
        <v>42</v>
      </c>
      <c r="O218" s="80" t="s">
        <v>2110</v>
      </c>
      <c r="P218" s="79" t="s">
        <v>2230</v>
      </c>
    </row>
    <row r="219" spans="1:16" ht="30" customHeight="1" x14ac:dyDescent="0.3">
      <c r="A219" s="56" t="s">
        <v>354</v>
      </c>
      <c r="B219" s="52" t="s">
        <v>436</v>
      </c>
      <c r="C219" s="52" t="s">
        <v>195</v>
      </c>
      <c r="D219" s="79" t="str">
        <f t="shared" ca="1" si="19"/>
        <v>반제품</v>
      </c>
      <c r="E219" s="79" t="str">
        <f t="shared" ca="1" si="20"/>
        <v>AA</v>
      </c>
      <c r="F219" s="52" t="s">
        <v>2231</v>
      </c>
      <c r="G219" s="52"/>
      <c r="H219" s="79" t="str">
        <f t="shared" ca="1" si="21"/>
        <v>반제품(창고없음)</v>
      </c>
      <c r="I219" s="79" t="str">
        <f t="shared" ca="1" si="22"/>
        <v>3-AA</v>
      </c>
      <c r="J219" s="61" t="s">
        <v>2231</v>
      </c>
      <c r="K219" s="85" t="s">
        <v>2232</v>
      </c>
      <c r="L219" s="83" t="str">
        <f t="shared" si="18"/>
        <v>→ 조립자재 R43</v>
      </c>
      <c r="M219" s="84"/>
      <c r="N219" s="80">
        <v>43</v>
      </c>
      <c r="O219" s="80" t="s">
        <v>2110</v>
      </c>
      <c r="P219" s="79" t="s">
        <v>2233</v>
      </c>
    </row>
    <row r="220" spans="1:16" ht="30" customHeight="1" x14ac:dyDescent="0.3">
      <c r="A220" s="56" t="s">
        <v>354</v>
      </c>
      <c r="B220" s="52" t="s">
        <v>436</v>
      </c>
      <c r="C220" s="52" t="s">
        <v>372</v>
      </c>
      <c r="D220" s="79" t="str">
        <f t="shared" ca="1" si="19"/>
        <v>반제품</v>
      </c>
      <c r="E220" s="79" t="str">
        <f t="shared" ca="1" si="20"/>
        <v>AA</v>
      </c>
      <c r="F220" s="52" t="s">
        <v>442</v>
      </c>
      <c r="G220" s="52"/>
      <c r="H220" s="79" t="str">
        <f t="shared" ca="1" si="21"/>
        <v>반제품(창고없음)</v>
      </c>
      <c r="I220" s="79" t="str">
        <f t="shared" ca="1" si="22"/>
        <v>3-AA</v>
      </c>
      <c r="J220" s="61" t="s">
        <v>442</v>
      </c>
      <c r="K220" s="85" t="s">
        <v>2234</v>
      </c>
      <c r="L220" s="83" t="str">
        <f t="shared" si="18"/>
        <v>→ 조립자재 R44</v>
      </c>
      <c r="M220" s="84"/>
      <c r="N220" s="80">
        <v>44</v>
      </c>
      <c r="O220" s="80" t="s">
        <v>2110</v>
      </c>
      <c r="P220" s="79" t="s">
        <v>2235</v>
      </c>
    </row>
    <row r="221" spans="1:16" ht="30" customHeight="1" x14ac:dyDescent="0.3">
      <c r="A221" s="56" t="s">
        <v>354</v>
      </c>
      <c r="B221" s="52" t="s">
        <v>436</v>
      </c>
      <c r="C221" s="52" t="s">
        <v>374</v>
      </c>
      <c r="D221" s="79" t="str">
        <f t="shared" ca="1" si="19"/>
        <v>반제품</v>
      </c>
      <c r="E221" s="79" t="str">
        <f t="shared" ca="1" si="20"/>
        <v>AA</v>
      </c>
      <c r="F221" s="52" t="s">
        <v>442</v>
      </c>
      <c r="G221" s="52"/>
      <c r="H221" s="79" t="str">
        <f t="shared" ca="1" si="21"/>
        <v>반제품(창고없음)</v>
      </c>
      <c r="I221" s="79" t="str">
        <f t="shared" ca="1" si="22"/>
        <v>3-AA</v>
      </c>
      <c r="J221" s="61" t="s">
        <v>442</v>
      </c>
      <c r="K221" s="85" t="s">
        <v>2236</v>
      </c>
      <c r="L221" s="83" t="str">
        <f t="shared" si="18"/>
        <v>→ 조립자재 R45</v>
      </c>
      <c r="M221" s="84"/>
      <c r="N221" s="80">
        <v>45</v>
      </c>
      <c r="O221" s="80" t="s">
        <v>2110</v>
      </c>
      <c r="P221" s="79" t="s">
        <v>2237</v>
      </c>
    </row>
    <row r="222" spans="1:16" ht="30" customHeight="1" x14ac:dyDescent="0.3">
      <c r="A222" s="56" t="s">
        <v>354</v>
      </c>
      <c r="B222" s="52" t="s">
        <v>436</v>
      </c>
      <c r="C222" s="52" t="s">
        <v>372</v>
      </c>
      <c r="D222" s="79" t="str">
        <f t="shared" ca="1" si="19"/>
        <v>반제품</v>
      </c>
      <c r="E222" s="79" t="str">
        <f t="shared" ca="1" si="20"/>
        <v>AA</v>
      </c>
      <c r="F222" s="52" t="s">
        <v>445</v>
      </c>
      <c r="G222" s="52"/>
      <c r="H222" s="79" t="str">
        <f t="shared" ca="1" si="21"/>
        <v>반제품(창고없음)</v>
      </c>
      <c r="I222" s="79" t="str">
        <f t="shared" ca="1" si="22"/>
        <v>3-AA</v>
      </c>
      <c r="J222" s="61" t="s">
        <v>445</v>
      </c>
      <c r="K222" s="85" t="s">
        <v>2238</v>
      </c>
      <c r="L222" s="83" t="str">
        <f t="shared" si="18"/>
        <v>→ 조립자재 R46</v>
      </c>
      <c r="M222" s="84"/>
      <c r="N222" s="80">
        <v>46</v>
      </c>
      <c r="O222" s="80" t="s">
        <v>2110</v>
      </c>
      <c r="P222" s="79" t="s">
        <v>2239</v>
      </c>
    </row>
    <row r="223" spans="1:16" ht="30" customHeight="1" x14ac:dyDescent="0.3">
      <c r="A223" s="56" t="s">
        <v>354</v>
      </c>
      <c r="B223" s="52" t="s">
        <v>436</v>
      </c>
      <c r="C223" s="52" t="s">
        <v>374</v>
      </c>
      <c r="D223" s="79" t="str">
        <f t="shared" ca="1" si="19"/>
        <v>반제품</v>
      </c>
      <c r="E223" s="79" t="str">
        <f t="shared" ca="1" si="20"/>
        <v>AA</v>
      </c>
      <c r="F223" s="52" t="s">
        <v>446</v>
      </c>
      <c r="G223" s="52"/>
      <c r="H223" s="79" t="str">
        <f t="shared" ca="1" si="21"/>
        <v>반제품(창고없음)</v>
      </c>
      <c r="I223" s="79" t="str">
        <f t="shared" ca="1" si="22"/>
        <v>3-AA</v>
      </c>
      <c r="J223" s="61" t="s">
        <v>446</v>
      </c>
      <c r="K223" s="85" t="s">
        <v>2240</v>
      </c>
      <c r="L223" s="83" t="str">
        <f t="shared" si="18"/>
        <v>→ 조립자재 R47</v>
      </c>
      <c r="M223" s="84"/>
      <c r="N223" s="80">
        <v>47</v>
      </c>
      <c r="O223" s="80" t="s">
        <v>2110</v>
      </c>
      <c r="P223" s="79" t="s">
        <v>2241</v>
      </c>
    </row>
    <row r="224" spans="1:16" ht="30" customHeight="1" x14ac:dyDescent="0.3">
      <c r="A224" s="56" t="s">
        <v>354</v>
      </c>
      <c r="B224" s="52" t="s">
        <v>436</v>
      </c>
      <c r="C224" s="52" t="s">
        <v>372</v>
      </c>
      <c r="D224" s="79" t="str">
        <f t="shared" ca="1" si="19"/>
        <v>반제품</v>
      </c>
      <c r="E224" s="79" t="str">
        <f t="shared" ca="1" si="20"/>
        <v>AA</v>
      </c>
      <c r="F224" s="52" t="s">
        <v>447</v>
      </c>
      <c r="G224" s="52"/>
      <c r="H224" s="79" t="str">
        <f t="shared" ca="1" si="21"/>
        <v>반제품(창고없음)</v>
      </c>
      <c r="I224" s="79" t="str">
        <f t="shared" ca="1" si="22"/>
        <v>3-AA</v>
      </c>
      <c r="J224" s="61" t="s">
        <v>447</v>
      </c>
      <c r="K224" s="85" t="s">
        <v>2242</v>
      </c>
      <c r="L224" s="83" t="str">
        <f t="shared" si="18"/>
        <v>→ 조립자재 R48</v>
      </c>
      <c r="M224" s="84"/>
      <c r="N224" s="80">
        <v>48</v>
      </c>
      <c r="O224" s="80" t="s">
        <v>2110</v>
      </c>
      <c r="P224" s="79" t="s">
        <v>2243</v>
      </c>
    </row>
    <row r="225" spans="1:16" ht="30" customHeight="1" x14ac:dyDescent="0.3">
      <c r="A225" s="56" t="s">
        <v>354</v>
      </c>
      <c r="B225" s="52" t="s">
        <v>436</v>
      </c>
      <c r="C225" s="52" t="s">
        <v>372</v>
      </c>
      <c r="D225" s="79" t="str">
        <f t="shared" ca="1" si="19"/>
        <v>반제품</v>
      </c>
      <c r="E225" s="79" t="str">
        <f t="shared" ca="1" si="20"/>
        <v>AA</v>
      </c>
      <c r="F225" s="52" t="s">
        <v>448</v>
      </c>
      <c r="G225" s="52"/>
      <c r="H225" s="79" t="str">
        <f t="shared" ca="1" si="21"/>
        <v>반제품(창고없음)</v>
      </c>
      <c r="I225" s="79" t="str">
        <f t="shared" ca="1" si="22"/>
        <v>3-AA</v>
      </c>
      <c r="J225" s="61" t="s">
        <v>448</v>
      </c>
      <c r="K225" s="85" t="s">
        <v>2244</v>
      </c>
      <c r="L225" s="83" t="str">
        <f t="shared" si="18"/>
        <v>→ 조립자재 R49</v>
      </c>
      <c r="M225" s="84"/>
      <c r="N225" s="80">
        <v>49</v>
      </c>
      <c r="O225" s="80" t="s">
        <v>2110</v>
      </c>
      <c r="P225" s="79" t="s">
        <v>2245</v>
      </c>
    </row>
    <row r="226" spans="1:16" ht="30" customHeight="1" x14ac:dyDescent="0.3">
      <c r="A226" s="56" t="s">
        <v>354</v>
      </c>
      <c r="B226" s="52" t="s">
        <v>436</v>
      </c>
      <c r="C226" s="52" t="s">
        <v>372</v>
      </c>
      <c r="D226" s="79" t="str">
        <f t="shared" ca="1" si="19"/>
        <v>반제품</v>
      </c>
      <c r="E226" s="79" t="str">
        <f t="shared" ca="1" si="20"/>
        <v>AA</v>
      </c>
      <c r="F226" s="52" t="s">
        <v>449</v>
      </c>
      <c r="G226" s="52"/>
      <c r="H226" s="79" t="str">
        <f t="shared" ca="1" si="21"/>
        <v>반제품(창고없음)</v>
      </c>
      <c r="I226" s="79" t="str">
        <f t="shared" ca="1" si="22"/>
        <v>3-AA</v>
      </c>
      <c r="J226" s="61" t="s">
        <v>449</v>
      </c>
      <c r="K226" s="85" t="s">
        <v>2246</v>
      </c>
      <c r="L226" s="83" t="str">
        <f t="shared" si="18"/>
        <v>→ 조립자재 R50</v>
      </c>
      <c r="M226" s="84"/>
      <c r="N226" s="80">
        <v>50</v>
      </c>
      <c r="O226" s="80" t="s">
        <v>2110</v>
      </c>
      <c r="P226" s="79" t="s">
        <v>2247</v>
      </c>
    </row>
    <row r="227" spans="1:16" ht="30" customHeight="1" x14ac:dyDescent="0.3">
      <c r="A227" s="56" t="s">
        <v>354</v>
      </c>
      <c r="B227" s="52" t="s">
        <v>436</v>
      </c>
      <c r="C227" s="52" t="s">
        <v>374</v>
      </c>
      <c r="D227" s="79" t="str">
        <f t="shared" ca="1" si="19"/>
        <v>반제품</v>
      </c>
      <c r="E227" s="79" t="str">
        <f t="shared" ca="1" si="20"/>
        <v>AA</v>
      </c>
      <c r="F227" s="52" t="s">
        <v>449</v>
      </c>
      <c r="G227" s="52"/>
      <c r="H227" s="79" t="str">
        <f t="shared" ca="1" si="21"/>
        <v>반제품(창고없음)</v>
      </c>
      <c r="I227" s="79" t="str">
        <f t="shared" ca="1" si="22"/>
        <v>3-AA</v>
      </c>
      <c r="J227" s="61" t="s">
        <v>449</v>
      </c>
      <c r="K227" s="85" t="s">
        <v>2248</v>
      </c>
      <c r="L227" s="83" t="str">
        <f t="shared" si="18"/>
        <v>→ 조립자재 R51</v>
      </c>
      <c r="M227" s="84"/>
      <c r="N227" s="80">
        <v>51</v>
      </c>
      <c r="O227" s="80" t="s">
        <v>2110</v>
      </c>
      <c r="P227" s="79" t="s">
        <v>2249</v>
      </c>
    </row>
    <row r="228" spans="1:16" ht="30" customHeight="1" x14ac:dyDescent="0.3">
      <c r="A228" s="56" t="s">
        <v>354</v>
      </c>
      <c r="B228" s="52" t="s">
        <v>436</v>
      </c>
      <c r="C228" s="52" t="s">
        <v>372</v>
      </c>
      <c r="D228" s="79" t="str">
        <f t="shared" ca="1" si="19"/>
        <v>반제품</v>
      </c>
      <c r="E228" s="79" t="str">
        <f t="shared" ca="1" si="20"/>
        <v>AA</v>
      </c>
      <c r="F228" s="52" t="s">
        <v>450</v>
      </c>
      <c r="G228" s="52"/>
      <c r="H228" s="79" t="str">
        <f t="shared" ca="1" si="21"/>
        <v>반제품(창고없음)</v>
      </c>
      <c r="I228" s="79" t="str">
        <f t="shared" ca="1" si="22"/>
        <v>3-AA</v>
      </c>
      <c r="J228" s="61" t="s">
        <v>450</v>
      </c>
      <c r="K228" s="85" t="s">
        <v>2250</v>
      </c>
      <c r="L228" s="83" t="str">
        <f t="shared" si="18"/>
        <v>→ 조립자재 R52</v>
      </c>
      <c r="M228" s="84"/>
      <c r="N228" s="80">
        <v>52</v>
      </c>
      <c r="O228" s="80" t="s">
        <v>2110</v>
      </c>
      <c r="P228" s="79" t="s">
        <v>2251</v>
      </c>
    </row>
    <row r="229" spans="1:16" ht="30" customHeight="1" x14ac:dyDescent="0.3">
      <c r="A229" s="56" t="s">
        <v>354</v>
      </c>
      <c r="B229" s="52" t="s">
        <v>436</v>
      </c>
      <c r="C229" s="52" t="s">
        <v>374</v>
      </c>
      <c r="D229" s="79" t="str">
        <f t="shared" ca="1" si="19"/>
        <v>반제품</v>
      </c>
      <c r="E229" s="79" t="str">
        <f t="shared" ca="1" si="20"/>
        <v>AA</v>
      </c>
      <c r="F229" s="52" t="s">
        <v>450</v>
      </c>
      <c r="G229" s="52"/>
      <c r="H229" s="79" t="str">
        <f t="shared" ca="1" si="21"/>
        <v>반제품(창고없음)</v>
      </c>
      <c r="I229" s="79" t="str">
        <f t="shared" ca="1" si="22"/>
        <v>3-AA</v>
      </c>
      <c r="J229" s="61" t="s">
        <v>450</v>
      </c>
      <c r="K229" s="85" t="s">
        <v>2252</v>
      </c>
      <c r="L229" s="83" t="str">
        <f t="shared" si="18"/>
        <v>→ 조립자재 R53</v>
      </c>
      <c r="M229" s="84"/>
      <c r="N229" s="80">
        <v>53</v>
      </c>
      <c r="O229" s="80" t="s">
        <v>2110</v>
      </c>
      <c r="P229" s="79" t="s">
        <v>2253</v>
      </c>
    </row>
    <row r="230" spans="1:16" ht="30" customHeight="1" x14ac:dyDescent="0.3">
      <c r="A230" s="56" t="s">
        <v>354</v>
      </c>
      <c r="B230" s="52" t="s">
        <v>436</v>
      </c>
      <c r="C230" s="52" t="s">
        <v>372</v>
      </c>
      <c r="D230" s="79" t="str">
        <f t="shared" ca="1" si="19"/>
        <v>반제품</v>
      </c>
      <c r="E230" s="79" t="str">
        <f t="shared" ca="1" si="20"/>
        <v>AA</v>
      </c>
      <c r="F230" s="52" t="s">
        <v>451</v>
      </c>
      <c r="G230" s="52"/>
      <c r="H230" s="79" t="str">
        <f t="shared" ca="1" si="21"/>
        <v>반제품(창고없음)</v>
      </c>
      <c r="I230" s="79" t="str">
        <f t="shared" ca="1" si="22"/>
        <v>3-AA</v>
      </c>
      <c r="J230" s="61" t="s">
        <v>451</v>
      </c>
      <c r="K230" s="85" t="s">
        <v>2254</v>
      </c>
      <c r="L230" s="83" t="str">
        <f t="shared" si="18"/>
        <v>→ 조립자재 R54</v>
      </c>
      <c r="M230" s="84"/>
      <c r="N230" s="80">
        <v>54</v>
      </c>
      <c r="O230" s="80" t="s">
        <v>2110</v>
      </c>
      <c r="P230" s="79" t="s">
        <v>2255</v>
      </c>
    </row>
    <row r="231" spans="1:16" ht="30" customHeight="1" x14ac:dyDescent="0.3">
      <c r="A231" s="56" t="s">
        <v>354</v>
      </c>
      <c r="B231" s="52" t="s">
        <v>436</v>
      </c>
      <c r="C231" s="52" t="s">
        <v>374</v>
      </c>
      <c r="D231" s="79" t="str">
        <f t="shared" ca="1" si="19"/>
        <v>반제품</v>
      </c>
      <c r="E231" s="79" t="str">
        <f t="shared" ca="1" si="20"/>
        <v>AA</v>
      </c>
      <c r="F231" s="52" t="s">
        <v>445</v>
      </c>
      <c r="G231" s="52"/>
      <c r="H231" s="79" t="str">
        <f t="shared" ca="1" si="21"/>
        <v>반제품(창고없음)</v>
      </c>
      <c r="I231" s="79" t="str">
        <f t="shared" ca="1" si="22"/>
        <v>3-AA</v>
      </c>
      <c r="J231" s="61" t="s">
        <v>445</v>
      </c>
      <c r="K231" s="85" t="s">
        <v>2256</v>
      </c>
      <c r="L231" s="83" t="str">
        <f t="shared" si="18"/>
        <v>→ 조립자재 R55</v>
      </c>
      <c r="M231" s="84"/>
      <c r="N231" s="80">
        <v>55</v>
      </c>
      <c r="O231" s="80" t="s">
        <v>2110</v>
      </c>
      <c r="P231" s="79" t="s">
        <v>2257</v>
      </c>
    </row>
    <row r="232" spans="1:16" ht="30" customHeight="1" x14ac:dyDescent="0.3">
      <c r="A232" s="56" t="s">
        <v>354</v>
      </c>
      <c r="B232" s="52" t="s">
        <v>452</v>
      </c>
      <c r="C232" s="52" t="s">
        <v>2258</v>
      </c>
      <c r="D232" s="79" t="str">
        <f t="shared" ca="1" si="19"/>
        <v>원자재</v>
      </c>
      <c r="E232" s="79" t="str">
        <f t="shared" ca="1" si="20"/>
        <v>AR</v>
      </c>
      <c r="F232" s="52" t="s">
        <v>454</v>
      </c>
      <c r="G232" s="52" t="s">
        <v>2259</v>
      </c>
      <c r="H232" s="79" t="str">
        <f t="shared" si="21"/>
        <v>매칭완료</v>
      </c>
      <c r="I232" s="79" t="str">
        <f t="shared" ca="1" si="22"/>
        <v>3-AR</v>
      </c>
      <c r="J232" s="61" t="s">
        <v>454</v>
      </c>
      <c r="K232" s="85" t="s">
        <v>2260</v>
      </c>
      <c r="L232" s="83" t="str">
        <f t="shared" si="18"/>
        <v>→ 조립자재 R56</v>
      </c>
      <c r="M232" s="84"/>
      <c r="N232" s="80">
        <v>56</v>
      </c>
      <c r="O232" s="80" t="s">
        <v>2110</v>
      </c>
      <c r="P232" s="79" t="s">
        <v>2261</v>
      </c>
    </row>
    <row r="233" spans="1:16" ht="30" customHeight="1" x14ac:dyDescent="0.3">
      <c r="A233" s="56" t="s">
        <v>354</v>
      </c>
      <c r="B233" s="52" t="s">
        <v>452</v>
      </c>
      <c r="C233" s="52" t="s">
        <v>2258</v>
      </c>
      <c r="D233" s="79" t="str">
        <f t="shared" ca="1" si="19"/>
        <v>원자재</v>
      </c>
      <c r="E233" s="79" t="str">
        <f t="shared" ca="1" si="20"/>
        <v>AR</v>
      </c>
      <c r="F233" s="52" t="s">
        <v>456</v>
      </c>
      <c r="G233" s="52" t="s">
        <v>2262</v>
      </c>
      <c r="H233" s="79" t="str">
        <f t="shared" si="21"/>
        <v>매칭완료</v>
      </c>
      <c r="I233" s="79" t="str">
        <f t="shared" ca="1" si="22"/>
        <v>3-AR</v>
      </c>
      <c r="J233" s="61" t="s">
        <v>456</v>
      </c>
      <c r="K233" s="85" t="s">
        <v>2263</v>
      </c>
      <c r="L233" s="83" t="str">
        <f t="shared" si="18"/>
        <v>→ 조립자재 R57</v>
      </c>
      <c r="M233" s="84"/>
      <c r="N233" s="80">
        <v>57</v>
      </c>
      <c r="O233" s="80" t="s">
        <v>2110</v>
      </c>
      <c r="P233" s="79" t="s">
        <v>2264</v>
      </c>
    </row>
    <row r="234" spans="1:16" ht="30" customHeight="1" x14ac:dyDescent="0.3">
      <c r="A234" s="56" t="s">
        <v>354</v>
      </c>
      <c r="B234" s="52" t="s">
        <v>452</v>
      </c>
      <c r="C234" s="52" t="s">
        <v>195</v>
      </c>
      <c r="D234" s="79" t="str">
        <f t="shared" ca="1" si="19"/>
        <v>원자재</v>
      </c>
      <c r="E234" s="79" t="str">
        <f t="shared" ca="1" si="20"/>
        <v>AR</v>
      </c>
      <c r="F234" s="52" t="s">
        <v>458</v>
      </c>
      <c r="G234" s="52" t="s">
        <v>2265</v>
      </c>
      <c r="H234" s="79" t="str">
        <f t="shared" si="21"/>
        <v>매칭완료</v>
      </c>
      <c r="I234" s="79" t="str">
        <f t="shared" ca="1" si="22"/>
        <v>3-AR</v>
      </c>
      <c r="J234" s="61" t="s">
        <v>458</v>
      </c>
      <c r="K234" s="85" t="s">
        <v>2266</v>
      </c>
      <c r="L234" s="83" t="str">
        <f t="shared" si="18"/>
        <v>→ 조립자재 R58</v>
      </c>
      <c r="M234" s="84"/>
      <c r="N234" s="80">
        <v>58</v>
      </c>
      <c r="O234" s="80" t="s">
        <v>2110</v>
      </c>
      <c r="P234" s="79" t="s">
        <v>2267</v>
      </c>
    </row>
    <row r="235" spans="1:16" ht="30" customHeight="1" x14ac:dyDescent="0.3">
      <c r="A235" s="56" t="s">
        <v>354</v>
      </c>
      <c r="B235" s="52" t="s">
        <v>452</v>
      </c>
      <c r="C235" s="52" t="s">
        <v>195</v>
      </c>
      <c r="D235" s="79" t="str">
        <f t="shared" ca="1" si="19"/>
        <v>원자재</v>
      </c>
      <c r="E235" s="79" t="str">
        <f t="shared" ca="1" si="20"/>
        <v>AR</v>
      </c>
      <c r="F235" s="52" t="s">
        <v>460</v>
      </c>
      <c r="G235" s="52" t="s">
        <v>2268</v>
      </c>
      <c r="H235" s="79" t="str">
        <f t="shared" si="21"/>
        <v>매칭완료</v>
      </c>
      <c r="I235" s="79" t="str">
        <f t="shared" ca="1" si="22"/>
        <v>368-AR</v>
      </c>
      <c r="J235" s="61" t="s">
        <v>460</v>
      </c>
      <c r="K235" s="85" t="s">
        <v>2269</v>
      </c>
      <c r="L235" s="83" t="str">
        <f t="shared" si="18"/>
        <v>→ 조립자재 R59</v>
      </c>
      <c r="M235" s="84"/>
      <c r="N235" s="80">
        <v>59</v>
      </c>
      <c r="O235" s="80" t="s">
        <v>2110</v>
      </c>
      <c r="P235" s="79" t="s">
        <v>2270</v>
      </c>
    </row>
    <row r="236" spans="1:16" ht="30" customHeight="1" x14ac:dyDescent="0.3">
      <c r="A236" s="56" t="s">
        <v>354</v>
      </c>
      <c r="B236" s="52" t="s">
        <v>452</v>
      </c>
      <c r="C236" s="52" t="s">
        <v>195</v>
      </c>
      <c r="D236" s="79" t="str">
        <f t="shared" ca="1" si="19"/>
        <v>원자재</v>
      </c>
      <c r="E236" s="79" t="str">
        <f t="shared" ca="1" si="20"/>
        <v>AR</v>
      </c>
      <c r="F236" s="52" t="s">
        <v>462</v>
      </c>
      <c r="G236" s="52" t="s">
        <v>2271</v>
      </c>
      <c r="H236" s="79" t="str">
        <f t="shared" si="21"/>
        <v>매칭완료</v>
      </c>
      <c r="I236" s="79" t="str">
        <f t="shared" ca="1" si="22"/>
        <v>368-AR</v>
      </c>
      <c r="J236" s="61" t="s">
        <v>462</v>
      </c>
      <c r="K236" s="85" t="s">
        <v>2272</v>
      </c>
      <c r="L236" s="83" t="str">
        <f t="shared" si="18"/>
        <v>→ 조립자재 R60</v>
      </c>
      <c r="M236" s="84"/>
      <c r="N236" s="80">
        <v>60</v>
      </c>
      <c r="O236" s="80" t="s">
        <v>2110</v>
      </c>
      <c r="P236" s="79" t="s">
        <v>2273</v>
      </c>
    </row>
    <row r="237" spans="1:16" ht="30" customHeight="1" x14ac:dyDescent="0.3">
      <c r="A237" s="56" t="s">
        <v>354</v>
      </c>
      <c r="B237" s="52" t="s">
        <v>452</v>
      </c>
      <c r="C237" s="52" t="s">
        <v>195</v>
      </c>
      <c r="D237" s="79" t="str">
        <f t="shared" ca="1" si="19"/>
        <v>원자재</v>
      </c>
      <c r="E237" s="79" t="str">
        <f t="shared" ca="1" si="20"/>
        <v>AR</v>
      </c>
      <c r="F237" s="52" t="s">
        <v>464</v>
      </c>
      <c r="G237" s="52" t="s">
        <v>2274</v>
      </c>
      <c r="H237" s="79" t="str">
        <f t="shared" si="21"/>
        <v>매칭완료</v>
      </c>
      <c r="I237" s="79" t="str">
        <f t="shared" ca="1" si="22"/>
        <v>368-AR</v>
      </c>
      <c r="J237" s="61" t="s">
        <v>464</v>
      </c>
      <c r="K237" s="85" t="s">
        <v>2275</v>
      </c>
      <c r="L237" s="83" t="str">
        <f t="shared" si="18"/>
        <v>→ 조립자재 R61</v>
      </c>
      <c r="M237" s="84"/>
      <c r="N237" s="80">
        <v>61</v>
      </c>
      <c r="O237" s="80" t="s">
        <v>2110</v>
      </c>
      <c r="P237" s="79" t="s">
        <v>2276</v>
      </c>
    </row>
    <row r="238" spans="1:16" ht="30" customHeight="1" x14ac:dyDescent="0.3">
      <c r="A238" s="56" t="s">
        <v>354</v>
      </c>
      <c r="B238" s="52" t="s">
        <v>452</v>
      </c>
      <c r="C238" s="52" t="s">
        <v>195</v>
      </c>
      <c r="D238" s="79" t="str">
        <f t="shared" ca="1" si="19"/>
        <v>원자재</v>
      </c>
      <c r="E238" s="79" t="str">
        <f t="shared" ca="1" si="20"/>
        <v>AR</v>
      </c>
      <c r="F238" s="52" t="s">
        <v>466</v>
      </c>
      <c r="G238" s="52" t="s">
        <v>2277</v>
      </c>
      <c r="H238" s="79" t="str">
        <f t="shared" si="21"/>
        <v>매칭완료</v>
      </c>
      <c r="I238" s="79" t="str">
        <f t="shared" ca="1" si="22"/>
        <v>368-AR</v>
      </c>
      <c r="J238" s="61" t="s">
        <v>466</v>
      </c>
      <c r="K238" s="85" t="s">
        <v>2278</v>
      </c>
      <c r="L238" s="83" t="str">
        <f t="shared" si="18"/>
        <v>→ 조립자재 R62</v>
      </c>
      <c r="M238" s="84"/>
      <c r="N238" s="80">
        <v>62</v>
      </c>
      <c r="O238" s="80" t="s">
        <v>2110</v>
      </c>
      <c r="P238" s="79" t="s">
        <v>2279</v>
      </c>
    </row>
    <row r="239" spans="1:16" ht="30" customHeight="1" x14ac:dyDescent="0.3">
      <c r="A239" s="56" t="s">
        <v>354</v>
      </c>
      <c r="B239" s="52" t="s">
        <v>452</v>
      </c>
      <c r="C239" s="52" t="s">
        <v>195</v>
      </c>
      <c r="D239" s="79" t="str">
        <f t="shared" ca="1" si="19"/>
        <v>반제품</v>
      </c>
      <c r="E239" s="79" t="str">
        <f t="shared" ca="1" si="20"/>
        <v>AA</v>
      </c>
      <c r="F239" s="52" t="s">
        <v>468</v>
      </c>
      <c r="G239" s="52"/>
      <c r="H239" s="79" t="str">
        <f t="shared" ca="1" si="21"/>
        <v>반제품(창고없음)</v>
      </c>
      <c r="I239" s="79" t="str">
        <f t="shared" ca="1" si="22"/>
        <v>3-AA</v>
      </c>
      <c r="J239" s="61" t="s">
        <v>468</v>
      </c>
      <c r="K239" s="85" t="s">
        <v>2280</v>
      </c>
      <c r="L239" s="83" t="str">
        <f t="shared" si="18"/>
        <v>→ 조립자재 R63</v>
      </c>
      <c r="M239" s="84"/>
      <c r="N239" s="80">
        <v>63</v>
      </c>
      <c r="O239" s="80" t="s">
        <v>2110</v>
      </c>
      <c r="P239" s="79" t="s">
        <v>2281</v>
      </c>
    </row>
    <row r="240" spans="1:16" ht="30" customHeight="1" x14ac:dyDescent="0.3">
      <c r="A240" s="56" t="s">
        <v>354</v>
      </c>
      <c r="B240" s="52" t="s">
        <v>452</v>
      </c>
      <c r="C240" s="52" t="s">
        <v>195</v>
      </c>
      <c r="D240" s="79" t="str">
        <f t="shared" ca="1" si="19"/>
        <v>반제품</v>
      </c>
      <c r="E240" s="79" t="str">
        <f t="shared" ca="1" si="20"/>
        <v>AA</v>
      </c>
      <c r="F240" s="52" t="s">
        <v>469</v>
      </c>
      <c r="G240" s="52"/>
      <c r="H240" s="79" t="str">
        <f t="shared" ca="1" si="21"/>
        <v>반제품(창고없음)</v>
      </c>
      <c r="I240" s="79" t="str">
        <f t="shared" ca="1" si="22"/>
        <v>3-AA</v>
      </c>
      <c r="J240" s="61" t="s">
        <v>469</v>
      </c>
      <c r="K240" s="85" t="s">
        <v>2282</v>
      </c>
      <c r="L240" s="83" t="str">
        <f t="shared" si="18"/>
        <v>→ 조립자재 R64</v>
      </c>
      <c r="M240" s="84"/>
      <c r="N240" s="80">
        <v>64</v>
      </c>
      <c r="O240" s="80" t="s">
        <v>2110</v>
      </c>
      <c r="P240" s="79" t="s">
        <v>2283</v>
      </c>
    </row>
    <row r="241" spans="1:16" ht="30" customHeight="1" x14ac:dyDescent="0.3">
      <c r="A241" s="56" t="s">
        <v>354</v>
      </c>
      <c r="B241" s="52" t="s">
        <v>452</v>
      </c>
      <c r="C241" s="52" t="s">
        <v>2258</v>
      </c>
      <c r="D241" s="79" t="str">
        <f t="shared" ca="1" si="19"/>
        <v>반제품</v>
      </c>
      <c r="E241" s="79" t="str">
        <f t="shared" ca="1" si="20"/>
        <v>AA</v>
      </c>
      <c r="F241" s="52" t="s">
        <v>468</v>
      </c>
      <c r="G241" s="52"/>
      <c r="H241" s="79" t="str">
        <f t="shared" ca="1" si="21"/>
        <v>반제품(창고없음)</v>
      </c>
      <c r="I241" s="79" t="str">
        <f t="shared" ca="1" si="22"/>
        <v>3-AA</v>
      </c>
      <c r="J241" s="61" t="s">
        <v>468</v>
      </c>
      <c r="K241" s="85" t="s">
        <v>2284</v>
      </c>
      <c r="L241" s="83" t="str">
        <f t="shared" si="18"/>
        <v>→ 조립자재 R65</v>
      </c>
      <c r="M241" s="84"/>
      <c r="N241" s="80">
        <v>65</v>
      </c>
      <c r="O241" s="80" t="s">
        <v>2110</v>
      </c>
      <c r="P241" s="79" t="s">
        <v>2285</v>
      </c>
    </row>
    <row r="242" spans="1:16" ht="30" customHeight="1" x14ac:dyDescent="0.3">
      <c r="A242" s="56" t="s">
        <v>354</v>
      </c>
      <c r="B242" s="52" t="s">
        <v>452</v>
      </c>
      <c r="C242" s="52" t="s">
        <v>2258</v>
      </c>
      <c r="D242" s="79" t="str">
        <f t="shared" ca="1" si="19"/>
        <v>반제품</v>
      </c>
      <c r="E242" s="79" t="str">
        <f t="shared" ca="1" si="20"/>
        <v>AA</v>
      </c>
      <c r="F242" s="52" t="s">
        <v>470</v>
      </c>
      <c r="G242" s="52"/>
      <c r="H242" s="79" t="str">
        <f t="shared" ca="1" si="21"/>
        <v>반제품(창고없음)</v>
      </c>
      <c r="I242" s="79" t="str">
        <f t="shared" ca="1" si="22"/>
        <v>3-AA</v>
      </c>
      <c r="J242" s="61" t="s">
        <v>470</v>
      </c>
      <c r="K242" s="85" t="s">
        <v>2286</v>
      </c>
      <c r="L242" s="83" t="str">
        <f t="shared" ref="L242:L305" si="23">HYPERLINK("#'"&amp;$O242&amp;"'!A"&amp;$N242,"→ 조립자재 R"&amp;$N242)</f>
        <v>→ 조립자재 R66</v>
      </c>
      <c r="M242" s="84"/>
      <c r="N242" s="80">
        <v>66</v>
      </c>
      <c r="O242" s="80" t="s">
        <v>2110</v>
      </c>
      <c r="P242" s="79" t="s">
        <v>2287</v>
      </c>
    </row>
    <row r="243" spans="1:16" ht="30" customHeight="1" x14ac:dyDescent="0.3">
      <c r="A243" s="56" t="s">
        <v>354</v>
      </c>
      <c r="B243" s="52" t="s">
        <v>471</v>
      </c>
      <c r="C243" s="52" t="s">
        <v>198</v>
      </c>
      <c r="D243" s="79" t="str">
        <f t="shared" ca="1" si="19"/>
        <v>원자재</v>
      </c>
      <c r="E243" s="79" t="str">
        <f t="shared" ca="1" si="20"/>
        <v>AR</v>
      </c>
      <c r="F243" s="52" t="s">
        <v>472</v>
      </c>
      <c r="G243" s="52" t="s">
        <v>2288</v>
      </c>
      <c r="H243" s="79" t="str">
        <f t="shared" si="21"/>
        <v>매칭완료</v>
      </c>
      <c r="I243" s="79" t="str">
        <f t="shared" ca="1" si="22"/>
        <v>4-AR</v>
      </c>
      <c r="J243" s="65" t="s">
        <v>472</v>
      </c>
      <c r="K243" s="65" t="s">
        <v>2289</v>
      </c>
      <c r="L243" s="83" t="str">
        <f t="shared" si="23"/>
        <v>→ 조립자재 R67</v>
      </c>
      <c r="M243" s="84"/>
      <c r="N243" s="80">
        <v>67</v>
      </c>
      <c r="O243" s="80" t="s">
        <v>2110</v>
      </c>
      <c r="P243" s="79" t="s">
        <v>2290</v>
      </c>
    </row>
    <row r="244" spans="1:16" ht="30" customHeight="1" x14ac:dyDescent="0.3">
      <c r="A244" s="56" t="s">
        <v>354</v>
      </c>
      <c r="B244" s="52" t="s">
        <v>471</v>
      </c>
      <c r="C244" s="52" t="s">
        <v>198</v>
      </c>
      <c r="D244" s="79" t="str">
        <f t="shared" ca="1" si="19"/>
        <v>원자재</v>
      </c>
      <c r="E244" s="79" t="str">
        <f t="shared" ca="1" si="20"/>
        <v>AR</v>
      </c>
      <c r="F244" s="52" t="s">
        <v>474</v>
      </c>
      <c r="G244" s="52" t="s">
        <v>2291</v>
      </c>
      <c r="H244" s="79" t="str">
        <f t="shared" si="21"/>
        <v>매칭완료</v>
      </c>
      <c r="I244" s="79" t="str">
        <f t="shared" ca="1" si="22"/>
        <v>4-AR</v>
      </c>
      <c r="J244" s="65" t="s">
        <v>474</v>
      </c>
      <c r="K244" s="65" t="s">
        <v>2292</v>
      </c>
      <c r="L244" s="83" t="str">
        <f t="shared" si="23"/>
        <v>→ 조립자재 R68</v>
      </c>
      <c r="M244" s="84"/>
      <c r="N244" s="80">
        <v>68</v>
      </c>
      <c r="O244" s="80" t="s">
        <v>2110</v>
      </c>
      <c r="P244" s="79" t="s">
        <v>2293</v>
      </c>
    </row>
    <row r="245" spans="1:16" ht="30" customHeight="1" x14ac:dyDescent="0.3">
      <c r="A245" s="56" t="s">
        <v>354</v>
      </c>
      <c r="B245" s="52" t="s">
        <v>471</v>
      </c>
      <c r="C245" s="52" t="s">
        <v>198</v>
      </c>
      <c r="D245" s="79" t="str">
        <f t="shared" ca="1" si="19"/>
        <v>원자재</v>
      </c>
      <c r="E245" s="79" t="str">
        <f t="shared" ca="1" si="20"/>
        <v>AR</v>
      </c>
      <c r="F245" s="52" t="s">
        <v>476</v>
      </c>
      <c r="G245" s="52" t="s">
        <v>2294</v>
      </c>
      <c r="H245" s="79" t="str">
        <f t="shared" si="21"/>
        <v>매칭완료</v>
      </c>
      <c r="I245" s="79" t="str">
        <f t="shared" ca="1" si="22"/>
        <v>4-AR</v>
      </c>
      <c r="J245" s="61" t="s">
        <v>476</v>
      </c>
      <c r="K245" s="65" t="s">
        <v>2295</v>
      </c>
      <c r="L245" s="83" t="str">
        <f t="shared" si="23"/>
        <v>→ 조립자재 R69</v>
      </c>
      <c r="M245" s="84"/>
      <c r="N245" s="80">
        <v>69</v>
      </c>
      <c r="O245" s="80" t="s">
        <v>2110</v>
      </c>
      <c r="P245" s="79" t="s">
        <v>2296</v>
      </c>
    </row>
    <row r="246" spans="1:16" ht="30" customHeight="1" x14ac:dyDescent="0.3">
      <c r="A246" s="56" t="s">
        <v>354</v>
      </c>
      <c r="B246" s="52" t="s">
        <v>471</v>
      </c>
      <c r="C246" s="52" t="s">
        <v>198</v>
      </c>
      <c r="D246" s="79" t="str">
        <f t="shared" ca="1" si="19"/>
        <v>원자재</v>
      </c>
      <c r="E246" s="79" t="str">
        <f t="shared" ca="1" si="20"/>
        <v>AR</v>
      </c>
      <c r="F246" s="52" t="s">
        <v>478</v>
      </c>
      <c r="G246" s="52" t="s">
        <v>2297</v>
      </c>
      <c r="H246" s="79" t="str">
        <f t="shared" si="21"/>
        <v>매칭완료</v>
      </c>
      <c r="I246" s="79" t="str">
        <f t="shared" ca="1" si="22"/>
        <v>4-AR</v>
      </c>
      <c r="J246" s="61" t="s">
        <v>478</v>
      </c>
      <c r="K246" s="65" t="s">
        <v>2298</v>
      </c>
      <c r="L246" s="83" t="str">
        <f t="shared" si="23"/>
        <v>→ 조립자재 R70</v>
      </c>
      <c r="M246" s="84"/>
      <c r="N246" s="80">
        <v>70</v>
      </c>
      <c r="O246" s="80" t="s">
        <v>2110</v>
      </c>
      <c r="P246" s="79" t="s">
        <v>2299</v>
      </c>
    </row>
    <row r="247" spans="1:16" ht="30" customHeight="1" x14ac:dyDescent="0.3">
      <c r="A247" s="56" t="s">
        <v>354</v>
      </c>
      <c r="B247" s="52" t="s">
        <v>471</v>
      </c>
      <c r="C247" s="52" t="s">
        <v>198</v>
      </c>
      <c r="D247" s="79" t="str">
        <f t="shared" ca="1" si="19"/>
        <v>원자재</v>
      </c>
      <c r="E247" s="79" t="str">
        <f t="shared" ca="1" si="20"/>
        <v>AR</v>
      </c>
      <c r="F247" s="52" t="s">
        <v>367</v>
      </c>
      <c r="G247" s="52" t="s">
        <v>2300</v>
      </c>
      <c r="H247" s="79" t="str">
        <f t="shared" si="21"/>
        <v>매칭완료</v>
      </c>
      <c r="I247" s="79" t="str">
        <f t="shared" ca="1" si="22"/>
        <v>4-AR</v>
      </c>
      <c r="J247" s="61" t="s">
        <v>367</v>
      </c>
      <c r="K247" s="65" t="s">
        <v>2301</v>
      </c>
      <c r="L247" s="83" t="str">
        <f t="shared" si="23"/>
        <v>→ 조립자재 R71</v>
      </c>
      <c r="M247" s="84"/>
      <c r="N247" s="80">
        <v>71</v>
      </c>
      <c r="O247" s="80" t="s">
        <v>2110</v>
      </c>
      <c r="P247" s="79" t="s">
        <v>2302</v>
      </c>
    </row>
    <row r="248" spans="1:16" ht="30" customHeight="1" x14ac:dyDescent="0.3">
      <c r="A248" s="56" t="s">
        <v>354</v>
      </c>
      <c r="B248" s="52" t="s">
        <v>471</v>
      </c>
      <c r="C248" s="52" t="s">
        <v>198</v>
      </c>
      <c r="D248" s="79" t="str">
        <f t="shared" ca="1" si="19"/>
        <v>원자재</v>
      </c>
      <c r="E248" s="79" t="str">
        <f t="shared" ca="1" si="20"/>
        <v>AR</v>
      </c>
      <c r="F248" s="52" t="s">
        <v>481</v>
      </c>
      <c r="G248" s="52" t="s">
        <v>2303</v>
      </c>
      <c r="H248" s="79" t="str">
        <f t="shared" si="21"/>
        <v>매칭완료</v>
      </c>
      <c r="I248" s="79" t="str">
        <f t="shared" ca="1" si="22"/>
        <v>4-AR</v>
      </c>
      <c r="J248" s="61" t="s">
        <v>481</v>
      </c>
      <c r="K248" s="65" t="s">
        <v>2304</v>
      </c>
      <c r="L248" s="83" t="str">
        <f t="shared" si="23"/>
        <v>→ 조립자재 R72</v>
      </c>
      <c r="M248" s="84"/>
      <c r="N248" s="80">
        <v>72</v>
      </c>
      <c r="O248" s="80" t="s">
        <v>2110</v>
      </c>
      <c r="P248" s="79" t="s">
        <v>2305</v>
      </c>
    </row>
    <row r="249" spans="1:16" ht="30" customHeight="1" x14ac:dyDescent="0.3">
      <c r="A249" s="56" t="s">
        <v>354</v>
      </c>
      <c r="B249" s="52" t="s">
        <v>471</v>
      </c>
      <c r="C249" s="52" t="s">
        <v>198</v>
      </c>
      <c r="D249" s="79" t="str">
        <f t="shared" ca="1" si="19"/>
        <v>원자재</v>
      </c>
      <c r="E249" s="79" t="str">
        <f t="shared" ca="1" si="20"/>
        <v>AR</v>
      </c>
      <c r="F249" s="52" t="s">
        <v>483</v>
      </c>
      <c r="G249" s="52" t="s">
        <v>2306</v>
      </c>
      <c r="H249" s="79" t="str">
        <f t="shared" si="21"/>
        <v>매칭완료</v>
      </c>
      <c r="I249" s="79" t="str">
        <f t="shared" ca="1" si="22"/>
        <v>4-AR</v>
      </c>
      <c r="J249" s="61" t="s">
        <v>483</v>
      </c>
      <c r="K249" s="65" t="s">
        <v>2307</v>
      </c>
      <c r="L249" s="83" t="str">
        <f t="shared" si="23"/>
        <v>→ 조립자재 R73</v>
      </c>
      <c r="M249" s="84"/>
      <c r="N249" s="80">
        <v>73</v>
      </c>
      <c r="O249" s="80" t="s">
        <v>2110</v>
      </c>
      <c r="P249" s="79" t="s">
        <v>2308</v>
      </c>
    </row>
    <row r="250" spans="1:16" ht="30" customHeight="1" x14ac:dyDescent="0.3">
      <c r="A250" s="56" t="s">
        <v>354</v>
      </c>
      <c r="B250" s="52" t="s">
        <v>471</v>
      </c>
      <c r="C250" s="52" t="s">
        <v>198</v>
      </c>
      <c r="D250" s="79" t="str">
        <f t="shared" ca="1" si="19"/>
        <v>원자재</v>
      </c>
      <c r="E250" s="79" t="str">
        <f t="shared" ca="1" si="20"/>
        <v>AR</v>
      </c>
      <c r="F250" s="52" t="s">
        <v>485</v>
      </c>
      <c r="G250" s="52" t="s">
        <v>2309</v>
      </c>
      <c r="H250" s="79" t="str">
        <f t="shared" si="21"/>
        <v>매칭완료</v>
      </c>
      <c r="I250" s="79" t="str">
        <f t="shared" ca="1" si="22"/>
        <v>4-AR</v>
      </c>
      <c r="J250" s="61" t="s">
        <v>485</v>
      </c>
      <c r="K250" s="65" t="s">
        <v>2310</v>
      </c>
      <c r="L250" s="83" t="str">
        <f t="shared" si="23"/>
        <v>→ 조립자재 R74</v>
      </c>
      <c r="M250" s="84"/>
      <c r="N250" s="80">
        <v>74</v>
      </c>
      <c r="O250" s="80" t="s">
        <v>2110</v>
      </c>
      <c r="P250" s="79" t="s">
        <v>2311</v>
      </c>
    </row>
    <row r="251" spans="1:16" ht="30" customHeight="1" x14ac:dyDescent="0.3">
      <c r="A251" s="56" t="s">
        <v>354</v>
      </c>
      <c r="B251" s="52" t="s">
        <v>471</v>
      </c>
      <c r="C251" s="52" t="s">
        <v>198</v>
      </c>
      <c r="D251" s="79" t="str">
        <f t="shared" ca="1" si="19"/>
        <v>원자재</v>
      </c>
      <c r="E251" s="79" t="str">
        <f t="shared" ca="1" si="20"/>
        <v>AR</v>
      </c>
      <c r="F251" s="52" t="s">
        <v>487</v>
      </c>
      <c r="G251" s="52" t="s">
        <v>2312</v>
      </c>
      <c r="H251" s="79" t="str">
        <f t="shared" si="21"/>
        <v>매칭완료</v>
      </c>
      <c r="I251" s="79" t="str">
        <f t="shared" ca="1" si="22"/>
        <v>4-AR</v>
      </c>
      <c r="J251" s="61" t="s">
        <v>487</v>
      </c>
      <c r="K251" s="65" t="s">
        <v>2313</v>
      </c>
      <c r="L251" s="83" t="str">
        <f t="shared" si="23"/>
        <v>→ 조립자재 R75</v>
      </c>
      <c r="M251" s="84"/>
      <c r="N251" s="80">
        <v>75</v>
      </c>
      <c r="O251" s="80" t="s">
        <v>2110</v>
      </c>
      <c r="P251" s="79" t="s">
        <v>2314</v>
      </c>
    </row>
    <row r="252" spans="1:16" ht="30" customHeight="1" x14ac:dyDescent="0.3">
      <c r="A252" s="56" t="s">
        <v>354</v>
      </c>
      <c r="B252" s="52" t="s">
        <v>471</v>
      </c>
      <c r="C252" s="52" t="s">
        <v>198</v>
      </c>
      <c r="D252" s="79" t="str">
        <f t="shared" ca="1" si="19"/>
        <v>원자재</v>
      </c>
      <c r="E252" s="79" t="str">
        <f t="shared" ca="1" si="20"/>
        <v>AR</v>
      </c>
      <c r="F252" s="52" t="s">
        <v>489</v>
      </c>
      <c r="G252" s="52" t="s">
        <v>2315</v>
      </c>
      <c r="H252" s="79" t="str">
        <f t="shared" si="21"/>
        <v>매칭완료</v>
      </c>
      <c r="I252" s="79" t="str">
        <f t="shared" ca="1" si="22"/>
        <v>4-AR</v>
      </c>
      <c r="J252" s="61" t="s">
        <v>489</v>
      </c>
      <c r="K252" s="65" t="s">
        <v>2316</v>
      </c>
      <c r="L252" s="83" t="str">
        <f t="shared" si="23"/>
        <v>→ 조립자재 R76</v>
      </c>
      <c r="M252" s="84"/>
      <c r="N252" s="80">
        <v>76</v>
      </c>
      <c r="O252" s="80" t="s">
        <v>2110</v>
      </c>
      <c r="P252" s="79" t="s">
        <v>2317</v>
      </c>
    </row>
    <row r="253" spans="1:16" ht="30" customHeight="1" x14ac:dyDescent="0.3">
      <c r="A253" s="56" t="s">
        <v>354</v>
      </c>
      <c r="B253" s="52" t="s">
        <v>471</v>
      </c>
      <c r="C253" s="52" t="s">
        <v>198</v>
      </c>
      <c r="D253" s="79" t="str">
        <f t="shared" ca="1" si="19"/>
        <v>원자재</v>
      </c>
      <c r="E253" s="79" t="str">
        <f t="shared" ca="1" si="20"/>
        <v>AR</v>
      </c>
      <c r="F253" s="52" t="s">
        <v>491</v>
      </c>
      <c r="G253" s="52" t="s">
        <v>2318</v>
      </c>
      <c r="H253" s="79" t="str">
        <f t="shared" si="21"/>
        <v>매칭완료</v>
      </c>
      <c r="I253" s="79" t="str">
        <f t="shared" ca="1" si="22"/>
        <v>4-AR</v>
      </c>
      <c r="J253" s="61" t="s">
        <v>491</v>
      </c>
      <c r="K253" s="65" t="s">
        <v>2319</v>
      </c>
      <c r="L253" s="83" t="str">
        <f t="shared" si="23"/>
        <v>→ 조립자재 R77</v>
      </c>
      <c r="M253" s="84"/>
      <c r="N253" s="80">
        <v>77</v>
      </c>
      <c r="O253" s="80" t="s">
        <v>2110</v>
      </c>
      <c r="P253" s="79" t="s">
        <v>2320</v>
      </c>
    </row>
    <row r="254" spans="1:16" ht="30" customHeight="1" x14ac:dyDescent="0.3">
      <c r="A254" s="56" t="s">
        <v>354</v>
      </c>
      <c r="B254" s="52" t="s">
        <v>471</v>
      </c>
      <c r="C254" s="52" t="s">
        <v>198</v>
      </c>
      <c r="D254" s="79" t="str">
        <f t="shared" ca="1" si="19"/>
        <v>원자재</v>
      </c>
      <c r="E254" s="79" t="str">
        <f t="shared" ca="1" si="20"/>
        <v>AR</v>
      </c>
      <c r="F254" s="52" t="s">
        <v>361</v>
      </c>
      <c r="G254" s="52" t="s">
        <v>2321</v>
      </c>
      <c r="H254" s="79" t="str">
        <f t="shared" si="21"/>
        <v>매칭완료</v>
      </c>
      <c r="I254" s="79" t="str">
        <f t="shared" ca="1" si="22"/>
        <v>4-AR</v>
      </c>
      <c r="J254" s="61" t="s">
        <v>361</v>
      </c>
      <c r="K254" s="65" t="s">
        <v>2322</v>
      </c>
      <c r="L254" s="83" t="str">
        <f t="shared" si="23"/>
        <v>→ 조립자재 R78</v>
      </c>
      <c r="M254" s="84"/>
      <c r="N254" s="80">
        <v>78</v>
      </c>
      <c r="O254" s="80" t="s">
        <v>2110</v>
      </c>
      <c r="P254" s="79" t="s">
        <v>2323</v>
      </c>
    </row>
    <row r="255" spans="1:16" ht="30" customHeight="1" x14ac:dyDescent="0.3">
      <c r="A255" s="56" t="s">
        <v>354</v>
      </c>
      <c r="B255" s="52" t="s">
        <v>471</v>
      </c>
      <c r="C255" s="52" t="s">
        <v>198</v>
      </c>
      <c r="D255" s="79" t="str">
        <f t="shared" ca="1" si="19"/>
        <v>원자재</v>
      </c>
      <c r="E255" s="79" t="str">
        <f t="shared" ca="1" si="20"/>
        <v>AR</v>
      </c>
      <c r="F255" s="52" t="s">
        <v>494</v>
      </c>
      <c r="G255" s="52" t="s">
        <v>2324</v>
      </c>
      <c r="H255" s="79" t="str">
        <f t="shared" si="21"/>
        <v>매칭완료</v>
      </c>
      <c r="I255" s="79" t="str">
        <f t="shared" ca="1" si="22"/>
        <v>4-AR</v>
      </c>
      <c r="J255" s="61" t="s">
        <v>494</v>
      </c>
      <c r="K255" s="65" t="s">
        <v>2325</v>
      </c>
      <c r="L255" s="83" t="str">
        <f t="shared" si="23"/>
        <v>→ 조립자재 R79</v>
      </c>
      <c r="M255" s="84"/>
      <c r="N255" s="80">
        <v>79</v>
      </c>
      <c r="O255" s="80" t="s">
        <v>2110</v>
      </c>
      <c r="P255" s="79" t="s">
        <v>2326</v>
      </c>
    </row>
    <row r="256" spans="1:16" ht="30" customHeight="1" x14ac:dyDescent="0.3">
      <c r="A256" s="56" t="s">
        <v>354</v>
      </c>
      <c r="B256" s="52" t="s">
        <v>471</v>
      </c>
      <c r="C256" s="52" t="s">
        <v>198</v>
      </c>
      <c r="D256" s="79" t="str">
        <f t="shared" ca="1" si="19"/>
        <v>원자재</v>
      </c>
      <c r="E256" s="79" t="str">
        <f t="shared" ca="1" si="20"/>
        <v>AR</v>
      </c>
      <c r="F256" s="52" t="s">
        <v>496</v>
      </c>
      <c r="G256" s="52" t="s">
        <v>2327</v>
      </c>
      <c r="H256" s="79" t="str">
        <f t="shared" si="21"/>
        <v>매칭완료</v>
      </c>
      <c r="I256" s="79" t="str">
        <f t="shared" ca="1" si="22"/>
        <v>4-AR</v>
      </c>
      <c r="J256" s="61" t="s">
        <v>496</v>
      </c>
      <c r="K256" s="65" t="s">
        <v>2328</v>
      </c>
      <c r="L256" s="83" t="str">
        <f t="shared" si="23"/>
        <v>→ 조립자재 R80</v>
      </c>
      <c r="M256" s="84"/>
      <c r="N256" s="80">
        <v>80</v>
      </c>
      <c r="O256" s="80" t="s">
        <v>2110</v>
      </c>
      <c r="P256" s="79" t="s">
        <v>2329</v>
      </c>
    </row>
    <row r="257" spans="1:16" ht="30" customHeight="1" x14ac:dyDescent="0.3">
      <c r="A257" s="56" t="s">
        <v>354</v>
      </c>
      <c r="B257" s="52" t="s">
        <v>471</v>
      </c>
      <c r="C257" s="52" t="s">
        <v>198</v>
      </c>
      <c r="D257" s="79" t="str">
        <f t="shared" ca="1" si="19"/>
        <v>원자재</v>
      </c>
      <c r="E257" s="79" t="str">
        <f t="shared" ca="1" si="20"/>
        <v>AR</v>
      </c>
      <c r="F257" s="52" t="s">
        <v>498</v>
      </c>
      <c r="G257" s="52" t="s">
        <v>2330</v>
      </c>
      <c r="H257" s="79" t="str">
        <f t="shared" si="21"/>
        <v>매칭완료</v>
      </c>
      <c r="I257" s="79" t="str">
        <f t="shared" ca="1" si="22"/>
        <v>4-AR</v>
      </c>
      <c r="J257" s="61" t="s">
        <v>498</v>
      </c>
      <c r="K257" s="65" t="s">
        <v>2331</v>
      </c>
      <c r="L257" s="83" t="str">
        <f t="shared" si="23"/>
        <v>→ 조립자재 R81</v>
      </c>
      <c r="M257" s="84"/>
      <c r="N257" s="80">
        <v>81</v>
      </c>
      <c r="O257" s="80" t="s">
        <v>2110</v>
      </c>
      <c r="P257" s="79" t="s">
        <v>2332</v>
      </c>
    </row>
    <row r="258" spans="1:16" ht="30" customHeight="1" x14ac:dyDescent="0.3">
      <c r="A258" s="56" t="s">
        <v>354</v>
      </c>
      <c r="B258" s="52" t="s">
        <v>471</v>
      </c>
      <c r="C258" s="52" t="s">
        <v>198</v>
      </c>
      <c r="D258" s="79" t="str">
        <f t="shared" ref="D258:D321" ca="1" si="24">IF(INDIRECT("'"&amp;$O258&amp;"'!F"&amp;$N258)="O","원자재",IF(INDIRECT("'"&amp;$O258&amp;"'!G"&amp;$N258)="O","반제품",IF(INDIRECT("'"&amp;$O258&amp;"'!H"&amp;$N258)="O","완제품","")))</f>
        <v>원자재</v>
      </c>
      <c r="E258" s="79" t="str">
        <f t="shared" ref="E258:E321" ca="1" si="25">IFERROR(IF(INDIRECT("'"&amp;$O258&amp;"'!I"&amp;$N258)=0,"",INDIRECT("'"&amp;$O258&amp;"'!I"&amp;$N258)),"")</f>
        <v>AR</v>
      </c>
      <c r="F258" s="52" t="s">
        <v>500</v>
      </c>
      <c r="G258" s="52" t="s">
        <v>2333</v>
      </c>
      <c r="H258" s="79" t="str">
        <f t="shared" ref="H258:H321" si="26">IF(AND($F258="",$G258=""),"",IF($F258="","창고전용",IF($G258&lt;&gt;"","매칭완료",IF($D258="반제품","반제품(창고없음)",IF($D258="완제품","완제품(창고없음)",IF($D258="원자재","⚠ 원자재_부서보관","미분류"))))))</f>
        <v>매칭완료</v>
      </c>
      <c r="I258" s="79" t="str">
        <f t="shared" ref="I258:I321" ca="1" si="27">IFERROR(IF(INDIRECT("'"&amp;$O258&amp;"'!P"&amp;$N258)=0,"",INDIRECT("'"&amp;$O258&amp;"'!P"&amp;$N258)),"")</f>
        <v>4-AR</v>
      </c>
      <c r="J258" s="61" t="s">
        <v>500</v>
      </c>
      <c r="K258" s="65" t="s">
        <v>2334</v>
      </c>
      <c r="L258" s="83" t="str">
        <f t="shared" si="23"/>
        <v>→ 조립자재 R82</v>
      </c>
      <c r="M258" s="84"/>
      <c r="N258" s="80">
        <v>82</v>
      </c>
      <c r="O258" s="80" t="s">
        <v>2110</v>
      </c>
      <c r="P258" s="79" t="s">
        <v>2335</v>
      </c>
    </row>
    <row r="259" spans="1:16" ht="30" customHeight="1" x14ac:dyDescent="0.3">
      <c r="A259" s="56" t="s">
        <v>354</v>
      </c>
      <c r="B259" s="52" t="s">
        <v>471</v>
      </c>
      <c r="C259" s="52" t="s">
        <v>198</v>
      </c>
      <c r="D259" s="79" t="str">
        <f t="shared" ca="1" si="24"/>
        <v>원자재</v>
      </c>
      <c r="E259" s="79" t="str">
        <f t="shared" ca="1" si="25"/>
        <v>AR</v>
      </c>
      <c r="F259" s="52" t="s">
        <v>390</v>
      </c>
      <c r="G259" s="52" t="s">
        <v>2336</v>
      </c>
      <c r="H259" s="79" t="str">
        <f t="shared" si="26"/>
        <v>매칭완료</v>
      </c>
      <c r="I259" s="79" t="str">
        <f t="shared" ca="1" si="27"/>
        <v>4-AR</v>
      </c>
      <c r="J259" s="61" t="s">
        <v>390</v>
      </c>
      <c r="K259" s="65" t="s">
        <v>2337</v>
      </c>
      <c r="L259" s="83" t="str">
        <f t="shared" si="23"/>
        <v>→ 조립자재 R83</v>
      </c>
      <c r="M259" s="84"/>
      <c r="N259" s="80">
        <v>83</v>
      </c>
      <c r="O259" s="80" t="s">
        <v>2110</v>
      </c>
      <c r="P259" s="79" t="s">
        <v>2338</v>
      </c>
    </row>
    <row r="260" spans="1:16" ht="30" customHeight="1" x14ac:dyDescent="0.3">
      <c r="A260" s="56" t="s">
        <v>354</v>
      </c>
      <c r="B260" s="52" t="s">
        <v>471</v>
      </c>
      <c r="C260" s="52" t="s">
        <v>198</v>
      </c>
      <c r="D260" s="79" t="str">
        <f t="shared" ca="1" si="24"/>
        <v>원자재</v>
      </c>
      <c r="E260" s="79" t="str">
        <f t="shared" ca="1" si="25"/>
        <v>AR</v>
      </c>
      <c r="F260" s="52" t="s">
        <v>393</v>
      </c>
      <c r="G260" s="52" t="s">
        <v>2339</v>
      </c>
      <c r="H260" s="79" t="str">
        <f t="shared" si="26"/>
        <v>매칭완료</v>
      </c>
      <c r="I260" s="79" t="str">
        <f t="shared" ca="1" si="27"/>
        <v>4-AR</v>
      </c>
      <c r="J260" s="61" t="s">
        <v>393</v>
      </c>
      <c r="K260" s="65" t="s">
        <v>2340</v>
      </c>
      <c r="L260" s="83" t="str">
        <f t="shared" si="23"/>
        <v>→ 조립자재 R84</v>
      </c>
      <c r="M260" s="84"/>
      <c r="N260" s="80">
        <v>84</v>
      </c>
      <c r="O260" s="80" t="s">
        <v>2110</v>
      </c>
      <c r="P260" s="79" t="s">
        <v>2341</v>
      </c>
    </row>
    <row r="261" spans="1:16" ht="30" customHeight="1" x14ac:dyDescent="0.3">
      <c r="A261" s="56" t="s">
        <v>354</v>
      </c>
      <c r="B261" s="52" t="s">
        <v>471</v>
      </c>
      <c r="C261" s="52" t="s">
        <v>198</v>
      </c>
      <c r="D261" s="79" t="str">
        <f t="shared" ca="1" si="24"/>
        <v>원자재</v>
      </c>
      <c r="E261" s="79" t="str">
        <f t="shared" ca="1" si="25"/>
        <v>AR</v>
      </c>
      <c r="F261" s="52" t="s">
        <v>504</v>
      </c>
      <c r="G261" s="52" t="s">
        <v>2342</v>
      </c>
      <c r="H261" s="79" t="str">
        <f t="shared" si="26"/>
        <v>매칭완료</v>
      </c>
      <c r="I261" s="79" t="str">
        <f t="shared" ca="1" si="27"/>
        <v>4-AR</v>
      </c>
      <c r="J261" s="61" t="s">
        <v>504</v>
      </c>
      <c r="K261" s="65" t="s">
        <v>2343</v>
      </c>
      <c r="L261" s="83" t="str">
        <f t="shared" si="23"/>
        <v>→ 조립자재 R85</v>
      </c>
      <c r="M261" s="84"/>
      <c r="N261" s="80">
        <v>85</v>
      </c>
      <c r="O261" s="80" t="s">
        <v>2110</v>
      </c>
      <c r="P261" s="79" t="s">
        <v>2344</v>
      </c>
    </row>
    <row r="262" spans="1:16" ht="30" customHeight="1" x14ac:dyDescent="0.3">
      <c r="A262" s="56" t="s">
        <v>354</v>
      </c>
      <c r="B262" s="52" t="s">
        <v>471</v>
      </c>
      <c r="C262" s="52" t="s">
        <v>198</v>
      </c>
      <c r="D262" s="79" t="str">
        <f t="shared" ca="1" si="24"/>
        <v>원자재</v>
      </c>
      <c r="E262" s="79" t="str">
        <f t="shared" ca="1" si="25"/>
        <v>AR</v>
      </c>
      <c r="F262" s="52" t="s">
        <v>506</v>
      </c>
      <c r="G262" s="52" t="s">
        <v>2345</v>
      </c>
      <c r="H262" s="79" t="str">
        <f t="shared" si="26"/>
        <v>매칭완료</v>
      </c>
      <c r="I262" s="79" t="str">
        <f t="shared" ca="1" si="27"/>
        <v>4-AR</v>
      </c>
      <c r="J262" s="61" t="s">
        <v>506</v>
      </c>
      <c r="K262" s="65" t="s">
        <v>2346</v>
      </c>
      <c r="L262" s="83" t="str">
        <f t="shared" si="23"/>
        <v>→ 조립자재 R86</v>
      </c>
      <c r="M262" s="84"/>
      <c r="N262" s="80">
        <v>86</v>
      </c>
      <c r="O262" s="80" t="s">
        <v>2110</v>
      </c>
      <c r="P262" s="79" t="s">
        <v>2347</v>
      </c>
    </row>
    <row r="263" spans="1:16" ht="30" customHeight="1" x14ac:dyDescent="0.3">
      <c r="A263" s="56" t="s">
        <v>354</v>
      </c>
      <c r="B263" s="52" t="s">
        <v>471</v>
      </c>
      <c r="C263" s="52" t="s">
        <v>198</v>
      </c>
      <c r="D263" s="79" t="str">
        <f t="shared" ca="1" si="24"/>
        <v>원자재</v>
      </c>
      <c r="E263" s="79" t="str">
        <f t="shared" ca="1" si="25"/>
        <v>AR</v>
      </c>
      <c r="F263" s="52" t="s">
        <v>508</v>
      </c>
      <c r="G263" s="52" t="s">
        <v>2348</v>
      </c>
      <c r="H263" s="79" t="str">
        <f t="shared" si="26"/>
        <v>매칭완료</v>
      </c>
      <c r="I263" s="79" t="str">
        <f t="shared" ca="1" si="27"/>
        <v>4-AR</v>
      </c>
      <c r="J263" s="61" t="s">
        <v>508</v>
      </c>
      <c r="K263" s="65" t="s">
        <v>2349</v>
      </c>
      <c r="L263" s="83" t="str">
        <f t="shared" si="23"/>
        <v>→ 조립자재 R87</v>
      </c>
      <c r="M263" s="84"/>
      <c r="N263" s="80">
        <v>87</v>
      </c>
      <c r="O263" s="80" t="s">
        <v>2110</v>
      </c>
      <c r="P263" s="79" t="s">
        <v>2350</v>
      </c>
    </row>
    <row r="264" spans="1:16" ht="30" customHeight="1" x14ac:dyDescent="0.3">
      <c r="A264" s="56" t="s">
        <v>354</v>
      </c>
      <c r="B264" s="52" t="s">
        <v>471</v>
      </c>
      <c r="C264" s="52" t="s">
        <v>198</v>
      </c>
      <c r="D264" s="79" t="str">
        <f t="shared" ca="1" si="24"/>
        <v>원자재</v>
      </c>
      <c r="E264" s="79" t="str">
        <f t="shared" ca="1" si="25"/>
        <v>AR</v>
      </c>
      <c r="F264" s="52" t="s">
        <v>510</v>
      </c>
      <c r="G264" s="52" t="s">
        <v>2351</v>
      </c>
      <c r="H264" s="79" t="str">
        <f t="shared" si="26"/>
        <v>매칭완료</v>
      </c>
      <c r="I264" s="79" t="str">
        <f t="shared" ca="1" si="27"/>
        <v>4-AR</v>
      </c>
      <c r="J264" s="61" t="s">
        <v>510</v>
      </c>
      <c r="K264" s="65" t="s">
        <v>2352</v>
      </c>
      <c r="L264" s="83" t="str">
        <f t="shared" si="23"/>
        <v>→ 조립자재 R88</v>
      </c>
      <c r="M264" s="84"/>
      <c r="N264" s="80">
        <v>88</v>
      </c>
      <c r="O264" s="80" t="s">
        <v>2110</v>
      </c>
      <c r="P264" s="79" t="s">
        <v>2353</v>
      </c>
    </row>
    <row r="265" spans="1:16" ht="30" customHeight="1" x14ac:dyDescent="0.3">
      <c r="A265" s="56" t="s">
        <v>354</v>
      </c>
      <c r="B265" s="52" t="s">
        <v>471</v>
      </c>
      <c r="C265" s="52" t="s">
        <v>198</v>
      </c>
      <c r="D265" s="79" t="str">
        <f t="shared" ca="1" si="24"/>
        <v>원자재</v>
      </c>
      <c r="E265" s="79" t="str">
        <f t="shared" ca="1" si="25"/>
        <v>AR</v>
      </c>
      <c r="F265" s="52" t="s">
        <v>512</v>
      </c>
      <c r="G265" s="52" t="s">
        <v>2354</v>
      </c>
      <c r="H265" s="79" t="str">
        <f t="shared" si="26"/>
        <v>매칭완료</v>
      </c>
      <c r="I265" s="79" t="str">
        <f t="shared" ca="1" si="27"/>
        <v>4-AR</v>
      </c>
      <c r="J265" s="61" t="s">
        <v>512</v>
      </c>
      <c r="K265" s="65" t="s">
        <v>2355</v>
      </c>
      <c r="L265" s="83" t="str">
        <f t="shared" si="23"/>
        <v>→ 조립자재 R89</v>
      </c>
      <c r="M265" s="84"/>
      <c r="N265" s="80">
        <v>89</v>
      </c>
      <c r="O265" s="80" t="s">
        <v>2110</v>
      </c>
      <c r="P265" s="79" t="s">
        <v>2356</v>
      </c>
    </row>
    <row r="266" spans="1:16" ht="30" customHeight="1" x14ac:dyDescent="0.3">
      <c r="A266" s="56" t="s">
        <v>354</v>
      </c>
      <c r="B266" s="52" t="s">
        <v>471</v>
      </c>
      <c r="C266" s="52" t="s">
        <v>2357</v>
      </c>
      <c r="D266" s="79" t="str">
        <f t="shared" ca="1" si="24"/>
        <v>원자재</v>
      </c>
      <c r="E266" s="79" t="str">
        <f t="shared" ca="1" si="25"/>
        <v>AR</v>
      </c>
      <c r="F266" s="52" t="s">
        <v>515</v>
      </c>
      <c r="G266" s="52" t="s">
        <v>2358</v>
      </c>
      <c r="H266" s="79" t="str">
        <f t="shared" si="26"/>
        <v>매칭완료</v>
      </c>
      <c r="I266" s="79" t="str">
        <f t="shared" ca="1" si="27"/>
        <v>46-AR</v>
      </c>
      <c r="J266" s="61" t="s">
        <v>515</v>
      </c>
      <c r="K266" s="65" t="s">
        <v>2359</v>
      </c>
      <c r="L266" s="83" t="str">
        <f t="shared" si="23"/>
        <v>→ 조립자재 R90</v>
      </c>
      <c r="M266" s="84"/>
      <c r="N266" s="80">
        <v>90</v>
      </c>
      <c r="O266" s="80" t="s">
        <v>2110</v>
      </c>
      <c r="P266" s="79" t="s">
        <v>2360</v>
      </c>
    </row>
    <row r="267" spans="1:16" ht="30" customHeight="1" x14ac:dyDescent="0.3">
      <c r="A267" s="56" t="s">
        <v>354</v>
      </c>
      <c r="B267" s="52" t="s">
        <v>471</v>
      </c>
      <c r="C267" s="52" t="s">
        <v>2357</v>
      </c>
      <c r="D267" s="79" t="str">
        <f t="shared" ca="1" si="24"/>
        <v>원자재</v>
      </c>
      <c r="E267" s="79" t="str">
        <f t="shared" ca="1" si="25"/>
        <v>AR</v>
      </c>
      <c r="F267" s="52" t="s">
        <v>517</v>
      </c>
      <c r="G267" s="52" t="s">
        <v>2361</v>
      </c>
      <c r="H267" s="79" t="str">
        <f t="shared" si="26"/>
        <v>매칭완료</v>
      </c>
      <c r="I267" s="79" t="str">
        <f t="shared" ca="1" si="27"/>
        <v>46-AR</v>
      </c>
      <c r="J267" s="61" t="s">
        <v>517</v>
      </c>
      <c r="K267" s="65" t="s">
        <v>2362</v>
      </c>
      <c r="L267" s="83" t="str">
        <f t="shared" si="23"/>
        <v>→ 조립자재 R91</v>
      </c>
      <c r="M267" s="84"/>
      <c r="N267" s="80">
        <v>91</v>
      </c>
      <c r="O267" s="80" t="s">
        <v>2110</v>
      </c>
      <c r="P267" s="79" t="s">
        <v>2363</v>
      </c>
    </row>
    <row r="268" spans="1:16" ht="30" customHeight="1" x14ac:dyDescent="0.3">
      <c r="A268" s="56" t="s">
        <v>354</v>
      </c>
      <c r="B268" s="52" t="s">
        <v>471</v>
      </c>
      <c r="C268" s="52" t="s">
        <v>2357</v>
      </c>
      <c r="D268" s="79" t="str">
        <f t="shared" ca="1" si="24"/>
        <v>원자재</v>
      </c>
      <c r="E268" s="79" t="str">
        <f t="shared" ca="1" si="25"/>
        <v>AR</v>
      </c>
      <c r="F268" s="52" t="s">
        <v>519</v>
      </c>
      <c r="G268" s="52" t="s">
        <v>2364</v>
      </c>
      <c r="H268" s="79" t="str">
        <f t="shared" si="26"/>
        <v>매칭완료</v>
      </c>
      <c r="I268" s="79" t="str">
        <f t="shared" ca="1" si="27"/>
        <v>46-AR</v>
      </c>
      <c r="J268" s="61" t="s">
        <v>519</v>
      </c>
      <c r="K268" s="65" t="s">
        <v>2365</v>
      </c>
      <c r="L268" s="83" t="str">
        <f t="shared" si="23"/>
        <v>→ 조립자재 R92</v>
      </c>
      <c r="M268" s="84"/>
      <c r="N268" s="80">
        <v>92</v>
      </c>
      <c r="O268" s="80" t="s">
        <v>2110</v>
      </c>
      <c r="P268" s="79" t="s">
        <v>2366</v>
      </c>
    </row>
    <row r="269" spans="1:16" ht="30" customHeight="1" x14ac:dyDescent="0.3">
      <c r="A269" s="56" t="s">
        <v>354</v>
      </c>
      <c r="B269" s="52" t="s">
        <v>471</v>
      </c>
      <c r="C269" s="52" t="s">
        <v>2357</v>
      </c>
      <c r="D269" s="79" t="str">
        <f t="shared" ca="1" si="24"/>
        <v>원자재</v>
      </c>
      <c r="E269" s="79" t="str">
        <f t="shared" ca="1" si="25"/>
        <v>AR</v>
      </c>
      <c r="F269" s="52" t="s">
        <v>521</v>
      </c>
      <c r="G269" s="52" t="s">
        <v>2367</v>
      </c>
      <c r="H269" s="79" t="str">
        <f t="shared" si="26"/>
        <v>매칭완료</v>
      </c>
      <c r="I269" s="79" t="str">
        <f t="shared" ca="1" si="27"/>
        <v>46-AR</v>
      </c>
      <c r="J269" s="61" t="s">
        <v>521</v>
      </c>
      <c r="K269" s="65" t="s">
        <v>2368</v>
      </c>
      <c r="L269" s="83" t="str">
        <f t="shared" si="23"/>
        <v>→ 조립자재 R93</v>
      </c>
      <c r="M269" s="84"/>
      <c r="N269" s="80">
        <v>93</v>
      </c>
      <c r="O269" s="80" t="s">
        <v>2110</v>
      </c>
      <c r="P269" s="79" t="s">
        <v>2369</v>
      </c>
    </row>
    <row r="270" spans="1:16" ht="30" customHeight="1" x14ac:dyDescent="0.3">
      <c r="A270" s="56" t="s">
        <v>354</v>
      </c>
      <c r="B270" s="52" t="s">
        <v>471</v>
      </c>
      <c r="C270" s="52" t="s">
        <v>198</v>
      </c>
      <c r="D270" s="79" t="str">
        <f t="shared" ca="1" si="24"/>
        <v>원자재</v>
      </c>
      <c r="E270" s="79" t="str">
        <f t="shared" ca="1" si="25"/>
        <v>AR</v>
      </c>
      <c r="F270" s="52" t="s">
        <v>523</v>
      </c>
      <c r="G270" s="52" t="s">
        <v>2370</v>
      </c>
      <c r="H270" s="79" t="str">
        <f t="shared" si="26"/>
        <v>매칭완료</v>
      </c>
      <c r="I270" s="79" t="str">
        <f t="shared" ca="1" si="27"/>
        <v>46-AR</v>
      </c>
      <c r="J270" s="61" t="s">
        <v>523</v>
      </c>
      <c r="K270" s="65" t="s">
        <v>2371</v>
      </c>
      <c r="L270" s="83" t="str">
        <f t="shared" si="23"/>
        <v>→ 조립자재 R94</v>
      </c>
      <c r="M270" s="84"/>
      <c r="N270" s="80">
        <v>94</v>
      </c>
      <c r="O270" s="80" t="s">
        <v>2110</v>
      </c>
      <c r="P270" s="79" t="s">
        <v>2372</v>
      </c>
    </row>
    <row r="271" spans="1:16" ht="30" customHeight="1" x14ac:dyDescent="0.3">
      <c r="A271" s="56" t="s">
        <v>354</v>
      </c>
      <c r="B271" s="52" t="s">
        <v>471</v>
      </c>
      <c r="C271" s="52" t="s">
        <v>198</v>
      </c>
      <c r="D271" s="79" t="str">
        <f t="shared" ca="1" si="24"/>
        <v>원자재</v>
      </c>
      <c r="E271" s="79" t="str">
        <f t="shared" ca="1" si="25"/>
        <v>AR</v>
      </c>
      <c r="F271" s="52" t="s">
        <v>525</v>
      </c>
      <c r="G271" s="52" t="s">
        <v>2373</v>
      </c>
      <c r="H271" s="79" t="str">
        <f t="shared" si="26"/>
        <v>매칭완료</v>
      </c>
      <c r="I271" s="79" t="str">
        <f t="shared" ca="1" si="27"/>
        <v>46-AR</v>
      </c>
      <c r="J271" s="61" t="s">
        <v>525</v>
      </c>
      <c r="K271" s="65" t="s">
        <v>2374</v>
      </c>
      <c r="L271" s="83" t="str">
        <f t="shared" si="23"/>
        <v>→ 조립자재 R95</v>
      </c>
      <c r="M271" s="84"/>
      <c r="N271" s="80">
        <v>95</v>
      </c>
      <c r="O271" s="80" t="s">
        <v>2110</v>
      </c>
      <c r="P271" s="79" t="s">
        <v>2375</v>
      </c>
    </row>
    <row r="272" spans="1:16" ht="30" customHeight="1" x14ac:dyDescent="0.3">
      <c r="A272" s="56" t="s">
        <v>354</v>
      </c>
      <c r="B272" s="52" t="s">
        <v>471</v>
      </c>
      <c r="C272" s="52" t="s">
        <v>2357</v>
      </c>
      <c r="D272" s="79" t="str">
        <f t="shared" ca="1" si="24"/>
        <v>원자재</v>
      </c>
      <c r="E272" s="79" t="str">
        <f t="shared" ca="1" si="25"/>
        <v>AR</v>
      </c>
      <c r="F272" s="52" t="s">
        <v>527</v>
      </c>
      <c r="G272" s="52" t="s">
        <v>2376</v>
      </c>
      <c r="H272" s="79" t="str">
        <f t="shared" si="26"/>
        <v>매칭완료</v>
      </c>
      <c r="I272" s="79" t="str">
        <f t="shared" ca="1" si="27"/>
        <v>46-AR</v>
      </c>
      <c r="J272" s="61" t="s">
        <v>527</v>
      </c>
      <c r="K272" s="65" t="s">
        <v>2377</v>
      </c>
      <c r="L272" s="83" t="str">
        <f t="shared" si="23"/>
        <v>→ 조립자재 R96</v>
      </c>
      <c r="M272" s="84"/>
      <c r="N272" s="80">
        <v>96</v>
      </c>
      <c r="O272" s="80" t="s">
        <v>2110</v>
      </c>
      <c r="P272" s="79" t="s">
        <v>2378</v>
      </c>
    </row>
    <row r="273" spans="1:16" ht="30" customHeight="1" x14ac:dyDescent="0.3">
      <c r="A273" s="56" t="s">
        <v>354</v>
      </c>
      <c r="B273" s="52" t="s">
        <v>471</v>
      </c>
      <c r="C273" s="52" t="s">
        <v>2357</v>
      </c>
      <c r="D273" s="79" t="str">
        <f t="shared" ca="1" si="24"/>
        <v>원자재</v>
      </c>
      <c r="E273" s="79" t="str">
        <f t="shared" ca="1" si="25"/>
        <v>AR</v>
      </c>
      <c r="F273" s="52" t="s">
        <v>529</v>
      </c>
      <c r="G273" s="52" t="s">
        <v>2379</v>
      </c>
      <c r="H273" s="79" t="str">
        <f t="shared" si="26"/>
        <v>매칭완료</v>
      </c>
      <c r="I273" s="79" t="str">
        <f t="shared" ca="1" si="27"/>
        <v>46-AR</v>
      </c>
      <c r="J273" s="61" t="s">
        <v>529</v>
      </c>
      <c r="K273" s="65" t="s">
        <v>2380</v>
      </c>
      <c r="L273" s="83" t="str">
        <f t="shared" si="23"/>
        <v>→ 조립자재 R97</v>
      </c>
      <c r="M273" s="84"/>
      <c r="N273" s="80">
        <v>97</v>
      </c>
      <c r="O273" s="80" t="s">
        <v>2110</v>
      </c>
      <c r="P273" s="79" t="s">
        <v>2381</v>
      </c>
    </row>
    <row r="274" spans="1:16" ht="30" customHeight="1" x14ac:dyDescent="0.3">
      <c r="A274" s="56" t="s">
        <v>354</v>
      </c>
      <c r="B274" s="52" t="s">
        <v>471</v>
      </c>
      <c r="C274" s="52" t="s">
        <v>2357</v>
      </c>
      <c r="D274" s="79" t="str">
        <f t="shared" ca="1" si="24"/>
        <v>원자재</v>
      </c>
      <c r="E274" s="79" t="str">
        <f t="shared" ca="1" si="25"/>
        <v>AR</v>
      </c>
      <c r="F274" s="52" t="s">
        <v>531</v>
      </c>
      <c r="G274" s="52" t="s">
        <v>2382</v>
      </c>
      <c r="H274" s="79" t="str">
        <f t="shared" si="26"/>
        <v>매칭완료</v>
      </c>
      <c r="I274" s="79" t="str">
        <f t="shared" ca="1" si="27"/>
        <v>46-AR</v>
      </c>
      <c r="J274" s="61" t="s">
        <v>531</v>
      </c>
      <c r="K274" s="65" t="s">
        <v>2383</v>
      </c>
      <c r="L274" s="83" t="str">
        <f t="shared" si="23"/>
        <v>→ 조립자재 R98</v>
      </c>
      <c r="M274" s="84"/>
      <c r="N274" s="80">
        <v>98</v>
      </c>
      <c r="O274" s="80" t="s">
        <v>2110</v>
      </c>
      <c r="P274" s="79" t="s">
        <v>2384</v>
      </c>
    </row>
    <row r="275" spans="1:16" ht="30" customHeight="1" x14ac:dyDescent="0.3">
      <c r="A275" s="56" t="s">
        <v>354</v>
      </c>
      <c r="B275" s="52" t="s">
        <v>471</v>
      </c>
      <c r="C275" s="52" t="s">
        <v>2357</v>
      </c>
      <c r="D275" s="79" t="str">
        <f t="shared" ca="1" si="24"/>
        <v>원자재</v>
      </c>
      <c r="E275" s="79" t="str">
        <f t="shared" ca="1" si="25"/>
        <v>AR</v>
      </c>
      <c r="F275" s="52" t="s">
        <v>533</v>
      </c>
      <c r="G275" s="52" t="s">
        <v>2385</v>
      </c>
      <c r="H275" s="79" t="str">
        <f t="shared" si="26"/>
        <v>매칭완료</v>
      </c>
      <c r="I275" s="79" t="str">
        <f t="shared" ca="1" si="27"/>
        <v>46-AR</v>
      </c>
      <c r="J275" s="61" t="s">
        <v>533</v>
      </c>
      <c r="K275" s="65" t="s">
        <v>2386</v>
      </c>
      <c r="L275" s="83" t="str">
        <f t="shared" si="23"/>
        <v>→ 조립자재 R99</v>
      </c>
      <c r="M275" s="84"/>
      <c r="N275" s="80">
        <v>99</v>
      </c>
      <c r="O275" s="80" t="s">
        <v>2110</v>
      </c>
      <c r="P275" s="79" t="s">
        <v>2387</v>
      </c>
    </row>
    <row r="276" spans="1:16" ht="30" customHeight="1" x14ac:dyDescent="0.3">
      <c r="A276" s="56" t="s">
        <v>354</v>
      </c>
      <c r="B276" s="52" t="s">
        <v>471</v>
      </c>
      <c r="C276" s="52" t="s">
        <v>2357</v>
      </c>
      <c r="D276" s="79" t="str">
        <f t="shared" ca="1" si="24"/>
        <v>원자재</v>
      </c>
      <c r="E276" s="79" t="str">
        <f t="shared" ca="1" si="25"/>
        <v>AR</v>
      </c>
      <c r="F276" s="52" t="s">
        <v>535</v>
      </c>
      <c r="G276" s="52"/>
      <c r="H276" s="79" t="str">
        <f t="shared" ca="1" si="26"/>
        <v>⚠ 원자재_부서보관</v>
      </c>
      <c r="I276" s="79" t="str">
        <f t="shared" ca="1" si="27"/>
        <v>46-AR</v>
      </c>
      <c r="J276" s="61" t="s">
        <v>535</v>
      </c>
      <c r="K276" s="65" t="s">
        <v>2388</v>
      </c>
      <c r="L276" s="83" t="str">
        <f t="shared" si="23"/>
        <v>→ 조립자재 R100</v>
      </c>
      <c r="M276" s="84"/>
      <c r="N276" s="80">
        <v>100</v>
      </c>
      <c r="O276" s="80" t="s">
        <v>2110</v>
      </c>
      <c r="P276" s="79" t="s">
        <v>2389</v>
      </c>
    </row>
    <row r="277" spans="1:16" ht="30" customHeight="1" x14ac:dyDescent="0.3">
      <c r="A277" s="56" t="s">
        <v>354</v>
      </c>
      <c r="B277" s="52" t="s">
        <v>536</v>
      </c>
      <c r="C277" s="52" t="s">
        <v>198</v>
      </c>
      <c r="D277" s="79" t="str">
        <f t="shared" ca="1" si="24"/>
        <v>원자재</v>
      </c>
      <c r="E277" s="79" t="str">
        <f t="shared" ca="1" si="25"/>
        <v>AR</v>
      </c>
      <c r="F277" s="52" t="s">
        <v>537</v>
      </c>
      <c r="G277" s="52" t="s">
        <v>2390</v>
      </c>
      <c r="H277" s="79" t="str">
        <f t="shared" si="26"/>
        <v>매칭완료</v>
      </c>
      <c r="I277" s="79" t="str">
        <f t="shared" ca="1" si="27"/>
        <v>4-AR</v>
      </c>
      <c r="J277" s="61" t="s">
        <v>537</v>
      </c>
      <c r="K277" s="65" t="s">
        <v>2391</v>
      </c>
      <c r="L277" s="83" t="str">
        <f t="shared" si="23"/>
        <v>→ 조립자재 R101</v>
      </c>
      <c r="M277" s="84"/>
      <c r="N277" s="80">
        <v>101</v>
      </c>
      <c r="O277" s="80" t="s">
        <v>2110</v>
      </c>
      <c r="P277" s="79" t="s">
        <v>2392</v>
      </c>
    </row>
    <row r="278" spans="1:16" ht="30" customHeight="1" x14ac:dyDescent="0.3">
      <c r="A278" s="56" t="s">
        <v>354</v>
      </c>
      <c r="B278" s="52" t="s">
        <v>536</v>
      </c>
      <c r="C278" s="52" t="s">
        <v>198</v>
      </c>
      <c r="D278" s="79" t="str">
        <f t="shared" ca="1" si="24"/>
        <v>원자재</v>
      </c>
      <c r="E278" s="79" t="str">
        <f t="shared" ca="1" si="25"/>
        <v>AR</v>
      </c>
      <c r="F278" s="52" t="s">
        <v>1352</v>
      </c>
      <c r="G278" s="52" t="s">
        <v>2393</v>
      </c>
      <c r="H278" s="79" t="str">
        <f t="shared" si="26"/>
        <v>매칭완료</v>
      </c>
      <c r="I278" s="79" t="str">
        <f t="shared" ca="1" si="27"/>
        <v>4-AR</v>
      </c>
      <c r="J278" s="61" t="s">
        <v>1352</v>
      </c>
      <c r="K278" s="65" t="s">
        <v>2394</v>
      </c>
      <c r="L278" s="83" t="str">
        <f t="shared" si="23"/>
        <v>→ 조립자재 R102</v>
      </c>
      <c r="M278" s="84"/>
      <c r="N278" s="80">
        <v>102</v>
      </c>
      <c r="O278" s="80" t="s">
        <v>2110</v>
      </c>
      <c r="P278" s="79" t="s">
        <v>2395</v>
      </c>
    </row>
    <row r="279" spans="1:16" ht="30" customHeight="1" x14ac:dyDescent="0.3">
      <c r="A279" s="56" t="s">
        <v>354</v>
      </c>
      <c r="B279" s="52" t="s">
        <v>536</v>
      </c>
      <c r="C279" s="52" t="s">
        <v>198</v>
      </c>
      <c r="D279" s="79" t="str">
        <f t="shared" ca="1" si="24"/>
        <v>원자재</v>
      </c>
      <c r="E279" s="79" t="str">
        <f t="shared" ca="1" si="25"/>
        <v>AR</v>
      </c>
      <c r="F279" s="52" t="s">
        <v>541</v>
      </c>
      <c r="G279" s="52" t="s">
        <v>2396</v>
      </c>
      <c r="H279" s="79" t="str">
        <f t="shared" si="26"/>
        <v>매칭완료</v>
      </c>
      <c r="I279" s="79" t="str">
        <f t="shared" ca="1" si="27"/>
        <v>4-AR</v>
      </c>
      <c r="J279" s="61" t="s">
        <v>541</v>
      </c>
      <c r="K279" s="65" t="s">
        <v>2397</v>
      </c>
      <c r="L279" s="83" t="str">
        <f t="shared" si="23"/>
        <v>→ 조립자재 R103</v>
      </c>
      <c r="M279" s="84"/>
      <c r="N279" s="80">
        <v>103</v>
      </c>
      <c r="O279" s="80" t="s">
        <v>2110</v>
      </c>
      <c r="P279" s="79" t="s">
        <v>2398</v>
      </c>
    </row>
    <row r="280" spans="1:16" ht="30" customHeight="1" x14ac:dyDescent="0.3">
      <c r="A280" s="56" t="s">
        <v>354</v>
      </c>
      <c r="B280" s="52" t="s">
        <v>536</v>
      </c>
      <c r="C280" s="52" t="s">
        <v>198</v>
      </c>
      <c r="D280" s="79" t="str">
        <f t="shared" ca="1" si="24"/>
        <v>원자재</v>
      </c>
      <c r="E280" s="79" t="str">
        <f t="shared" ca="1" si="25"/>
        <v>AR</v>
      </c>
      <c r="F280" s="52" t="s">
        <v>543</v>
      </c>
      <c r="G280" s="52" t="s">
        <v>2399</v>
      </c>
      <c r="H280" s="79" t="str">
        <f t="shared" si="26"/>
        <v>매칭완료</v>
      </c>
      <c r="I280" s="79" t="str">
        <f t="shared" ca="1" si="27"/>
        <v>4-AR</v>
      </c>
      <c r="J280" s="61" t="s">
        <v>543</v>
      </c>
      <c r="K280" s="65" t="s">
        <v>2400</v>
      </c>
      <c r="L280" s="83" t="str">
        <f t="shared" si="23"/>
        <v>→ 조립자재 R104</v>
      </c>
      <c r="M280" s="84"/>
      <c r="N280" s="80">
        <v>104</v>
      </c>
      <c r="O280" s="80" t="s">
        <v>2110</v>
      </c>
      <c r="P280" s="79" t="s">
        <v>2401</v>
      </c>
    </row>
    <row r="281" spans="1:16" ht="30" customHeight="1" x14ac:dyDescent="0.3">
      <c r="A281" s="56" t="s">
        <v>354</v>
      </c>
      <c r="B281" s="52" t="s">
        <v>536</v>
      </c>
      <c r="C281" s="52" t="s">
        <v>198</v>
      </c>
      <c r="D281" s="79" t="str">
        <f t="shared" ca="1" si="24"/>
        <v>원자재</v>
      </c>
      <c r="E281" s="79" t="str">
        <f t="shared" ca="1" si="25"/>
        <v>AR</v>
      </c>
      <c r="F281" s="52" t="s">
        <v>545</v>
      </c>
      <c r="G281" s="52" t="s">
        <v>2402</v>
      </c>
      <c r="H281" s="79" t="str">
        <f t="shared" si="26"/>
        <v>매칭완료</v>
      </c>
      <c r="I281" s="79" t="str">
        <f t="shared" ca="1" si="27"/>
        <v>4-AR</v>
      </c>
      <c r="J281" s="61" t="s">
        <v>545</v>
      </c>
      <c r="K281" s="65" t="s">
        <v>2403</v>
      </c>
      <c r="L281" s="83" t="str">
        <f t="shared" si="23"/>
        <v>→ 조립자재 R105</v>
      </c>
      <c r="M281" s="84"/>
      <c r="N281" s="80">
        <v>105</v>
      </c>
      <c r="O281" s="80" t="s">
        <v>2110</v>
      </c>
      <c r="P281" s="79" t="s">
        <v>2404</v>
      </c>
    </row>
    <row r="282" spans="1:16" ht="30" customHeight="1" x14ac:dyDescent="0.3">
      <c r="A282" s="56" t="s">
        <v>354</v>
      </c>
      <c r="B282" s="52" t="s">
        <v>536</v>
      </c>
      <c r="C282" s="52" t="s">
        <v>198</v>
      </c>
      <c r="D282" s="79" t="str">
        <f t="shared" ca="1" si="24"/>
        <v>원자재</v>
      </c>
      <c r="E282" s="79" t="str">
        <f t="shared" ca="1" si="25"/>
        <v>AR</v>
      </c>
      <c r="F282" s="52" t="s">
        <v>547</v>
      </c>
      <c r="G282" s="52" t="s">
        <v>2405</v>
      </c>
      <c r="H282" s="79" t="str">
        <f t="shared" si="26"/>
        <v>매칭완료</v>
      </c>
      <c r="I282" s="79" t="str">
        <f t="shared" ca="1" si="27"/>
        <v>4-AR</v>
      </c>
      <c r="J282" s="61" t="s">
        <v>547</v>
      </c>
      <c r="K282" s="65" t="s">
        <v>2406</v>
      </c>
      <c r="L282" s="83" t="str">
        <f t="shared" si="23"/>
        <v>→ 조립자재 R106</v>
      </c>
      <c r="M282" s="84"/>
      <c r="N282" s="80">
        <v>106</v>
      </c>
      <c r="O282" s="80" t="s">
        <v>2110</v>
      </c>
      <c r="P282" s="79" t="s">
        <v>2407</v>
      </c>
    </row>
    <row r="283" spans="1:16" ht="30" customHeight="1" x14ac:dyDescent="0.3">
      <c r="A283" s="56" t="s">
        <v>354</v>
      </c>
      <c r="B283" s="52" t="s">
        <v>536</v>
      </c>
      <c r="C283" s="52" t="s">
        <v>2357</v>
      </c>
      <c r="D283" s="79" t="str">
        <f t="shared" ca="1" si="24"/>
        <v>원자재</v>
      </c>
      <c r="E283" s="79" t="str">
        <f t="shared" ca="1" si="25"/>
        <v>AR</v>
      </c>
      <c r="F283" s="52" t="s">
        <v>549</v>
      </c>
      <c r="G283" s="52" t="s">
        <v>2408</v>
      </c>
      <c r="H283" s="79" t="str">
        <f t="shared" si="26"/>
        <v>매칭완료</v>
      </c>
      <c r="I283" s="79" t="str">
        <f t="shared" ca="1" si="27"/>
        <v>46-AR</v>
      </c>
      <c r="J283" s="61" t="s">
        <v>549</v>
      </c>
      <c r="K283" s="65" t="s">
        <v>2409</v>
      </c>
      <c r="L283" s="83" t="str">
        <f t="shared" si="23"/>
        <v>→ 조립자재 R107</v>
      </c>
      <c r="M283" s="84"/>
      <c r="N283" s="80">
        <v>107</v>
      </c>
      <c r="O283" s="80" t="s">
        <v>2110</v>
      </c>
      <c r="P283" s="79" t="s">
        <v>2410</v>
      </c>
    </row>
    <row r="284" spans="1:16" ht="30" customHeight="1" x14ac:dyDescent="0.3">
      <c r="A284" s="56" t="s">
        <v>354</v>
      </c>
      <c r="B284" s="52" t="s">
        <v>536</v>
      </c>
      <c r="C284" s="52" t="s">
        <v>198</v>
      </c>
      <c r="D284" s="79" t="str">
        <f t="shared" ca="1" si="24"/>
        <v>원자재</v>
      </c>
      <c r="E284" s="79" t="str">
        <f t="shared" ca="1" si="25"/>
        <v>AR</v>
      </c>
      <c r="F284" s="52" t="s">
        <v>551</v>
      </c>
      <c r="G284" s="52" t="s">
        <v>2411</v>
      </c>
      <c r="H284" s="79" t="str">
        <f t="shared" si="26"/>
        <v>매칭완료</v>
      </c>
      <c r="I284" s="79" t="str">
        <f t="shared" ca="1" si="27"/>
        <v>4-AR</v>
      </c>
      <c r="J284" s="61" t="s">
        <v>551</v>
      </c>
      <c r="K284" s="65" t="s">
        <v>2412</v>
      </c>
      <c r="L284" s="83" t="str">
        <f t="shared" si="23"/>
        <v>→ 조립자재 R108</v>
      </c>
      <c r="M284" s="84"/>
      <c r="N284" s="80">
        <v>108</v>
      </c>
      <c r="O284" s="80" t="s">
        <v>2110</v>
      </c>
      <c r="P284" s="79" t="s">
        <v>2413</v>
      </c>
    </row>
    <row r="285" spans="1:16" ht="30" customHeight="1" x14ac:dyDescent="0.3">
      <c r="A285" s="56" t="s">
        <v>354</v>
      </c>
      <c r="B285" s="52" t="s">
        <v>536</v>
      </c>
      <c r="C285" s="52" t="s">
        <v>2357</v>
      </c>
      <c r="D285" s="79" t="str">
        <f t="shared" ca="1" si="24"/>
        <v>원자재</v>
      </c>
      <c r="E285" s="79" t="str">
        <f t="shared" ca="1" si="25"/>
        <v>AR</v>
      </c>
      <c r="F285" s="52" t="s">
        <v>553</v>
      </c>
      <c r="G285" s="52" t="s">
        <v>2414</v>
      </c>
      <c r="H285" s="79" t="str">
        <f t="shared" si="26"/>
        <v>매칭완료</v>
      </c>
      <c r="I285" s="79" t="str">
        <f t="shared" ca="1" si="27"/>
        <v>46-AR</v>
      </c>
      <c r="J285" s="61" t="s">
        <v>553</v>
      </c>
      <c r="K285" s="65" t="s">
        <v>2415</v>
      </c>
      <c r="L285" s="83" t="str">
        <f t="shared" si="23"/>
        <v>→ 조립자재 R109</v>
      </c>
      <c r="M285" s="84"/>
      <c r="N285" s="80">
        <v>109</v>
      </c>
      <c r="O285" s="80" t="s">
        <v>2110</v>
      </c>
      <c r="P285" s="79" t="s">
        <v>2416</v>
      </c>
    </row>
    <row r="286" spans="1:16" ht="30" customHeight="1" x14ac:dyDescent="0.3">
      <c r="A286" s="56" t="s">
        <v>354</v>
      </c>
      <c r="B286" s="52" t="s">
        <v>536</v>
      </c>
      <c r="C286" s="52" t="s">
        <v>198</v>
      </c>
      <c r="D286" s="79" t="str">
        <f t="shared" ca="1" si="24"/>
        <v>원자재</v>
      </c>
      <c r="E286" s="79" t="str">
        <f t="shared" ca="1" si="25"/>
        <v>AR</v>
      </c>
      <c r="F286" s="52" t="s">
        <v>555</v>
      </c>
      <c r="G286" s="52" t="s">
        <v>2417</v>
      </c>
      <c r="H286" s="79" t="str">
        <f t="shared" si="26"/>
        <v>매칭완료</v>
      </c>
      <c r="I286" s="79" t="str">
        <f t="shared" ca="1" si="27"/>
        <v>4-AR</v>
      </c>
      <c r="J286" s="61" t="s">
        <v>555</v>
      </c>
      <c r="K286" s="65" t="s">
        <v>2418</v>
      </c>
      <c r="L286" s="83" t="str">
        <f t="shared" si="23"/>
        <v>→ 조립자재 R110</v>
      </c>
      <c r="M286" s="84"/>
      <c r="N286" s="80">
        <v>110</v>
      </c>
      <c r="O286" s="80" t="s">
        <v>2110</v>
      </c>
      <c r="P286" s="79" t="s">
        <v>2419</v>
      </c>
    </row>
    <row r="287" spans="1:16" ht="30" customHeight="1" x14ac:dyDescent="0.3">
      <c r="A287" s="56" t="s">
        <v>354</v>
      </c>
      <c r="B287" s="52" t="s">
        <v>536</v>
      </c>
      <c r="C287" s="52" t="s">
        <v>198</v>
      </c>
      <c r="D287" s="79" t="str">
        <f t="shared" ca="1" si="24"/>
        <v>원자재</v>
      </c>
      <c r="E287" s="79" t="str">
        <f t="shared" ca="1" si="25"/>
        <v>AR</v>
      </c>
      <c r="F287" s="52" t="s">
        <v>557</v>
      </c>
      <c r="G287" s="52" t="s">
        <v>2420</v>
      </c>
      <c r="H287" s="79" t="str">
        <f t="shared" si="26"/>
        <v>매칭완료</v>
      </c>
      <c r="I287" s="79" t="str">
        <f t="shared" ca="1" si="27"/>
        <v>4-AR</v>
      </c>
      <c r="J287" s="61" t="s">
        <v>557</v>
      </c>
      <c r="K287" s="65" t="s">
        <v>2421</v>
      </c>
      <c r="L287" s="83" t="str">
        <f t="shared" si="23"/>
        <v>→ 조립자재 R111</v>
      </c>
      <c r="M287" s="84"/>
      <c r="N287" s="80">
        <v>111</v>
      </c>
      <c r="O287" s="80" t="s">
        <v>2110</v>
      </c>
      <c r="P287" s="79" t="s">
        <v>2422</v>
      </c>
    </row>
    <row r="288" spans="1:16" ht="30" customHeight="1" x14ac:dyDescent="0.3">
      <c r="A288" s="56" t="s">
        <v>354</v>
      </c>
      <c r="B288" s="52" t="s">
        <v>536</v>
      </c>
      <c r="C288" s="52" t="s">
        <v>2357</v>
      </c>
      <c r="D288" s="79" t="str">
        <f t="shared" ca="1" si="24"/>
        <v>원자재</v>
      </c>
      <c r="E288" s="79" t="str">
        <f t="shared" ca="1" si="25"/>
        <v>AR</v>
      </c>
      <c r="F288" s="52" t="s">
        <v>559</v>
      </c>
      <c r="G288" s="52" t="s">
        <v>2423</v>
      </c>
      <c r="H288" s="79" t="str">
        <f t="shared" si="26"/>
        <v>매칭완료</v>
      </c>
      <c r="I288" s="79" t="str">
        <f t="shared" ca="1" si="27"/>
        <v>4-AR</v>
      </c>
      <c r="J288" s="61" t="s">
        <v>559</v>
      </c>
      <c r="K288" s="65" t="s">
        <v>2424</v>
      </c>
      <c r="L288" s="83" t="str">
        <f t="shared" si="23"/>
        <v>→ 조립자재 R112</v>
      </c>
      <c r="M288" s="84"/>
      <c r="N288" s="80">
        <v>112</v>
      </c>
      <c r="O288" s="80" t="s">
        <v>2110</v>
      </c>
      <c r="P288" s="79" t="s">
        <v>2425</v>
      </c>
    </row>
    <row r="289" spans="1:16" ht="30" customHeight="1" x14ac:dyDescent="0.3">
      <c r="A289" s="56" t="s">
        <v>354</v>
      </c>
      <c r="B289" s="52" t="s">
        <v>536</v>
      </c>
      <c r="C289" s="52" t="s">
        <v>198</v>
      </c>
      <c r="D289" s="79" t="str">
        <f t="shared" ca="1" si="24"/>
        <v>원자재</v>
      </c>
      <c r="E289" s="79" t="str">
        <f t="shared" ca="1" si="25"/>
        <v>AR</v>
      </c>
      <c r="F289" s="52" t="s">
        <v>561</v>
      </c>
      <c r="G289" s="52" t="s">
        <v>2426</v>
      </c>
      <c r="H289" s="79" t="str">
        <f t="shared" si="26"/>
        <v>매칭완료</v>
      </c>
      <c r="I289" s="79" t="str">
        <f t="shared" ca="1" si="27"/>
        <v>46-AR</v>
      </c>
      <c r="J289" s="61" t="s">
        <v>561</v>
      </c>
      <c r="K289" s="65" t="s">
        <v>2427</v>
      </c>
      <c r="L289" s="83" t="str">
        <f t="shared" si="23"/>
        <v>→ 조립자재 R113</v>
      </c>
      <c r="M289" s="84"/>
      <c r="N289" s="80">
        <v>113</v>
      </c>
      <c r="O289" s="80" t="s">
        <v>2110</v>
      </c>
      <c r="P289" s="79" t="s">
        <v>2428</v>
      </c>
    </row>
    <row r="290" spans="1:16" ht="30" customHeight="1" x14ac:dyDescent="0.3">
      <c r="A290" s="56" t="s">
        <v>354</v>
      </c>
      <c r="B290" s="52" t="s">
        <v>415</v>
      </c>
      <c r="C290" s="52" t="s">
        <v>2357</v>
      </c>
      <c r="D290" s="79" t="str">
        <f t="shared" ca="1" si="24"/>
        <v>원자재</v>
      </c>
      <c r="E290" s="79" t="str">
        <f t="shared" ca="1" si="25"/>
        <v>AR</v>
      </c>
      <c r="F290" s="52" t="s">
        <v>563</v>
      </c>
      <c r="G290" s="52" t="s">
        <v>2429</v>
      </c>
      <c r="H290" s="79" t="str">
        <f t="shared" si="26"/>
        <v>매칭완료</v>
      </c>
      <c r="I290" s="79" t="str">
        <f t="shared" ca="1" si="27"/>
        <v>46-AR</v>
      </c>
      <c r="J290" s="61" t="s">
        <v>563</v>
      </c>
      <c r="K290" s="65" t="s">
        <v>2430</v>
      </c>
      <c r="L290" s="83" t="str">
        <f t="shared" si="23"/>
        <v>→ 조립자재 R114</v>
      </c>
      <c r="M290" s="84"/>
      <c r="N290" s="80">
        <v>114</v>
      </c>
      <c r="O290" s="80" t="s">
        <v>2110</v>
      </c>
      <c r="P290" s="79" t="s">
        <v>2431</v>
      </c>
    </row>
    <row r="291" spans="1:16" ht="30" customHeight="1" x14ac:dyDescent="0.3">
      <c r="A291" s="56" t="s">
        <v>354</v>
      </c>
      <c r="B291" s="52" t="s">
        <v>415</v>
      </c>
      <c r="C291" s="52" t="s">
        <v>198</v>
      </c>
      <c r="D291" s="79" t="str">
        <f t="shared" ca="1" si="24"/>
        <v>원자재</v>
      </c>
      <c r="E291" s="79" t="str">
        <f t="shared" ca="1" si="25"/>
        <v>AR</v>
      </c>
      <c r="F291" s="52" t="s">
        <v>1364</v>
      </c>
      <c r="G291" s="52" t="s">
        <v>2432</v>
      </c>
      <c r="H291" s="79" t="str">
        <f t="shared" si="26"/>
        <v>매칭완료</v>
      </c>
      <c r="I291" s="79" t="str">
        <f t="shared" ca="1" si="27"/>
        <v>4-AR</v>
      </c>
      <c r="J291" s="61" t="s">
        <v>1364</v>
      </c>
      <c r="K291" s="65" t="s">
        <v>2433</v>
      </c>
      <c r="L291" s="83" t="str">
        <f t="shared" si="23"/>
        <v>→ 조립자재 R115</v>
      </c>
      <c r="M291" s="84"/>
      <c r="N291" s="80">
        <v>115</v>
      </c>
      <c r="O291" s="80" t="s">
        <v>2110</v>
      </c>
      <c r="P291" s="79" t="s">
        <v>2434</v>
      </c>
    </row>
    <row r="292" spans="1:16" ht="30" customHeight="1" x14ac:dyDescent="0.3">
      <c r="A292" s="56" t="s">
        <v>354</v>
      </c>
      <c r="B292" s="52" t="s">
        <v>415</v>
      </c>
      <c r="C292" s="52" t="s">
        <v>198</v>
      </c>
      <c r="D292" s="79" t="str">
        <f t="shared" ca="1" si="24"/>
        <v>원자재</v>
      </c>
      <c r="E292" s="79" t="str">
        <f t="shared" ca="1" si="25"/>
        <v>AR</v>
      </c>
      <c r="F292" s="52" t="s">
        <v>567</v>
      </c>
      <c r="G292" s="52" t="s">
        <v>2435</v>
      </c>
      <c r="H292" s="79" t="str">
        <f t="shared" si="26"/>
        <v>매칭완료</v>
      </c>
      <c r="I292" s="79" t="str">
        <f t="shared" ca="1" si="27"/>
        <v>4-AR</v>
      </c>
      <c r="J292" s="61" t="s">
        <v>567</v>
      </c>
      <c r="K292" s="65" t="s">
        <v>2436</v>
      </c>
      <c r="L292" s="83" t="str">
        <f t="shared" si="23"/>
        <v>→ 조립자재 R116</v>
      </c>
      <c r="M292" s="84"/>
      <c r="N292" s="80">
        <v>116</v>
      </c>
      <c r="O292" s="80" t="s">
        <v>2110</v>
      </c>
      <c r="P292" s="79" t="s">
        <v>2437</v>
      </c>
    </row>
    <row r="293" spans="1:16" ht="30" customHeight="1" x14ac:dyDescent="0.3">
      <c r="A293" s="56" t="s">
        <v>354</v>
      </c>
      <c r="B293" s="52" t="s">
        <v>415</v>
      </c>
      <c r="C293" s="52" t="s">
        <v>198</v>
      </c>
      <c r="D293" s="79" t="str">
        <f t="shared" ca="1" si="24"/>
        <v>원자재</v>
      </c>
      <c r="E293" s="79" t="str">
        <f t="shared" ca="1" si="25"/>
        <v>AR</v>
      </c>
      <c r="F293" s="52" t="s">
        <v>569</v>
      </c>
      <c r="G293" s="52" t="s">
        <v>2438</v>
      </c>
      <c r="H293" s="79" t="str">
        <f t="shared" si="26"/>
        <v>매칭완료</v>
      </c>
      <c r="I293" s="79" t="str">
        <f t="shared" ca="1" si="27"/>
        <v>4-AR</v>
      </c>
      <c r="J293" s="61" t="s">
        <v>569</v>
      </c>
      <c r="K293" s="65" t="s">
        <v>2439</v>
      </c>
      <c r="L293" s="83" t="str">
        <f t="shared" si="23"/>
        <v>→ 조립자재 R117</v>
      </c>
      <c r="M293" s="84"/>
      <c r="N293" s="80">
        <v>117</v>
      </c>
      <c r="O293" s="80" t="s">
        <v>2110</v>
      </c>
      <c r="P293" s="79" t="s">
        <v>2440</v>
      </c>
    </row>
    <row r="294" spans="1:16" ht="30" customHeight="1" x14ac:dyDescent="0.3">
      <c r="A294" s="56" t="s">
        <v>354</v>
      </c>
      <c r="B294" s="52" t="s">
        <v>415</v>
      </c>
      <c r="C294" s="52" t="s">
        <v>198</v>
      </c>
      <c r="D294" s="79" t="str">
        <f t="shared" ca="1" si="24"/>
        <v>원자재</v>
      </c>
      <c r="E294" s="79" t="str">
        <f t="shared" ca="1" si="25"/>
        <v>AR</v>
      </c>
      <c r="F294" s="52" t="s">
        <v>1363</v>
      </c>
      <c r="G294" s="52" t="s">
        <v>2441</v>
      </c>
      <c r="H294" s="79" t="str">
        <f t="shared" si="26"/>
        <v>매칭완료</v>
      </c>
      <c r="I294" s="79" t="str">
        <f t="shared" ca="1" si="27"/>
        <v>4-AR</v>
      </c>
      <c r="J294" s="61" t="s">
        <v>1363</v>
      </c>
      <c r="K294" s="65" t="s">
        <v>2442</v>
      </c>
      <c r="L294" s="83" t="str">
        <f t="shared" si="23"/>
        <v>→ 조립자재 R118</v>
      </c>
      <c r="M294" s="84"/>
      <c r="N294" s="80">
        <v>118</v>
      </c>
      <c r="O294" s="80" t="s">
        <v>2110</v>
      </c>
      <c r="P294" s="79" t="s">
        <v>2443</v>
      </c>
    </row>
    <row r="295" spans="1:16" ht="30" customHeight="1" x14ac:dyDescent="0.3">
      <c r="A295" s="56" t="s">
        <v>354</v>
      </c>
      <c r="B295" s="52" t="s">
        <v>415</v>
      </c>
      <c r="C295" s="52" t="s">
        <v>2357</v>
      </c>
      <c r="D295" s="79" t="str">
        <f t="shared" ca="1" si="24"/>
        <v>원자재</v>
      </c>
      <c r="E295" s="79" t="str">
        <f t="shared" ca="1" si="25"/>
        <v>AR</v>
      </c>
      <c r="F295" s="52" t="s">
        <v>573</v>
      </c>
      <c r="G295" s="52" t="s">
        <v>2444</v>
      </c>
      <c r="H295" s="79" t="str">
        <f t="shared" si="26"/>
        <v>매칭완료</v>
      </c>
      <c r="I295" s="79" t="str">
        <f t="shared" ca="1" si="27"/>
        <v>4-AR</v>
      </c>
      <c r="J295" s="61" t="s">
        <v>573</v>
      </c>
      <c r="K295" s="65" t="s">
        <v>2445</v>
      </c>
      <c r="L295" s="83" t="str">
        <f t="shared" si="23"/>
        <v>→ 조립자재 R119</v>
      </c>
      <c r="M295" s="84"/>
      <c r="N295" s="80">
        <v>119</v>
      </c>
      <c r="O295" s="80" t="s">
        <v>2110</v>
      </c>
      <c r="P295" s="79" t="s">
        <v>2446</v>
      </c>
    </row>
    <row r="296" spans="1:16" ht="30" customHeight="1" x14ac:dyDescent="0.3">
      <c r="A296" s="56" t="s">
        <v>354</v>
      </c>
      <c r="B296" s="52" t="s">
        <v>415</v>
      </c>
      <c r="C296" s="52" t="s">
        <v>2447</v>
      </c>
      <c r="D296" s="79" t="str">
        <f t="shared" ca="1" si="24"/>
        <v>원자재</v>
      </c>
      <c r="E296" s="79" t="str">
        <f t="shared" ca="1" si="25"/>
        <v>AR</v>
      </c>
      <c r="F296" s="52" t="s">
        <v>1398</v>
      </c>
      <c r="G296" s="52" t="s">
        <v>2448</v>
      </c>
      <c r="H296" s="79" t="str">
        <f t="shared" si="26"/>
        <v>매칭완료</v>
      </c>
      <c r="I296" s="79" t="str">
        <f t="shared" ca="1" si="27"/>
        <v>46-AR</v>
      </c>
      <c r="J296" s="61" t="s">
        <v>1398</v>
      </c>
      <c r="K296" s="65" t="s">
        <v>2449</v>
      </c>
      <c r="L296" s="83" t="str">
        <f t="shared" si="23"/>
        <v>→ 조립자재 R120</v>
      </c>
      <c r="M296" s="84"/>
      <c r="N296" s="80">
        <v>120</v>
      </c>
      <c r="O296" s="80" t="s">
        <v>2110</v>
      </c>
      <c r="P296" s="79" t="s">
        <v>2450</v>
      </c>
    </row>
    <row r="297" spans="1:16" ht="30" customHeight="1" x14ac:dyDescent="0.3">
      <c r="A297" s="56" t="s">
        <v>354</v>
      </c>
      <c r="B297" s="52" t="s">
        <v>415</v>
      </c>
      <c r="C297" s="52" t="s">
        <v>198</v>
      </c>
      <c r="D297" s="79" t="str">
        <f t="shared" ca="1" si="24"/>
        <v>원자재</v>
      </c>
      <c r="E297" s="79" t="str">
        <f t="shared" ca="1" si="25"/>
        <v>AR</v>
      </c>
      <c r="F297" s="52" t="s">
        <v>2451</v>
      </c>
      <c r="G297" s="52"/>
      <c r="H297" s="79" t="str">
        <f t="shared" ca="1" si="26"/>
        <v>⚠ 원자재_부서보관</v>
      </c>
      <c r="I297" s="79" t="str">
        <f t="shared" ca="1" si="27"/>
        <v>46-AR</v>
      </c>
      <c r="J297" s="61" t="s">
        <v>2451</v>
      </c>
      <c r="K297" s="65" t="s">
        <v>578</v>
      </c>
      <c r="L297" s="83" t="str">
        <f t="shared" si="23"/>
        <v>→ 조립자재 R121</v>
      </c>
      <c r="M297" s="84"/>
      <c r="N297" s="80">
        <v>121</v>
      </c>
      <c r="O297" s="80" t="s">
        <v>2110</v>
      </c>
      <c r="P297" s="79" t="s">
        <v>2452</v>
      </c>
    </row>
    <row r="298" spans="1:16" ht="30" customHeight="1" x14ac:dyDescent="0.3">
      <c r="A298" s="56" t="s">
        <v>354</v>
      </c>
      <c r="B298" s="52" t="s">
        <v>415</v>
      </c>
      <c r="C298" s="52" t="s">
        <v>198</v>
      </c>
      <c r="D298" s="79" t="str">
        <f t="shared" ca="1" si="24"/>
        <v>원자재</v>
      </c>
      <c r="E298" s="79" t="str">
        <f t="shared" ca="1" si="25"/>
        <v>AR</v>
      </c>
      <c r="F298" s="52" t="s">
        <v>579</v>
      </c>
      <c r="G298" s="52" t="s">
        <v>2453</v>
      </c>
      <c r="H298" s="79" t="str">
        <f t="shared" si="26"/>
        <v>매칭완료</v>
      </c>
      <c r="I298" s="79" t="str">
        <f t="shared" ca="1" si="27"/>
        <v>4-AR</v>
      </c>
      <c r="J298" s="61" t="s">
        <v>579</v>
      </c>
      <c r="K298" s="65" t="s">
        <v>2454</v>
      </c>
      <c r="L298" s="83" t="str">
        <f t="shared" si="23"/>
        <v>→ 조립자재 R122</v>
      </c>
      <c r="M298" s="84"/>
      <c r="N298" s="80">
        <v>122</v>
      </c>
      <c r="O298" s="80" t="s">
        <v>2110</v>
      </c>
      <c r="P298" s="79" t="s">
        <v>2455</v>
      </c>
    </row>
    <row r="299" spans="1:16" ht="30" customHeight="1" x14ac:dyDescent="0.3">
      <c r="A299" s="56" t="s">
        <v>354</v>
      </c>
      <c r="B299" s="52" t="s">
        <v>2456</v>
      </c>
      <c r="C299" s="52" t="s">
        <v>198</v>
      </c>
      <c r="D299" s="79" t="str">
        <f t="shared" ca="1" si="24"/>
        <v>반제품</v>
      </c>
      <c r="E299" s="79" t="str">
        <f t="shared" ca="1" si="25"/>
        <v>AA</v>
      </c>
      <c r="F299" s="52" t="s">
        <v>582</v>
      </c>
      <c r="G299" s="52"/>
      <c r="H299" s="79" t="str">
        <f t="shared" ca="1" si="26"/>
        <v>반제품(창고없음)</v>
      </c>
      <c r="I299" s="79" t="str">
        <f t="shared" ca="1" si="27"/>
        <v>4-AA</v>
      </c>
      <c r="J299" s="61" t="s">
        <v>582</v>
      </c>
      <c r="K299" s="65" t="s">
        <v>2457</v>
      </c>
      <c r="L299" s="83" t="str">
        <f t="shared" si="23"/>
        <v>→ 조립자재 R123</v>
      </c>
      <c r="M299" s="84"/>
      <c r="N299" s="80">
        <v>123</v>
      </c>
      <c r="O299" s="80" t="s">
        <v>2110</v>
      </c>
      <c r="P299" s="79" t="s">
        <v>2458</v>
      </c>
    </row>
    <row r="300" spans="1:16" ht="30" customHeight="1" x14ac:dyDescent="0.3">
      <c r="A300" s="56" t="s">
        <v>354</v>
      </c>
      <c r="B300" s="52" t="s">
        <v>2456</v>
      </c>
      <c r="C300" s="52" t="s">
        <v>198</v>
      </c>
      <c r="D300" s="79" t="str">
        <f t="shared" ca="1" si="24"/>
        <v>반제품</v>
      </c>
      <c r="E300" s="79" t="str">
        <f t="shared" ca="1" si="25"/>
        <v>AA</v>
      </c>
      <c r="F300" s="52" t="s">
        <v>583</v>
      </c>
      <c r="G300" s="52"/>
      <c r="H300" s="79" t="str">
        <f t="shared" ca="1" si="26"/>
        <v>반제품(창고없음)</v>
      </c>
      <c r="I300" s="79" t="str">
        <f t="shared" ca="1" si="27"/>
        <v>4-AA</v>
      </c>
      <c r="J300" s="61" t="s">
        <v>583</v>
      </c>
      <c r="K300" s="65" t="s">
        <v>2459</v>
      </c>
      <c r="L300" s="83" t="str">
        <f t="shared" si="23"/>
        <v>→ 조립자재 R124</v>
      </c>
      <c r="M300" s="84"/>
      <c r="N300" s="80">
        <v>124</v>
      </c>
      <c r="O300" s="80" t="s">
        <v>2110</v>
      </c>
      <c r="P300" s="79" t="s">
        <v>2460</v>
      </c>
    </row>
    <row r="301" spans="1:16" ht="30" customHeight="1" x14ac:dyDescent="0.3">
      <c r="A301" s="56" t="s">
        <v>354</v>
      </c>
      <c r="B301" s="52" t="s">
        <v>2456</v>
      </c>
      <c r="C301" s="52" t="s">
        <v>198</v>
      </c>
      <c r="D301" s="79" t="str">
        <f t="shared" ca="1" si="24"/>
        <v>반제품</v>
      </c>
      <c r="E301" s="79" t="str">
        <f t="shared" ca="1" si="25"/>
        <v>AA</v>
      </c>
      <c r="F301" s="52" t="s">
        <v>584</v>
      </c>
      <c r="G301" s="52"/>
      <c r="H301" s="79" t="str">
        <f t="shared" ca="1" si="26"/>
        <v>반제품(창고없음)</v>
      </c>
      <c r="I301" s="79" t="str">
        <f t="shared" ca="1" si="27"/>
        <v>4-AA</v>
      </c>
      <c r="J301" s="61" t="s">
        <v>584</v>
      </c>
      <c r="K301" s="65" t="s">
        <v>2461</v>
      </c>
      <c r="L301" s="83" t="str">
        <f t="shared" si="23"/>
        <v>→ 조립자재 R125</v>
      </c>
      <c r="M301" s="84"/>
      <c r="N301" s="80">
        <v>125</v>
      </c>
      <c r="O301" s="80" t="s">
        <v>2110</v>
      </c>
      <c r="P301" s="79" t="s">
        <v>2462</v>
      </c>
    </row>
    <row r="302" spans="1:16" ht="30" customHeight="1" x14ac:dyDescent="0.3">
      <c r="A302" s="56" t="s">
        <v>354</v>
      </c>
      <c r="B302" s="52" t="s">
        <v>2456</v>
      </c>
      <c r="C302" s="52" t="s">
        <v>198</v>
      </c>
      <c r="D302" s="79" t="str">
        <f t="shared" ca="1" si="24"/>
        <v>반제품</v>
      </c>
      <c r="E302" s="79" t="str">
        <f t="shared" ca="1" si="25"/>
        <v>AA</v>
      </c>
      <c r="F302" s="52" t="s">
        <v>585</v>
      </c>
      <c r="G302" s="52"/>
      <c r="H302" s="79" t="str">
        <f t="shared" ca="1" si="26"/>
        <v>반제품(창고없음)</v>
      </c>
      <c r="I302" s="79" t="str">
        <f t="shared" ca="1" si="27"/>
        <v>4-AA</v>
      </c>
      <c r="J302" s="61" t="s">
        <v>585</v>
      </c>
      <c r="K302" s="65" t="s">
        <v>2463</v>
      </c>
      <c r="L302" s="83" t="str">
        <f t="shared" si="23"/>
        <v>→ 조립자재 R126</v>
      </c>
      <c r="M302" s="84"/>
      <c r="N302" s="80">
        <v>126</v>
      </c>
      <c r="O302" s="80" t="s">
        <v>2110</v>
      </c>
      <c r="P302" s="79" t="s">
        <v>2464</v>
      </c>
    </row>
    <row r="303" spans="1:16" ht="30" customHeight="1" x14ac:dyDescent="0.3">
      <c r="A303" s="56" t="s">
        <v>354</v>
      </c>
      <c r="B303" s="52" t="s">
        <v>2456</v>
      </c>
      <c r="C303" s="52" t="s">
        <v>198</v>
      </c>
      <c r="D303" s="79" t="str">
        <f t="shared" ca="1" si="24"/>
        <v>반제품</v>
      </c>
      <c r="E303" s="79" t="str">
        <f t="shared" ca="1" si="25"/>
        <v>AA</v>
      </c>
      <c r="F303" s="52" t="s">
        <v>586</v>
      </c>
      <c r="G303" s="52"/>
      <c r="H303" s="79" t="str">
        <f t="shared" ca="1" si="26"/>
        <v>반제품(창고없음)</v>
      </c>
      <c r="I303" s="79" t="str">
        <f t="shared" ca="1" si="27"/>
        <v>4-AA</v>
      </c>
      <c r="J303" s="61" t="s">
        <v>586</v>
      </c>
      <c r="K303" s="65" t="s">
        <v>2465</v>
      </c>
      <c r="L303" s="83" t="str">
        <f t="shared" si="23"/>
        <v>→ 조립자재 R127</v>
      </c>
      <c r="M303" s="84"/>
      <c r="N303" s="80">
        <v>127</v>
      </c>
      <c r="O303" s="80" t="s">
        <v>2110</v>
      </c>
      <c r="P303" s="79" t="s">
        <v>2466</v>
      </c>
    </row>
    <row r="304" spans="1:16" ht="30" customHeight="1" x14ac:dyDescent="0.3">
      <c r="A304" s="56" t="s">
        <v>354</v>
      </c>
      <c r="B304" s="52" t="s">
        <v>587</v>
      </c>
      <c r="C304" s="52" t="s">
        <v>198</v>
      </c>
      <c r="D304" s="79" t="str">
        <f t="shared" ca="1" si="24"/>
        <v>반제품</v>
      </c>
      <c r="E304" s="79" t="str">
        <f t="shared" ca="1" si="25"/>
        <v>AA</v>
      </c>
      <c r="F304" s="52" t="s">
        <v>2467</v>
      </c>
      <c r="G304" s="52"/>
      <c r="H304" s="79" t="str">
        <f t="shared" ca="1" si="26"/>
        <v>반제품(창고없음)</v>
      </c>
      <c r="I304" s="79" t="str">
        <f t="shared" ca="1" si="27"/>
        <v>4-AA</v>
      </c>
      <c r="J304" s="61" t="s">
        <v>2467</v>
      </c>
      <c r="K304" s="65" t="s">
        <v>2468</v>
      </c>
      <c r="L304" s="83" t="str">
        <f t="shared" si="23"/>
        <v>→ 조립자재 R128</v>
      </c>
      <c r="M304" s="84"/>
      <c r="N304" s="80">
        <v>128</v>
      </c>
      <c r="O304" s="80" t="s">
        <v>2110</v>
      </c>
      <c r="P304" s="79" t="s">
        <v>2469</v>
      </c>
    </row>
    <row r="305" spans="1:16" ht="30" customHeight="1" x14ac:dyDescent="0.3">
      <c r="A305" s="56" t="s">
        <v>354</v>
      </c>
      <c r="B305" s="52" t="s">
        <v>587</v>
      </c>
      <c r="C305" s="52" t="s">
        <v>198</v>
      </c>
      <c r="D305" s="79" t="str">
        <f t="shared" ca="1" si="24"/>
        <v>반제품</v>
      </c>
      <c r="E305" s="79" t="str">
        <f t="shared" ca="1" si="25"/>
        <v>AA</v>
      </c>
      <c r="F305" s="52" t="s">
        <v>2470</v>
      </c>
      <c r="G305" s="52"/>
      <c r="H305" s="79" t="str">
        <f t="shared" ca="1" si="26"/>
        <v>반제품(창고없음)</v>
      </c>
      <c r="I305" s="79" t="str">
        <f t="shared" ca="1" si="27"/>
        <v>4-AA</v>
      </c>
      <c r="J305" s="61" t="s">
        <v>2470</v>
      </c>
      <c r="K305" s="65" t="s">
        <v>2471</v>
      </c>
      <c r="L305" s="83" t="str">
        <f t="shared" si="23"/>
        <v>→ 조립자재 R129</v>
      </c>
      <c r="M305" s="84"/>
      <c r="N305" s="80">
        <v>129</v>
      </c>
      <c r="O305" s="80" t="s">
        <v>2110</v>
      </c>
      <c r="P305" s="79" t="s">
        <v>2472</v>
      </c>
    </row>
    <row r="306" spans="1:16" ht="30" customHeight="1" x14ac:dyDescent="0.3">
      <c r="A306" s="56" t="s">
        <v>354</v>
      </c>
      <c r="B306" s="52" t="s">
        <v>587</v>
      </c>
      <c r="C306" s="52" t="s">
        <v>198</v>
      </c>
      <c r="D306" s="79" t="str">
        <f t="shared" ca="1" si="24"/>
        <v>반제품</v>
      </c>
      <c r="E306" s="79" t="str">
        <f t="shared" ca="1" si="25"/>
        <v>AA</v>
      </c>
      <c r="F306" s="52" t="s">
        <v>2473</v>
      </c>
      <c r="G306" s="52"/>
      <c r="H306" s="79" t="str">
        <f t="shared" ca="1" si="26"/>
        <v>반제품(창고없음)</v>
      </c>
      <c r="I306" s="79" t="str">
        <f t="shared" ca="1" si="27"/>
        <v>4-AA</v>
      </c>
      <c r="J306" s="61" t="s">
        <v>2473</v>
      </c>
      <c r="K306" s="65" t="s">
        <v>2474</v>
      </c>
      <c r="L306" s="83" t="str">
        <f t="shared" ref="L306:L369" si="28">HYPERLINK("#'"&amp;$O306&amp;"'!A"&amp;$N306,"→ 조립자재 R"&amp;$N306)</f>
        <v>→ 조립자재 R130</v>
      </c>
      <c r="M306" s="84"/>
      <c r="N306" s="80">
        <v>130</v>
      </c>
      <c r="O306" s="80" t="s">
        <v>2110</v>
      </c>
      <c r="P306" s="79" t="s">
        <v>2475</v>
      </c>
    </row>
    <row r="307" spans="1:16" ht="30" customHeight="1" x14ac:dyDescent="0.3">
      <c r="A307" s="56" t="s">
        <v>354</v>
      </c>
      <c r="B307" s="52" t="s">
        <v>471</v>
      </c>
      <c r="C307" s="52" t="s">
        <v>591</v>
      </c>
      <c r="D307" s="79" t="str">
        <f t="shared" ca="1" si="24"/>
        <v>원자재</v>
      </c>
      <c r="E307" s="79" t="str">
        <f t="shared" ca="1" si="25"/>
        <v>AR</v>
      </c>
      <c r="F307" s="52" t="s">
        <v>592</v>
      </c>
      <c r="G307" s="52" t="s">
        <v>2476</v>
      </c>
      <c r="H307" s="79" t="str">
        <f t="shared" si="26"/>
        <v>매칭완료</v>
      </c>
      <c r="I307" s="79" t="str">
        <f t="shared" ca="1" si="27"/>
        <v>6-AR</v>
      </c>
      <c r="J307" s="61" t="s">
        <v>592</v>
      </c>
      <c r="K307" s="65" t="s">
        <v>2477</v>
      </c>
      <c r="L307" s="83" t="str">
        <f t="shared" si="28"/>
        <v>→ 조립자재 R131</v>
      </c>
      <c r="M307" s="84"/>
      <c r="N307" s="80">
        <v>131</v>
      </c>
      <c r="O307" s="80" t="s">
        <v>2110</v>
      </c>
      <c r="P307" s="79" t="s">
        <v>2478</v>
      </c>
    </row>
    <row r="308" spans="1:16" ht="30" customHeight="1" x14ac:dyDescent="0.3">
      <c r="A308" s="56" t="s">
        <v>354</v>
      </c>
      <c r="B308" s="52" t="s">
        <v>471</v>
      </c>
      <c r="C308" s="52" t="s">
        <v>591</v>
      </c>
      <c r="D308" s="79" t="str">
        <f t="shared" ca="1" si="24"/>
        <v>원자재</v>
      </c>
      <c r="E308" s="79" t="str">
        <f t="shared" ca="1" si="25"/>
        <v>AR</v>
      </c>
      <c r="F308" s="52" t="s">
        <v>594</v>
      </c>
      <c r="G308" s="52" t="s">
        <v>2479</v>
      </c>
      <c r="H308" s="79" t="str">
        <f t="shared" si="26"/>
        <v>매칭완료</v>
      </c>
      <c r="I308" s="79" t="str">
        <f t="shared" ca="1" si="27"/>
        <v>6-AR</v>
      </c>
      <c r="J308" s="61" t="s">
        <v>594</v>
      </c>
      <c r="K308" s="65" t="s">
        <v>2480</v>
      </c>
      <c r="L308" s="83" t="str">
        <f t="shared" si="28"/>
        <v>→ 조립자재 R132</v>
      </c>
      <c r="M308" s="84"/>
      <c r="N308" s="80">
        <v>132</v>
      </c>
      <c r="O308" s="80" t="s">
        <v>2110</v>
      </c>
      <c r="P308" s="79" t="s">
        <v>2481</v>
      </c>
    </row>
    <row r="309" spans="1:16" ht="30" customHeight="1" x14ac:dyDescent="0.3">
      <c r="A309" s="56" t="s">
        <v>354</v>
      </c>
      <c r="B309" s="52" t="s">
        <v>471</v>
      </c>
      <c r="C309" s="52" t="s">
        <v>591</v>
      </c>
      <c r="D309" s="79" t="str">
        <f t="shared" ca="1" si="24"/>
        <v>원자재</v>
      </c>
      <c r="E309" s="79" t="str">
        <f t="shared" ca="1" si="25"/>
        <v>AR</v>
      </c>
      <c r="F309" s="52" t="s">
        <v>596</v>
      </c>
      <c r="G309" s="52" t="s">
        <v>2482</v>
      </c>
      <c r="H309" s="79" t="str">
        <f t="shared" si="26"/>
        <v>매칭완료</v>
      </c>
      <c r="I309" s="79" t="str">
        <f t="shared" ca="1" si="27"/>
        <v>6-AR</v>
      </c>
      <c r="J309" s="61" t="s">
        <v>596</v>
      </c>
      <c r="K309" s="65" t="s">
        <v>2483</v>
      </c>
      <c r="L309" s="83" t="str">
        <f t="shared" si="28"/>
        <v>→ 조립자재 R133</v>
      </c>
      <c r="M309" s="84"/>
      <c r="N309" s="80">
        <v>133</v>
      </c>
      <c r="O309" s="80" t="s">
        <v>2110</v>
      </c>
      <c r="P309" s="79" t="s">
        <v>2484</v>
      </c>
    </row>
    <row r="310" spans="1:16" ht="30" customHeight="1" x14ac:dyDescent="0.3">
      <c r="A310" s="56" t="s">
        <v>354</v>
      </c>
      <c r="B310" s="52" t="s">
        <v>471</v>
      </c>
      <c r="C310" s="52" t="s">
        <v>591</v>
      </c>
      <c r="D310" s="79" t="str">
        <f t="shared" ca="1" si="24"/>
        <v>원자재</v>
      </c>
      <c r="E310" s="79" t="str">
        <f t="shared" ca="1" si="25"/>
        <v>AR</v>
      </c>
      <c r="F310" s="52" t="s">
        <v>598</v>
      </c>
      <c r="G310" s="52" t="s">
        <v>2485</v>
      </c>
      <c r="H310" s="79" t="str">
        <f t="shared" si="26"/>
        <v>매칭완료</v>
      </c>
      <c r="I310" s="79" t="str">
        <f t="shared" ca="1" si="27"/>
        <v>6-AR</v>
      </c>
      <c r="J310" s="61" t="s">
        <v>598</v>
      </c>
      <c r="K310" s="65" t="s">
        <v>2486</v>
      </c>
      <c r="L310" s="83" t="str">
        <f t="shared" si="28"/>
        <v>→ 조립자재 R134</v>
      </c>
      <c r="M310" s="84"/>
      <c r="N310" s="80">
        <v>134</v>
      </c>
      <c r="O310" s="80" t="s">
        <v>2110</v>
      </c>
      <c r="P310" s="79" t="s">
        <v>2487</v>
      </c>
    </row>
    <row r="311" spans="1:16" ht="30" customHeight="1" x14ac:dyDescent="0.3">
      <c r="A311" s="56" t="s">
        <v>354</v>
      </c>
      <c r="B311" s="52" t="s">
        <v>471</v>
      </c>
      <c r="C311" s="52" t="s">
        <v>591</v>
      </c>
      <c r="D311" s="79" t="str">
        <f t="shared" ca="1" si="24"/>
        <v>원자재</v>
      </c>
      <c r="E311" s="79" t="str">
        <f t="shared" ca="1" si="25"/>
        <v>AR</v>
      </c>
      <c r="F311" s="52" t="s">
        <v>600</v>
      </c>
      <c r="G311" s="52" t="s">
        <v>2488</v>
      </c>
      <c r="H311" s="79" t="str">
        <f t="shared" si="26"/>
        <v>매칭완료</v>
      </c>
      <c r="I311" s="79" t="str">
        <f t="shared" ca="1" si="27"/>
        <v>6-AR</v>
      </c>
      <c r="J311" s="61" t="s">
        <v>600</v>
      </c>
      <c r="K311" s="65" t="s">
        <v>2489</v>
      </c>
      <c r="L311" s="83" t="str">
        <f t="shared" si="28"/>
        <v>→ 조립자재 R135</v>
      </c>
      <c r="M311" s="84"/>
      <c r="N311" s="80">
        <v>135</v>
      </c>
      <c r="O311" s="80" t="s">
        <v>2110</v>
      </c>
      <c r="P311" s="79" t="s">
        <v>2490</v>
      </c>
    </row>
    <row r="312" spans="1:16" ht="30" customHeight="1" x14ac:dyDescent="0.3">
      <c r="A312" s="56" t="s">
        <v>354</v>
      </c>
      <c r="B312" s="52" t="s">
        <v>471</v>
      </c>
      <c r="C312" s="52" t="s">
        <v>591</v>
      </c>
      <c r="D312" s="79" t="str">
        <f t="shared" ca="1" si="24"/>
        <v>원자재</v>
      </c>
      <c r="E312" s="79" t="str">
        <f t="shared" ca="1" si="25"/>
        <v>AR</v>
      </c>
      <c r="F312" s="52" t="s">
        <v>602</v>
      </c>
      <c r="G312" s="52" t="s">
        <v>2491</v>
      </c>
      <c r="H312" s="79" t="str">
        <f t="shared" si="26"/>
        <v>매칭완료</v>
      </c>
      <c r="I312" s="79" t="str">
        <f t="shared" ca="1" si="27"/>
        <v>6-AR</v>
      </c>
      <c r="J312" s="61" t="s">
        <v>602</v>
      </c>
      <c r="K312" s="65" t="s">
        <v>2492</v>
      </c>
      <c r="L312" s="83" t="str">
        <f t="shared" si="28"/>
        <v>→ 조립자재 R136</v>
      </c>
      <c r="M312" s="84"/>
      <c r="N312" s="80">
        <v>136</v>
      </c>
      <c r="O312" s="80" t="s">
        <v>2110</v>
      </c>
      <c r="P312" s="79" t="s">
        <v>2493</v>
      </c>
    </row>
    <row r="313" spans="1:16" ht="30" customHeight="1" x14ac:dyDescent="0.3">
      <c r="A313" s="56" t="s">
        <v>354</v>
      </c>
      <c r="B313" s="52" t="s">
        <v>471</v>
      </c>
      <c r="C313" s="52" t="s">
        <v>591</v>
      </c>
      <c r="D313" s="79" t="str">
        <f t="shared" ca="1" si="24"/>
        <v>원자재</v>
      </c>
      <c r="E313" s="79" t="str">
        <f t="shared" ca="1" si="25"/>
        <v>AR</v>
      </c>
      <c r="F313" s="52" t="s">
        <v>604</v>
      </c>
      <c r="G313" s="52" t="s">
        <v>2494</v>
      </c>
      <c r="H313" s="79" t="str">
        <f t="shared" si="26"/>
        <v>매칭완료</v>
      </c>
      <c r="I313" s="79" t="str">
        <f t="shared" ca="1" si="27"/>
        <v>6-AR</v>
      </c>
      <c r="J313" s="61" t="s">
        <v>604</v>
      </c>
      <c r="K313" s="65" t="s">
        <v>2495</v>
      </c>
      <c r="L313" s="83" t="str">
        <f t="shared" si="28"/>
        <v>→ 조립자재 R137</v>
      </c>
      <c r="M313" s="84"/>
      <c r="N313" s="80">
        <v>137</v>
      </c>
      <c r="O313" s="80" t="s">
        <v>2110</v>
      </c>
      <c r="P313" s="79" t="s">
        <v>2496</v>
      </c>
    </row>
    <row r="314" spans="1:16" ht="30" customHeight="1" x14ac:dyDescent="0.3">
      <c r="A314" s="56" t="s">
        <v>354</v>
      </c>
      <c r="B314" s="52" t="s">
        <v>471</v>
      </c>
      <c r="C314" s="52" t="s">
        <v>591</v>
      </c>
      <c r="D314" s="79" t="str">
        <f t="shared" ca="1" si="24"/>
        <v>원자재</v>
      </c>
      <c r="E314" s="79" t="str">
        <f t="shared" ca="1" si="25"/>
        <v>AR</v>
      </c>
      <c r="F314" s="52" t="s">
        <v>606</v>
      </c>
      <c r="G314" s="52" t="s">
        <v>2497</v>
      </c>
      <c r="H314" s="79" t="str">
        <f t="shared" si="26"/>
        <v>매칭완료</v>
      </c>
      <c r="I314" s="79" t="str">
        <f t="shared" ca="1" si="27"/>
        <v>6-AR</v>
      </c>
      <c r="J314" s="61" t="s">
        <v>606</v>
      </c>
      <c r="K314" s="65" t="s">
        <v>2498</v>
      </c>
      <c r="L314" s="83" t="str">
        <f t="shared" si="28"/>
        <v>→ 조립자재 R138</v>
      </c>
      <c r="M314" s="84"/>
      <c r="N314" s="80">
        <v>138</v>
      </c>
      <c r="O314" s="80" t="s">
        <v>2110</v>
      </c>
      <c r="P314" s="79" t="s">
        <v>2499</v>
      </c>
    </row>
    <row r="315" spans="1:16" ht="30" customHeight="1" x14ac:dyDescent="0.3">
      <c r="A315" s="56" t="s">
        <v>354</v>
      </c>
      <c r="B315" s="52" t="s">
        <v>471</v>
      </c>
      <c r="C315" s="52" t="s">
        <v>591</v>
      </c>
      <c r="D315" s="79" t="str">
        <f t="shared" ca="1" si="24"/>
        <v>원자재</v>
      </c>
      <c r="E315" s="79" t="str">
        <f t="shared" ca="1" si="25"/>
        <v>AR</v>
      </c>
      <c r="F315" s="52" t="s">
        <v>608</v>
      </c>
      <c r="G315" s="52" t="s">
        <v>2500</v>
      </c>
      <c r="H315" s="79" t="str">
        <f t="shared" si="26"/>
        <v>매칭완료</v>
      </c>
      <c r="I315" s="79" t="str">
        <f t="shared" ca="1" si="27"/>
        <v>6-AR</v>
      </c>
      <c r="J315" s="61" t="s">
        <v>608</v>
      </c>
      <c r="K315" s="65" t="s">
        <v>2501</v>
      </c>
      <c r="L315" s="83" t="str">
        <f t="shared" si="28"/>
        <v>→ 조립자재 R139</v>
      </c>
      <c r="M315" s="84"/>
      <c r="N315" s="80">
        <v>139</v>
      </c>
      <c r="O315" s="80" t="s">
        <v>2110</v>
      </c>
      <c r="P315" s="79" t="s">
        <v>2502</v>
      </c>
    </row>
    <row r="316" spans="1:16" ht="30" customHeight="1" x14ac:dyDescent="0.3">
      <c r="A316" s="56" t="s">
        <v>354</v>
      </c>
      <c r="B316" s="52" t="s">
        <v>471</v>
      </c>
      <c r="C316" s="52" t="s">
        <v>591</v>
      </c>
      <c r="D316" s="79" t="str">
        <f t="shared" ca="1" si="24"/>
        <v>원자재</v>
      </c>
      <c r="E316" s="79" t="str">
        <f t="shared" ca="1" si="25"/>
        <v>AR</v>
      </c>
      <c r="F316" s="52" t="s">
        <v>610</v>
      </c>
      <c r="G316" s="52" t="s">
        <v>2503</v>
      </c>
      <c r="H316" s="79" t="str">
        <f t="shared" si="26"/>
        <v>매칭완료</v>
      </c>
      <c r="I316" s="79" t="str">
        <f t="shared" ca="1" si="27"/>
        <v>6-AR</v>
      </c>
      <c r="J316" s="61" t="s">
        <v>610</v>
      </c>
      <c r="K316" s="65" t="s">
        <v>2504</v>
      </c>
      <c r="L316" s="83" t="str">
        <f t="shared" si="28"/>
        <v>→ 조립자재 R140</v>
      </c>
      <c r="M316" s="84"/>
      <c r="N316" s="80">
        <v>140</v>
      </c>
      <c r="O316" s="80" t="s">
        <v>2110</v>
      </c>
      <c r="P316" s="79" t="s">
        <v>2505</v>
      </c>
    </row>
    <row r="317" spans="1:16" ht="30" customHeight="1" x14ac:dyDescent="0.3">
      <c r="A317" s="56" t="s">
        <v>354</v>
      </c>
      <c r="B317" s="52" t="s">
        <v>471</v>
      </c>
      <c r="C317" s="52" t="s">
        <v>591</v>
      </c>
      <c r="D317" s="79" t="str">
        <f t="shared" ca="1" si="24"/>
        <v>원자재</v>
      </c>
      <c r="E317" s="79" t="str">
        <f t="shared" ca="1" si="25"/>
        <v>AR</v>
      </c>
      <c r="F317" s="52" t="s">
        <v>612</v>
      </c>
      <c r="G317" s="52" t="s">
        <v>2506</v>
      </c>
      <c r="H317" s="79" t="str">
        <f t="shared" si="26"/>
        <v>매칭완료</v>
      </c>
      <c r="I317" s="79" t="str">
        <f t="shared" ca="1" si="27"/>
        <v>6-AR</v>
      </c>
      <c r="J317" s="61" t="s">
        <v>612</v>
      </c>
      <c r="K317" s="65" t="s">
        <v>2507</v>
      </c>
      <c r="L317" s="83" t="str">
        <f t="shared" si="28"/>
        <v>→ 조립자재 R141</v>
      </c>
      <c r="M317" s="84"/>
      <c r="N317" s="80">
        <v>141</v>
      </c>
      <c r="O317" s="80" t="s">
        <v>2110</v>
      </c>
      <c r="P317" s="79" t="s">
        <v>2508</v>
      </c>
    </row>
    <row r="318" spans="1:16" ht="30" customHeight="1" x14ac:dyDescent="0.3">
      <c r="A318" s="56" t="s">
        <v>354</v>
      </c>
      <c r="B318" s="52" t="s">
        <v>471</v>
      </c>
      <c r="C318" s="52" t="s">
        <v>591</v>
      </c>
      <c r="D318" s="79" t="str">
        <f t="shared" ca="1" si="24"/>
        <v>원자재</v>
      </c>
      <c r="E318" s="79" t="str">
        <f t="shared" ca="1" si="25"/>
        <v>AR</v>
      </c>
      <c r="F318" s="52" t="s">
        <v>1489</v>
      </c>
      <c r="G318" s="52" t="s">
        <v>2509</v>
      </c>
      <c r="H318" s="79" t="str">
        <f t="shared" si="26"/>
        <v>매칭완료</v>
      </c>
      <c r="I318" s="79" t="str">
        <f t="shared" ca="1" si="27"/>
        <v>6-AR</v>
      </c>
      <c r="J318" s="61" t="s">
        <v>1489</v>
      </c>
      <c r="K318" s="65" t="s">
        <v>614</v>
      </c>
      <c r="L318" s="83" t="str">
        <f t="shared" si="28"/>
        <v>→ 조립자재 R142</v>
      </c>
      <c r="M318" s="84"/>
      <c r="N318" s="80">
        <v>142</v>
      </c>
      <c r="O318" s="80" t="s">
        <v>2110</v>
      </c>
      <c r="P318" s="79" t="s">
        <v>2510</v>
      </c>
    </row>
    <row r="319" spans="1:16" ht="30" customHeight="1" x14ac:dyDescent="0.3">
      <c r="A319" s="56" t="s">
        <v>354</v>
      </c>
      <c r="B319" s="52" t="s">
        <v>471</v>
      </c>
      <c r="C319" s="52" t="s">
        <v>591</v>
      </c>
      <c r="D319" s="79" t="str">
        <f t="shared" ca="1" si="24"/>
        <v>원자재</v>
      </c>
      <c r="E319" s="79" t="str">
        <f t="shared" ca="1" si="25"/>
        <v>AR</v>
      </c>
      <c r="F319" s="52" t="s">
        <v>616</v>
      </c>
      <c r="G319" s="52"/>
      <c r="H319" s="79" t="str">
        <f t="shared" ca="1" si="26"/>
        <v>⚠ 원자재_부서보관</v>
      </c>
      <c r="I319" s="79" t="str">
        <f t="shared" ca="1" si="27"/>
        <v>6-AR</v>
      </c>
      <c r="J319" s="61" t="s">
        <v>616</v>
      </c>
      <c r="K319" s="65" t="s">
        <v>2511</v>
      </c>
      <c r="L319" s="83" t="str">
        <f t="shared" si="28"/>
        <v>→ 조립자재 R143</v>
      </c>
      <c r="M319" s="84"/>
      <c r="N319" s="80">
        <v>143</v>
      </c>
      <c r="O319" s="80" t="s">
        <v>2110</v>
      </c>
      <c r="P319" s="79" t="s">
        <v>2512</v>
      </c>
    </row>
    <row r="320" spans="1:16" ht="30" customHeight="1" x14ac:dyDescent="0.3">
      <c r="A320" s="56" t="s">
        <v>354</v>
      </c>
      <c r="B320" s="52" t="s">
        <v>471</v>
      </c>
      <c r="C320" s="52" t="s">
        <v>591</v>
      </c>
      <c r="D320" s="79" t="str">
        <f t="shared" ca="1" si="24"/>
        <v>원자재</v>
      </c>
      <c r="E320" s="79" t="str">
        <f t="shared" ca="1" si="25"/>
        <v>AR</v>
      </c>
      <c r="F320" s="52" t="s">
        <v>617</v>
      </c>
      <c r="G320" s="52" t="s">
        <v>2513</v>
      </c>
      <c r="H320" s="79" t="str">
        <f t="shared" si="26"/>
        <v>매칭완료</v>
      </c>
      <c r="I320" s="79" t="str">
        <f t="shared" ca="1" si="27"/>
        <v>6-AR</v>
      </c>
      <c r="J320" s="61" t="s">
        <v>617</v>
      </c>
      <c r="K320" s="65" t="s">
        <v>2514</v>
      </c>
      <c r="L320" s="83" t="str">
        <f t="shared" si="28"/>
        <v>→ 조립자재 R144</v>
      </c>
      <c r="M320" s="84"/>
      <c r="N320" s="80">
        <v>144</v>
      </c>
      <c r="O320" s="80" t="s">
        <v>2110</v>
      </c>
      <c r="P320" s="79" t="s">
        <v>2515</v>
      </c>
    </row>
    <row r="321" spans="1:16" ht="30" customHeight="1" x14ac:dyDescent="0.3">
      <c r="A321" s="56" t="s">
        <v>354</v>
      </c>
      <c r="B321" s="52" t="s">
        <v>471</v>
      </c>
      <c r="C321" s="52" t="s">
        <v>591</v>
      </c>
      <c r="D321" s="79" t="str">
        <f t="shared" ca="1" si="24"/>
        <v>원자재</v>
      </c>
      <c r="E321" s="79" t="str">
        <f t="shared" ca="1" si="25"/>
        <v>AR</v>
      </c>
      <c r="F321" s="52" t="s">
        <v>619</v>
      </c>
      <c r="G321" s="52" t="s">
        <v>2516</v>
      </c>
      <c r="H321" s="79" t="str">
        <f t="shared" si="26"/>
        <v>매칭완료</v>
      </c>
      <c r="I321" s="79" t="str">
        <f t="shared" ca="1" si="27"/>
        <v>6-AR</v>
      </c>
      <c r="J321" s="61" t="s">
        <v>619</v>
      </c>
      <c r="K321" s="65" t="s">
        <v>2517</v>
      </c>
      <c r="L321" s="83" t="str">
        <f t="shared" si="28"/>
        <v>→ 조립자재 R145</v>
      </c>
      <c r="M321" s="84"/>
      <c r="N321" s="80">
        <v>145</v>
      </c>
      <c r="O321" s="80" t="s">
        <v>2110</v>
      </c>
      <c r="P321" s="79" t="s">
        <v>2518</v>
      </c>
    </row>
    <row r="322" spans="1:16" ht="30" customHeight="1" x14ac:dyDescent="0.3">
      <c r="A322" s="56" t="s">
        <v>354</v>
      </c>
      <c r="B322" s="52" t="s">
        <v>471</v>
      </c>
      <c r="C322" s="52" t="s">
        <v>591</v>
      </c>
      <c r="D322" s="79" t="str">
        <f t="shared" ref="D322:D385" ca="1" si="29">IF(INDIRECT("'"&amp;$O322&amp;"'!F"&amp;$N322)="O","원자재",IF(INDIRECT("'"&amp;$O322&amp;"'!G"&amp;$N322)="O","반제품",IF(INDIRECT("'"&amp;$O322&amp;"'!H"&amp;$N322)="O","완제품","")))</f>
        <v>원자재</v>
      </c>
      <c r="E322" s="79" t="str">
        <f t="shared" ref="E322:E385" ca="1" si="30">IFERROR(IF(INDIRECT("'"&amp;$O322&amp;"'!I"&amp;$N322)=0,"",INDIRECT("'"&amp;$O322&amp;"'!I"&amp;$N322)),"")</f>
        <v>AR</v>
      </c>
      <c r="F322" s="52" t="s">
        <v>621</v>
      </c>
      <c r="G322" s="52" t="s">
        <v>2519</v>
      </c>
      <c r="H322" s="79" t="str">
        <f t="shared" ref="H322:H385" si="31">IF(AND($F322="",$G322=""),"",IF($F322="","창고전용",IF($G322&lt;&gt;"","매칭완료",IF($D322="반제품","반제품(창고없음)",IF($D322="완제품","완제품(창고없음)",IF($D322="원자재","⚠ 원자재_부서보관","미분류"))))))</f>
        <v>매칭완료</v>
      </c>
      <c r="I322" s="79" t="str">
        <f t="shared" ref="I322:I385" ca="1" si="32">IFERROR(IF(INDIRECT("'"&amp;$O322&amp;"'!P"&amp;$N322)=0,"",INDIRECT("'"&amp;$O322&amp;"'!P"&amp;$N322)),"")</f>
        <v>6-AR</v>
      </c>
      <c r="J322" s="61" t="s">
        <v>621</v>
      </c>
      <c r="K322" s="65" t="s">
        <v>2520</v>
      </c>
      <c r="L322" s="83" t="str">
        <f t="shared" si="28"/>
        <v>→ 조립자재 R146</v>
      </c>
      <c r="M322" s="84"/>
      <c r="N322" s="80">
        <v>146</v>
      </c>
      <c r="O322" s="80" t="s">
        <v>2110</v>
      </c>
      <c r="P322" s="79" t="s">
        <v>2521</v>
      </c>
    </row>
    <row r="323" spans="1:16" ht="30" customHeight="1" x14ac:dyDescent="0.3">
      <c r="A323" s="56" t="s">
        <v>354</v>
      </c>
      <c r="B323" s="52" t="s">
        <v>471</v>
      </c>
      <c r="C323" s="52" t="s">
        <v>591</v>
      </c>
      <c r="D323" s="79" t="str">
        <f t="shared" ca="1" si="29"/>
        <v>원자재</v>
      </c>
      <c r="E323" s="79" t="str">
        <f t="shared" ca="1" si="30"/>
        <v>AR</v>
      </c>
      <c r="F323" s="52" t="s">
        <v>623</v>
      </c>
      <c r="G323" s="52" t="s">
        <v>2522</v>
      </c>
      <c r="H323" s="79" t="str">
        <f t="shared" si="31"/>
        <v>매칭완료</v>
      </c>
      <c r="I323" s="79" t="str">
        <f t="shared" ca="1" si="32"/>
        <v>6-AR</v>
      </c>
      <c r="J323" s="61" t="s">
        <v>623</v>
      </c>
      <c r="K323" s="65" t="s">
        <v>2523</v>
      </c>
      <c r="L323" s="83" t="str">
        <f t="shared" si="28"/>
        <v>→ 조립자재 R147</v>
      </c>
      <c r="M323" s="84"/>
      <c r="N323" s="80">
        <v>147</v>
      </c>
      <c r="O323" s="80" t="s">
        <v>2110</v>
      </c>
      <c r="P323" s="79" t="s">
        <v>2524</v>
      </c>
    </row>
    <row r="324" spans="1:16" ht="30" customHeight="1" x14ac:dyDescent="0.3">
      <c r="A324" s="56" t="s">
        <v>354</v>
      </c>
      <c r="B324" s="52" t="s">
        <v>471</v>
      </c>
      <c r="C324" s="52" t="s">
        <v>591</v>
      </c>
      <c r="D324" s="79" t="str">
        <f t="shared" ca="1" si="29"/>
        <v>원자재</v>
      </c>
      <c r="E324" s="79" t="str">
        <f t="shared" ca="1" si="30"/>
        <v>AR</v>
      </c>
      <c r="F324" s="52" t="s">
        <v>625</v>
      </c>
      <c r="G324" s="52" t="s">
        <v>2525</v>
      </c>
      <c r="H324" s="79" t="str">
        <f t="shared" si="31"/>
        <v>매칭완료</v>
      </c>
      <c r="I324" s="79" t="str">
        <f t="shared" ca="1" si="32"/>
        <v>6-AR</v>
      </c>
      <c r="J324" s="61" t="s">
        <v>625</v>
      </c>
      <c r="K324" s="65" t="s">
        <v>2526</v>
      </c>
      <c r="L324" s="83" t="str">
        <f t="shared" si="28"/>
        <v>→ 조립자재 R148</v>
      </c>
      <c r="M324" s="84"/>
      <c r="N324" s="80">
        <v>148</v>
      </c>
      <c r="O324" s="80" t="s">
        <v>2110</v>
      </c>
      <c r="P324" s="79" t="s">
        <v>2527</v>
      </c>
    </row>
    <row r="325" spans="1:16" ht="30" customHeight="1" x14ac:dyDescent="0.3">
      <c r="A325" s="56" t="s">
        <v>354</v>
      </c>
      <c r="B325" s="52" t="s">
        <v>471</v>
      </c>
      <c r="C325" s="52" t="s">
        <v>591</v>
      </c>
      <c r="D325" s="79" t="str">
        <f t="shared" ca="1" si="29"/>
        <v>원자재</v>
      </c>
      <c r="E325" s="79" t="str">
        <f t="shared" ca="1" si="30"/>
        <v>AR</v>
      </c>
      <c r="F325" s="52" t="s">
        <v>627</v>
      </c>
      <c r="G325" s="52" t="s">
        <v>2528</v>
      </c>
      <c r="H325" s="79" t="str">
        <f t="shared" si="31"/>
        <v>매칭완료</v>
      </c>
      <c r="I325" s="79" t="str">
        <f t="shared" ca="1" si="32"/>
        <v>6-AR</v>
      </c>
      <c r="J325" s="61" t="s">
        <v>627</v>
      </c>
      <c r="K325" s="65" t="s">
        <v>2529</v>
      </c>
      <c r="L325" s="83" t="str">
        <f t="shared" si="28"/>
        <v>→ 조립자재 R149</v>
      </c>
      <c r="M325" s="84"/>
      <c r="N325" s="80">
        <v>149</v>
      </c>
      <c r="O325" s="80" t="s">
        <v>2110</v>
      </c>
      <c r="P325" s="79" t="s">
        <v>2530</v>
      </c>
    </row>
    <row r="326" spans="1:16" ht="30" customHeight="1" x14ac:dyDescent="0.3">
      <c r="A326" s="56" t="s">
        <v>354</v>
      </c>
      <c r="B326" s="52" t="s">
        <v>471</v>
      </c>
      <c r="C326" s="52" t="s">
        <v>591</v>
      </c>
      <c r="D326" s="79" t="str">
        <f t="shared" ca="1" si="29"/>
        <v>원자재</v>
      </c>
      <c r="E326" s="79" t="str">
        <f t="shared" ca="1" si="30"/>
        <v>AR</v>
      </c>
      <c r="F326" s="52" t="s">
        <v>629</v>
      </c>
      <c r="G326" s="52" t="s">
        <v>2531</v>
      </c>
      <c r="H326" s="79" t="str">
        <f t="shared" si="31"/>
        <v>매칭완료</v>
      </c>
      <c r="I326" s="79" t="str">
        <f t="shared" ca="1" si="32"/>
        <v>6-AR</v>
      </c>
      <c r="J326" s="61" t="s">
        <v>629</v>
      </c>
      <c r="K326" s="65" t="s">
        <v>2532</v>
      </c>
      <c r="L326" s="83" t="str">
        <f t="shared" si="28"/>
        <v>→ 조립자재 R150</v>
      </c>
      <c r="M326" s="84"/>
      <c r="N326" s="80">
        <v>150</v>
      </c>
      <c r="O326" s="80" t="s">
        <v>2110</v>
      </c>
      <c r="P326" s="79" t="s">
        <v>2533</v>
      </c>
    </row>
    <row r="327" spans="1:16" ht="30" customHeight="1" x14ac:dyDescent="0.3">
      <c r="A327" s="56" t="s">
        <v>354</v>
      </c>
      <c r="B327" s="52" t="s">
        <v>471</v>
      </c>
      <c r="C327" s="52" t="s">
        <v>2534</v>
      </c>
      <c r="D327" s="79" t="str">
        <f t="shared" ca="1" si="29"/>
        <v>원자재</v>
      </c>
      <c r="E327" s="79" t="str">
        <f t="shared" ca="1" si="30"/>
        <v>AR</v>
      </c>
      <c r="F327" s="52" t="s">
        <v>632</v>
      </c>
      <c r="G327" s="52" t="s">
        <v>2535</v>
      </c>
      <c r="H327" s="79" t="str">
        <f t="shared" si="31"/>
        <v>매칭완료</v>
      </c>
      <c r="I327" s="79" t="str">
        <f t="shared" ca="1" si="32"/>
        <v>6-AR</v>
      </c>
      <c r="J327" s="61" t="s">
        <v>632</v>
      </c>
      <c r="K327" s="65" t="s">
        <v>2536</v>
      </c>
      <c r="L327" s="83" t="str">
        <f t="shared" si="28"/>
        <v>→ 조립자재 R151</v>
      </c>
      <c r="M327" s="84"/>
      <c r="N327" s="80">
        <v>151</v>
      </c>
      <c r="O327" s="80" t="s">
        <v>2110</v>
      </c>
      <c r="P327" s="79" t="s">
        <v>2537</v>
      </c>
    </row>
    <row r="328" spans="1:16" ht="30" customHeight="1" x14ac:dyDescent="0.3">
      <c r="A328" s="56" t="s">
        <v>354</v>
      </c>
      <c r="B328" s="52" t="s">
        <v>471</v>
      </c>
      <c r="C328" s="52" t="s">
        <v>2534</v>
      </c>
      <c r="D328" s="79" t="str">
        <f t="shared" ca="1" si="29"/>
        <v>원자재</v>
      </c>
      <c r="E328" s="79" t="str">
        <f t="shared" ca="1" si="30"/>
        <v>AR</v>
      </c>
      <c r="F328" s="52" t="s">
        <v>634</v>
      </c>
      <c r="G328" s="52" t="s">
        <v>2538</v>
      </c>
      <c r="H328" s="79" t="str">
        <f t="shared" si="31"/>
        <v>매칭완료</v>
      </c>
      <c r="I328" s="79" t="str">
        <f t="shared" ca="1" si="32"/>
        <v>6-AR</v>
      </c>
      <c r="J328" s="61" t="s">
        <v>634</v>
      </c>
      <c r="K328" s="65" t="s">
        <v>2539</v>
      </c>
      <c r="L328" s="83" t="str">
        <f t="shared" si="28"/>
        <v>→ 조립자재 R152</v>
      </c>
      <c r="M328" s="84"/>
      <c r="N328" s="80">
        <v>152</v>
      </c>
      <c r="O328" s="80" t="s">
        <v>2110</v>
      </c>
      <c r="P328" s="79" t="s">
        <v>2540</v>
      </c>
    </row>
    <row r="329" spans="1:16" ht="30" customHeight="1" x14ac:dyDescent="0.3">
      <c r="A329" s="56" t="s">
        <v>354</v>
      </c>
      <c r="B329" s="52" t="s">
        <v>471</v>
      </c>
      <c r="C329" s="52" t="s">
        <v>2534</v>
      </c>
      <c r="D329" s="79" t="str">
        <f t="shared" ca="1" si="29"/>
        <v>원자재</v>
      </c>
      <c r="E329" s="79" t="str">
        <f t="shared" ca="1" si="30"/>
        <v>AR</v>
      </c>
      <c r="F329" s="52" t="s">
        <v>636</v>
      </c>
      <c r="G329" s="52"/>
      <c r="H329" s="79" t="str">
        <f t="shared" ca="1" si="31"/>
        <v>⚠ 원자재_부서보관</v>
      </c>
      <c r="I329" s="79" t="str">
        <f t="shared" ca="1" si="32"/>
        <v>6-AR</v>
      </c>
      <c r="J329" s="61" t="s">
        <v>636</v>
      </c>
      <c r="K329" s="65" t="s">
        <v>2541</v>
      </c>
      <c r="L329" s="83" t="str">
        <f t="shared" si="28"/>
        <v>→ 조립자재 R153</v>
      </c>
      <c r="M329" s="84"/>
      <c r="N329" s="80">
        <v>153</v>
      </c>
      <c r="O329" s="80" t="s">
        <v>2110</v>
      </c>
      <c r="P329" s="79" t="s">
        <v>2542</v>
      </c>
    </row>
    <row r="330" spans="1:16" ht="30" customHeight="1" x14ac:dyDescent="0.3">
      <c r="A330" s="56" t="s">
        <v>354</v>
      </c>
      <c r="B330" s="52" t="s">
        <v>471</v>
      </c>
      <c r="C330" s="52" t="s">
        <v>591</v>
      </c>
      <c r="D330" s="79" t="str">
        <f t="shared" ca="1" si="29"/>
        <v>원자재</v>
      </c>
      <c r="E330" s="79" t="str">
        <f t="shared" ca="1" si="30"/>
        <v>AR</v>
      </c>
      <c r="F330" s="52" t="s">
        <v>637</v>
      </c>
      <c r="G330" s="52" t="s">
        <v>2543</v>
      </c>
      <c r="H330" s="79" t="str">
        <f t="shared" si="31"/>
        <v>매칭완료</v>
      </c>
      <c r="I330" s="79" t="str">
        <f t="shared" ca="1" si="32"/>
        <v>6-AR</v>
      </c>
      <c r="J330" s="61" t="s">
        <v>637</v>
      </c>
      <c r="K330" s="65" t="s">
        <v>2544</v>
      </c>
      <c r="L330" s="83" t="str">
        <f t="shared" si="28"/>
        <v>→ 조립자재 R154</v>
      </c>
      <c r="M330" s="84"/>
      <c r="N330" s="80">
        <v>154</v>
      </c>
      <c r="O330" s="80" t="s">
        <v>2110</v>
      </c>
      <c r="P330" s="79" t="s">
        <v>2545</v>
      </c>
    </row>
    <row r="331" spans="1:16" ht="30" customHeight="1" x14ac:dyDescent="0.3">
      <c r="A331" s="56" t="s">
        <v>354</v>
      </c>
      <c r="B331" s="52" t="s">
        <v>471</v>
      </c>
      <c r="C331" s="52" t="s">
        <v>591</v>
      </c>
      <c r="D331" s="79" t="str">
        <f t="shared" ca="1" si="29"/>
        <v>원자재</v>
      </c>
      <c r="E331" s="79" t="str">
        <f t="shared" ca="1" si="30"/>
        <v>AR</v>
      </c>
      <c r="F331" s="52" t="s">
        <v>639</v>
      </c>
      <c r="G331" s="52" t="s">
        <v>2546</v>
      </c>
      <c r="H331" s="79" t="str">
        <f t="shared" si="31"/>
        <v>매칭완료</v>
      </c>
      <c r="I331" s="79" t="str">
        <f t="shared" ca="1" si="32"/>
        <v>6-AR</v>
      </c>
      <c r="J331" s="65" t="s">
        <v>639</v>
      </c>
      <c r="K331" s="65" t="s">
        <v>2547</v>
      </c>
      <c r="L331" s="83" t="str">
        <f t="shared" si="28"/>
        <v>→ 조립자재 R155</v>
      </c>
      <c r="M331" s="84"/>
      <c r="N331" s="80">
        <v>155</v>
      </c>
      <c r="O331" s="80" t="s">
        <v>2110</v>
      </c>
      <c r="P331" s="79" t="s">
        <v>2548</v>
      </c>
    </row>
    <row r="332" spans="1:16" ht="30" customHeight="1" x14ac:dyDescent="0.3">
      <c r="A332" s="56" t="s">
        <v>354</v>
      </c>
      <c r="B332" s="52" t="s">
        <v>471</v>
      </c>
      <c r="C332" s="52" t="s">
        <v>591</v>
      </c>
      <c r="D332" s="79" t="str">
        <f t="shared" ca="1" si="29"/>
        <v>원자재</v>
      </c>
      <c r="E332" s="79" t="str">
        <f t="shared" ca="1" si="30"/>
        <v>AR</v>
      </c>
      <c r="F332" s="52" t="s">
        <v>641</v>
      </c>
      <c r="G332" s="52" t="s">
        <v>2549</v>
      </c>
      <c r="H332" s="79" t="str">
        <f t="shared" si="31"/>
        <v>매칭완료</v>
      </c>
      <c r="I332" s="79" t="str">
        <f t="shared" ca="1" si="32"/>
        <v>6-AR</v>
      </c>
      <c r="J332" s="61" t="s">
        <v>641</v>
      </c>
      <c r="K332" s="65" t="s">
        <v>2550</v>
      </c>
      <c r="L332" s="83" t="str">
        <f t="shared" si="28"/>
        <v>→ 조립자재 R156</v>
      </c>
      <c r="M332" s="84"/>
      <c r="N332" s="80">
        <v>156</v>
      </c>
      <c r="O332" s="80" t="s">
        <v>2110</v>
      </c>
      <c r="P332" s="79" t="s">
        <v>2551</v>
      </c>
    </row>
    <row r="333" spans="1:16" ht="30" customHeight="1" x14ac:dyDescent="0.3">
      <c r="A333" s="56" t="s">
        <v>354</v>
      </c>
      <c r="B333" s="52" t="s">
        <v>471</v>
      </c>
      <c r="C333" s="52" t="s">
        <v>591</v>
      </c>
      <c r="D333" s="79" t="str">
        <f t="shared" ca="1" si="29"/>
        <v>원자재</v>
      </c>
      <c r="E333" s="79" t="str">
        <f t="shared" ca="1" si="30"/>
        <v>AR</v>
      </c>
      <c r="F333" s="52" t="s">
        <v>643</v>
      </c>
      <c r="G333" s="52" t="s">
        <v>2552</v>
      </c>
      <c r="H333" s="79" t="str">
        <f t="shared" si="31"/>
        <v>매칭완료</v>
      </c>
      <c r="I333" s="79" t="str">
        <f t="shared" ca="1" si="32"/>
        <v>6-AR</v>
      </c>
      <c r="J333" s="61" t="s">
        <v>643</v>
      </c>
      <c r="K333" s="65" t="s">
        <v>2553</v>
      </c>
      <c r="L333" s="83" t="str">
        <f t="shared" si="28"/>
        <v>→ 조립자재 R157</v>
      </c>
      <c r="M333" s="84"/>
      <c r="N333" s="80">
        <v>157</v>
      </c>
      <c r="O333" s="80" t="s">
        <v>2110</v>
      </c>
      <c r="P333" s="79" t="s">
        <v>2554</v>
      </c>
    </row>
    <row r="334" spans="1:16" ht="30" customHeight="1" x14ac:dyDescent="0.3">
      <c r="A334" s="56" t="s">
        <v>354</v>
      </c>
      <c r="B334" s="52" t="s">
        <v>471</v>
      </c>
      <c r="C334" s="52" t="s">
        <v>2555</v>
      </c>
      <c r="D334" s="79" t="str">
        <f t="shared" ca="1" si="29"/>
        <v>원자재</v>
      </c>
      <c r="E334" s="79" t="str">
        <f t="shared" ca="1" si="30"/>
        <v>AR</v>
      </c>
      <c r="F334" s="52" t="s">
        <v>646</v>
      </c>
      <c r="G334" s="52" t="s">
        <v>2556</v>
      </c>
      <c r="H334" s="79" t="str">
        <f t="shared" si="31"/>
        <v>매칭완료</v>
      </c>
      <c r="I334" s="79" t="str">
        <f t="shared" ca="1" si="32"/>
        <v>6-AR</v>
      </c>
      <c r="J334" s="61" t="s">
        <v>646</v>
      </c>
      <c r="K334" s="65" t="s">
        <v>2557</v>
      </c>
      <c r="L334" s="83" t="str">
        <f t="shared" si="28"/>
        <v>→ 조립자재 R158</v>
      </c>
      <c r="M334" s="84"/>
      <c r="N334" s="80">
        <v>158</v>
      </c>
      <c r="O334" s="80" t="s">
        <v>2110</v>
      </c>
      <c r="P334" s="79" t="s">
        <v>2558</v>
      </c>
    </row>
    <row r="335" spans="1:16" ht="30" customHeight="1" x14ac:dyDescent="0.3">
      <c r="A335" s="56" t="s">
        <v>354</v>
      </c>
      <c r="B335" s="52" t="s">
        <v>471</v>
      </c>
      <c r="C335" s="52" t="s">
        <v>591</v>
      </c>
      <c r="D335" s="79" t="str">
        <f t="shared" ca="1" si="29"/>
        <v>원자재</v>
      </c>
      <c r="E335" s="79" t="str">
        <f t="shared" ca="1" si="30"/>
        <v>AR</v>
      </c>
      <c r="F335" s="52" t="s">
        <v>648</v>
      </c>
      <c r="G335" s="52" t="s">
        <v>2559</v>
      </c>
      <c r="H335" s="79" t="str">
        <f t="shared" si="31"/>
        <v>매칭완료</v>
      </c>
      <c r="I335" s="79" t="str">
        <f t="shared" ca="1" si="32"/>
        <v>6-AR</v>
      </c>
      <c r="J335" s="61" t="s">
        <v>648</v>
      </c>
      <c r="K335" s="65" t="s">
        <v>2560</v>
      </c>
      <c r="L335" s="83" t="str">
        <f t="shared" si="28"/>
        <v>→ 조립자재 R159</v>
      </c>
      <c r="M335" s="84"/>
      <c r="N335" s="80">
        <v>159</v>
      </c>
      <c r="O335" s="80" t="s">
        <v>2110</v>
      </c>
      <c r="P335" s="79" t="s">
        <v>2561</v>
      </c>
    </row>
    <row r="336" spans="1:16" ht="30" customHeight="1" x14ac:dyDescent="0.3">
      <c r="A336" s="56" t="s">
        <v>354</v>
      </c>
      <c r="B336" s="52" t="s">
        <v>471</v>
      </c>
      <c r="C336" s="52" t="s">
        <v>591</v>
      </c>
      <c r="D336" s="79" t="str">
        <f t="shared" ca="1" si="29"/>
        <v>원자재</v>
      </c>
      <c r="E336" s="79" t="str">
        <f t="shared" ca="1" si="30"/>
        <v>AR</v>
      </c>
      <c r="F336" s="52" t="s">
        <v>650</v>
      </c>
      <c r="G336" s="52" t="s">
        <v>2562</v>
      </c>
      <c r="H336" s="79" t="str">
        <f t="shared" si="31"/>
        <v>매칭완료</v>
      </c>
      <c r="I336" s="79" t="str">
        <f t="shared" ca="1" si="32"/>
        <v>6-AR</v>
      </c>
      <c r="J336" s="61" t="s">
        <v>650</v>
      </c>
      <c r="K336" s="65" t="s">
        <v>2563</v>
      </c>
      <c r="L336" s="83" t="str">
        <f t="shared" si="28"/>
        <v>→ 조립자재 R160</v>
      </c>
      <c r="M336" s="84"/>
      <c r="N336" s="80">
        <v>160</v>
      </c>
      <c r="O336" s="80" t="s">
        <v>2110</v>
      </c>
      <c r="P336" s="79" t="s">
        <v>2564</v>
      </c>
    </row>
    <row r="337" spans="1:16" ht="30" customHeight="1" x14ac:dyDescent="0.3">
      <c r="A337" s="56" t="s">
        <v>354</v>
      </c>
      <c r="B337" s="52" t="s">
        <v>471</v>
      </c>
      <c r="C337" s="52" t="s">
        <v>2555</v>
      </c>
      <c r="D337" s="79" t="str">
        <f t="shared" ca="1" si="29"/>
        <v>원자재</v>
      </c>
      <c r="E337" s="79" t="str">
        <f t="shared" ca="1" si="30"/>
        <v>AR</v>
      </c>
      <c r="F337" s="52" t="s">
        <v>652</v>
      </c>
      <c r="G337" s="52" t="s">
        <v>2565</v>
      </c>
      <c r="H337" s="79" t="str">
        <f t="shared" si="31"/>
        <v>매칭완료</v>
      </c>
      <c r="I337" s="79" t="str">
        <f t="shared" ca="1" si="32"/>
        <v>6-AR</v>
      </c>
      <c r="J337" s="61" t="s">
        <v>652</v>
      </c>
      <c r="K337" s="65" t="s">
        <v>2566</v>
      </c>
      <c r="L337" s="83" t="str">
        <f t="shared" si="28"/>
        <v>→ 조립자재 R161</v>
      </c>
      <c r="M337" s="84"/>
      <c r="N337" s="80">
        <v>161</v>
      </c>
      <c r="O337" s="80" t="s">
        <v>2110</v>
      </c>
      <c r="P337" s="79" t="s">
        <v>2567</v>
      </c>
    </row>
    <row r="338" spans="1:16" ht="30" customHeight="1" x14ac:dyDescent="0.3">
      <c r="A338" s="56" t="s">
        <v>354</v>
      </c>
      <c r="B338" s="52" t="s">
        <v>471</v>
      </c>
      <c r="C338" s="52" t="s">
        <v>2534</v>
      </c>
      <c r="D338" s="79" t="str">
        <f t="shared" ca="1" si="29"/>
        <v>원자재</v>
      </c>
      <c r="E338" s="79" t="str">
        <f t="shared" ca="1" si="30"/>
        <v>AR</v>
      </c>
      <c r="F338" s="52" t="s">
        <v>2568</v>
      </c>
      <c r="G338" s="52" t="s">
        <v>2568</v>
      </c>
      <c r="H338" s="79" t="str">
        <f t="shared" si="31"/>
        <v>매칭완료</v>
      </c>
      <c r="I338" s="79" t="str">
        <f t="shared" ca="1" si="32"/>
        <v>6-AR</v>
      </c>
      <c r="J338" s="61" t="s">
        <v>2568</v>
      </c>
      <c r="K338" s="65" t="s">
        <v>2569</v>
      </c>
      <c r="L338" s="83" t="str">
        <f t="shared" si="28"/>
        <v>→ 조립자재 R162</v>
      </c>
      <c r="M338" s="84"/>
      <c r="N338" s="80">
        <v>162</v>
      </c>
      <c r="O338" s="80" t="s">
        <v>2110</v>
      </c>
      <c r="P338" s="79" t="s">
        <v>2570</v>
      </c>
    </row>
    <row r="339" spans="1:16" ht="30" customHeight="1" x14ac:dyDescent="0.3">
      <c r="A339" s="56" t="s">
        <v>354</v>
      </c>
      <c r="B339" s="52" t="s">
        <v>471</v>
      </c>
      <c r="C339" s="52" t="s">
        <v>2534</v>
      </c>
      <c r="D339" s="79" t="str">
        <f t="shared" ca="1" si="29"/>
        <v>원자재</v>
      </c>
      <c r="E339" s="79" t="str">
        <f t="shared" ca="1" si="30"/>
        <v>AR</v>
      </c>
      <c r="F339" s="52" t="s">
        <v>656</v>
      </c>
      <c r="G339" s="52" t="s">
        <v>2571</v>
      </c>
      <c r="H339" s="79" t="str">
        <f t="shared" si="31"/>
        <v>매칭완료</v>
      </c>
      <c r="I339" s="79" t="str">
        <f t="shared" ca="1" si="32"/>
        <v>6-AR</v>
      </c>
      <c r="J339" s="61" t="s">
        <v>656</v>
      </c>
      <c r="K339" s="65" t="s">
        <v>2572</v>
      </c>
      <c r="L339" s="83" t="str">
        <f t="shared" si="28"/>
        <v>→ 조립자재 R163</v>
      </c>
      <c r="M339" s="84"/>
      <c r="N339" s="80">
        <v>163</v>
      </c>
      <c r="O339" s="80" t="s">
        <v>2110</v>
      </c>
      <c r="P339" s="79" t="s">
        <v>2573</v>
      </c>
    </row>
    <row r="340" spans="1:16" ht="30" customHeight="1" x14ac:dyDescent="0.3">
      <c r="A340" s="56" t="s">
        <v>354</v>
      </c>
      <c r="B340" s="52" t="s">
        <v>471</v>
      </c>
      <c r="C340" s="52" t="s">
        <v>2534</v>
      </c>
      <c r="D340" s="79" t="str">
        <f t="shared" ca="1" si="29"/>
        <v>원자재</v>
      </c>
      <c r="E340" s="79" t="str">
        <f t="shared" ca="1" si="30"/>
        <v>AR</v>
      </c>
      <c r="F340" s="52" t="s">
        <v>1498</v>
      </c>
      <c r="G340" s="52" t="s">
        <v>2574</v>
      </c>
      <c r="H340" s="79" t="str">
        <f t="shared" si="31"/>
        <v>매칭완료</v>
      </c>
      <c r="I340" s="79" t="str">
        <f t="shared" ca="1" si="32"/>
        <v>6-AR</v>
      </c>
      <c r="J340" s="61" t="s">
        <v>1498</v>
      </c>
      <c r="K340" s="65" t="s">
        <v>2575</v>
      </c>
      <c r="L340" s="83" t="str">
        <f t="shared" si="28"/>
        <v>→ 조립자재 R164</v>
      </c>
      <c r="M340" s="84"/>
      <c r="N340" s="80">
        <v>164</v>
      </c>
      <c r="O340" s="80" t="s">
        <v>2110</v>
      </c>
      <c r="P340" s="79" t="s">
        <v>2576</v>
      </c>
    </row>
    <row r="341" spans="1:16" ht="30" customHeight="1" x14ac:dyDescent="0.3">
      <c r="A341" s="56" t="s">
        <v>354</v>
      </c>
      <c r="B341" s="52" t="s">
        <v>471</v>
      </c>
      <c r="C341" s="52" t="s">
        <v>2534</v>
      </c>
      <c r="D341" s="79" t="str">
        <f t="shared" ca="1" si="29"/>
        <v>원자재</v>
      </c>
      <c r="E341" s="79" t="str">
        <f t="shared" ca="1" si="30"/>
        <v>AR</v>
      </c>
      <c r="F341" s="52" t="s">
        <v>1642</v>
      </c>
      <c r="G341" s="52" t="s">
        <v>2577</v>
      </c>
      <c r="H341" s="79" t="str">
        <f t="shared" si="31"/>
        <v>매칭완료</v>
      </c>
      <c r="I341" s="79" t="str">
        <f t="shared" ca="1" si="32"/>
        <v>6-AR</v>
      </c>
      <c r="J341" s="61" t="s">
        <v>1642</v>
      </c>
      <c r="K341" s="65" t="s">
        <v>2578</v>
      </c>
      <c r="L341" s="83" t="str">
        <f t="shared" si="28"/>
        <v>→ 조립자재 R165</v>
      </c>
      <c r="M341" s="84"/>
      <c r="N341" s="80">
        <v>165</v>
      </c>
      <c r="O341" s="80" t="s">
        <v>2110</v>
      </c>
      <c r="P341" s="79" t="s">
        <v>2579</v>
      </c>
    </row>
    <row r="342" spans="1:16" ht="30" customHeight="1" x14ac:dyDescent="0.3">
      <c r="A342" s="56" t="s">
        <v>354</v>
      </c>
      <c r="B342" s="52" t="s">
        <v>471</v>
      </c>
      <c r="C342" s="52" t="s">
        <v>591</v>
      </c>
      <c r="D342" s="79" t="str">
        <f t="shared" ca="1" si="29"/>
        <v>원자재</v>
      </c>
      <c r="E342" s="79" t="str">
        <f t="shared" ca="1" si="30"/>
        <v>AR</v>
      </c>
      <c r="F342" s="52" t="s">
        <v>662</v>
      </c>
      <c r="G342" s="52" t="s">
        <v>2580</v>
      </c>
      <c r="H342" s="79" t="str">
        <f t="shared" si="31"/>
        <v>매칭완료</v>
      </c>
      <c r="I342" s="79" t="str">
        <f t="shared" ca="1" si="32"/>
        <v>6-AR</v>
      </c>
      <c r="J342" s="61" t="s">
        <v>662</v>
      </c>
      <c r="K342" s="65" t="s">
        <v>2581</v>
      </c>
      <c r="L342" s="83" t="str">
        <f t="shared" si="28"/>
        <v>→ 조립자재 R166</v>
      </c>
      <c r="M342" s="84"/>
      <c r="N342" s="80">
        <v>166</v>
      </c>
      <c r="O342" s="80" t="s">
        <v>2110</v>
      </c>
      <c r="P342" s="79" t="s">
        <v>2582</v>
      </c>
    </row>
    <row r="343" spans="1:16" ht="30" customHeight="1" x14ac:dyDescent="0.3">
      <c r="A343" s="56" t="s">
        <v>354</v>
      </c>
      <c r="B343" s="52" t="s">
        <v>471</v>
      </c>
      <c r="C343" s="52" t="s">
        <v>591</v>
      </c>
      <c r="D343" s="79" t="str">
        <f t="shared" ca="1" si="29"/>
        <v>원자재</v>
      </c>
      <c r="E343" s="79" t="str">
        <f t="shared" ca="1" si="30"/>
        <v>AR</v>
      </c>
      <c r="F343" s="52" t="s">
        <v>664</v>
      </c>
      <c r="G343" s="52" t="s">
        <v>2583</v>
      </c>
      <c r="H343" s="79" t="str">
        <f t="shared" si="31"/>
        <v>매칭완료</v>
      </c>
      <c r="I343" s="79" t="str">
        <f t="shared" ca="1" si="32"/>
        <v>6-AR</v>
      </c>
      <c r="J343" s="61" t="s">
        <v>664</v>
      </c>
      <c r="K343" s="65" t="s">
        <v>2584</v>
      </c>
      <c r="L343" s="83" t="str">
        <f t="shared" si="28"/>
        <v>→ 조립자재 R167</v>
      </c>
      <c r="M343" s="84"/>
      <c r="N343" s="80">
        <v>167</v>
      </c>
      <c r="O343" s="80" t="s">
        <v>2110</v>
      </c>
      <c r="P343" s="79" t="s">
        <v>2585</v>
      </c>
    </row>
    <row r="344" spans="1:16" ht="30" customHeight="1" x14ac:dyDescent="0.3">
      <c r="A344" s="56" t="s">
        <v>354</v>
      </c>
      <c r="B344" s="52" t="s">
        <v>471</v>
      </c>
      <c r="C344" s="52" t="s">
        <v>591</v>
      </c>
      <c r="D344" s="79" t="str">
        <f t="shared" ca="1" si="29"/>
        <v>원자재</v>
      </c>
      <c r="E344" s="79" t="str">
        <f t="shared" ca="1" si="30"/>
        <v>AR</v>
      </c>
      <c r="F344" s="52" t="s">
        <v>666</v>
      </c>
      <c r="G344" s="52" t="s">
        <v>2586</v>
      </c>
      <c r="H344" s="79" t="str">
        <f t="shared" si="31"/>
        <v>매칭완료</v>
      </c>
      <c r="I344" s="79" t="str">
        <f t="shared" ca="1" si="32"/>
        <v>6-AR</v>
      </c>
      <c r="J344" s="61" t="s">
        <v>666</v>
      </c>
      <c r="K344" s="65" t="s">
        <v>2587</v>
      </c>
      <c r="L344" s="83" t="str">
        <f t="shared" si="28"/>
        <v>→ 조립자재 R168</v>
      </c>
      <c r="M344" s="84"/>
      <c r="N344" s="80">
        <v>168</v>
      </c>
      <c r="O344" s="80" t="s">
        <v>2110</v>
      </c>
      <c r="P344" s="79" t="s">
        <v>2588</v>
      </c>
    </row>
    <row r="345" spans="1:16" ht="30" customHeight="1" x14ac:dyDescent="0.3">
      <c r="A345" s="56" t="s">
        <v>354</v>
      </c>
      <c r="B345" s="52" t="s">
        <v>471</v>
      </c>
      <c r="C345" s="52" t="s">
        <v>591</v>
      </c>
      <c r="D345" s="79" t="str">
        <f t="shared" ca="1" si="29"/>
        <v>원자재</v>
      </c>
      <c r="E345" s="79" t="str">
        <f t="shared" ca="1" si="30"/>
        <v>AR</v>
      </c>
      <c r="F345" s="52" t="s">
        <v>668</v>
      </c>
      <c r="G345" s="52" t="s">
        <v>2589</v>
      </c>
      <c r="H345" s="79" t="str">
        <f t="shared" si="31"/>
        <v>매칭완료</v>
      </c>
      <c r="I345" s="79" t="str">
        <f t="shared" ca="1" si="32"/>
        <v>6-AR</v>
      </c>
      <c r="J345" s="61" t="s">
        <v>668</v>
      </c>
      <c r="K345" s="65" t="s">
        <v>2590</v>
      </c>
      <c r="L345" s="83" t="str">
        <f t="shared" si="28"/>
        <v>→ 조립자재 R169</v>
      </c>
      <c r="M345" s="84"/>
      <c r="N345" s="80">
        <v>169</v>
      </c>
      <c r="O345" s="80" t="s">
        <v>2110</v>
      </c>
      <c r="P345" s="79" t="s">
        <v>2591</v>
      </c>
    </row>
    <row r="346" spans="1:16" ht="30" customHeight="1" x14ac:dyDescent="0.3">
      <c r="A346" s="56" t="s">
        <v>354</v>
      </c>
      <c r="B346" s="52" t="s">
        <v>471</v>
      </c>
      <c r="C346" s="52" t="s">
        <v>591</v>
      </c>
      <c r="D346" s="79" t="str">
        <f t="shared" ca="1" si="29"/>
        <v>원자재</v>
      </c>
      <c r="E346" s="79" t="str">
        <f t="shared" ca="1" si="30"/>
        <v>AR</v>
      </c>
      <c r="F346" s="52" t="s">
        <v>670</v>
      </c>
      <c r="G346" s="52" t="s">
        <v>2592</v>
      </c>
      <c r="H346" s="79" t="str">
        <f t="shared" si="31"/>
        <v>매칭완료</v>
      </c>
      <c r="I346" s="79" t="str">
        <f t="shared" ca="1" si="32"/>
        <v>6-AR</v>
      </c>
      <c r="J346" s="61" t="s">
        <v>670</v>
      </c>
      <c r="K346" s="65" t="s">
        <v>2593</v>
      </c>
      <c r="L346" s="83" t="str">
        <f t="shared" si="28"/>
        <v>→ 조립자재 R170</v>
      </c>
      <c r="M346" s="84"/>
      <c r="N346" s="80">
        <v>170</v>
      </c>
      <c r="O346" s="80" t="s">
        <v>2110</v>
      </c>
      <c r="P346" s="79" t="s">
        <v>2594</v>
      </c>
    </row>
    <row r="347" spans="1:16" ht="30" customHeight="1" x14ac:dyDescent="0.3">
      <c r="A347" s="56" t="s">
        <v>354</v>
      </c>
      <c r="B347" s="52" t="s">
        <v>471</v>
      </c>
      <c r="C347" s="52" t="s">
        <v>591</v>
      </c>
      <c r="D347" s="79" t="str">
        <f t="shared" ca="1" si="29"/>
        <v>원자재</v>
      </c>
      <c r="E347" s="79" t="str">
        <f t="shared" ca="1" si="30"/>
        <v>AR</v>
      </c>
      <c r="F347" s="52" t="s">
        <v>672</v>
      </c>
      <c r="G347" s="52" t="s">
        <v>2595</v>
      </c>
      <c r="H347" s="79" t="str">
        <f t="shared" si="31"/>
        <v>매칭완료</v>
      </c>
      <c r="I347" s="79" t="str">
        <f t="shared" ca="1" si="32"/>
        <v>6-AR</v>
      </c>
      <c r="J347" s="61" t="s">
        <v>672</v>
      </c>
      <c r="K347" s="65" t="s">
        <v>2596</v>
      </c>
      <c r="L347" s="83" t="str">
        <f t="shared" si="28"/>
        <v>→ 조립자재 R171</v>
      </c>
      <c r="M347" s="84"/>
      <c r="N347" s="80">
        <v>171</v>
      </c>
      <c r="O347" s="80" t="s">
        <v>2110</v>
      </c>
      <c r="P347" s="79" t="s">
        <v>2597</v>
      </c>
    </row>
    <row r="348" spans="1:16" ht="30" customHeight="1" x14ac:dyDescent="0.3">
      <c r="A348" s="56" t="s">
        <v>354</v>
      </c>
      <c r="B348" s="52" t="s">
        <v>471</v>
      </c>
      <c r="C348" s="52" t="s">
        <v>591</v>
      </c>
      <c r="D348" s="79" t="str">
        <f t="shared" ca="1" si="29"/>
        <v>원자재</v>
      </c>
      <c r="E348" s="79" t="str">
        <f t="shared" ca="1" si="30"/>
        <v>AR</v>
      </c>
      <c r="F348" s="52" t="s">
        <v>674</v>
      </c>
      <c r="G348" s="52" t="s">
        <v>2598</v>
      </c>
      <c r="H348" s="79" t="str">
        <f t="shared" si="31"/>
        <v>매칭완료</v>
      </c>
      <c r="I348" s="79" t="str">
        <f t="shared" ca="1" si="32"/>
        <v>6-AR</v>
      </c>
      <c r="J348" s="61" t="s">
        <v>674</v>
      </c>
      <c r="K348" s="65" t="s">
        <v>2599</v>
      </c>
      <c r="L348" s="83" t="str">
        <f t="shared" si="28"/>
        <v>→ 조립자재 R172</v>
      </c>
      <c r="M348" s="84"/>
      <c r="N348" s="80">
        <v>172</v>
      </c>
      <c r="O348" s="80" t="s">
        <v>2110</v>
      </c>
      <c r="P348" s="79" t="s">
        <v>2600</v>
      </c>
    </row>
    <row r="349" spans="1:16" ht="30" customHeight="1" x14ac:dyDescent="0.3">
      <c r="A349" s="56" t="s">
        <v>354</v>
      </c>
      <c r="B349" s="52" t="s">
        <v>471</v>
      </c>
      <c r="C349" s="52" t="s">
        <v>591</v>
      </c>
      <c r="D349" s="79" t="str">
        <f t="shared" ca="1" si="29"/>
        <v>원자재</v>
      </c>
      <c r="E349" s="79" t="str">
        <f t="shared" ca="1" si="30"/>
        <v>AR</v>
      </c>
      <c r="F349" s="52" t="s">
        <v>676</v>
      </c>
      <c r="G349" s="52" t="s">
        <v>2601</v>
      </c>
      <c r="H349" s="79" t="str">
        <f t="shared" si="31"/>
        <v>매칭완료</v>
      </c>
      <c r="I349" s="79" t="str">
        <f t="shared" ca="1" si="32"/>
        <v>6-AR</v>
      </c>
      <c r="J349" s="61" t="s">
        <v>676</v>
      </c>
      <c r="K349" s="65" t="s">
        <v>2602</v>
      </c>
      <c r="L349" s="83" t="str">
        <f t="shared" si="28"/>
        <v>→ 조립자재 R173</v>
      </c>
      <c r="M349" s="84"/>
      <c r="N349" s="80">
        <v>173</v>
      </c>
      <c r="O349" s="80" t="s">
        <v>2110</v>
      </c>
      <c r="P349" s="79" t="s">
        <v>2603</v>
      </c>
    </row>
    <row r="350" spans="1:16" ht="30" customHeight="1" x14ac:dyDescent="0.3">
      <c r="A350" s="56" t="s">
        <v>354</v>
      </c>
      <c r="B350" s="52" t="s">
        <v>471</v>
      </c>
      <c r="C350" s="52" t="s">
        <v>591</v>
      </c>
      <c r="D350" s="79" t="str">
        <f t="shared" ca="1" si="29"/>
        <v>원자재</v>
      </c>
      <c r="E350" s="79" t="str">
        <f t="shared" ca="1" si="30"/>
        <v>AR</v>
      </c>
      <c r="F350" s="52" t="s">
        <v>678</v>
      </c>
      <c r="G350" s="52" t="s">
        <v>2604</v>
      </c>
      <c r="H350" s="79" t="str">
        <f t="shared" si="31"/>
        <v>매칭완료</v>
      </c>
      <c r="I350" s="79" t="str">
        <f t="shared" ca="1" si="32"/>
        <v>6-AR</v>
      </c>
      <c r="J350" s="61" t="s">
        <v>678</v>
      </c>
      <c r="K350" s="65" t="s">
        <v>2605</v>
      </c>
      <c r="L350" s="83" t="str">
        <f t="shared" si="28"/>
        <v>→ 조립자재 R174</v>
      </c>
      <c r="M350" s="84"/>
      <c r="N350" s="80">
        <v>174</v>
      </c>
      <c r="O350" s="80" t="s">
        <v>2110</v>
      </c>
      <c r="P350" s="79" t="s">
        <v>2606</v>
      </c>
    </row>
    <row r="351" spans="1:16" ht="30" customHeight="1" x14ac:dyDescent="0.3">
      <c r="A351" s="56" t="s">
        <v>354</v>
      </c>
      <c r="B351" s="52" t="s">
        <v>471</v>
      </c>
      <c r="C351" s="52" t="s">
        <v>591</v>
      </c>
      <c r="D351" s="79" t="str">
        <f t="shared" ca="1" si="29"/>
        <v>원자재</v>
      </c>
      <c r="E351" s="79" t="str">
        <f t="shared" ca="1" si="30"/>
        <v>AR</v>
      </c>
      <c r="F351" s="52" t="s">
        <v>680</v>
      </c>
      <c r="G351" s="52" t="s">
        <v>2607</v>
      </c>
      <c r="H351" s="79" t="str">
        <f t="shared" si="31"/>
        <v>매칭완료</v>
      </c>
      <c r="I351" s="79" t="str">
        <f t="shared" ca="1" si="32"/>
        <v>6-AR</v>
      </c>
      <c r="J351" s="61" t="s">
        <v>680</v>
      </c>
      <c r="K351" s="65" t="s">
        <v>2608</v>
      </c>
      <c r="L351" s="83" t="str">
        <f t="shared" si="28"/>
        <v>→ 조립자재 R175</v>
      </c>
      <c r="M351" s="84"/>
      <c r="N351" s="80">
        <v>175</v>
      </c>
      <c r="O351" s="80" t="s">
        <v>2110</v>
      </c>
      <c r="P351" s="79" t="s">
        <v>2609</v>
      </c>
    </row>
    <row r="352" spans="1:16" ht="30" customHeight="1" x14ac:dyDescent="0.3">
      <c r="A352" s="56" t="s">
        <v>354</v>
      </c>
      <c r="B352" s="52" t="s">
        <v>471</v>
      </c>
      <c r="C352" s="52" t="s">
        <v>2555</v>
      </c>
      <c r="D352" s="79" t="str">
        <f t="shared" ca="1" si="29"/>
        <v>원자재</v>
      </c>
      <c r="E352" s="79" t="str">
        <f t="shared" ca="1" si="30"/>
        <v>AR</v>
      </c>
      <c r="F352" s="52" t="s">
        <v>682</v>
      </c>
      <c r="G352" s="52" t="s">
        <v>2610</v>
      </c>
      <c r="H352" s="79" t="str">
        <f t="shared" si="31"/>
        <v>매칭완료</v>
      </c>
      <c r="I352" s="79" t="str">
        <f t="shared" ca="1" si="32"/>
        <v>6-AR</v>
      </c>
      <c r="J352" s="61" t="s">
        <v>682</v>
      </c>
      <c r="K352" s="65" t="s">
        <v>2611</v>
      </c>
      <c r="L352" s="83" t="str">
        <f t="shared" si="28"/>
        <v>→ 조립자재 R176</v>
      </c>
      <c r="M352" s="84"/>
      <c r="N352" s="80">
        <v>176</v>
      </c>
      <c r="O352" s="80" t="s">
        <v>2110</v>
      </c>
      <c r="P352" s="79" t="s">
        <v>2612</v>
      </c>
    </row>
    <row r="353" spans="1:16" ht="30" customHeight="1" x14ac:dyDescent="0.3">
      <c r="A353" s="56" t="s">
        <v>354</v>
      </c>
      <c r="B353" s="52" t="s">
        <v>471</v>
      </c>
      <c r="C353" s="52" t="s">
        <v>684</v>
      </c>
      <c r="D353" s="79" t="str">
        <f t="shared" ca="1" si="29"/>
        <v>원자재</v>
      </c>
      <c r="E353" s="79" t="str">
        <f t="shared" ca="1" si="30"/>
        <v>AR</v>
      </c>
      <c r="F353" s="52" t="s">
        <v>685</v>
      </c>
      <c r="G353" s="52" t="s">
        <v>2613</v>
      </c>
      <c r="H353" s="79" t="str">
        <f t="shared" si="31"/>
        <v>매칭완료</v>
      </c>
      <c r="I353" s="79" t="str">
        <f t="shared" ca="1" si="32"/>
        <v>6-AR</v>
      </c>
      <c r="J353" s="61" t="s">
        <v>685</v>
      </c>
      <c r="K353" s="65" t="s">
        <v>2614</v>
      </c>
      <c r="L353" s="83" t="str">
        <f t="shared" si="28"/>
        <v>→ 조립자재 R177</v>
      </c>
      <c r="M353" s="84"/>
      <c r="N353" s="80">
        <v>177</v>
      </c>
      <c r="O353" s="80" t="s">
        <v>2110</v>
      </c>
      <c r="P353" s="79" t="s">
        <v>2615</v>
      </c>
    </row>
    <row r="354" spans="1:16" ht="30" customHeight="1" x14ac:dyDescent="0.3">
      <c r="A354" s="56" t="s">
        <v>354</v>
      </c>
      <c r="B354" s="52" t="s">
        <v>471</v>
      </c>
      <c r="C354" s="52" t="s">
        <v>2534</v>
      </c>
      <c r="D354" s="79" t="str">
        <f t="shared" ca="1" si="29"/>
        <v>원자재</v>
      </c>
      <c r="E354" s="79" t="str">
        <f t="shared" ca="1" si="30"/>
        <v>AR</v>
      </c>
      <c r="F354" s="52" t="s">
        <v>687</v>
      </c>
      <c r="G354" s="52" t="s">
        <v>2616</v>
      </c>
      <c r="H354" s="79" t="str">
        <f t="shared" si="31"/>
        <v>매칭완료</v>
      </c>
      <c r="I354" s="79" t="str">
        <f t="shared" ca="1" si="32"/>
        <v>6-AR</v>
      </c>
      <c r="J354" s="61" t="s">
        <v>687</v>
      </c>
      <c r="K354" s="65" t="s">
        <v>2617</v>
      </c>
      <c r="L354" s="83" t="str">
        <f t="shared" si="28"/>
        <v>→ 조립자재 R178</v>
      </c>
      <c r="M354" s="84"/>
      <c r="N354" s="80">
        <v>178</v>
      </c>
      <c r="O354" s="80" t="s">
        <v>2110</v>
      </c>
      <c r="P354" s="79" t="s">
        <v>2618</v>
      </c>
    </row>
    <row r="355" spans="1:16" ht="30" customHeight="1" x14ac:dyDescent="0.3">
      <c r="A355" s="56" t="s">
        <v>354</v>
      </c>
      <c r="B355" s="52" t="s">
        <v>536</v>
      </c>
      <c r="C355" s="52" t="s">
        <v>2534</v>
      </c>
      <c r="D355" s="79" t="str">
        <f t="shared" ca="1" si="29"/>
        <v>원자재</v>
      </c>
      <c r="E355" s="79" t="str">
        <f t="shared" ca="1" si="30"/>
        <v>AR</v>
      </c>
      <c r="F355" s="52" t="s">
        <v>689</v>
      </c>
      <c r="G355" s="52" t="s">
        <v>2619</v>
      </c>
      <c r="H355" s="79" t="str">
        <f t="shared" si="31"/>
        <v>매칭완료</v>
      </c>
      <c r="I355" s="79" t="str">
        <f t="shared" ca="1" si="32"/>
        <v>6-AR</v>
      </c>
      <c r="J355" s="61" t="s">
        <v>689</v>
      </c>
      <c r="K355" s="65" t="s">
        <v>2620</v>
      </c>
      <c r="L355" s="83" t="str">
        <f t="shared" si="28"/>
        <v>→ 조립자재 R179</v>
      </c>
      <c r="M355" s="84"/>
      <c r="N355" s="80">
        <v>179</v>
      </c>
      <c r="O355" s="80" t="s">
        <v>2110</v>
      </c>
      <c r="P355" s="79" t="s">
        <v>2621</v>
      </c>
    </row>
    <row r="356" spans="1:16" ht="30" customHeight="1" x14ac:dyDescent="0.3">
      <c r="A356" s="56" t="s">
        <v>354</v>
      </c>
      <c r="B356" s="52" t="s">
        <v>536</v>
      </c>
      <c r="C356" s="52" t="s">
        <v>2534</v>
      </c>
      <c r="D356" s="79" t="str">
        <f t="shared" ca="1" si="29"/>
        <v>원자재</v>
      </c>
      <c r="E356" s="79" t="str">
        <f t="shared" ca="1" si="30"/>
        <v>AR</v>
      </c>
      <c r="F356" s="52" t="s">
        <v>691</v>
      </c>
      <c r="G356" s="52" t="s">
        <v>2622</v>
      </c>
      <c r="H356" s="79" t="str">
        <f t="shared" si="31"/>
        <v>매칭완료</v>
      </c>
      <c r="I356" s="79" t="str">
        <f t="shared" ca="1" si="32"/>
        <v>6-AR</v>
      </c>
      <c r="J356" s="61" t="s">
        <v>691</v>
      </c>
      <c r="K356" s="65" t="s">
        <v>2623</v>
      </c>
      <c r="L356" s="83" t="str">
        <f t="shared" si="28"/>
        <v>→ 조립자재 R180</v>
      </c>
      <c r="M356" s="84"/>
      <c r="N356" s="80">
        <v>180</v>
      </c>
      <c r="O356" s="80" t="s">
        <v>2110</v>
      </c>
      <c r="P356" s="79" t="s">
        <v>2624</v>
      </c>
    </row>
    <row r="357" spans="1:16" ht="30" customHeight="1" x14ac:dyDescent="0.3">
      <c r="A357" s="56" t="s">
        <v>354</v>
      </c>
      <c r="B357" s="52" t="s">
        <v>536</v>
      </c>
      <c r="C357" s="52" t="s">
        <v>2534</v>
      </c>
      <c r="D357" s="79" t="str">
        <f t="shared" ca="1" si="29"/>
        <v>원자재</v>
      </c>
      <c r="E357" s="79" t="str">
        <f t="shared" ca="1" si="30"/>
        <v>AR</v>
      </c>
      <c r="F357" s="52" t="s">
        <v>693</v>
      </c>
      <c r="G357" s="52" t="s">
        <v>2625</v>
      </c>
      <c r="H357" s="79" t="str">
        <f t="shared" si="31"/>
        <v>매칭완료</v>
      </c>
      <c r="I357" s="79" t="str">
        <f t="shared" ca="1" si="32"/>
        <v>6-AR</v>
      </c>
      <c r="J357" s="61" t="s">
        <v>693</v>
      </c>
      <c r="K357" s="65" t="s">
        <v>2626</v>
      </c>
      <c r="L357" s="83" t="str">
        <f t="shared" si="28"/>
        <v>→ 조립자재 R181</v>
      </c>
      <c r="M357" s="84"/>
      <c r="N357" s="80">
        <v>181</v>
      </c>
      <c r="O357" s="80" t="s">
        <v>2110</v>
      </c>
      <c r="P357" s="79" t="s">
        <v>2627</v>
      </c>
    </row>
    <row r="358" spans="1:16" ht="30" customHeight="1" x14ac:dyDescent="0.3">
      <c r="A358" s="56" t="s">
        <v>354</v>
      </c>
      <c r="B358" s="52" t="s">
        <v>536</v>
      </c>
      <c r="C358" s="52" t="s">
        <v>2555</v>
      </c>
      <c r="D358" s="79" t="str">
        <f t="shared" ca="1" si="29"/>
        <v>원자재</v>
      </c>
      <c r="E358" s="79" t="str">
        <f t="shared" ca="1" si="30"/>
        <v>AR</v>
      </c>
      <c r="F358" s="52" t="s">
        <v>693</v>
      </c>
      <c r="G358" s="52" t="s">
        <v>2628</v>
      </c>
      <c r="H358" s="79" t="str">
        <f t="shared" si="31"/>
        <v>매칭완료</v>
      </c>
      <c r="I358" s="79" t="str">
        <f t="shared" ca="1" si="32"/>
        <v>6-AR</v>
      </c>
      <c r="J358" s="61" t="s">
        <v>693</v>
      </c>
      <c r="K358" s="65" t="s">
        <v>2629</v>
      </c>
      <c r="L358" s="83" t="str">
        <f t="shared" si="28"/>
        <v>→ 조립자재 R182</v>
      </c>
      <c r="M358" s="84"/>
      <c r="N358" s="80">
        <v>182</v>
      </c>
      <c r="O358" s="80" t="s">
        <v>2110</v>
      </c>
      <c r="P358" s="79" t="s">
        <v>2630</v>
      </c>
    </row>
    <row r="359" spans="1:16" ht="30" customHeight="1" x14ac:dyDescent="0.3">
      <c r="A359" s="56" t="s">
        <v>354</v>
      </c>
      <c r="B359" s="52" t="s">
        <v>536</v>
      </c>
      <c r="C359" s="52" t="s">
        <v>2534</v>
      </c>
      <c r="D359" s="79" t="str">
        <f t="shared" ca="1" si="29"/>
        <v>원자재</v>
      </c>
      <c r="E359" s="79" t="str">
        <f t="shared" ca="1" si="30"/>
        <v>AR</v>
      </c>
      <c r="F359" s="52" t="s">
        <v>696</v>
      </c>
      <c r="G359" s="52" t="s">
        <v>2631</v>
      </c>
      <c r="H359" s="79" t="str">
        <f t="shared" si="31"/>
        <v>매칭완료</v>
      </c>
      <c r="I359" s="79" t="str">
        <f t="shared" ca="1" si="32"/>
        <v>6-AR</v>
      </c>
      <c r="J359" s="61" t="s">
        <v>696</v>
      </c>
      <c r="K359" s="65" t="s">
        <v>2632</v>
      </c>
      <c r="L359" s="83" t="str">
        <f t="shared" si="28"/>
        <v>→ 조립자재 R183</v>
      </c>
      <c r="M359" s="84"/>
      <c r="N359" s="80">
        <v>183</v>
      </c>
      <c r="O359" s="80" t="s">
        <v>2110</v>
      </c>
      <c r="P359" s="79" t="s">
        <v>2633</v>
      </c>
    </row>
    <row r="360" spans="1:16" ht="30" customHeight="1" x14ac:dyDescent="0.3">
      <c r="A360" s="56" t="s">
        <v>354</v>
      </c>
      <c r="B360" s="52" t="s">
        <v>536</v>
      </c>
      <c r="C360" s="52" t="s">
        <v>2534</v>
      </c>
      <c r="D360" s="79" t="str">
        <f t="shared" ca="1" si="29"/>
        <v>원자재</v>
      </c>
      <c r="E360" s="79" t="str">
        <f t="shared" ca="1" si="30"/>
        <v>AR</v>
      </c>
      <c r="F360" s="52" t="s">
        <v>698</v>
      </c>
      <c r="G360" s="52" t="s">
        <v>2634</v>
      </c>
      <c r="H360" s="79" t="str">
        <f t="shared" si="31"/>
        <v>매칭완료</v>
      </c>
      <c r="I360" s="79" t="str">
        <f t="shared" ca="1" si="32"/>
        <v>6-AR</v>
      </c>
      <c r="J360" s="61" t="s">
        <v>698</v>
      </c>
      <c r="K360" s="65" t="s">
        <v>2635</v>
      </c>
      <c r="L360" s="83" t="str">
        <f t="shared" si="28"/>
        <v>→ 조립자재 R184</v>
      </c>
      <c r="M360" s="84"/>
      <c r="N360" s="80">
        <v>184</v>
      </c>
      <c r="O360" s="80" t="s">
        <v>2110</v>
      </c>
      <c r="P360" s="79" t="s">
        <v>2636</v>
      </c>
    </row>
    <row r="361" spans="1:16" ht="30" customHeight="1" x14ac:dyDescent="0.3">
      <c r="A361" s="56" t="s">
        <v>354</v>
      </c>
      <c r="B361" s="52" t="s">
        <v>536</v>
      </c>
      <c r="C361" s="52" t="s">
        <v>2534</v>
      </c>
      <c r="D361" s="79" t="str">
        <f t="shared" ca="1" si="29"/>
        <v>원자재</v>
      </c>
      <c r="E361" s="79" t="str">
        <f t="shared" ca="1" si="30"/>
        <v>AR</v>
      </c>
      <c r="F361" s="52" t="s">
        <v>700</v>
      </c>
      <c r="G361" s="52" t="s">
        <v>2637</v>
      </c>
      <c r="H361" s="79" t="str">
        <f t="shared" si="31"/>
        <v>매칭완료</v>
      </c>
      <c r="I361" s="79" t="str">
        <f t="shared" ca="1" si="32"/>
        <v>6-AR</v>
      </c>
      <c r="J361" s="61" t="s">
        <v>700</v>
      </c>
      <c r="K361" s="65" t="s">
        <v>2638</v>
      </c>
      <c r="L361" s="83" t="str">
        <f t="shared" si="28"/>
        <v>→ 조립자재 R185</v>
      </c>
      <c r="M361" s="84"/>
      <c r="N361" s="80">
        <v>185</v>
      </c>
      <c r="O361" s="80" t="s">
        <v>2110</v>
      </c>
      <c r="P361" s="79" t="s">
        <v>2639</v>
      </c>
    </row>
    <row r="362" spans="1:16" ht="30" customHeight="1" x14ac:dyDescent="0.3">
      <c r="A362" s="56" t="s">
        <v>354</v>
      </c>
      <c r="B362" s="52" t="s">
        <v>536</v>
      </c>
      <c r="C362" s="52" t="s">
        <v>2555</v>
      </c>
      <c r="D362" s="79" t="str">
        <f t="shared" ca="1" si="29"/>
        <v>원자재</v>
      </c>
      <c r="E362" s="79" t="str">
        <f t="shared" ca="1" si="30"/>
        <v>AR</v>
      </c>
      <c r="F362" s="52" t="s">
        <v>702</v>
      </c>
      <c r="G362" s="52" t="s">
        <v>2640</v>
      </c>
      <c r="H362" s="79" t="str">
        <f t="shared" si="31"/>
        <v>매칭완료</v>
      </c>
      <c r="I362" s="79" t="str">
        <f t="shared" ca="1" si="32"/>
        <v>6-AR</v>
      </c>
      <c r="J362" s="61" t="s">
        <v>702</v>
      </c>
      <c r="K362" s="65" t="s">
        <v>2641</v>
      </c>
      <c r="L362" s="83" t="str">
        <f t="shared" si="28"/>
        <v>→ 조립자재 R186</v>
      </c>
      <c r="M362" s="84"/>
      <c r="N362" s="80">
        <v>186</v>
      </c>
      <c r="O362" s="80" t="s">
        <v>2110</v>
      </c>
      <c r="P362" s="79" t="s">
        <v>2642</v>
      </c>
    </row>
    <row r="363" spans="1:16" ht="30" customHeight="1" x14ac:dyDescent="0.3">
      <c r="A363" s="56" t="s">
        <v>354</v>
      </c>
      <c r="B363" s="52" t="s">
        <v>536</v>
      </c>
      <c r="C363" s="52" t="s">
        <v>2555</v>
      </c>
      <c r="D363" s="79" t="str">
        <f t="shared" ca="1" si="29"/>
        <v>원자재</v>
      </c>
      <c r="E363" s="79" t="str">
        <f t="shared" ca="1" si="30"/>
        <v>AR</v>
      </c>
      <c r="F363" s="52" t="s">
        <v>704</v>
      </c>
      <c r="G363" s="52" t="s">
        <v>2643</v>
      </c>
      <c r="H363" s="79" t="str">
        <f t="shared" si="31"/>
        <v>매칭완료</v>
      </c>
      <c r="I363" s="79" t="str">
        <f t="shared" ca="1" si="32"/>
        <v>6-AR</v>
      </c>
      <c r="J363" s="61" t="s">
        <v>704</v>
      </c>
      <c r="K363" s="65" t="s">
        <v>2644</v>
      </c>
      <c r="L363" s="83" t="str">
        <f t="shared" si="28"/>
        <v>→ 조립자재 R187</v>
      </c>
      <c r="M363" s="84"/>
      <c r="N363" s="80">
        <v>187</v>
      </c>
      <c r="O363" s="80" t="s">
        <v>2110</v>
      </c>
      <c r="P363" s="79" t="s">
        <v>2645</v>
      </c>
    </row>
    <row r="364" spans="1:16" ht="30" customHeight="1" x14ac:dyDescent="0.3">
      <c r="A364" s="56" t="s">
        <v>354</v>
      </c>
      <c r="B364" s="52" t="s">
        <v>536</v>
      </c>
      <c r="C364" s="52" t="s">
        <v>591</v>
      </c>
      <c r="D364" s="79" t="str">
        <f t="shared" ca="1" si="29"/>
        <v>원자재</v>
      </c>
      <c r="E364" s="79" t="str">
        <f t="shared" ca="1" si="30"/>
        <v>AR</v>
      </c>
      <c r="F364" s="52" t="s">
        <v>706</v>
      </c>
      <c r="G364" s="52" t="s">
        <v>2646</v>
      </c>
      <c r="H364" s="79" t="str">
        <f t="shared" si="31"/>
        <v>매칭완료</v>
      </c>
      <c r="I364" s="79" t="str">
        <f t="shared" ca="1" si="32"/>
        <v>6-AR</v>
      </c>
      <c r="J364" s="61" t="s">
        <v>706</v>
      </c>
      <c r="K364" s="65" t="s">
        <v>2647</v>
      </c>
      <c r="L364" s="83" t="str">
        <f t="shared" si="28"/>
        <v>→ 조립자재 R188</v>
      </c>
      <c r="M364" s="84"/>
      <c r="N364" s="80">
        <v>188</v>
      </c>
      <c r="O364" s="80" t="s">
        <v>2110</v>
      </c>
      <c r="P364" s="79" t="s">
        <v>2648</v>
      </c>
    </row>
    <row r="365" spans="1:16" ht="30" customHeight="1" x14ac:dyDescent="0.3">
      <c r="A365" s="56" t="s">
        <v>354</v>
      </c>
      <c r="B365" s="52" t="s">
        <v>536</v>
      </c>
      <c r="C365" s="52" t="s">
        <v>2555</v>
      </c>
      <c r="D365" s="79" t="str">
        <f t="shared" ca="1" si="29"/>
        <v>원자재</v>
      </c>
      <c r="E365" s="79" t="str">
        <f t="shared" ca="1" si="30"/>
        <v>AR</v>
      </c>
      <c r="F365" s="52" t="s">
        <v>708</v>
      </c>
      <c r="G365" s="52" t="s">
        <v>708</v>
      </c>
      <c r="H365" s="79" t="str">
        <f t="shared" si="31"/>
        <v>매칭완료</v>
      </c>
      <c r="I365" s="79" t="str">
        <f t="shared" ca="1" si="32"/>
        <v>6-AR</v>
      </c>
      <c r="J365" s="61" t="s">
        <v>708</v>
      </c>
      <c r="K365" s="65" t="s">
        <v>2649</v>
      </c>
      <c r="L365" s="83" t="str">
        <f t="shared" si="28"/>
        <v>→ 조립자재 R189</v>
      </c>
      <c r="M365" s="84"/>
      <c r="N365" s="80">
        <v>189</v>
      </c>
      <c r="O365" s="80" t="s">
        <v>2110</v>
      </c>
      <c r="P365" s="79" t="s">
        <v>2650</v>
      </c>
    </row>
    <row r="366" spans="1:16" ht="30" customHeight="1" x14ac:dyDescent="0.3">
      <c r="A366" s="56" t="s">
        <v>354</v>
      </c>
      <c r="B366" s="52" t="s">
        <v>536</v>
      </c>
      <c r="C366" s="52" t="s">
        <v>2555</v>
      </c>
      <c r="D366" s="79" t="str">
        <f t="shared" ca="1" si="29"/>
        <v>원자재</v>
      </c>
      <c r="E366" s="79" t="str">
        <f t="shared" ca="1" si="30"/>
        <v>AR</v>
      </c>
      <c r="F366" s="52" t="s">
        <v>709</v>
      </c>
      <c r="G366" s="52" t="s">
        <v>2651</v>
      </c>
      <c r="H366" s="79" t="str">
        <f t="shared" si="31"/>
        <v>매칭완료</v>
      </c>
      <c r="I366" s="79" t="str">
        <f t="shared" ca="1" si="32"/>
        <v>6-AR</v>
      </c>
      <c r="J366" s="61" t="s">
        <v>709</v>
      </c>
      <c r="K366" s="65" t="s">
        <v>2652</v>
      </c>
      <c r="L366" s="83" t="str">
        <f t="shared" si="28"/>
        <v>→ 조립자재 R190</v>
      </c>
      <c r="M366" s="84"/>
      <c r="N366" s="80">
        <v>190</v>
      </c>
      <c r="O366" s="80" t="s">
        <v>2110</v>
      </c>
      <c r="P366" s="79" t="s">
        <v>2653</v>
      </c>
    </row>
    <row r="367" spans="1:16" ht="30" customHeight="1" x14ac:dyDescent="0.3">
      <c r="A367" s="56" t="s">
        <v>354</v>
      </c>
      <c r="B367" s="52" t="s">
        <v>536</v>
      </c>
      <c r="C367" s="52" t="s">
        <v>591</v>
      </c>
      <c r="D367" s="79" t="str">
        <f t="shared" ca="1" si="29"/>
        <v>원자재</v>
      </c>
      <c r="E367" s="79" t="str">
        <f t="shared" ca="1" si="30"/>
        <v>AR</v>
      </c>
      <c r="F367" s="52" t="s">
        <v>711</v>
      </c>
      <c r="G367" s="52" t="s">
        <v>2654</v>
      </c>
      <c r="H367" s="79" t="str">
        <f t="shared" si="31"/>
        <v>매칭완료</v>
      </c>
      <c r="I367" s="79" t="str">
        <f t="shared" ca="1" si="32"/>
        <v>6-AR</v>
      </c>
      <c r="J367" s="61" t="s">
        <v>711</v>
      </c>
      <c r="K367" s="65" t="s">
        <v>2655</v>
      </c>
      <c r="L367" s="83" t="str">
        <f t="shared" si="28"/>
        <v>→ 조립자재 R191</v>
      </c>
      <c r="M367" s="84"/>
      <c r="N367" s="80">
        <v>191</v>
      </c>
      <c r="O367" s="80" t="s">
        <v>2110</v>
      </c>
      <c r="P367" s="79" t="s">
        <v>2656</v>
      </c>
    </row>
    <row r="368" spans="1:16" ht="30" customHeight="1" x14ac:dyDescent="0.3">
      <c r="A368" s="56" t="s">
        <v>354</v>
      </c>
      <c r="B368" s="52" t="s">
        <v>536</v>
      </c>
      <c r="C368" s="52" t="s">
        <v>591</v>
      </c>
      <c r="D368" s="79" t="str">
        <f t="shared" ca="1" si="29"/>
        <v>원자재</v>
      </c>
      <c r="E368" s="79" t="str">
        <f t="shared" ca="1" si="30"/>
        <v>AR</v>
      </c>
      <c r="F368" s="52" t="s">
        <v>713</v>
      </c>
      <c r="G368" s="52" t="s">
        <v>2657</v>
      </c>
      <c r="H368" s="79" t="str">
        <f t="shared" si="31"/>
        <v>매칭완료</v>
      </c>
      <c r="I368" s="79" t="str">
        <f t="shared" ca="1" si="32"/>
        <v>6-AR</v>
      </c>
      <c r="J368" s="61" t="s">
        <v>713</v>
      </c>
      <c r="K368" s="65" t="s">
        <v>2658</v>
      </c>
      <c r="L368" s="83" t="str">
        <f t="shared" si="28"/>
        <v>→ 조립자재 R192</v>
      </c>
      <c r="M368" s="84"/>
      <c r="N368" s="80">
        <v>192</v>
      </c>
      <c r="O368" s="80" t="s">
        <v>2110</v>
      </c>
      <c r="P368" s="79" t="s">
        <v>2659</v>
      </c>
    </row>
    <row r="369" spans="1:16" ht="30" customHeight="1" x14ac:dyDescent="0.3">
      <c r="A369" s="56" t="s">
        <v>354</v>
      </c>
      <c r="B369" s="52" t="s">
        <v>536</v>
      </c>
      <c r="C369" s="52" t="s">
        <v>591</v>
      </c>
      <c r="D369" s="79" t="str">
        <f t="shared" ca="1" si="29"/>
        <v>원자재</v>
      </c>
      <c r="E369" s="79" t="str">
        <f t="shared" ca="1" si="30"/>
        <v>AR</v>
      </c>
      <c r="F369" s="52" t="s">
        <v>715</v>
      </c>
      <c r="G369" s="52" t="s">
        <v>2660</v>
      </c>
      <c r="H369" s="79" t="str">
        <f t="shared" si="31"/>
        <v>매칭완료</v>
      </c>
      <c r="I369" s="79" t="str">
        <f t="shared" ca="1" si="32"/>
        <v>6-AR</v>
      </c>
      <c r="J369" s="61" t="s">
        <v>715</v>
      </c>
      <c r="K369" s="65" t="s">
        <v>2661</v>
      </c>
      <c r="L369" s="83" t="str">
        <f t="shared" si="28"/>
        <v>→ 조립자재 R193</v>
      </c>
      <c r="M369" s="84"/>
      <c r="N369" s="80">
        <v>193</v>
      </c>
      <c r="O369" s="80" t="s">
        <v>2110</v>
      </c>
      <c r="P369" s="79" t="s">
        <v>2662</v>
      </c>
    </row>
    <row r="370" spans="1:16" ht="30" customHeight="1" x14ac:dyDescent="0.3">
      <c r="A370" s="56" t="s">
        <v>354</v>
      </c>
      <c r="B370" s="52" t="s">
        <v>536</v>
      </c>
      <c r="C370" s="52" t="s">
        <v>591</v>
      </c>
      <c r="D370" s="79" t="str">
        <f t="shared" ca="1" si="29"/>
        <v>원자재</v>
      </c>
      <c r="E370" s="79" t="str">
        <f t="shared" ca="1" si="30"/>
        <v>AR</v>
      </c>
      <c r="F370" s="52" t="s">
        <v>545</v>
      </c>
      <c r="G370" s="52" t="s">
        <v>2663</v>
      </c>
      <c r="H370" s="79" t="str">
        <f t="shared" si="31"/>
        <v>매칭완료</v>
      </c>
      <c r="I370" s="79" t="str">
        <f t="shared" ca="1" si="32"/>
        <v>6-AR</v>
      </c>
      <c r="J370" s="61" t="s">
        <v>545</v>
      </c>
      <c r="K370" s="65" t="s">
        <v>2664</v>
      </c>
      <c r="L370" s="83" t="str">
        <f t="shared" ref="L370:L433" si="33">HYPERLINK("#'"&amp;$O370&amp;"'!A"&amp;$N370,"→ 조립자재 R"&amp;$N370)</f>
        <v>→ 조립자재 R194</v>
      </c>
      <c r="M370" s="84"/>
      <c r="N370" s="80">
        <v>194</v>
      </c>
      <c r="O370" s="80" t="s">
        <v>2110</v>
      </c>
      <c r="P370" s="79" t="s">
        <v>2665</v>
      </c>
    </row>
    <row r="371" spans="1:16" ht="30" customHeight="1" x14ac:dyDescent="0.3">
      <c r="A371" s="56" t="s">
        <v>354</v>
      </c>
      <c r="B371" s="52" t="s">
        <v>536</v>
      </c>
      <c r="C371" s="52" t="s">
        <v>591</v>
      </c>
      <c r="D371" s="79" t="str">
        <f t="shared" ca="1" si="29"/>
        <v>원자재</v>
      </c>
      <c r="E371" s="79" t="str">
        <f t="shared" ca="1" si="30"/>
        <v>AR</v>
      </c>
      <c r="F371" s="52" t="s">
        <v>718</v>
      </c>
      <c r="G371" s="52" t="s">
        <v>2666</v>
      </c>
      <c r="H371" s="79" t="str">
        <f t="shared" si="31"/>
        <v>매칭완료</v>
      </c>
      <c r="I371" s="79" t="str">
        <f t="shared" ca="1" si="32"/>
        <v>6-AR</v>
      </c>
      <c r="J371" s="61" t="s">
        <v>718</v>
      </c>
      <c r="K371" s="65" t="s">
        <v>2667</v>
      </c>
      <c r="L371" s="83" t="str">
        <f t="shared" si="33"/>
        <v>→ 조립자재 R195</v>
      </c>
      <c r="M371" s="84"/>
      <c r="N371" s="80">
        <v>195</v>
      </c>
      <c r="O371" s="80" t="s">
        <v>2110</v>
      </c>
      <c r="P371" s="79" t="s">
        <v>2668</v>
      </c>
    </row>
    <row r="372" spans="1:16" ht="30" customHeight="1" x14ac:dyDescent="0.3">
      <c r="A372" s="56" t="s">
        <v>354</v>
      </c>
      <c r="B372" s="52" t="s">
        <v>415</v>
      </c>
      <c r="C372" s="52" t="s">
        <v>591</v>
      </c>
      <c r="D372" s="79" t="str">
        <f t="shared" ca="1" si="29"/>
        <v>원자재</v>
      </c>
      <c r="E372" s="79" t="str">
        <f t="shared" ca="1" si="30"/>
        <v>AR</v>
      </c>
      <c r="F372" s="52" t="s">
        <v>720</v>
      </c>
      <c r="G372" s="52" t="s">
        <v>2669</v>
      </c>
      <c r="H372" s="79" t="str">
        <f t="shared" si="31"/>
        <v>매칭완료</v>
      </c>
      <c r="I372" s="79" t="str">
        <f t="shared" ca="1" si="32"/>
        <v>6-AR</v>
      </c>
      <c r="J372" s="61" t="s">
        <v>720</v>
      </c>
      <c r="K372" s="65" t="s">
        <v>2670</v>
      </c>
      <c r="L372" s="83" t="str">
        <f t="shared" si="33"/>
        <v>→ 조립자재 R196</v>
      </c>
      <c r="M372" s="84"/>
      <c r="N372" s="80">
        <v>196</v>
      </c>
      <c r="O372" s="80" t="s">
        <v>2110</v>
      </c>
      <c r="P372" s="79" t="s">
        <v>2671</v>
      </c>
    </row>
    <row r="373" spans="1:16" ht="30" customHeight="1" x14ac:dyDescent="0.3">
      <c r="A373" s="56" t="s">
        <v>354</v>
      </c>
      <c r="B373" s="52" t="s">
        <v>415</v>
      </c>
      <c r="C373" s="52" t="s">
        <v>2534</v>
      </c>
      <c r="D373" s="79" t="str">
        <f t="shared" ca="1" si="29"/>
        <v>원자재</v>
      </c>
      <c r="E373" s="79" t="str">
        <f t="shared" ca="1" si="30"/>
        <v>AR</v>
      </c>
      <c r="F373" s="52" t="s">
        <v>1480</v>
      </c>
      <c r="G373" s="52" t="s">
        <v>2672</v>
      </c>
      <c r="H373" s="79" t="str">
        <f t="shared" si="31"/>
        <v>매칭완료</v>
      </c>
      <c r="I373" s="79" t="str">
        <f t="shared" ca="1" si="32"/>
        <v>6-AR</v>
      </c>
      <c r="J373" s="61" t="s">
        <v>1480</v>
      </c>
      <c r="K373" s="65" t="s">
        <v>2673</v>
      </c>
      <c r="L373" s="83" t="str">
        <f t="shared" si="33"/>
        <v>→ 조립자재 R197</v>
      </c>
      <c r="M373" s="84"/>
      <c r="N373" s="80">
        <v>197</v>
      </c>
      <c r="O373" s="80" t="s">
        <v>2110</v>
      </c>
      <c r="P373" s="79" t="s">
        <v>2674</v>
      </c>
    </row>
    <row r="374" spans="1:16" ht="30" customHeight="1" x14ac:dyDescent="0.3">
      <c r="A374" s="56" t="s">
        <v>354</v>
      </c>
      <c r="B374" s="52" t="s">
        <v>415</v>
      </c>
      <c r="C374" s="52" t="s">
        <v>2534</v>
      </c>
      <c r="D374" s="79" t="str">
        <f t="shared" ca="1" si="29"/>
        <v>원자재</v>
      </c>
      <c r="E374" s="79" t="str">
        <f t="shared" ca="1" si="30"/>
        <v>AR</v>
      </c>
      <c r="F374" s="52" t="s">
        <v>2675</v>
      </c>
      <c r="G374" s="52"/>
      <c r="H374" s="79" t="str">
        <f t="shared" ca="1" si="31"/>
        <v>⚠ 원자재_부서보관</v>
      </c>
      <c r="I374" s="79" t="str">
        <f t="shared" ca="1" si="32"/>
        <v>6-AR</v>
      </c>
      <c r="J374" s="61" t="s">
        <v>2675</v>
      </c>
      <c r="K374" s="65" t="s">
        <v>2676</v>
      </c>
      <c r="L374" s="83" t="str">
        <f t="shared" si="33"/>
        <v>→ 조립자재 R198</v>
      </c>
      <c r="M374" s="84"/>
      <c r="N374" s="80">
        <v>198</v>
      </c>
      <c r="O374" s="80" t="s">
        <v>2110</v>
      </c>
      <c r="P374" s="79" t="s">
        <v>2677</v>
      </c>
    </row>
    <row r="375" spans="1:16" ht="30" customHeight="1" x14ac:dyDescent="0.3">
      <c r="A375" s="56" t="s">
        <v>354</v>
      </c>
      <c r="B375" s="52" t="s">
        <v>415</v>
      </c>
      <c r="C375" s="52" t="s">
        <v>2534</v>
      </c>
      <c r="D375" s="79" t="str">
        <f t="shared" ca="1" si="29"/>
        <v>원자재</v>
      </c>
      <c r="E375" s="79" t="str">
        <f t="shared" ca="1" si="30"/>
        <v>AR</v>
      </c>
      <c r="F375" s="52" t="s">
        <v>1481</v>
      </c>
      <c r="G375" s="52" t="s">
        <v>2678</v>
      </c>
      <c r="H375" s="79" t="str">
        <f t="shared" si="31"/>
        <v>매칭완료</v>
      </c>
      <c r="I375" s="79" t="str">
        <f t="shared" ca="1" si="32"/>
        <v>6-AR</v>
      </c>
      <c r="J375" s="61" t="s">
        <v>1481</v>
      </c>
      <c r="K375" s="65" t="s">
        <v>2679</v>
      </c>
      <c r="L375" s="83" t="str">
        <f t="shared" si="33"/>
        <v>→ 조립자재 R199</v>
      </c>
      <c r="M375" s="84"/>
      <c r="N375" s="80">
        <v>199</v>
      </c>
      <c r="O375" s="80" t="s">
        <v>2110</v>
      </c>
      <c r="P375" s="79" t="s">
        <v>2680</v>
      </c>
    </row>
    <row r="376" spans="1:16" ht="30" customHeight="1" x14ac:dyDescent="0.3">
      <c r="A376" s="56" t="s">
        <v>354</v>
      </c>
      <c r="B376" s="52" t="s">
        <v>415</v>
      </c>
      <c r="C376" s="52" t="s">
        <v>591</v>
      </c>
      <c r="D376" s="79" t="str">
        <f t="shared" ca="1" si="29"/>
        <v>원자재</v>
      </c>
      <c r="E376" s="79" t="str">
        <f t="shared" ca="1" si="30"/>
        <v>AR</v>
      </c>
      <c r="F376" s="52" t="s">
        <v>727</v>
      </c>
      <c r="G376" s="52" t="s">
        <v>2681</v>
      </c>
      <c r="H376" s="79" t="str">
        <f t="shared" si="31"/>
        <v>매칭완료</v>
      </c>
      <c r="I376" s="79" t="str">
        <f t="shared" ca="1" si="32"/>
        <v>6-AR</v>
      </c>
      <c r="J376" s="61" t="s">
        <v>727</v>
      </c>
      <c r="K376" s="65" t="s">
        <v>2682</v>
      </c>
      <c r="L376" s="83" t="str">
        <f t="shared" si="33"/>
        <v>→ 조립자재 R200</v>
      </c>
      <c r="M376" s="84"/>
      <c r="N376" s="80">
        <v>200</v>
      </c>
      <c r="O376" s="80" t="s">
        <v>2110</v>
      </c>
      <c r="P376" s="79" t="s">
        <v>2683</v>
      </c>
    </row>
    <row r="377" spans="1:16" ht="30" customHeight="1" x14ac:dyDescent="0.3">
      <c r="A377" s="56" t="s">
        <v>354</v>
      </c>
      <c r="B377" s="52" t="s">
        <v>415</v>
      </c>
      <c r="C377" s="52" t="s">
        <v>591</v>
      </c>
      <c r="D377" s="79" t="str">
        <f t="shared" ca="1" si="29"/>
        <v>원자재</v>
      </c>
      <c r="E377" s="79" t="str">
        <f t="shared" ca="1" si="30"/>
        <v>AR</v>
      </c>
      <c r="F377" s="52" t="s">
        <v>729</v>
      </c>
      <c r="G377" s="52" t="s">
        <v>2684</v>
      </c>
      <c r="H377" s="79" t="str">
        <f t="shared" si="31"/>
        <v>매칭완료</v>
      </c>
      <c r="I377" s="79" t="str">
        <f t="shared" ca="1" si="32"/>
        <v>6-AR</v>
      </c>
      <c r="J377" s="61" t="s">
        <v>729</v>
      </c>
      <c r="K377" s="65" t="s">
        <v>2685</v>
      </c>
      <c r="L377" s="83" t="str">
        <f t="shared" si="33"/>
        <v>→ 조립자재 R201</v>
      </c>
      <c r="M377" s="84"/>
      <c r="N377" s="80">
        <v>201</v>
      </c>
      <c r="O377" s="80" t="s">
        <v>2110</v>
      </c>
      <c r="P377" s="79" t="s">
        <v>2686</v>
      </c>
    </row>
    <row r="378" spans="1:16" ht="30" customHeight="1" x14ac:dyDescent="0.3">
      <c r="A378" s="56" t="s">
        <v>354</v>
      </c>
      <c r="B378" s="52" t="s">
        <v>415</v>
      </c>
      <c r="C378" s="52" t="s">
        <v>2534</v>
      </c>
      <c r="D378" s="79" t="str">
        <f t="shared" ca="1" si="29"/>
        <v>원자재</v>
      </c>
      <c r="E378" s="79" t="str">
        <f t="shared" ca="1" si="30"/>
        <v>AR</v>
      </c>
      <c r="F378" s="52" t="s">
        <v>731</v>
      </c>
      <c r="G378" s="52" t="s">
        <v>2687</v>
      </c>
      <c r="H378" s="79" t="str">
        <f t="shared" si="31"/>
        <v>매칭완료</v>
      </c>
      <c r="I378" s="79" t="str">
        <f t="shared" ca="1" si="32"/>
        <v>6-AR</v>
      </c>
      <c r="J378" s="61" t="s">
        <v>731</v>
      </c>
      <c r="K378" s="65" t="s">
        <v>2688</v>
      </c>
      <c r="L378" s="83" t="str">
        <f t="shared" si="33"/>
        <v>→ 조립자재 R202</v>
      </c>
      <c r="M378" s="84"/>
      <c r="N378" s="80">
        <v>202</v>
      </c>
      <c r="O378" s="80" t="s">
        <v>2110</v>
      </c>
      <c r="P378" s="79" t="s">
        <v>2689</v>
      </c>
    </row>
    <row r="379" spans="1:16" ht="30" customHeight="1" x14ac:dyDescent="0.3">
      <c r="A379" s="56" t="s">
        <v>354</v>
      </c>
      <c r="B379" s="52" t="s">
        <v>415</v>
      </c>
      <c r="C379" s="52" t="s">
        <v>2534</v>
      </c>
      <c r="D379" s="79" t="str">
        <f t="shared" ca="1" si="29"/>
        <v>원자재</v>
      </c>
      <c r="E379" s="79" t="str">
        <f t="shared" ca="1" si="30"/>
        <v>AR</v>
      </c>
      <c r="F379" s="52" t="s">
        <v>1482</v>
      </c>
      <c r="G379" s="52" t="s">
        <v>2690</v>
      </c>
      <c r="H379" s="79" t="str">
        <f t="shared" si="31"/>
        <v>매칭완료</v>
      </c>
      <c r="I379" s="79" t="str">
        <f t="shared" ca="1" si="32"/>
        <v>6-AR</v>
      </c>
      <c r="J379" s="61" t="s">
        <v>1482</v>
      </c>
      <c r="K379" s="65" t="s">
        <v>2691</v>
      </c>
      <c r="L379" s="83" t="str">
        <f t="shared" si="33"/>
        <v>→ 조립자재 R203</v>
      </c>
      <c r="M379" s="84"/>
      <c r="N379" s="80">
        <v>203</v>
      </c>
      <c r="O379" s="80" t="s">
        <v>2110</v>
      </c>
      <c r="P379" s="79" t="s">
        <v>2692</v>
      </c>
    </row>
    <row r="380" spans="1:16" ht="30" customHeight="1" x14ac:dyDescent="0.3">
      <c r="A380" s="56" t="s">
        <v>354</v>
      </c>
      <c r="B380" s="52" t="s">
        <v>415</v>
      </c>
      <c r="C380" s="52" t="s">
        <v>2534</v>
      </c>
      <c r="D380" s="79" t="str">
        <f t="shared" ca="1" si="29"/>
        <v>원자재</v>
      </c>
      <c r="E380" s="79" t="str">
        <f t="shared" ca="1" si="30"/>
        <v>AR</v>
      </c>
      <c r="F380" s="52" t="s">
        <v>2693</v>
      </c>
      <c r="G380" s="52" t="s">
        <v>2694</v>
      </c>
      <c r="H380" s="79" t="str">
        <f t="shared" si="31"/>
        <v>매칭완료</v>
      </c>
      <c r="I380" s="79" t="str">
        <f t="shared" ca="1" si="32"/>
        <v>6-AR</v>
      </c>
      <c r="J380" s="61" t="s">
        <v>2693</v>
      </c>
      <c r="K380" s="65" t="s">
        <v>2695</v>
      </c>
      <c r="L380" s="83" t="str">
        <f t="shared" si="33"/>
        <v>→ 조립자재 R204</v>
      </c>
      <c r="M380" s="84"/>
      <c r="N380" s="80">
        <v>204</v>
      </c>
      <c r="O380" s="80" t="s">
        <v>2110</v>
      </c>
      <c r="P380" s="79" t="s">
        <v>2696</v>
      </c>
    </row>
    <row r="381" spans="1:16" ht="30" customHeight="1" x14ac:dyDescent="0.3">
      <c r="A381" s="56" t="s">
        <v>354</v>
      </c>
      <c r="B381" s="52" t="s">
        <v>415</v>
      </c>
      <c r="C381" s="52" t="s">
        <v>2534</v>
      </c>
      <c r="D381" s="79" t="str">
        <f t="shared" ca="1" si="29"/>
        <v>원자재</v>
      </c>
      <c r="E381" s="79" t="str">
        <f t="shared" ca="1" si="30"/>
        <v>AR</v>
      </c>
      <c r="F381" s="52" t="s">
        <v>2697</v>
      </c>
      <c r="G381" s="86" t="s">
        <v>2698</v>
      </c>
      <c r="H381" s="79" t="str">
        <f t="shared" si="31"/>
        <v>매칭완료</v>
      </c>
      <c r="I381" s="79" t="str">
        <f t="shared" ca="1" si="32"/>
        <v>6-AR</v>
      </c>
      <c r="J381" s="61" t="s">
        <v>2697</v>
      </c>
      <c r="K381" s="65" t="s">
        <v>2699</v>
      </c>
      <c r="L381" s="83" t="str">
        <f t="shared" si="33"/>
        <v>→ 조립자재 R205</v>
      </c>
      <c r="M381" s="84"/>
      <c r="N381" s="80">
        <v>205</v>
      </c>
      <c r="O381" s="80" t="s">
        <v>2110</v>
      </c>
      <c r="P381" s="79" t="s">
        <v>2700</v>
      </c>
    </row>
    <row r="382" spans="1:16" ht="30" customHeight="1" x14ac:dyDescent="0.3">
      <c r="A382" s="56" t="s">
        <v>354</v>
      </c>
      <c r="B382" s="52" t="s">
        <v>415</v>
      </c>
      <c r="C382" s="52" t="s">
        <v>2534</v>
      </c>
      <c r="D382" s="79" t="str">
        <f t="shared" ca="1" si="29"/>
        <v>원자재</v>
      </c>
      <c r="E382" s="79" t="str">
        <f t="shared" ca="1" si="30"/>
        <v>AR</v>
      </c>
      <c r="F382" s="52" t="s">
        <v>1484</v>
      </c>
      <c r="G382" s="52" t="s">
        <v>2701</v>
      </c>
      <c r="H382" s="79" t="str">
        <f t="shared" si="31"/>
        <v>매칭완료</v>
      </c>
      <c r="I382" s="79" t="str">
        <f t="shared" ca="1" si="32"/>
        <v>6-AR</v>
      </c>
      <c r="J382" s="61" t="s">
        <v>1484</v>
      </c>
      <c r="K382" s="65" t="s">
        <v>2702</v>
      </c>
      <c r="L382" s="83" t="str">
        <f t="shared" si="33"/>
        <v>→ 조립자재 R206</v>
      </c>
      <c r="M382" s="84"/>
      <c r="N382" s="80">
        <v>206</v>
      </c>
      <c r="O382" s="80" t="s">
        <v>2110</v>
      </c>
      <c r="P382" s="79" t="s">
        <v>2703</v>
      </c>
    </row>
    <row r="383" spans="1:16" ht="30" customHeight="1" x14ac:dyDescent="0.3">
      <c r="A383" s="56" t="s">
        <v>354</v>
      </c>
      <c r="B383" s="52" t="s">
        <v>415</v>
      </c>
      <c r="C383" s="52" t="s">
        <v>591</v>
      </c>
      <c r="D383" s="79" t="str">
        <f t="shared" ca="1" si="29"/>
        <v>원자재</v>
      </c>
      <c r="E383" s="79" t="str">
        <f t="shared" ca="1" si="30"/>
        <v>AR</v>
      </c>
      <c r="F383" s="52" t="s">
        <v>741</v>
      </c>
      <c r="G383" s="52" t="s">
        <v>2704</v>
      </c>
      <c r="H383" s="79" t="str">
        <f t="shared" si="31"/>
        <v>매칭완료</v>
      </c>
      <c r="I383" s="79" t="str">
        <f t="shared" ca="1" si="32"/>
        <v>6-AR</v>
      </c>
      <c r="J383" s="61" t="s">
        <v>741</v>
      </c>
      <c r="K383" s="65" t="s">
        <v>2705</v>
      </c>
      <c r="L383" s="83" t="str">
        <f t="shared" si="33"/>
        <v>→ 조립자재 R207</v>
      </c>
      <c r="M383" s="84"/>
      <c r="N383" s="80">
        <v>207</v>
      </c>
      <c r="O383" s="80" t="s">
        <v>2110</v>
      </c>
      <c r="P383" s="79" t="s">
        <v>2706</v>
      </c>
    </row>
    <row r="384" spans="1:16" ht="30" customHeight="1" x14ac:dyDescent="0.3">
      <c r="A384" s="56" t="s">
        <v>354</v>
      </c>
      <c r="B384" s="52" t="s">
        <v>415</v>
      </c>
      <c r="C384" s="52" t="s">
        <v>591</v>
      </c>
      <c r="D384" s="79" t="str">
        <f t="shared" ca="1" si="29"/>
        <v>원자재</v>
      </c>
      <c r="E384" s="79" t="str">
        <f t="shared" ca="1" si="30"/>
        <v>AR</v>
      </c>
      <c r="F384" s="86" t="s">
        <v>2707</v>
      </c>
      <c r="G384" s="52"/>
      <c r="H384" s="79" t="str">
        <f t="shared" ca="1" si="31"/>
        <v>⚠ 원자재_부서보관</v>
      </c>
      <c r="I384" s="79" t="str">
        <f t="shared" ca="1" si="32"/>
        <v>6-AR</v>
      </c>
      <c r="J384" s="61" t="s">
        <v>2707</v>
      </c>
      <c r="K384" s="86" t="s">
        <v>2708</v>
      </c>
      <c r="L384" s="83" t="str">
        <f t="shared" si="33"/>
        <v>→ 조립자재 R208</v>
      </c>
      <c r="M384" s="84"/>
      <c r="N384" s="80">
        <v>208</v>
      </c>
      <c r="O384" s="80" t="s">
        <v>2110</v>
      </c>
      <c r="P384" s="79" t="s">
        <v>2709</v>
      </c>
    </row>
    <row r="385" spans="1:16" ht="30" customHeight="1" x14ac:dyDescent="0.3">
      <c r="A385" s="56" t="s">
        <v>354</v>
      </c>
      <c r="B385" s="52" t="s">
        <v>415</v>
      </c>
      <c r="C385" s="52" t="s">
        <v>2534</v>
      </c>
      <c r="D385" s="79" t="str">
        <f t="shared" ca="1" si="29"/>
        <v>원자재</v>
      </c>
      <c r="E385" s="79" t="str">
        <f t="shared" ca="1" si="30"/>
        <v>AR</v>
      </c>
      <c r="F385" s="52" t="s">
        <v>745</v>
      </c>
      <c r="G385" s="52" t="s">
        <v>2710</v>
      </c>
      <c r="H385" s="79" t="str">
        <f t="shared" si="31"/>
        <v>매칭완료</v>
      </c>
      <c r="I385" s="79" t="str">
        <f t="shared" ca="1" si="32"/>
        <v>6-AR</v>
      </c>
      <c r="J385" s="61" t="s">
        <v>745</v>
      </c>
      <c r="K385" s="65" t="s">
        <v>2711</v>
      </c>
      <c r="L385" s="83" t="str">
        <f t="shared" si="33"/>
        <v>→ 조립자재 R209</v>
      </c>
      <c r="M385" s="84"/>
      <c r="N385" s="80">
        <v>209</v>
      </c>
      <c r="O385" s="80" t="s">
        <v>2110</v>
      </c>
      <c r="P385" s="79" t="s">
        <v>2712</v>
      </c>
    </row>
    <row r="386" spans="1:16" ht="30" customHeight="1" x14ac:dyDescent="0.3">
      <c r="A386" s="56" t="s">
        <v>354</v>
      </c>
      <c r="B386" s="52" t="s">
        <v>415</v>
      </c>
      <c r="C386" s="52" t="s">
        <v>591</v>
      </c>
      <c r="D386" s="79" t="str">
        <f t="shared" ref="D386:D449" ca="1" si="34">IF(INDIRECT("'"&amp;$O386&amp;"'!F"&amp;$N386)="O","원자재",IF(INDIRECT("'"&amp;$O386&amp;"'!G"&amp;$N386)="O","반제품",IF(INDIRECT("'"&amp;$O386&amp;"'!H"&amp;$N386)="O","완제품","")))</f>
        <v>원자재</v>
      </c>
      <c r="E386" s="79" t="str">
        <f t="shared" ref="E386:E449" ca="1" si="35">IFERROR(IF(INDIRECT("'"&amp;$O386&amp;"'!I"&amp;$N386)=0,"",INDIRECT("'"&amp;$O386&amp;"'!I"&amp;$N386)),"")</f>
        <v>AR</v>
      </c>
      <c r="F386" s="52" t="s">
        <v>747</v>
      </c>
      <c r="G386" s="52" t="s">
        <v>2713</v>
      </c>
      <c r="H386" s="79" t="str">
        <f t="shared" ref="H386:H449" si="36">IF(AND($F386="",$G386=""),"",IF($F386="","창고전용",IF($G386&lt;&gt;"","매칭완료",IF($D386="반제품","반제품(창고없음)",IF($D386="완제품","완제품(창고없음)",IF($D386="원자재","⚠ 원자재_부서보관","미분류"))))))</f>
        <v>매칭완료</v>
      </c>
      <c r="I386" s="79" t="str">
        <f t="shared" ref="I386:I449" ca="1" si="37">IFERROR(IF(INDIRECT("'"&amp;$O386&amp;"'!P"&amp;$N386)=0,"",INDIRECT("'"&amp;$O386&amp;"'!P"&amp;$N386)),"")</f>
        <v>6-AR</v>
      </c>
      <c r="J386" s="61" t="s">
        <v>747</v>
      </c>
      <c r="K386" s="65" t="s">
        <v>2714</v>
      </c>
      <c r="L386" s="83" t="str">
        <f t="shared" si="33"/>
        <v>→ 조립자재 R210</v>
      </c>
      <c r="M386" s="84"/>
      <c r="N386" s="80">
        <v>210</v>
      </c>
      <c r="O386" s="80" t="s">
        <v>2110</v>
      </c>
      <c r="P386" s="79" t="s">
        <v>2715</v>
      </c>
    </row>
    <row r="387" spans="1:16" ht="30" customHeight="1" x14ac:dyDescent="0.3">
      <c r="A387" s="56" t="s">
        <v>354</v>
      </c>
      <c r="B387" s="52" t="s">
        <v>415</v>
      </c>
      <c r="C387" s="52" t="s">
        <v>2555</v>
      </c>
      <c r="D387" s="79" t="str">
        <f t="shared" ca="1" si="34"/>
        <v>원자재</v>
      </c>
      <c r="E387" s="79" t="str">
        <f t="shared" ca="1" si="35"/>
        <v>AR</v>
      </c>
      <c r="F387" s="52" t="s">
        <v>1632</v>
      </c>
      <c r="G387" s="52" t="s">
        <v>2716</v>
      </c>
      <c r="H387" s="79" t="str">
        <f t="shared" si="36"/>
        <v>매칭완료</v>
      </c>
      <c r="I387" s="79" t="str">
        <f t="shared" ca="1" si="37"/>
        <v>6-AR</v>
      </c>
      <c r="J387" s="61" t="s">
        <v>1632</v>
      </c>
      <c r="K387" s="65" t="s">
        <v>2717</v>
      </c>
      <c r="L387" s="83" t="str">
        <f t="shared" si="33"/>
        <v>→ 조립자재 R211</v>
      </c>
      <c r="M387" s="84"/>
      <c r="N387" s="80">
        <v>211</v>
      </c>
      <c r="O387" s="80" t="s">
        <v>2110</v>
      </c>
      <c r="P387" s="79" t="s">
        <v>2718</v>
      </c>
    </row>
    <row r="388" spans="1:16" ht="30" customHeight="1" x14ac:dyDescent="0.3">
      <c r="A388" s="56" t="s">
        <v>354</v>
      </c>
      <c r="B388" s="52" t="s">
        <v>415</v>
      </c>
      <c r="C388" s="52" t="s">
        <v>2555</v>
      </c>
      <c r="D388" s="79" t="str">
        <f t="shared" ca="1" si="34"/>
        <v>원자재</v>
      </c>
      <c r="E388" s="79" t="str">
        <f t="shared" ca="1" si="35"/>
        <v>AR</v>
      </c>
      <c r="F388" s="52" t="s">
        <v>750</v>
      </c>
      <c r="G388" s="52" t="s">
        <v>2719</v>
      </c>
      <c r="H388" s="79" t="str">
        <f t="shared" si="36"/>
        <v>매칭완료</v>
      </c>
      <c r="I388" s="79" t="str">
        <f t="shared" ca="1" si="37"/>
        <v>6-AR</v>
      </c>
      <c r="J388" s="61" t="s">
        <v>750</v>
      </c>
      <c r="K388" s="65" t="s">
        <v>2720</v>
      </c>
      <c r="L388" s="83" t="str">
        <f t="shared" si="33"/>
        <v>→ 조립자재 R212</v>
      </c>
      <c r="M388" s="84"/>
      <c r="N388" s="80">
        <v>212</v>
      </c>
      <c r="O388" s="80" t="s">
        <v>2110</v>
      </c>
      <c r="P388" s="79" t="s">
        <v>2721</v>
      </c>
    </row>
    <row r="389" spans="1:16" ht="30" customHeight="1" x14ac:dyDescent="0.3">
      <c r="A389" s="56" t="s">
        <v>354</v>
      </c>
      <c r="B389" s="52" t="s">
        <v>415</v>
      </c>
      <c r="C389" s="52" t="s">
        <v>2555</v>
      </c>
      <c r="D389" s="79" t="str">
        <f t="shared" ca="1" si="34"/>
        <v>원자재</v>
      </c>
      <c r="E389" s="79" t="str">
        <f t="shared" ca="1" si="35"/>
        <v>AR</v>
      </c>
      <c r="F389" s="52" t="s">
        <v>752</v>
      </c>
      <c r="G389" s="52" t="s">
        <v>2722</v>
      </c>
      <c r="H389" s="79" t="str">
        <f t="shared" si="36"/>
        <v>매칭완료</v>
      </c>
      <c r="I389" s="79" t="str">
        <f t="shared" ca="1" si="37"/>
        <v>6-AR</v>
      </c>
      <c r="J389" s="61" t="s">
        <v>752</v>
      </c>
      <c r="K389" s="65" t="s">
        <v>2723</v>
      </c>
      <c r="L389" s="83" t="str">
        <f t="shared" si="33"/>
        <v>→ 조립자재 R213</v>
      </c>
      <c r="M389" s="84"/>
      <c r="N389" s="80">
        <v>213</v>
      </c>
      <c r="O389" s="80" t="s">
        <v>2110</v>
      </c>
      <c r="P389" s="79" t="s">
        <v>2724</v>
      </c>
    </row>
    <row r="390" spans="1:16" ht="30" customHeight="1" x14ac:dyDescent="0.3">
      <c r="A390" s="56" t="s">
        <v>354</v>
      </c>
      <c r="B390" s="52" t="s">
        <v>415</v>
      </c>
      <c r="C390" s="52" t="s">
        <v>2555</v>
      </c>
      <c r="D390" s="79" t="str">
        <f t="shared" ca="1" si="34"/>
        <v>원자재</v>
      </c>
      <c r="E390" s="79" t="str">
        <f t="shared" ca="1" si="35"/>
        <v>AR</v>
      </c>
      <c r="F390" s="52" t="s">
        <v>754</v>
      </c>
      <c r="G390" s="52" t="s">
        <v>2725</v>
      </c>
      <c r="H390" s="79" t="str">
        <f t="shared" si="36"/>
        <v>매칭완료</v>
      </c>
      <c r="I390" s="79" t="str">
        <f t="shared" ca="1" si="37"/>
        <v>6-AR</v>
      </c>
      <c r="J390" s="61" t="s">
        <v>754</v>
      </c>
      <c r="K390" s="65" t="s">
        <v>2726</v>
      </c>
      <c r="L390" s="83" t="str">
        <f t="shared" si="33"/>
        <v>→ 조립자재 R214</v>
      </c>
      <c r="M390" s="84"/>
      <c r="N390" s="80">
        <v>214</v>
      </c>
      <c r="O390" s="80" t="s">
        <v>2110</v>
      </c>
      <c r="P390" s="79" t="s">
        <v>2727</v>
      </c>
    </row>
    <row r="391" spans="1:16" ht="30" customHeight="1" x14ac:dyDescent="0.3">
      <c r="A391" s="56" t="s">
        <v>354</v>
      </c>
      <c r="B391" s="86" t="s">
        <v>2456</v>
      </c>
      <c r="C391" s="52" t="s">
        <v>591</v>
      </c>
      <c r="D391" s="79" t="str">
        <f t="shared" ca="1" si="34"/>
        <v>반제품</v>
      </c>
      <c r="E391" s="79" t="str">
        <f t="shared" ca="1" si="35"/>
        <v>AA</v>
      </c>
      <c r="F391" s="52" t="s">
        <v>756</v>
      </c>
      <c r="G391" s="52"/>
      <c r="H391" s="79" t="str">
        <f t="shared" ca="1" si="36"/>
        <v>반제품(창고없음)</v>
      </c>
      <c r="I391" s="79" t="str">
        <f t="shared" ca="1" si="37"/>
        <v>6-AA</v>
      </c>
      <c r="J391" s="61" t="s">
        <v>756</v>
      </c>
      <c r="K391" s="65" t="s">
        <v>2728</v>
      </c>
      <c r="L391" s="83" t="str">
        <f t="shared" si="33"/>
        <v>→ 조립자재 R215</v>
      </c>
      <c r="M391" s="84"/>
      <c r="N391" s="80">
        <v>215</v>
      </c>
      <c r="O391" s="80" t="s">
        <v>2110</v>
      </c>
      <c r="P391" s="79" t="s">
        <v>2729</v>
      </c>
    </row>
    <row r="392" spans="1:16" ht="30" customHeight="1" x14ac:dyDescent="0.3">
      <c r="A392" s="56" t="s">
        <v>354</v>
      </c>
      <c r="B392" s="86" t="s">
        <v>2456</v>
      </c>
      <c r="C392" s="52" t="s">
        <v>591</v>
      </c>
      <c r="D392" s="79" t="str">
        <f t="shared" ca="1" si="34"/>
        <v>반제품</v>
      </c>
      <c r="E392" s="79" t="str">
        <f t="shared" ca="1" si="35"/>
        <v>AA</v>
      </c>
      <c r="F392" s="52" t="s">
        <v>757</v>
      </c>
      <c r="G392" s="52"/>
      <c r="H392" s="79" t="str">
        <f t="shared" ca="1" si="36"/>
        <v>반제품(창고없음)</v>
      </c>
      <c r="I392" s="79" t="str">
        <f t="shared" ca="1" si="37"/>
        <v>6-AA</v>
      </c>
      <c r="J392" s="61" t="s">
        <v>757</v>
      </c>
      <c r="K392" s="65" t="s">
        <v>2730</v>
      </c>
      <c r="L392" s="83" t="str">
        <f t="shared" si="33"/>
        <v>→ 조립자재 R216</v>
      </c>
      <c r="M392" s="84"/>
      <c r="N392" s="80">
        <v>216</v>
      </c>
      <c r="O392" s="80" t="s">
        <v>2110</v>
      </c>
      <c r="P392" s="79" t="s">
        <v>2731</v>
      </c>
    </row>
    <row r="393" spans="1:16" ht="30" customHeight="1" x14ac:dyDescent="0.3">
      <c r="A393" s="56" t="s">
        <v>354</v>
      </c>
      <c r="B393" s="86" t="s">
        <v>2456</v>
      </c>
      <c r="C393" s="52" t="s">
        <v>591</v>
      </c>
      <c r="D393" s="79" t="str">
        <f t="shared" ca="1" si="34"/>
        <v>반제품</v>
      </c>
      <c r="E393" s="79" t="str">
        <f t="shared" ca="1" si="35"/>
        <v>AA</v>
      </c>
      <c r="F393" s="52" t="s">
        <v>758</v>
      </c>
      <c r="G393" s="52"/>
      <c r="H393" s="79" t="str">
        <f t="shared" ca="1" si="36"/>
        <v>반제품(창고없음)</v>
      </c>
      <c r="I393" s="79" t="str">
        <f t="shared" ca="1" si="37"/>
        <v>6-AA</v>
      </c>
      <c r="J393" s="61" t="s">
        <v>758</v>
      </c>
      <c r="K393" s="65" t="s">
        <v>2732</v>
      </c>
      <c r="L393" s="83" t="str">
        <f t="shared" si="33"/>
        <v>→ 조립자재 R217</v>
      </c>
      <c r="M393" s="84"/>
      <c r="N393" s="80">
        <v>217</v>
      </c>
      <c r="O393" s="80" t="s">
        <v>2110</v>
      </c>
      <c r="P393" s="79" t="s">
        <v>2733</v>
      </c>
    </row>
    <row r="394" spans="1:16" ht="30" customHeight="1" x14ac:dyDescent="0.3">
      <c r="A394" s="56" t="s">
        <v>354</v>
      </c>
      <c r="B394" s="86" t="s">
        <v>2456</v>
      </c>
      <c r="C394" s="52" t="s">
        <v>591</v>
      </c>
      <c r="D394" s="79" t="str">
        <f t="shared" ca="1" si="34"/>
        <v>반제품</v>
      </c>
      <c r="E394" s="79" t="str">
        <f t="shared" ca="1" si="35"/>
        <v>AA</v>
      </c>
      <c r="F394" s="52" t="s">
        <v>759</v>
      </c>
      <c r="G394" s="52"/>
      <c r="H394" s="79" t="str">
        <f t="shared" ca="1" si="36"/>
        <v>반제품(창고없음)</v>
      </c>
      <c r="I394" s="79" t="str">
        <f t="shared" ca="1" si="37"/>
        <v>6-AA</v>
      </c>
      <c r="J394" s="61" t="s">
        <v>759</v>
      </c>
      <c r="K394" s="65" t="s">
        <v>2734</v>
      </c>
      <c r="L394" s="83" t="str">
        <f t="shared" si="33"/>
        <v>→ 조립자재 R218</v>
      </c>
      <c r="M394" s="84"/>
      <c r="N394" s="80">
        <v>218</v>
      </c>
      <c r="O394" s="80" t="s">
        <v>2110</v>
      </c>
      <c r="P394" s="79" t="s">
        <v>2735</v>
      </c>
    </row>
    <row r="395" spans="1:16" ht="30" customHeight="1" x14ac:dyDescent="0.3">
      <c r="A395" s="56" t="s">
        <v>354</v>
      </c>
      <c r="B395" s="86" t="s">
        <v>2456</v>
      </c>
      <c r="C395" s="52" t="s">
        <v>591</v>
      </c>
      <c r="D395" s="79" t="str">
        <f t="shared" ca="1" si="34"/>
        <v>반제품</v>
      </c>
      <c r="E395" s="79" t="str">
        <f t="shared" ca="1" si="35"/>
        <v>AA</v>
      </c>
      <c r="F395" s="52" t="s">
        <v>760</v>
      </c>
      <c r="G395" s="52"/>
      <c r="H395" s="79" t="str">
        <f t="shared" ca="1" si="36"/>
        <v>반제품(창고없음)</v>
      </c>
      <c r="I395" s="79" t="str">
        <f t="shared" ca="1" si="37"/>
        <v>6-AA</v>
      </c>
      <c r="J395" s="61" t="s">
        <v>760</v>
      </c>
      <c r="K395" s="65" t="s">
        <v>2736</v>
      </c>
      <c r="L395" s="83" t="str">
        <f t="shared" si="33"/>
        <v>→ 조립자재 R219</v>
      </c>
      <c r="M395" s="84"/>
      <c r="N395" s="80">
        <v>219</v>
      </c>
      <c r="O395" s="80" t="s">
        <v>2110</v>
      </c>
      <c r="P395" s="79" t="s">
        <v>2737</v>
      </c>
    </row>
    <row r="396" spans="1:16" ht="30" customHeight="1" x14ac:dyDescent="0.3">
      <c r="A396" s="56" t="s">
        <v>354</v>
      </c>
      <c r="B396" s="86" t="s">
        <v>2456</v>
      </c>
      <c r="C396" s="52" t="s">
        <v>591</v>
      </c>
      <c r="D396" s="79" t="str">
        <f t="shared" ca="1" si="34"/>
        <v>반제품</v>
      </c>
      <c r="E396" s="79" t="str">
        <f t="shared" ca="1" si="35"/>
        <v>AA</v>
      </c>
      <c r="F396" s="52" t="s">
        <v>761</v>
      </c>
      <c r="G396" s="52"/>
      <c r="H396" s="79" t="str">
        <f t="shared" ca="1" si="36"/>
        <v>반제품(창고없음)</v>
      </c>
      <c r="I396" s="79" t="str">
        <f t="shared" ca="1" si="37"/>
        <v>6-AA</v>
      </c>
      <c r="J396" s="61" t="s">
        <v>761</v>
      </c>
      <c r="K396" s="65" t="s">
        <v>2738</v>
      </c>
      <c r="L396" s="83" t="str">
        <f t="shared" si="33"/>
        <v>→ 조립자재 R220</v>
      </c>
      <c r="M396" s="84"/>
      <c r="N396" s="80">
        <v>220</v>
      </c>
      <c r="O396" s="80" t="s">
        <v>2110</v>
      </c>
      <c r="P396" s="79" t="s">
        <v>2739</v>
      </c>
    </row>
    <row r="397" spans="1:16" ht="30" customHeight="1" x14ac:dyDescent="0.3">
      <c r="A397" s="56" t="s">
        <v>354</v>
      </c>
      <c r="B397" s="86" t="s">
        <v>2456</v>
      </c>
      <c r="C397" s="52" t="s">
        <v>591</v>
      </c>
      <c r="D397" s="79" t="str">
        <f t="shared" ca="1" si="34"/>
        <v>반제품</v>
      </c>
      <c r="E397" s="79" t="str">
        <f t="shared" ca="1" si="35"/>
        <v>AA</v>
      </c>
      <c r="F397" s="52" t="s">
        <v>762</v>
      </c>
      <c r="G397" s="52"/>
      <c r="H397" s="79" t="str">
        <f t="shared" ca="1" si="36"/>
        <v>반제품(창고없음)</v>
      </c>
      <c r="I397" s="79" t="str">
        <f t="shared" ca="1" si="37"/>
        <v>6-AA</v>
      </c>
      <c r="J397" s="61" t="s">
        <v>762</v>
      </c>
      <c r="K397" s="65" t="s">
        <v>2740</v>
      </c>
      <c r="L397" s="83" t="str">
        <f t="shared" si="33"/>
        <v>→ 조립자재 R221</v>
      </c>
      <c r="M397" s="84"/>
      <c r="N397" s="80">
        <v>221</v>
      </c>
      <c r="O397" s="80" t="s">
        <v>2110</v>
      </c>
      <c r="P397" s="79" t="s">
        <v>2741</v>
      </c>
    </row>
    <row r="398" spans="1:16" ht="30" customHeight="1" x14ac:dyDescent="0.3">
      <c r="A398" s="56" t="s">
        <v>354</v>
      </c>
      <c r="B398" s="86" t="s">
        <v>2456</v>
      </c>
      <c r="C398" s="52" t="s">
        <v>591</v>
      </c>
      <c r="D398" s="79" t="str">
        <f t="shared" ca="1" si="34"/>
        <v>반제품</v>
      </c>
      <c r="E398" s="79" t="str">
        <f t="shared" ca="1" si="35"/>
        <v>AA</v>
      </c>
      <c r="F398" s="52" t="s">
        <v>763</v>
      </c>
      <c r="G398" s="52"/>
      <c r="H398" s="79" t="str">
        <f t="shared" ca="1" si="36"/>
        <v>반제품(창고없음)</v>
      </c>
      <c r="I398" s="79" t="str">
        <f t="shared" ca="1" si="37"/>
        <v>6-AA</v>
      </c>
      <c r="J398" s="61" t="s">
        <v>763</v>
      </c>
      <c r="K398" s="65" t="s">
        <v>2742</v>
      </c>
      <c r="L398" s="83" t="str">
        <f t="shared" si="33"/>
        <v>→ 조립자재 R222</v>
      </c>
      <c r="M398" s="84"/>
      <c r="N398" s="80">
        <v>222</v>
      </c>
      <c r="O398" s="80" t="s">
        <v>2110</v>
      </c>
      <c r="P398" s="79" t="s">
        <v>2743</v>
      </c>
    </row>
    <row r="399" spans="1:16" ht="30" customHeight="1" x14ac:dyDescent="0.3">
      <c r="A399" s="56" t="s">
        <v>354</v>
      </c>
      <c r="B399" s="86" t="s">
        <v>2456</v>
      </c>
      <c r="C399" s="52" t="s">
        <v>2555</v>
      </c>
      <c r="D399" s="79" t="str">
        <f t="shared" ca="1" si="34"/>
        <v>반제품</v>
      </c>
      <c r="E399" s="79" t="str">
        <f t="shared" ca="1" si="35"/>
        <v>AA</v>
      </c>
      <c r="F399" s="52" t="s">
        <v>764</v>
      </c>
      <c r="G399" s="52"/>
      <c r="H399" s="79" t="str">
        <f t="shared" ca="1" si="36"/>
        <v>반제품(창고없음)</v>
      </c>
      <c r="I399" s="79" t="str">
        <f t="shared" ca="1" si="37"/>
        <v>6-AA</v>
      </c>
      <c r="J399" s="61" t="s">
        <v>764</v>
      </c>
      <c r="K399" s="65" t="s">
        <v>2744</v>
      </c>
      <c r="L399" s="83" t="str">
        <f t="shared" si="33"/>
        <v>→ 조립자재 R223</v>
      </c>
      <c r="M399" s="84"/>
      <c r="N399" s="80">
        <v>223</v>
      </c>
      <c r="O399" s="80" t="s">
        <v>2110</v>
      </c>
      <c r="P399" s="79" t="s">
        <v>2745</v>
      </c>
    </row>
    <row r="400" spans="1:16" ht="30" customHeight="1" x14ac:dyDescent="0.3">
      <c r="A400" s="56" t="s">
        <v>354</v>
      </c>
      <c r="B400" s="86" t="s">
        <v>2456</v>
      </c>
      <c r="C400" s="52" t="s">
        <v>2555</v>
      </c>
      <c r="D400" s="79" t="str">
        <f t="shared" ca="1" si="34"/>
        <v>반제품</v>
      </c>
      <c r="E400" s="79" t="str">
        <f t="shared" ca="1" si="35"/>
        <v>AA</v>
      </c>
      <c r="F400" s="52" t="s">
        <v>765</v>
      </c>
      <c r="G400" s="52"/>
      <c r="H400" s="79" t="str">
        <f t="shared" ca="1" si="36"/>
        <v>반제품(창고없음)</v>
      </c>
      <c r="I400" s="79" t="str">
        <f t="shared" ca="1" si="37"/>
        <v>6-AA</v>
      </c>
      <c r="J400" s="61" t="s">
        <v>765</v>
      </c>
      <c r="K400" s="65" t="s">
        <v>2746</v>
      </c>
      <c r="L400" s="83" t="str">
        <f t="shared" si="33"/>
        <v>→ 조립자재 R224</v>
      </c>
      <c r="M400" s="84"/>
      <c r="N400" s="80">
        <v>224</v>
      </c>
      <c r="O400" s="80" t="s">
        <v>2110</v>
      </c>
      <c r="P400" s="79" t="s">
        <v>2747</v>
      </c>
    </row>
    <row r="401" spans="1:16" ht="30" customHeight="1" x14ac:dyDescent="0.3">
      <c r="A401" s="56" t="s">
        <v>354</v>
      </c>
      <c r="B401" s="86" t="s">
        <v>2456</v>
      </c>
      <c r="C401" s="52" t="s">
        <v>2555</v>
      </c>
      <c r="D401" s="79" t="str">
        <f t="shared" ca="1" si="34"/>
        <v>반제품</v>
      </c>
      <c r="E401" s="79" t="str">
        <f t="shared" ca="1" si="35"/>
        <v>AA</v>
      </c>
      <c r="F401" s="52" t="s">
        <v>766</v>
      </c>
      <c r="G401" s="52"/>
      <c r="H401" s="79" t="str">
        <f t="shared" ca="1" si="36"/>
        <v>반제품(창고없음)</v>
      </c>
      <c r="I401" s="79" t="str">
        <f t="shared" ca="1" si="37"/>
        <v>6-AA</v>
      </c>
      <c r="J401" s="61" t="s">
        <v>766</v>
      </c>
      <c r="K401" s="65" t="s">
        <v>2748</v>
      </c>
      <c r="L401" s="83" t="str">
        <f t="shared" si="33"/>
        <v>→ 조립자재 R225</v>
      </c>
      <c r="M401" s="84"/>
      <c r="N401" s="80">
        <v>225</v>
      </c>
      <c r="O401" s="80" t="s">
        <v>2110</v>
      </c>
      <c r="P401" s="79" t="s">
        <v>2749</v>
      </c>
    </row>
    <row r="402" spans="1:16" ht="30" customHeight="1" x14ac:dyDescent="0.3">
      <c r="A402" s="56" t="s">
        <v>354</v>
      </c>
      <c r="B402" s="86" t="s">
        <v>2456</v>
      </c>
      <c r="C402" s="52" t="s">
        <v>2534</v>
      </c>
      <c r="D402" s="79" t="str">
        <f t="shared" ca="1" si="34"/>
        <v>반제품</v>
      </c>
      <c r="E402" s="79" t="str">
        <f t="shared" ca="1" si="35"/>
        <v>AA</v>
      </c>
      <c r="F402" s="52" t="s">
        <v>764</v>
      </c>
      <c r="G402" s="52"/>
      <c r="H402" s="79" t="str">
        <f t="shared" ca="1" si="36"/>
        <v>반제품(창고없음)</v>
      </c>
      <c r="I402" s="79" t="str">
        <f t="shared" ca="1" si="37"/>
        <v>6-AA</v>
      </c>
      <c r="J402" s="61" t="s">
        <v>764</v>
      </c>
      <c r="K402" s="65" t="s">
        <v>2750</v>
      </c>
      <c r="L402" s="83" t="str">
        <f t="shared" si="33"/>
        <v>→ 조립자재 R226</v>
      </c>
      <c r="M402" s="84"/>
      <c r="N402" s="80">
        <v>226</v>
      </c>
      <c r="O402" s="80" t="s">
        <v>2110</v>
      </c>
      <c r="P402" s="79" t="s">
        <v>2751</v>
      </c>
    </row>
    <row r="403" spans="1:16" ht="30" customHeight="1" x14ac:dyDescent="0.3">
      <c r="A403" s="56" t="s">
        <v>354</v>
      </c>
      <c r="B403" s="86" t="s">
        <v>587</v>
      </c>
      <c r="C403" s="52" t="s">
        <v>2534</v>
      </c>
      <c r="D403" s="79" t="str">
        <f t="shared" ca="1" si="34"/>
        <v>반제품</v>
      </c>
      <c r="E403" s="79" t="str">
        <f t="shared" ca="1" si="35"/>
        <v>AA</v>
      </c>
      <c r="F403" s="52" t="s">
        <v>767</v>
      </c>
      <c r="G403" s="52"/>
      <c r="H403" s="79" t="str">
        <f t="shared" ca="1" si="36"/>
        <v>반제품(창고없음)</v>
      </c>
      <c r="I403" s="79" t="str">
        <f t="shared" ca="1" si="37"/>
        <v>6-AA</v>
      </c>
      <c r="J403" s="61" t="s">
        <v>767</v>
      </c>
      <c r="K403" s="65" t="s">
        <v>2752</v>
      </c>
      <c r="L403" s="83" t="str">
        <f t="shared" si="33"/>
        <v>→ 조립자재 R227</v>
      </c>
      <c r="M403" s="84"/>
      <c r="N403" s="80">
        <v>227</v>
      </c>
      <c r="O403" s="80" t="s">
        <v>2110</v>
      </c>
      <c r="P403" s="79" t="s">
        <v>2753</v>
      </c>
    </row>
    <row r="404" spans="1:16" ht="30" customHeight="1" x14ac:dyDescent="0.3">
      <c r="A404" s="56" t="s">
        <v>354</v>
      </c>
      <c r="B404" s="86" t="s">
        <v>587</v>
      </c>
      <c r="C404" s="52" t="s">
        <v>2534</v>
      </c>
      <c r="D404" s="79" t="str">
        <f t="shared" ca="1" si="34"/>
        <v>반제품</v>
      </c>
      <c r="E404" s="79" t="str">
        <f t="shared" ca="1" si="35"/>
        <v>AA</v>
      </c>
      <c r="F404" s="52" t="s">
        <v>768</v>
      </c>
      <c r="G404" s="52"/>
      <c r="H404" s="79" t="str">
        <f t="shared" ca="1" si="36"/>
        <v>반제품(창고없음)</v>
      </c>
      <c r="I404" s="79" t="str">
        <f t="shared" ca="1" si="37"/>
        <v>6-AA</v>
      </c>
      <c r="J404" s="61" t="s">
        <v>768</v>
      </c>
      <c r="K404" s="65" t="s">
        <v>2754</v>
      </c>
      <c r="L404" s="83" t="str">
        <f t="shared" si="33"/>
        <v>→ 조립자재 R228</v>
      </c>
      <c r="M404" s="84"/>
      <c r="N404" s="80">
        <v>228</v>
      </c>
      <c r="O404" s="80" t="s">
        <v>2110</v>
      </c>
      <c r="P404" s="79" t="s">
        <v>2755</v>
      </c>
    </row>
    <row r="405" spans="1:16" ht="30" customHeight="1" x14ac:dyDescent="0.3">
      <c r="A405" s="56" t="s">
        <v>354</v>
      </c>
      <c r="B405" s="86" t="s">
        <v>2456</v>
      </c>
      <c r="C405" s="52" t="s">
        <v>2534</v>
      </c>
      <c r="D405" s="79" t="str">
        <f t="shared" ca="1" si="34"/>
        <v>반제품</v>
      </c>
      <c r="E405" s="79" t="str">
        <f t="shared" ca="1" si="35"/>
        <v>AA</v>
      </c>
      <c r="F405" s="52" t="s">
        <v>765</v>
      </c>
      <c r="G405" s="52"/>
      <c r="H405" s="79" t="str">
        <f t="shared" ca="1" si="36"/>
        <v>반제품(창고없음)</v>
      </c>
      <c r="I405" s="79" t="str">
        <f t="shared" ca="1" si="37"/>
        <v>6-AA</v>
      </c>
      <c r="J405" s="61" t="s">
        <v>765</v>
      </c>
      <c r="K405" s="65" t="s">
        <v>2756</v>
      </c>
      <c r="L405" s="83" t="str">
        <f t="shared" si="33"/>
        <v>→ 조립자재 R229</v>
      </c>
      <c r="M405" s="84"/>
      <c r="N405" s="80">
        <v>229</v>
      </c>
      <c r="O405" s="80" t="s">
        <v>2110</v>
      </c>
      <c r="P405" s="79" t="s">
        <v>2757</v>
      </c>
    </row>
    <row r="406" spans="1:16" ht="30" customHeight="1" x14ac:dyDescent="0.3">
      <c r="A406" s="56" t="s">
        <v>354</v>
      </c>
      <c r="B406" s="86" t="s">
        <v>2456</v>
      </c>
      <c r="C406" s="52" t="s">
        <v>2534</v>
      </c>
      <c r="D406" s="79" t="str">
        <f t="shared" ca="1" si="34"/>
        <v>반제품</v>
      </c>
      <c r="E406" s="79" t="str">
        <f t="shared" ca="1" si="35"/>
        <v>AA</v>
      </c>
      <c r="F406" s="52" t="s">
        <v>766</v>
      </c>
      <c r="G406" s="52"/>
      <c r="H406" s="79" t="str">
        <f t="shared" ca="1" si="36"/>
        <v>반제품(창고없음)</v>
      </c>
      <c r="I406" s="79" t="str">
        <f t="shared" ca="1" si="37"/>
        <v>6-AA</v>
      </c>
      <c r="J406" s="61" t="s">
        <v>766</v>
      </c>
      <c r="K406" s="65" t="s">
        <v>2758</v>
      </c>
      <c r="L406" s="83" t="str">
        <f t="shared" si="33"/>
        <v>→ 조립자재 R230</v>
      </c>
      <c r="M406" s="84"/>
      <c r="N406" s="80">
        <v>230</v>
      </c>
      <c r="O406" s="80" t="s">
        <v>2110</v>
      </c>
      <c r="P406" s="79" t="s">
        <v>2759</v>
      </c>
    </row>
    <row r="407" spans="1:16" ht="30" customHeight="1" x14ac:dyDescent="0.3">
      <c r="A407" s="56" t="s">
        <v>354</v>
      </c>
      <c r="B407" s="86" t="s">
        <v>2456</v>
      </c>
      <c r="C407" s="52" t="s">
        <v>591</v>
      </c>
      <c r="D407" s="79" t="str">
        <f t="shared" ca="1" si="34"/>
        <v>반제품</v>
      </c>
      <c r="E407" s="79" t="str">
        <f t="shared" ca="1" si="35"/>
        <v>AA</v>
      </c>
      <c r="F407" s="52" t="s">
        <v>769</v>
      </c>
      <c r="G407" s="52"/>
      <c r="H407" s="79" t="str">
        <f t="shared" ca="1" si="36"/>
        <v>반제품(창고없음)</v>
      </c>
      <c r="I407" s="79" t="str">
        <f t="shared" ca="1" si="37"/>
        <v>6-AA</v>
      </c>
      <c r="J407" s="61" t="s">
        <v>769</v>
      </c>
      <c r="K407" s="65" t="s">
        <v>2760</v>
      </c>
      <c r="L407" s="83" t="str">
        <f t="shared" si="33"/>
        <v>→ 조립자재 R231</v>
      </c>
      <c r="M407" s="84"/>
      <c r="N407" s="80">
        <v>231</v>
      </c>
      <c r="O407" s="80" t="s">
        <v>2110</v>
      </c>
      <c r="P407" s="79" t="s">
        <v>2761</v>
      </c>
    </row>
    <row r="408" spans="1:16" ht="30" customHeight="1" x14ac:dyDescent="0.3">
      <c r="A408" s="56" t="s">
        <v>354</v>
      </c>
      <c r="B408" s="86" t="s">
        <v>2456</v>
      </c>
      <c r="C408" s="52" t="s">
        <v>591</v>
      </c>
      <c r="D408" s="79" t="str">
        <f t="shared" ca="1" si="34"/>
        <v>반제품</v>
      </c>
      <c r="E408" s="79" t="str">
        <f t="shared" ca="1" si="35"/>
        <v>AA</v>
      </c>
      <c r="F408" s="52" t="s">
        <v>2762</v>
      </c>
      <c r="G408" s="52"/>
      <c r="H408" s="79" t="str">
        <f t="shared" ca="1" si="36"/>
        <v>반제품(창고없음)</v>
      </c>
      <c r="I408" s="79" t="str">
        <f t="shared" ca="1" si="37"/>
        <v>6-AA</v>
      </c>
      <c r="J408" s="61" t="s">
        <v>2762</v>
      </c>
      <c r="K408" s="65" t="s">
        <v>770</v>
      </c>
      <c r="L408" s="83" t="str">
        <f t="shared" si="33"/>
        <v>→ 조립자재 R232</v>
      </c>
      <c r="M408" s="84"/>
      <c r="N408" s="80">
        <v>232</v>
      </c>
      <c r="O408" s="80" t="s">
        <v>2110</v>
      </c>
      <c r="P408" s="79" t="s">
        <v>2763</v>
      </c>
    </row>
    <row r="409" spans="1:16" ht="30" customHeight="1" x14ac:dyDescent="0.3">
      <c r="A409" s="56" t="s">
        <v>354</v>
      </c>
      <c r="B409" s="52" t="s">
        <v>355</v>
      </c>
      <c r="C409" s="52" t="s">
        <v>153</v>
      </c>
      <c r="D409" s="79" t="str">
        <f t="shared" ca="1" si="34"/>
        <v>원자재</v>
      </c>
      <c r="E409" s="79" t="str">
        <f t="shared" ca="1" si="35"/>
        <v>AR</v>
      </c>
      <c r="F409" s="52" t="s">
        <v>820</v>
      </c>
      <c r="G409" s="52" t="s">
        <v>2764</v>
      </c>
      <c r="H409" s="79" t="str">
        <f t="shared" si="36"/>
        <v>매칭완료</v>
      </c>
      <c r="I409" s="79" t="str">
        <f t="shared" ca="1" si="37"/>
        <v>7-AR</v>
      </c>
      <c r="J409" s="61" t="s">
        <v>820</v>
      </c>
      <c r="K409" s="65" t="s">
        <v>2765</v>
      </c>
      <c r="L409" s="83" t="str">
        <f t="shared" si="33"/>
        <v>→ 조립자재 R258</v>
      </c>
      <c r="M409" s="84"/>
      <c r="N409" s="80">
        <v>258</v>
      </c>
      <c r="O409" s="80" t="s">
        <v>2110</v>
      </c>
      <c r="P409" s="79" t="s">
        <v>2766</v>
      </c>
    </row>
    <row r="410" spans="1:16" ht="30" customHeight="1" x14ac:dyDescent="0.3">
      <c r="A410" s="56" t="s">
        <v>354</v>
      </c>
      <c r="B410" s="52" t="s">
        <v>355</v>
      </c>
      <c r="C410" s="52" t="s">
        <v>153</v>
      </c>
      <c r="D410" s="79" t="str">
        <f t="shared" ca="1" si="34"/>
        <v>원자재</v>
      </c>
      <c r="E410" s="79" t="str">
        <f t="shared" ca="1" si="35"/>
        <v>AR</v>
      </c>
      <c r="F410" s="52" t="s">
        <v>822</v>
      </c>
      <c r="G410" s="52" t="s">
        <v>2767</v>
      </c>
      <c r="H410" s="79" t="str">
        <f t="shared" si="36"/>
        <v>매칭완료</v>
      </c>
      <c r="I410" s="79" t="str">
        <f t="shared" ca="1" si="37"/>
        <v>7-AR</v>
      </c>
      <c r="J410" s="61" t="s">
        <v>822</v>
      </c>
      <c r="K410" s="65" t="s">
        <v>2768</v>
      </c>
      <c r="L410" s="83" t="str">
        <f t="shared" si="33"/>
        <v>→ 조립자재 R259</v>
      </c>
      <c r="M410" s="84"/>
      <c r="N410" s="80">
        <v>259</v>
      </c>
      <c r="O410" s="80" t="s">
        <v>2110</v>
      </c>
      <c r="P410" s="79" t="s">
        <v>2769</v>
      </c>
    </row>
    <row r="411" spans="1:16" ht="30" customHeight="1" x14ac:dyDescent="0.3">
      <c r="A411" s="56" t="s">
        <v>354</v>
      </c>
      <c r="B411" s="52" t="s">
        <v>824</v>
      </c>
      <c r="C411" s="52" t="s">
        <v>2770</v>
      </c>
      <c r="D411" s="79" t="str">
        <f t="shared" ca="1" si="34"/>
        <v>원자재</v>
      </c>
      <c r="E411" s="79" t="str">
        <f t="shared" ca="1" si="35"/>
        <v>AR</v>
      </c>
      <c r="F411" s="52" t="s">
        <v>826</v>
      </c>
      <c r="G411" s="52" t="s">
        <v>2771</v>
      </c>
      <c r="H411" s="79" t="str">
        <f t="shared" si="36"/>
        <v>매칭완료</v>
      </c>
      <c r="I411" s="79" t="str">
        <f t="shared" ca="1" si="37"/>
        <v>7-AR</v>
      </c>
      <c r="J411" s="61" t="s">
        <v>826</v>
      </c>
      <c r="K411" s="65" t="s">
        <v>2772</v>
      </c>
      <c r="L411" s="83" t="str">
        <f t="shared" si="33"/>
        <v>→ 조립자재 R260</v>
      </c>
      <c r="M411" s="84"/>
      <c r="N411" s="80">
        <v>260</v>
      </c>
      <c r="O411" s="80" t="s">
        <v>2110</v>
      </c>
      <c r="P411" s="79" t="s">
        <v>2773</v>
      </c>
    </row>
    <row r="412" spans="1:16" ht="30" customHeight="1" x14ac:dyDescent="0.3">
      <c r="A412" s="56" t="s">
        <v>354</v>
      </c>
      <c r="B412" s="52" t="s">
        <v>824</v>
      </c>
      <c r="C412" s="52" t="s">
        <v>2770</v>
      </c>
      <c r="D412" s="79" t="str">
        <f t="shared" ca="1" si="34"/>
        <v>원자재</v>
      </c>
      <c r="E412" s="79" t="str">
        <f t="shared" ca="1" si="35"/>
        <v>AR</v>
      </c>
      <c r="F412" s="52" t="s">
        <v>828</v>
      </c>
      <c r="G412" s="52"/>
      <c r="H412" s="79" t="str">
        <f t="shared" ca="1" si="36"/>
        <v>⚠ 원자재_부서보관</v>
      </c>
      <c r="I412" s="79" t="str">
        <f t="shared" ca="1" si="37"/>
        <v>7-AR</v>
      </c>
      <c r="J412" s="61" t="s">
        <v>828</v>
      </c>
      <c r="K412" s="65" t="s">
        <v>2774</v>
      </c>
      <c r="L412" s="83" t="str">
        <f t="shared" si="33"/>
        <v>→ 조립자재 R261</v>
      </c>
      <c r="M412" s="84"/>
      <c r="N412" s="80">
        <v>261</v>
      </c>
      <c r="O412" s="80" t="s">
        <v>2110</v>
      </c>
      <c r="P412" s="79" t="s">
        <v>2775</v>
      </c>
    </row>
    <row r="413" spans="1:16" ht="30" customHeight="1" x14ac:dyDescent="0.3">
      <c r="A413" s="56" t="s">
        <v>354</v>
      </c>
      <c r="B413" s="52" t="s">
        <v>824</v>
      </c>
      <c r="C413" s="52" t="s">
        <v>2776</v>
      </c>
      <c r="D413" s="79" t="str">
        <f t="shared" ca="1" si="34"/>
        <v>원자재</v>
      </c>
      <c r="E413" s="79" t="str">
        <f t="shared" ca="1" si="35"/>
        <v>AR</v>
      </c>
      <c r="F413" s="52" t="s">
        <v>830</v>
      </c>
      <c r="G413" s="52" t="s">
        <v>2777</v>
      </c>
      <c r="H413" s="79" t="str">
        <f t="shared" si="36"/>
        <v>매칭완료</v>
      </c>
      <c r="I413" s="79" t="str">
        <f t="shared" ca="1" si="37"/>
        <v>7-AR</v>
      </c>
      <c r="J413" s="61" t="s">
        <v>830</v>
      </c>
      <c r="K413" s="65" t="s">
        <v>2778</v>
      </c>
      <c r="L413" s="83" t="str">
        <f t="shared" si="33"/>
        <v>→ 조립자재 R262</v>
      </c>
      <c r="M413" s="84"/>
      <c r="N413" s="80">
        <v>262</v>
      </c>
      <c r="O413" s="80" t="s">
        <v>2110</v>
      </c>
      <c r="P413" s="79" t="s">
        <v>2779</v>
      </c>
    </row>
    <row r="414" spans="1:16" ht="30" customHeight="1" x14ac:dyDescent="0.3">
      <c r="A414" s="56" t="s">
        <v>354</v>
      </c>
      <c r="B414" s="52" t="s">
        <v>824</v>
      </c>
      <c r="C414" s="52" t="s">
        <v>2770</v>
      </c>
      <c r="D414" s="79" t="str">
        <f t="shared" ca="1" si="34"/>
        <v>원자재</v>
      </c>
      <c r="E414" s="79" t="str">
        <f t="shared" ca="1" si="35"/>
        <v>AR</v>
      </c>
      <c r="F414" s="52" t="s">
        <v>832</v>
      </c>
      <c r="G414" s="52" t="s">
        <v>2780</v>
      </c>
      <c r="H414" s="79" t="str">
        <f t="shared" si="36"/>
        <v>매칭완료</v>
      </c>
      <c r="I414" s="79" t="str">
        <f t="shared" ca="1" si="37"/>
        <v>7-AR</v>
      </c>
      <c r="J414" s="61" t="s">
        <v>832</v>
      </c>
      <c r="K414" s="65" t="s">
        <v>2781</v>
      </c>
      <c r="L414" s="83" t="str">
        <f t="shared" si="33"/>
        <v>→ 조립자재 R263</v>
      </c>
      <c r="M414" s="84"/>
      <c r="N414" s="80">
        <v>263</v>
      </c>
      <c r="O414" s="80" t="s">
        <v>2110</v>
      </c>
      <c r="P414" s="79" t="s">
        <v>2782</v>
      </c>
    </row>
    <row r="415" spans="1:16" ht="30" customHeight="1" x14ac:dyDescent="0.3">
      <c r="A415" s="56" t="s">
        <v>354</v>
      </c>
      <c r="B415" s="52" t="s">
        <v>824</v>
      </c>
      <c r="C415" s="52" t="s">
        <v>153</v>
      </c>
      <c r="D415" s="79" t="str">
        <f t="shared" ca="1" si="34"/>
        <v>원자재</v>
      </c>
      <c r="E415" s="79" t="str">
        <f t="shared" ca="1" si="35"/>
        <v>AR</v>
      </c>
      <c r="F415" s="52" t="s">
        <v>834</v>
      </c>
      <c r="G415" s="52" t="s">
        <v>2783</v>
      </c>
      <c r="H415" s="79" t="str">
        <f t="shared" si="36"/>
        <v>매칭완료</v>
      </c>
      <c r="I415" s="79" t="str">
        <f t="shared" ca="1" si="37"/>
        <v>7-AR</v>
      </c>
      <c r="J415" s="61" t="s">
        <v>834</v>
      </c>
      <c r="K415" s="65" t="s">
        <v>2784</v>
      </c>
      <c r="L415" s="83" t="str">
        <f t="shared" si="33"/>
        <v>→ 조립자재 R264</v>
      </c>
      <c r="M415" s="84"/>
      <c r="N415" s="80">
        <v>264</v>
      </c>
      <c r="O415" s="80" t="s">
        <v>2110</v>
      </c>
      <c r="P415" s="79" t="s">
        <v>2785</v>
      </c>
    </row>
    <row r="416" spans="1:16" ht="30" customHeight="1" x14ac:dyDescent="0.3">
      <c r="A416" s="56" t="s">
        <v>354</v>
      </c>
      <c r="B416" s="52" t="s">
        <v>824</v>
      </c>
      <c r="C416" s="52" t="s">
        <v>153</v>
      </c>
      <c r="D416" s="79" t="str">
        <f t="shared" ca="1" si="34"/>
        <v>원자재</v>
      </c>
      <c r="E416" s="79" t="str">
        <f t="shared" ca="1" si="35"/>
        <v>AR</v>
      </c>
      <c r="F416" s="52" t="s">
        <v>836</v>
      </c>
      <c r="G416" s="52" t="s">
        <v>2786</v>
      </c>
      <c r="H416" s="79" t="str">
        <f t="shared" si="36"/>
        <v>매칭완료</v>
      </c>
      <c r="I416" s="79" t="str">
        <f t="shared" ca="1" si="37"/>
        <v>7-AR</v>
      </c>
      <c r="J416" s="61" t="s">
        <v>836</v>
      </c>
      <c r="K416" s="65" t="s">
        <v>2787</v>
      </c>
      <c r="L416" s="83" t="str">
        <f t="shared" si="33"/>
        <v>→ 조립자재 R265</v>
      </c>
      <c r="M416" s="84"/>
      <c r="N416" s="80">
        <v>265</v>
      </c>
      <c r="O416" s="80" t="s">
        <v>2110</v>
      </c>
      <c r="P416" s="79" t="s">
        <v>2788</v>
      </c>
    </row>
    <row r="417" spans="1:16" ht="30" customHeight="1" x14ac:dyDescent="0.3">
      <c r="A417" s="56" t="s">
        <v>354</v>
      </c>
      <c r="B417" s="52" t="s">
        <v>824</v>
      </c>
      <c r="C417" s="52" t="s">
        <v>153</v>
      </c>
      <c r="D417" s="79" t="str">
        <f t="shared" ca="1" si="34"/>
        <v>원자재</v>
      </c>
      <c r="E417" s="79" t="str">
        <f t="shared" ca="1" si="35"/>
        <v>AR</v>
      </c>
      <c r="F417" s="52" t="s">
        <v>838</v>
      </c>
      <c r="G417" s="52" t="s">
        <v>2789</v>
      </c>
      <c r="H417" s="79" t="str">
        <f t="shared" si="36"/>
        <v>매칭완료</v>
      </c>
      <c r="I417" s="79" t="str">
        <f t="shared" ca="1" si="37"/>
        <v>7-AR</v>
      </c>
      <c r="J417" s="61" t="s">
        <v>838</v>
      </c>
      <c r="K417" s="65" t="s">
        <v>2790</v>
      </c>
      <c r="L417" s="83" t="str">
        <f t="shared" si="33"/>
        <v>→ 조립자재 R266</v>
      </c>
      <c r="M417" s="84"/>
      <c r="N417" s="80">
        <v>266</v>
      </c>
      <c r="O417" s="80" t="s">
        <v>2110</v>
      </c>
      <c r="P417" s="79" t="s">
        <v>2791</v>
      </c>
    </row>
    <row r="418" spans="1:16" ht="30" customHeight="1" x14ac:dyDescent="0.3">
      <c r="A418" s="56" t="s">
        <v>354</v>
      </c>
      <c r="B418" s="52" t="s">
        <v>824</v>
      </c>
      <c r="C418" s="52" t="s">
        <v>2792</v>
      </c>
      <c r="D418" s="79" t="str">
        <f t="shared" ca="1" si="34"/>
        <v>원자재</v>
      </c>
      <c r="E418" s="79" t="str">
        <f t="shared" ca="1" si="35"/>
        <v>AR</v>
      </c>
      <c r="F418" s="52" t="s">
        <v>841</v>
      </c>
      <c r="G418" s="52" t="s">
        <v>2793</v>
      </c>
      <c r="H418" s="79" t="str">
        <f t="shared" si="36"/>
        <v>매칭완료</v>
      </c>
      <c r="I418" s="79" t="str">
        <f t="shared" ca="1" si="37"/>
        <v>7-AR</v>
      </c>
      <c r="J418" s="61" t="s">
        <v>841</v>
      </c>
      <c r="K418" s="65" t="s">
        <v>2794</v>
      </c>
      <c r="L418" s="83" t="str">
        <f t="shared" si="33"/>
        <v>→ 조립자재 R267</v>
      </c>
      <c r="M418" s="84"/>
      <c r="N418" s="80">
        <v>267</v>
      </c>
      <c r="O418" s="80" t="s">
        <v>2110</v>
      </c>
      <c r="P418" s="79" t="s">
        <v>2795</v>
      </c>
    </row>
    <row r="419" spans="1:16" ht="30" customHeight="1" x14ac:dyDescent="0.3">
      <c r="A419" s="56" t="s">
        <v>354</v>
      </c>
      <c r="B419" s="52" t="s">
        <v>824</v>
      </c>
      <c r="C419" s="52" t="s">
        <v>2792</v>
      </c>
      <c r="D419" s="79" t="str">
        <f t="shared" ca="1" si="34"/>
        <v>원자재</v>
      </c>
      <c r="E419" s="79" t="str">
        <f t="shared" ca="1" si="35"/>
        <v>AR</v>
      </c>
      <c r="F419" s="52" t="s">
        <v>843</v>
      </c>
      <c r="G419" s="52" t="s">
        <v>2796</v>
      </c>
      <c r="H419" s="79" t="str">
        <f t="shared" si="36"/>
        <v>매칭완료</v>
      </c>
      <c r="I419" s="79" t="str">
        <f t="shared" ca="1" si="37"/>
        <v>7-AR</v>
      </c>
      <c r="J419" s="61" t="s">
        <v>843</v>
      </c>
      <c r="K419" s="65" t="s">
        <v>2797</v>
      </c>
      <c r="L419" s="83" t="str">
        <f t="shared" si="33"/>
        <v>→ 조립자재 R268</v>
      </c>
      <c r="M419" s="84"/>
      <c r="N419" s="80">
        <v>268</v>
      </c>
      <c r="O419" s="80" t="s">
        <v>2110</v>
      </c>
      <c r="P419" s="79" t="s">
        <v>2798</v>
      </c>
    </row>
    <row r="420" spans="1:16" ht="30" customHeight="1" x14ac:dyDescent="0.3">
      <c r="A420" s="56" t="s">
        <v>354</v>
      </c>
      <c r="B420" s="52" t="s">
        <v>845</v>
      </c>
      <c r="C420" s="52" t="s">
        <v>2770</v>
      </c>
      <c r="D420" s="79" t="str">
        <f t="shared" ca="1" si="34"/>
        <v>원자재</v>
      </c>
      <c r="E420" s="79" t="str">
        <f t="shared" ca="1" si="35"/>
        <v>AR</v>
      </c>
      <c r="F420" s="52" t="s">
        <v>846</v>
      </c>
      <c r="G420" s="52" t="s">
        <v>2799</v>
      </c>
      <c r="H420" s="79" t="str">
        <f t="shared" si="36"/>
        <v>매칭완료</v>
      </c>
      <c r="I420" s="79" t="str">
        <f t="shared" ca="1" si="37"/>
        <v>7-AR</v>
      </c>
      <c r="J420" s="61" t="s">
        <v>846</v>
      </c>
      <c r="K420" s="65" t="s">
        <v>2800</v>
      </c>
      <c r="L420" s="83" t="str">
        <f t="shared" si="33"/>
        <v>→ 조립자재 R269</v>
      </c>
      <c r="M420" s="84"/>
      <c r="N420" s="80">
        <v>269</v>
      </c>
      <c r="O420" s="80" t="s">
        <v>2110</v>
      </c>
      <c r="P420" s="79" t="s">
        <v>2801</v>
      </c>
    </row>
    <row r="421" spans="1:16" ht="30" customHeight="1" x14ac:dyDescent="0.3">
      <c r="A421" s="56" t="s">
        <v>354</v>
      </c>
      <c r="B421" s="52" t="s">
        <v>845</v>
      </c>
      <c r="C421" s="52" t="s">
        <v>2792</v>
      </c>
      <c r="D421" s="79" t="str">
        <f t="shared" ca="1" si="34"/>
        <v>원자재</v>
      </c>
      <c r="E421" s="79" t="str">
        <f t="shared" ca="1" si="35"/>
        <v>AR</v>
      </c>
      <c r="F421" s="52" t="s">
        <v>848</v>
      </c>
      <c r="G421" s="52" t="s">
        <v>2802</v>
      </c>
      <c r="H421" s="79" t="str">
        <f t="shared" si="36"/>
        <v>매칭완료</v>
      </c>
      <c r="I421" s="79" t="str">
        <f t="shared" ca="1" si="37"/>
        <v>7-AR</v>
      </c>
      <c r="J421" s="61" t="s">
        <v>848</v>
      </c>
      <c r="K421" s="65" t="s">
        <v>2803</v>
      </c>
      <c r="L421" s="83" t="str">
        <f t="shared" si="33"/>
        <v>→ 조립자재 R270</v>
      </c>
      <c r="M421" s="84"/>
      <c r="N421" s="80">
        <v>270</v>
      </c>
      <c r="O421" s="80" t="s">
        <v>2110</v>
      </c>
      <c r="P421" s="79" t="s">
        <v>2804</v>
      </c>
    </row>
    <row r="422" spans="1:16" ht="30" customHeight="1" x14ac:dyDescent="0.3">
      <c r="A422" s="56" t="s">
        <v>354</v>
      </c>
      <c r="B422" s="52" t="s">
        <v>845</v>
      </c>
      <c r="C422" s="52" t="s">
        <v>153</v>
      </c>
      <c r="D422" s="79" t="str">
        <f t="shared" ca="1" si="34"/>
        <v>원자재</v>
      </c>
      <c r="E422" s="79" t="str">
        <f t="shared" ca="1" si="35"/>
        <v>AR</v>
      </c>
      <c r="F422" s="52" t="s">
        <v>850</v>
      </c>
      <c r="G422" s="52" t="s">
        <v>2805</v>
      </c>
      <c r="H422" s="79" t="str">
        <f t="shared" si="36"/>
        <v>매칭완료</v>
      </c>
      <c r="I422" s="79" t="str">
        <f t="shared" ca="1" si="37"/>
        <v>7-AR</v>
      </c>
      <c r="J422" s="61" t="s">
        <v>850</v>
      </c>
      <c r="K422" s="65" t="s">
        <v>2806</v>
      </c>
      <c r="L422" s="83" t="str">
        <f t="shared" si="33"/>
        <v>→ 조립자재 R271</v>
      </c>
      <c r="M422" s="84"/>
      <c r="N422" s="80">
        <v>271</v>
      </c>
      <c r="O422" s="80" t="s">
        <v>2110</v>
      </c>
      <c r="P422" s="79" t="s">
        <v>2807</v>
      </c>
    </row>
    <row r="423" spans="1:16" ht="30" customHeight="1" x14ac:dyDescent="0.3">
      <c r="A423" s="56" t="s">
        <v>354</v>
      </c>
      <c r="B423" s="52" t="s">
        <v>845</v>
      </c>
      <c r="C423" s="52" t="s">
        <v>153</v>
      </c>
      <c r="D423" s="79" t="str">
        <f t="shared" ca="1" si="34"/>
        <v>원자재</v>
      </c>
      <c r="E423" s="79" t="str">
        <f t="shared" ca="1" si="35"/>
        <v>AR</v>
      </c>
      <c r="F423" s="52" t="s">
        <v>852</v>
      </c>
      <c r="G423" s="52" t="s">
        <v>2808</v>
      </c>
      <c r="H423" s="79" t="str">
        <f t="shared" si="36"/>
        <v>매칭완료</v>
      </c>
      <c r="I423" s="79" t="str">
        <f t="shared" ca="1" si="37"/>
        <v>7-AR</v>
      </c>
      <c r="J423" s="61" t="s">
        <v>852</v>
      </c>
      <c r="K423" s="65" t="s">
        <v>2809</v>
      </c>
      <c r="L423" s="83" t="str">
        <f t="shared" si="33"/>
        <v>→ 조립자재 R272</v>
      </c>
      <c r="M423" s="84"/>
      <c r="N423" s="80">
        <v>272</v>
      </c>
      <c r="O423" s="80" t="s">
        <v>2110</v>
      </c>
      <c r="P423" s="79" t="s">
        <v>2810</v>
      </c>
    </row>
    <row r="424" spans="1:16" ht="30" customHeight="1" x14ac:dyDescent="0.3">
      <c r="A424" s="56" t="s">
        <v>354</v>
      </c>
      <c r="B424" s="52" t="s">
        <v>845</v>
      </c>
      <c r="C424" s="52" t="s">
        <v>2811</v>
      </c>
      <c r="D424" s="79" t="str">
        <f t="shared" ca="1" si="34"/>
        <v>원자재</v>
      </c>
      <c r="E424" s="79" t="str">
        <f t="shared" ca="1" si="35"/>
        <v>AR</v>
      </c>
      <c r="F424" s="52" t="s">
        <v>855</v>
      </c>
      <c r="G424" s="52" t="s">
        <v>2812</v>
      </c>
      <c r="H424" s="79" t="str">
        <f t="shared" si="36"/>
        <v>매칭완료</v>
      </c>
      <c r="I424" s="79" t="str">
        <f t="shared" ca="1" si="37"/>
        <v>7-AR</v>
      </c>
      <c r="J424" s="61" t="s">
        <v>855</v>
      </c>
      <c r="K424" s="65" t="s">
        <v>2813</v>
      </c>
      <c r="L424" s="83" t="str">
        <f t="shared" si="33"/>
        <v>→ 조립자재 R273</v>
      </c>
      <c r="M424" s="84"/>
      <c r="N424" s="80">
        <v>273</v>
      </c>
      <c r="O424" s="80" t="s">
        <v>2110</v>
      </c>
      <c r="P424" s="79" t="s">
        <v>2814</v>
      </c>
    </row>
    <row r="425" spans="1:16" ht="30" customHeight="1" x14ac:dyDescent="0.3">
      <c r="A425" s="56" t="s">
        <v>354</v>
      </c>
      <c r="B425" s="52" t="s">
        <v>845</v>
      </c>
      <c r="C425" s="52" t="s">
        <v>2811</v>
      </c>
      <c r="D425" s="79" t="str">
        <f t="shared" ca="1" si="34"/>
        <v>원자재</v>
      </c>
      <c r="E425" s="79" t="str">
        <f t="shared" ca="1" si="35"/>
        <v>AR</v>
      </c>
      <c r="F425" s="52" t="s">
        <v>857</v>
      </c>
      <c r="G425" s="52" t="s">
        <v>2815</v>
      </c>
      <c r="H425" s="79" t="str">
        <f t="shared" si="36"/>
        <v>매칭완료</v>
      </c>
      <c r="I425" s="79" t="str">
        <f t="shared" ca="1" si="37"/>
        <v>7-AR</v>
      </c>
      <c r="J425" s="61" t="s">
        <v>857</v>
      </c>
      <c r="K425" s="65" t="s">
        <v>2816</v>
      </c>
      <c r="L425" s="83" t="str">
        <f t="shared" si="33"/>
        <v>→ 조립자재 R274</v>
      </c>
      <c r="M425" s="84"/>
      <c r="N425" s="80">
        <v>274</v>
      </c>
      <c r="O425" s="80" t="s">
        <v>2110</v>
      </c>
      <c r="P425" s="79" t="s">
        <v>2817</v>
      </c>
    </row>
    <row r="426" spans="1:16" ht="30" customHeight="1" x14ac:dyDescent="0.3">
      <c r="A426" s="56" t="s">
        <v>354</v>
      </c>
      <c r="B426" s="52" t="s">
        <v>845</v>
      </c>
      <c r="C426" s="52" t="s">
        <v>2818</v>
      </c>
      <c r="D426" s="79" t="str">
        <f t="shared" ca="1" si="34"/>
        <v>원자재</v>
      </c>
      <c r="E426" s="79" t="str">
        <f t="shared" ca="1" si="35"/>
        <v>AR</v>
      </c>
      <c r="F426" s="52" t="s">
        <v>860</v>
      </c>
      <c r="G426" s="52" t="s">
        <v>2819</v>
      </c>
      <c r="H426" s="79" t="str">
        <f t="shared" si="36"/>
        <v>매칭완료</v>
      </c>
      <c r="I426" s="79" t="str">
        <f t="shared" ca="1" si="37"/>
        <v>7-AR</v>
      </c>
      <c r="J426" s="61" t="s">
        <v>860</v>
      </c>
      <c r="K426" s="65" t="s">
        <v>2820</v>
      </c>
      <c r="L426" s="83" t="str">
        <f t="shared" si="33"/>
        <v>→ 조립자재 R275</v>
      </c>
      <c r="M426" s="84"/>
      <c r="N426" s="80">
        <v>275</v>
      </c>
      <c r="O426" s="80" t="s">
        <v>2110</v>
      </c>
      <c r="P426" s="79" t="s">
        <v>2821</v>
      </c>
    </row>
    <row r="427" spans="1:16" ht="30" customHeight="1" x14ac:dyDescent="0.3">
      <c r="A427" s="56" t="s">
        <v>354</v>
      </c>
      <c r="B427" s="52" t="s">
        <v>845</v>
      </c>
      <c r="C427" s="52" t="s">
        <v>153</v>
      </c>
      <c r="D427" s="79" t="str">
        <f t="shared" ca="1" si="34"/>
        <v>원자재</v>
      </c>
      <c r="E427" s="79" t="str">
        <f t="shared" ca="1" si="35"/>
        <v>AR</v>
      </c>
      <c r="F427" s="52" t="s">
        <v>862</v>
      </c>
      <c r="G427" s="52" t="s">
        <v>2822</v>
      </c>
      <c r="H427" s="79" t="str">
        <f t="shared" si="36"/>
        <v>매칭완료</v>
      </c>
      <c r="I427" s="79" t="str">
        <f t="shared" ca="1" si="37"/>
        <v>7-AR</v>
      </c>
      <c r="J427" s="61" t="s">
        <v>862</v>
      </c>
      <c r="K427" s="65" t="s">
        <v>2823</v>
      </c>
      <c r="L427" s="83" t="str">
        <f t="shared" si="33"/>
        <v>→ 조립자재 R276</v>
      </c>
      <c r="M427" s="84"/>
      <c r="N427" s="80">
        <v>276</v>
      </c>
      <c r="O427" s="80" t="s">
        <v>2110</v>
      </c>
      <c r="P427" s="79" t="s">
        <v>2824</v>
      </c>
    </row>
    <row r="428" spans="1:16" ht="30" customHeight="1" x14ac:dyDescent="0.3">
      <c r="A428" s="56" t="s">
        <v>354</v>
      </c>
      <c r="B428" s="52" t="s">
        <v>845</v>
      </c>
      <c r="C428" s="52" t="s">
        <v>153</v>
      </c>
      <c r="D428" s="79" t="str">
        <f t="shared" ca="1" si="34"/>
        <v>원자재</v>
      </c>
      <c r="E428" s="79" t="str">
        <f t="shared" ca="1" si="35"/>
        <v>AR</v>
      </c>
      <c r="F428" s="52" t="s">
        <v>864</v>
      </c>
      <c r="G428" s="52" t="s">
        <v>2825</v>
      </c>
      <c r="H428" s="79" t="str">
        <f t="shared" si="36"/>
        <v>매칭완료</v>
      </c>
      <c r="I428" s="79" t="str">
        <f t="shared" ca="1" si="37"/>
        <v>7-AR</v>
      </c>
      <c r="J428" s="61" t="s">
        <v>864</v>
      </c>
      <c r="K428" s="65" t="s">
        <v>2826</v>
      </c>
      <c r="L428" s="83" t="str">
        <f t="shared" si="33"/>
        <v>→ 조립자재 R277</v>
      </c>
      <c r="M428" s="84"/>
      <c r="N428" s="80">
        <v>277</v>
      </c>
      <c r="O428" s="80" t="s">
        <v>2110</v>
      </c>
      <c r="P428" s="79" t="s">
        <v>2827</v>
      </c>
    </row>
    <row r="429" spans="1:16" ht="30" customHeight="1" x14ac:dyDescent="0.3">
      <c r="A429" s="56" t="s">
        <v>354</v>
      </c>
      <c r="B429" s="52" t="s">
        <v>845</v>
      </c>
      <c r="C429" s="52" t="s">
        <v>153</v>
      </c>
      <c r="D429" s="79" t="str">
        <f t="shared" ca="1" si="34"/>
        <v>원자재</v>
      </c>
      <c r="E429" s="79" t="str">
        <f t="shared" ca="1" si="35"/>
        <v>AR</v>
      </c>
      <c r="F429" s="52" t="s">
        <v>866</v>
      </c>
      <c r="G429" s="52" t="s">
        <v>2828</v>
      </c>
      <c r="H429" s="79" t="str">
        <f t="shared" si="36"/>
        <v>매칭완료</v>
      </c>
      <c r="I429" s="79" t="str">
        <f t="shared" ca="1" si="37"/>
        <v>7-AR</v>
      </c>
      <c r="J429" s="61" t="s">
        <v>866</v>
      </c>
      <c r="K429" s="65" t="s">
        <v>2829</v>
      </c>
      <c r="L429" s="83" t="str">
        <f t="shared" si="33"/>
        <v>→ 조립자재 R278</v>
      </c>
      <c r="M429" s="84"/>
      <c r="N429" s="80">
        <v>278</v>
      </c>
      <c r="O429" s="80" t="s">
        <v>2110</v>
      </c>
      <c r="P429" s="79" t="s">
        <v>2830</v>
      </c>
    </row>
    <row r="430" spans="1:16" ht="30" customHeight="1" x14ac:dyDescent="0.3">
      <c r="A430" s="56" t="s">
        <v>354</v>
      </c>
      <c r="B430" s="52" t="s">
        <v>868</v>
      </c>
      <c r="C430" s="52" t="s">
        <v>2776</v>
      </c>
      <c r="D430" s="79" t="str">
        <f t="shared" ca="1" si="34"/>
        <v>원자재</v>
      </c>
      <c r="E430" s="79" t="str">
        <f t="shared" ca="1" si="35"/>
        <v>AR</v>
      </c>
      <c r="F430" s="52" t="s">
        <v>870</v>
      </c>
      <c r="G430" s="52" t="s">
        <v>2831</v>
      </c>
      <c r="H430" s="79" t="str">
        <f t="shared" si="36"/>
        <v>매칭완료</v>
      </c>
      <c r="I430" s="79" t="str">
        <f t="shared" ca="1" si="37"/>
        <v>7-AR</v>
      </c>
      <c r="J430" s="61" t="s">
        <v>870</v>
      </c>
      <c r="K430" s="65" t="s">
        <v>2832</v>
      </c>
      <c r="L430" s="83" t="str">
        <f t="shared" si="33"/>
        <v>→ 조립자재 R279</v>
      </c>
      <c r="M430" s="84"/>
      <c r="N430" s="80">
        <v>279</v>
      </c>
      <c r="O430" s="80" t="s">
        <v>2110</v>
      </c>
      <c r="P430" s="79" t="s">
        <v>2833</v>
      </c>
    </row>
    <row r="431" spans="1:16" ht="30" customHeight="1" x14ac:dyDescent="0.3">
      <c r="A431" s="56" t="s">
        <v>354</v>
      </c>
      <c r="B431" s="52" t="s">
        <v>868</v>
      </c>
      <c r="C431" s="52" t="s">
        <v>2776</v>
      </c>
      <c r="D431" s="79" t="str">
        <f t="shared" ca="1" si="34"/>
        <v>원자재</v>
      </c>
      <c r="E431" s="79" t="str">
        <f t="shared" ca="1" si="35"/>
        <v>AR</v>
      </c>
      <c r="F431" s="52" t="s">
        <v>872</v>
      </c>
      <c r="G431" s="52" t="s">
        <v>2834</v>
      </c>
      <c r="H431" s="79" t="str">
        <f t="shared" si="36"/>
        <v>매칭완료</v>
      </c>
      <c r="I431" s="79" t="str">
        <f t="shared" ca="1" si="37"/>
        <v>7-AR</v>
      </c>
      <c r="J431" s="61" t="s">
        <v>872</v>
      </c>
      <c r="K431" s="65" t="s">
        <v>2835</v>
      </c>
      <c r="L431" s="83" t="str">
        <f t="shared" si="33"/>
        <v>→ 조립자재 R280</v>
      </c>
      <c r="M431" s="84"/>
      <c r="N431" s="80">
        <v>280</v>
      </c>
      <c r="O431" s="80" t="s">
        <v>2110</v>
      </c>
      <c r="P431" s="79" t="s">
        <v>2836</v>
      </c>
    </row>
    <row r="432" spans="1:16" ht="30" customHeight="1" x14ac:dyDescent="0.3">
      <c r="A432" s="56" t="s">
        <v>354</v>
      </c>
      <c r="B432" s="52" t="s">
        <v>868</v>
      </c>
      <c r="C432" s="52" t="s">
        <v>153</v>
      </c>
      <c r="D432" s="79" t="str">
        <f t="shared" ca="1" si="34"/>
        <v>원자재</v>
      </c>
      <c r="E432" s="79" t="str">
        <f t="shared" ca="1" si="35"/>
        <v>AR</v>
      </c>
      <c r="F432" s="52" t="s">
        <v>874</v>
      </c>
      <c r="G432" s="52" t="s">
        <v>2837</v>
      </c>
      <c r="H432" s="79" t="str">
        <f t="shared" si="36"/>
        <v>매칭완료</v>
      </c>
      <c r="I432" s="79" t="str">
        <f t="shared" ca="1" si="37"/>
        <v>7-AR</v>
      </c>
      <c r="J432" s="61" t="s">
        <v>874</v>
      </c>
      <c r="K432" s="65" t="s">
        <v>2838</v>
      </c>
      <c r="L432" s="83" t="str">
        <f t="shared" si="33"/>
        <v>→ 조립자재 R281</v>
      </c>
      <c r="M432" s="84"/>
      <c r="N432" s="80">
        <v>281</v>
      </c>
      <c r="O432" s="80" t="s">
        <v>2110</v>
      </c>
      <c r="P432" s="79" t="s">
        <v>2839</v>
      </c>
    </row>
    <row r="433" spans="1:16" ht="30" customHeight="1" x14ac:dyDescent="0.3">
      <c r="A433" s="56" t="s">
        <v>354</v>
      </c>
      <c r="B433" s="52" t="s">
        <v>868</v>
      </c>
      <c r="C433" s="52" t="s">
        <v>153</v>
      </c>
      <c r="D433" s="79" t="str">
        <f t="shared" ca="1" si="34"/>
        <v>원자재</v>
      </c>
      <c r="E433" s="79" t="str">
        <f t="shared" ca="1" si="35"/>
        <v>AR</v>
      </c>
      <c r="F433" s="52" t="s">
        <v>876</v>
      </c>
      <c r="G433" s="52" t="s">
        <v>2840</v>
      </c>
      <c r="H433" s="79" t="str">
        <f t="shared" si="36"/>
        <v>매칭완료</v>
      </c>
      <c r="I433" s="79" t="str">
        <f t="shared" ca="1" si="37"/>
        <v>7-AR</v>
      </c>
      <c r="J433" s="61" t="s">
        <v>876</v>
      </c>
      <c r="K433" s="65" t="s">
        <v>2841</v>
      </c>
      <c r="L433" s="83" t="str">
        <f t="shared" si="33"/>
        <v>→ 조립자재 R282</v>
      </c>
      <c r="M433" s="84"/>
      <c r="N433" s="80">
        <v>282</v>
      </c>
      <c r="O433" s="80" t="s">
        <v>2110</v>
      </c>
      <c r="P433" s="79" t="s">
        <v>2842</v>
      </c>
    </row>
    <row r="434" spans="1:16" ht="30" customHeight="1" x14ac:dyDescent="0.3">
      <c r="A434" s="56" t="s">
        <v>354</v>
      </c>
      <c r="B434" s="52" t="s">
        <v>868</v>
      </c>
      <c r="C434" s="52" t="s">
        <v>153</v>
      </c>
      <c r="D434" s="79" t="str">
        <f t="shared" ca="1" si="34"/>
        <v>원자재</v>
      </c>
      <c r="E434" s="79" t="str">
        <f t="shared" ca="1" si="35"/>
        <v>AR</v>
      </c>
      <c r="F434" s="52" t="s">
        <v>878</v>
      </c>
      <c r="G434" s="52" t="s">
        <v>2843</v>
      </c>
      <c r="H434" s="79" t="str">
        <f t="shared" si="36"/>
        <v>매칭완료</v>
      </c>
      <c r="I434" s="79" t="str">
        <f t="shared" ca="1" si="37"/>
        <v>7-AR</v>
      </c>
      <c r="J434" s="61" t="s">
        <v>878</v>
      </c>
      <c r="K434" s="65" t="s">
        <v>2844</v>
      </c>
      <c r="L434" s="83" t="str">
        <f t="shared" ref="L434:L497" si="38">HYPERLINK("#'"&amp;$O434&amp;"'!A"&amp;$N434,"→ 조립자재 R"&amp;$N434)</f>
        <v>→ 조립자재 R283</v>
      </c>
      <c r="M434" s="84"/>
      <c r="N434" s="80">
        <v>283</v>
      </c>
      <c r="O434" s="80" t="s">
        <v>2110</v>
      </c>
      <c r="P434" s="79" t="s">
        <v>2845</v>
      </c>
    </row>
    <row r="435" spans="1:16" ht="30" customHeight="1" x14ac:dyDescent="0.3">
      <c r="A435" s="56" t="s">
        <v>354</v>
      </c>
      <c r="B435" s="52" t="s">
        <v>868</v>
      </c>
      <c r="C435" s="52" t="s">
        <v>153</v>
      </c>
      <c r="D435" s="79" t="str">
        <f t="shared" ca="1" si="34"/>
        <v>원자재</v>
      </c>
      <c r="E435" s="79" t="str">
        <f t="shared" ca="1" si="35"/>
        <v>AR</v>
      </c>
      <c r="F435" s="52" t="s">
        <v>880</v>
      </c>
      <c r="G435" s="52" t="s">
        <v>2846</v>
      </c>
      <c r="H435" s="79" t="str">
        <f t="shared" si="36"/>
        <v>매칭완료</v>
      </c>
      <c r="I435" s="79" t="str">
        <f t="shared" ca="1" si="37"/>
        <v>7-AR</v>
      </c>
      <c r="J435" s="61" t="s">
        <v>880</v>
      </c>
      <c r="K435" s="65" t="s">
        <v>2847</v>
      </c>
      <c r="L435" s="83" t="str">
        <f t="shared" si="38"/>
        <v>→ 조립자재 R284</v>
      </c>
      <c r="M435" s="84"/>
      <c r="N435" s="80">
        <v>284</v>
      </c>
      <c r="O435" s="80" t="s">
        <v>2110</v>
      </c>
      <c r="P435" s="79" t="s">
        <v>2848</v>
      </c>
    </row>
    <row r="436" spans="1:16" ht="30" customHeight="1" x14ac:dyDescent="0.3">
      <c r="A436" s="56" t="s">
        <v>354</v>
      </c>
      <c r="B436" s="52" t="s">
        <v>882</v>
      </c>
      <c r="C436" s="52" t="s">
        <v>2849</v>
      </c>
      <c r="D436" s="79" t="str">
        <f t="shared" ca="1" si="34"/>
        <v>원자재</v>
      </c>
      <c r="E436" s="79" t="str">
        <f t="shared" ca="1" si="35"/>
        <v>AR</v>
      </c>
      <c r="F436" s="52" t="s">
        <v>884</v>
      </c>
      <c r="G436" s="52"/>
      <c r="H436" s="79" t="str">
        <f t="shared" ca="1" si="36"/>
        <v>⚠ 원자재_부서보관</v>
      </c>
      <c r="I436" s="79" t="str">
        <f t="shared" ca="1" si="37"/>
        <v>7-AR</v>
      </c>
      <c r="J436" s="61" t="s">
        <v>884</v>
      </c>
      <c r="K436" s="65" t="s">
        <v>2850</v>
      </c>
      <c r="L436" s="83" t="str">
        <f t="shared" si="38"/>
        <v>→ 조립자재 R285</v>
      </c>
      <c r="M436" s="84"/>
      <c r="N436" s="80">
        <v>285</v>
      </c>
      <c r="O436" s="80" t="s">
        <v>2110</v>
      </c>
      <c r="P436" s="79" t="s">
        <v>2851</v>
      </c>
    </row>
    <row r="437" spans="1:16" ht="30" customHeight="1" x14ac:dyDescent="0.3">
      <c r="A437" s="56" t="s">
        <v>354</v>
      </c>
      <c r="B437" s="52" t="s">
        <v>882</v>
      </c>
      <c r="C437" s="52" t="s">
        <v>2849</v>
      </c>
      <c r="D437" s="79" t="str">
        <f t="shared" ca="1" si="34"/>
        <v>원자재</v>
      </c>
      <c r="E437" s="79" t="str">
        <f t="shared" ca="1" si="35"/>
        <v>AR</v>
      </c>
      <c r="F437" s="52" t="s">
        <v>832</v>
      </c>
      <c r="G437" s="52"/>
      <c r="H437" s="79" t="str">
        <f t="shared" ca="1" si="36"/>
        <v>⚠ 원자재_부서보관</v>
      </c>
      <c r="I437" s="79" t="str">
        <f t="shared" ca="1" si="37"/>
        <v>7-AR</v>
      </c>
      <c r="J437" s="61" t="s">
        <v>832</v>
      </c>
      <c r="K437" s="65" t="s">
        <v>2852</v>
      </c>
      <c r="L437" s="83" t="str">
        <f t="shared" si="38"/>
        <v>→ 조립자재 R286</v>
      </c>
      <c r="M437" s="84"/>
      <c r="N437" s="80">
        <v>286</v>
      </c>
      <c r="O437" s="80" t="s">
        <v>2110</v>
      </c>
      <c r="P437" s="79" t="s">
        <v>2853</v>
      </c>
    </row>
    <row r="438" spans="1:16" ht="30" customHeight="1" x14ac:dyDescent="0.3">
      <c r="A438" s="56" t="s">
        <v>354</v>
      </c>
      <c r="B438" s="52" t="s">
        <v>882</v>
      </c>
      <c r="C438" s="52" t="s">
        <v>2849</v>
      </c>
      <c r="D438" s="79" t="str">
        <f t="shared" ca="1" si="34"/>
        <v>원자재</v>
      </c>
      <c r="E438" s="79" t="str">
        <f t="shared" ca="1" si="35"/>
        <v>AR</v>
      </c>
      <c r="F438" s="52" t="s">
        <v>830</v>
      </c>
      <c r="G438" s="52"/>
      <c r="H438" s="79" t="str">
        <f t="shared" ca="1" si="36"/>
        <v>⚠ 원자재_부서보관</v>
      </c>
      <c r="I438" s="79" t="str">
        <f t="shared" ca="1" si="37"/>
        <v>7-AR</v>
      </c>
      <c r="J438" s="61" t="s">
        <v>830</v>
      </c>
      <c r="K438" s="65" t="s">
        <v>2854</v>
      </c>
      <c r="L438" s="83" t="str">
        <f t="shared" si="38"/>
        <v>→ 조립자재 R287</v>
      </c>
      <c r="M438" s="84"/>
      <c r="N438" s="80">
        <v>287</v>
      </c>
      <c r="O438" s="80" t="s">
        <v>2110</v>
      </c>
      <c r="P438" s="79" t="s">
        <v>2855</v>
      </c>
    </row>
    <row r="439" spans="1:16" ht="30" customHeight="1" x14ac:dyDescent="0.3">
      <c r="A439" s="56" t="s">
        <v>354</v>
      </c>
      <c r="B439" s="52" t="s">
        <v>882</v>
      </c>
      <c r="C439" s="52" t="s">
        <v>2849</v>
      </c>
      <c r="D439" s="79" t="str">
        <f t="shared" ca="1" si="34"/>
        <v>원자재</v>
      </c>
      <c r="E439" s="79" t="str">
        <f t="shared" ca="1" si="35"/>
        <v>AR</v>
      </c>
      <c r="F439" s="52" t="s">
        <v>841</v>
      </c>
      <c r="G439" s="52"/>
      <c r="H439" s="79" t="str">
        <f t="shared" ca="1" si="36"/>
        <v>⚠ 원자재_부서보관</v>
      </c>
      <c r="I439" s="79" t="str">
        <f t="shared" ca="1" si="37"/>
        <v>7-AR</v>
      </c>
      <c r="J439" s="61" t="s">
        <v>841</v>
      </c>
      <c r="K439" s="65" t="s">
        <v>2856</v>
      </c>
      <c r="L439" s="83" t="str">
        <f t="shared" si="38"/>
        <v>→ 조립자재 R288</v>
      </c>
      <c r="M439" s="84"/>
      <c r="N439" s="80">
        <v>288</v>
      </c>
      <c r="O439" s="80" t="s">
        <v>2110</v>
      </c>
      <c r="P439" s="79" t="s">
        <v>2857</v>
      </c>
    </row>
    <row r="440" spans="1:16" ht="30" customHeight="1" x14ac:dyDescent="0.3">
      <c r="A440" s="56" t="s">
        <v>354</v>
      </c>
      <c r="B440" s="52" t="s">
        <v>882</v>
      </c>
      <c r="C440" s="52" t="s">
        <v>2849</v>
      </c>
      <c r="D440" s="79" t="str">
        <f t="shared" ca="1" si="34"/>
        <v>원자재</v>
      </c>
      <c r="E440" s="79" t="str">
        <f t="shared" ca="1" si="35"/>
        <v>AR</v>
      </c>
      <c r="F440" s="52" t="s">
        <v>843</v>
      </c>
      <c r="G440" s="52"/>
      <c r="H440" s="79" t="str">
        <f t="shared" ca="1" si="36"/>
        <v>⚠ 원자재_부서보관</v>
      </c>
      <c r="I440" s="79" t="str">
        <f t="shared" ca="1" si="37"/>
        <v>7-AR</v>
      </c>
      <c r="J440" s="61" t="s">
        <v>843</v>
      </c>
      <c r="K440" s="65" t="s">
        <v>2858</v>
      </c>
      <c r="L440" s="83" t="str">
        <f t="shared" si="38"/>
        <v>→ 조립자재 R289</v>
      </c>
      <c r="M440" s="84"/>
      <c r="N440" s="80">
        <v>289</v>
      </c>
      <c r="O440" s="80" t="s">
        <v>2110</v>
      </c>
      <c r="P440" s="79" t="s">
        <v>2859</v>
      </c>
    </row>
    <row r="441" spans="1:16" ht="30" customHeight="1" x14ac:dyDescent="0.3">
      <c r="A441" s="56" t="s">
        <v>354</v>
      </c>
      <c r="B441" s="52" t="s">
        <v>882</v>
      </c>
      <c r="C441" s="52" t="s">
        <v>2849</v>
      </c>
      <c r="D441" s="79" t="str">
        <f t="shared" ca="1" si="34"/>
        <v>원자재</v>
      </c>
      <c r="E441" s="79" t="str">
        <f t="shared" ca="1" si="35"/>
        <v>AR</v>
      </c>
      <c r="F441" s="52" t="s">
        <v>846</v>
      </c>
      <c r="G441" s="52"/>
      <c r="H441" s="79" t="str">
        <f t="shared" ca="1" si="36"/>
        <v>⚠ 원자재_부서보관</v>
      </c>
      <c r="I441" s="79" t="str">
        <f t="shared" ca="1" si="37"/>
        <v>7-AR</v>
      </c>
      <c r="J441" s="61" t="s">
        <v>846</v>
      </c>
      <c r="K441" s="65" t="s">
        <v>2860</v>
      </c>
      <c r="L441" s="83" t="str">
        <f t="shared" si="38"/>
        <v>→ 조립자재 R290</v>
      </c>
      <c r="M441" s="84"/>
      <c r="N441" s="80">
        <v>290</v>
      </c>
      <c r="O441" s="80" t="s">
        <v>2110</v>
      </c>
      <c r="P441" s="79" t="s">
        <v>2861</v>
      </c>
    </row>
    <row r="442" spans="1:16" ht="30" customHeight="1" x14ac:dyDescent="0.3">
      <c r="A442" s="56" t="s">
        <v>354</v>
      </c>
      <c r="B442" s="52" t="s">
        <v>882</v>
      </c>
      <c r="C442" s="52" t="s">
        <v>2849</v>
      </c>
      <c r="D442" s="79" t="str">
        <f t="shared" ca="1" si="34"/>
        <v>원자재</v>
      </c>
      <c r="E442" s="79" t="str">
        <f t="shared" ca="1" si="35"/>
        <v>AR</v>
      </c>
      <c r="F442" s="52" t="s">
        <v>848</v>
      </c>
      <c r="G442" s="52"/>
      <c r="H442" s="79" t="str">
        <f t="shared" ca="1" si="36"/>
        <v>⚠ 원자재_부서보관</v>
      </c>
      <c r="I442" s="79" t="str">
        <f t="shared" ca="1" si="37"/>
        <v>7-AR</v>
      </c>
      <c r="J442" s="61" t="s">
        <v>848</v>
      </c>
      <c r="K442" s="65" t="s">
        <v>2862</v>
      </c>
      <c r="L442" s="83" t="str">
        <f t="shared" si="38"/>
        <v>→ 조립자재 R291</v>
      </c>
      <c r="M442" s="84"/>
      <c r="N442" s="80">
        <v>291</v>
      </c>
      <c r="O442" s="80" t="s">
        <v>2110</v>
      </c>
      <c r="P442" s="79" t="s">
        <v>2863</v>
      </c>
    </row>
    <row r="443" spans="1:16" ht="30" customHeight="1" x14ac:dyDescent="0.3">
      <c r="A443" s="56" t="s">
        <v>354</v>
      </c>
      <c r="B443" s="52" t="s">
        <v>882</v>
      </c>
      <c r="C443" s="52" t="s">
        <v>2849</v>
      </c>
      <c r="D443" s="79" t="str">
        <f t="shared" ca="1" si="34"/>
        <v>원자재</v>
      </c>
      <c r="E443" s="79" t="str">
        <f t="shared" ca="1" si="35"/>
        <v>AR</v>
      </c>
      <c r="F443" s="52" t="s">
        <v>874</v>
      </c>
      <c r="G443" s="52"/>
      <c r="H443" s="79" t="str">
        <f t="shared" ca="1" si="36"/>
        <v>⚠ 원자재_부서보관</v>
      </c>
      <c r="I443" s="79" t="str">
        <f t="shared" ca="1" si="37"/>
        <v>7-AR</v>
      </c>
      <c r="J443" s="61" t="s">
        <v>874</v>
      </c>
      <c r="K443" s="65" t="s">
        <v>2864</v>
      </c>
      <c r="L443" s="83" t="str">
        <f t="shared" si="38"/>
        <v>→ 조립자재 R292</v>
      </c>
      <c r="M443" s="84"/>
      <c r="N443" s="80">
        <v>292</v>
      </c>
      <c r="O443" s="80" t="s">
        <v>2110</v>
      </c>
      <c r="P443" s="79" t="s">
        <v>2865</v>
      </c>
    </row>
    <row r="444" spans="1:16" ht="30" customHeight="1" x14ac:dyDescent="0.3">
      <c r="A444" s="56" t="s">
        <v>354</v>
      </c>
      <c r="B444" s="52" t="s">
        <v>882</v>
      </c>
      <c r="C444" s="52" t="s">
        <v>2849</v>
      </c>
      <c r="D444" s="79" t="str">
        <f t="shared" ca="1" si="34"/>
        <v>원자재</v>
      </c>
      <c r="E444" s="79" t="str">
        <f t="shared" ca="1" si="35"/>
        <v>AR</v>
      </c>
      <c r="F444" s="52" t="s">
        <v>886</v>
      </c>
      <c r="G444" s="52"/>
      <c r="H444" s="79" t="str">
        <f t="shared" ca="1" si="36"/>
        <v>⚠ 원자재_부서보관</v>
      </c>
      <c r="I444" s="79" t="str">
        <f t="shared" ca="1" si="37"/>
        <v>7-AR</v>
      </c>
      <c r="J444" s="61" t="s">
        <v>886</v>
      </c>
      <c r="K444" s="65" t="s">
        <v>2866</v>
      </c>
      <c r="L444" s="83" t="str">
        <f t="shared" si="38"/>
        <v>→ 조립자재 R293</v>
      </c>
      <c r="M444" s="84"/>
      <c r="N444" s="80">
        <v>293</v>
      </c>
      <c r="O444" s="80" t="s">
        <v>2110</v>
      </c>
      <c r="P444" s="79" t="s">
        <v>2867</v>
      </c>
    </row>
    <row r="445" spans="1:16" ht="30" customHeight="1" x14ac:dyDescent="0.3">
      <c r="A445" s="56" t="s">
        <v>354</v>
      </c>
      <c r="B445" s="52" t="s">
        <v>354</v>
      </c>
      <c r="C445" s="52" t="s">
        <v>153</v>
      </c>
      <c r="D445" s="79" t="str">
        <f t="shared" ca="1" si="34"/>
        <v>원자재</v>
      </c>
      <c r="E445" s="79" t="str">
        <f t="shared" ca="1" si="35"/>
        <v>AR</v>
      </c>
      <c r="F445" s="52" t="s">
        <v>887</v>
      </c>
      <c r="G445" s="52" t="s">
        <v>2868</v>
      </c>
      <c r="H445" s="79" t="str">
        <f t="shared" si="36"/>
        <v>매칭완료</v>
      </c>
      <c r="I445" s="79" t="str">
        <f t="shared" ca="1" si="37"/>
        <v>7-AR</v>
      </c>
      <c r="J445" s="61" t="s">
        <v>887</v>
      </c>
      <c r="K445" s="65" t="s">
        <v>2869</v>
      </c>
      <c r="L445" s="83" t="str">
        <f t="shared" si="38"/>
        <v>→ 조립자재 R294</v>
      </c>
      <c r="M445" s="84"/>
      <c r="N445" s="80">
        <v>294</v>
      </c>
      <c r="O445" s="80" t="s">
        <v>2110</v>
      </c>
      <c r="P445" s="79" t="s">
        <v>2870</v>
      </c>
    </row>
    <row r="446" spans="1:16" ht="30" customHeight="1" x14ac:dyDescent="0.3">
      <c r="A446" s="56" t="s">
        <v>354</v>
      </c>
      <c r="B446" s="52" t="s">
        <v>354</v>
      </c>
      <c r="C446" s="52" t="s">
        <v>2776</v>
      </c>
      <c r="D446" s="79" t="str">
        <f t="shared" ca="1" si="34"/>
        <v>원자재</v>
      </c>
      <c r="E446" s="79" t="str">
        <f t="shared" ca="1" si="35"/>
        <v>AR</v>
      </c>
      <c r="F446" s="52" t="s">
        <v>890</v>
      </c>
      <c r="G446" s="52" t="s">
        <v>2871</v>
      </c>
      <c r="H446" s="79" t="str">
        <f t="shared" si="36"/>
        <v>매칭완료</v>
      </c>
      <c r="I446" s="79" t="str">
        <f t="shared" ca="1" si="37"/>
        <v>7-AR</v>
      </c>
      <c r="J446" s="61" t="s">
        <v>890</v>
      </c>
      <c r="K446" s="65" t="s">
        <v>2872</v>
      </c>
      <c r="L446" s="83" t="str">
        <f t="shared" si="38"/>
        <v>→ 조립자재 R295</v>
      </c>
      <c r="M446" s="84"/>
      <c r="N446" s="80">
        <v>295</v>
      </c>
      <c r="O446" s="80" t="s">
        <v>2110</v>
      </c>
      <c r="P446" s="79" t="s">
        <v>2873</v>
      </c>
    </row>
    <row r="447" spans="1:16" ht="30" customHeight="1" x14ac:dyDescent="0.3">
      <c r="A447" s="56" t="s">
        <v>354</v>
      </c>
      <c r="B447" s="52" t="s">
        <v>354</v>
      </c>
      <c r="C447" s="52" t="s">
        <v>153</v>
      </c>
      <c r="D447" s="79" t="str">
        <f t="shared" ca="1" si="34"/>
        <v>원자재</v>
      </c>
      <c r="E447" s="79" t="str">
        <f t="shared" ca="1" si="35"/>
        <v>AR</v>
      </c>
      <c r="F447" s="52" t="s">
        <v>892</v>
      </c>
      <c r="G447" s="52" t="s">
        <v>2874</v>
      </c>
      <c r="H447" s="79" t="str">
        <f t="shared" si="36"/>
        <v>매칭완료</v>
      </c>
      <c r="I447" s="79" t="str">
        <f t="shared" ca="1" si="37"/>
        <v>7-AR</v>
      </c>
      <c r="J447" s="61" t="s">
        <v>892</v>
      </c>
      <c r="K447" s="65" t="s">
        <v>2875</v>
      </c>
      <c r="L447" s="83" t="str">
        <f t="shared" si="38"/>
        <v>→ 조립자재 R296</v>
      </c>
      <c r="M447" s="84"/>
      <c r="N447" s="80">
        <v>296</v>
      </c>
      <c r="O447" s="80" t="s">
        <v>2110</v>
      </c>
      <c r="P447" s="79" t="s">
        <v>2876</v>
      </c>
    </row>
    <row r="448" spans="1:16" ht="30" customHeight="1" x14ac:dyDescent="0.3">
      <c r="A448" s="56" t="s">
        <v>354</v>
      </c>
      <c r="B448" s="52" t="s">
        <v>354</v>
      </c>
      <c r="C448" s="52" t="s">
        <v>153</v>
      </c>
      <c r="D448" s="79" t="str">
        <f t="shared" ca="1" si="34"/>
        <v>원자재</v>
      </c>
      <c r="E448" s="79" t="str">
        <f t="shared" ca="1" si="35"/>
        <v>AR</v>
      </c>
      <c r="F448" s="52" t="s">
        <v>894</v>
      </c>
      <c r="G448" s="52" t="s">
        <v>2877</v>
      </c>
      <c r="H448" s="79" t="str">
        <f t="shared" si="36"/>
        <v>매칭완료</v>
      </c>
      <c r="I448" s="79" t="str">
        <f t="shared" ca="1" si="37"/>
        <v>7-AR</v>
      </c>
      <c r="J448" s="61" t="s">
        <v>894</v>
      </c>
      <c r="K448" s="65" t="s">
        <v>2878</v>
      </c>
      <c r="L448" s="83" t="str">
        <f t="shared" si="38"/>
        <v>→ 조립자재 R297</v>
      </c>
      <c r="M448" s="84"/>
      <c r="N448" s="80">
        <v>297</v>
      </c>
      <c r="O448" s="80" t="s">
        <v>2110</v>
      </c>
      <c r="P448" s="79" t="s">
        <v>2879</v>
      </c>
    </row>
    <row r="449" spans="1:16" ht="30" customHeight="1" x14ac:dyDescent="0.3">
      <c r="A449" s="56" t="s">
        <v>354</v>
      </c>
      <c r="B449" s="52" t="s">
        <v>354</v>
      </c>
      <c r="C449" s="52" t="s">
        <v>2776</v>
      </c>
      <c r="D449" s="79" t="str">
        <f t="shared" ca="1" si="34"/>
        <v>원자재</v>
      </c>
      <c r="E449" s="79" t="str">
        <f t="shared" ca="1" si="35"/>
        <v>AR</v>
      </c>
      <c r="F449" s="52" t="s">
        <v>896</v>
      </c>
      <c r="G449" s="52" t="s">
        <v>2880</v>
      </c>
      <c r="H449" s="79" t="str">
        <f t="shared" si="36"/>
        <v>매칭완료</v>
      </c>
      <c r="I449" s="79" t="str">
        <f t="shared" ca="1" si="37"/>
        <v>7-AR</v>
      </c>
      <c r="J449" s="61" t="s">
        <v>896</v>
      </c>
      <c r="K449" s="65" t="s">
        <v>2881</v>
      </c>
      <c r="L449" s="83" t="str">
        <f t="shared" si="38"/>
        <v>→ 조립자재 R298</v>
      </c>
      <c r="M449" s="84"/>
      <c r="N449" s="80">
        <v>298</v>
      </c>
      <c r="O449" s="80" t="s">
        <v>2110</v>
      </c>
      <c r="P449" s="79" t="s">
        <v>2882</v>
      </c>
    </row>
    <row r="450" spans="1:16" ht="30" customHeight="1" x14ac:dyDescent="0.3">
      <c r="A450" s="56" t="s">
        <v>354</v>
      </c>
      <c r="B450" s="52" t="s">
        <v>354</v>
      </c>
      <c r="C450" s="52" t="s">
        <v>2776</v>
      </c>
      <c r="D450" s="79" t="str">
        <f t="shared" ref="D450:D513" ca="1" si="39">IF(INDIRECT("'"&amp;$O450&amp;"'!F"&amp;$N450)="O","원자재",IF(INDIRECT("'"&amp;$O450&amp;"'!G"&amp;$N450)="O","반제품",IF(INDIRECT("'"&amp;$O450&amp;"'!H"&amp;$N450)="O","완제품","")))</f>
        <v>원자재</v>
      </c>
      <c r="E450" s="79" t="str">
        <f t="shared" ref="E450:E513" ca="1" si="40">IFERROR(IF(INDIRECT("'"&amp;$O450&amp;"'!I"&amp;$N450)=0,"",INDIRECT("'"&amp;$O450&amp;"'!I"&amp;$N450)),"")</f>
        <v>AR</v>
      </c>
      <c r="F450" s="52" t="s">
        <v>898</v>
      </c>
      <c r="G450" s="52" t="s">
        <v>2883</v>
      </c>
      <c r="H450" s="79" t="str">
        <f t="shared" ref="H450:H513" si="41">IF(AND($F450="",$G450=""),"",IF($F450="","창고전용",IF($G450&lt;&gt;"","매칭완료",IF($D450="반제품","반제품(창고없음)",IF($D450="완제품","완제품(창고없음)",IF($D450="원자재","⚠ 원자재_부서보관","미분류"))))))</f>
        <v>매칭완료</v>
      </c>
      <c r="I450" s="79" t="str">
        <f t="shared" ref="I450:I513" ca="1" si="42">IFERROR(IF(INDIRECT("'"&amp;$O450&amp;"'!P"&amp;$N450)=0,"",INDIRECT("'"&amp;$O450&amp;"'!P"&amp;$N450)),"")</f>
        <v>7-AR</v>
      </c>
      <c r="J450" s="61" t="s">
        <v>898</v>
      </c>
      <c r="K450" s="65" t="s">
        <v>2884</v>
      </c>
      <c r="L450" s="83" t="str">
        <f t="shared" si="38"/>
        <v>→ 조립자재 R299</v>
      </c>
      <c r="M450" s="84"/>
      <c r="N450" s="80">
        <v>299</v>
      </c>
      <c r="O450" s="80" t="s">
        <v>2110</v>
      </c>
      <c r="P450" s="79" t="s">
        <v>2885</v>
      </c>
    </row>
    <row r="451" spans="1:16" ht="30" customHeight="1" x14ac:dyDescent="0.3">
      <c r="A451" s="56" t="s">
        <v>354</v>
      </c>
      <c r="B451" s="52" t="s">
        <v>354</v>
      </c>
      <c r="C451" s="52" t="s">
        <v>153</v>
      </c>
      <c r="D451" s="79" t="str">
        <f t="shared" ca="1" si="39"/>
        <v>원자재</v>
      </c>
      <c r="E451" s="79" t="str">
        <f t="shared" ca="1" si="40"/>
        <v>AR</v>
      </c>
      <c r="F451" s="52" t="s">
        <v>900</v>
      </c>
      <c r="G451" s="52" t="s">
        <v>2886</v>
      </c>
      <c r="H451" s="79" t="str">
        <f t="shared" si="41"/>
        <v>매칭완료</v>
      </c>
      <c r="I451" s="79" t="str">
        <f t="shared" ca="1" si="42"/>
        <v>7-AR</v>
      </c>
      <c r="J451" s="61" t="s">
        <v>900</v>
      </c>
      <c r="K451" s="65" t="s">
        <v>2887</v>
      </c>
      <c r="L451" s="83" t="str">
        <f t="shared" si="38"/>
        <v>→ 조립자재 R300</v>
      </c>
      <c r="M451" s="84"/>
      <c r="N451" s="80">
        <v>300</v>
      </c>
      <c r="O451" s="80" t="s">
        <v>2110</v>
      </c>
      <c r="P451" s="79" t="s">
        <v>2888</v>
      </c>
    </row>
    <row r="452" spans="1:16" ht="30" customHeight="1" x14ac:dyDescent="0.3">
      <c r="A452" s="56" t="s">
        <v>354</v>
      </c>
      <c r="B452" s="52" t="s">
        <v>354</v>
      </c>
      <c r="C452" s="52" t="s">
        <v>153</v>
      </c>
      <c r="D452" s="79" t="str">
        <f t="shared" ca="1" si="39"/>
        <v>원자재</v>
      </c>
      <c r="E452" s="79" t="str">
        <f t="shared" ca="1" si="40"/>
        <v>AR</v>
      </c>
      <c r="F452" s="52" t="s">
        <v>902</v>
      </c>
      <c r="G452" s="52" t="s">
        <v>2889</v>
      </c>
      <c r="H452" s="79" t="str">
        <f t="shared" si="41"/>
        <v>매칭완료</v>
      </c>
      <c r="I452" s="79" t="str">
        <f t="shared" ca="1" si="42"/>
        <v>7-AR</v>
      </c>
      <c r="J452" s="61" t="s">
        <v>902</v>
      </c>
      <c r="K452" s="65" t="s">
        <v>2890</v>
      </c>
      <c r="L452" s="83" t="str">
        <f t="shared" si="38"/>
        <v>→ 조립자재 R301</v>
      </c>
      <c r="M452" s="84"/>
      <c r="N452" s="80">
        <v>301</v>
      </c>
      <c r="O452" s="80" t="s">
        <v>2110</v>
      </c>
      <c r="P452" s="79" t="s">
        <v>2891</v>
      </c>
    </row>
    <row r="453" spans="1:16" ht="30" customHeight="1" x14ac:dyDescent="0.3">
      <c r="A453" s="56" t="s">
        <v>354</v>
      </c>
      <c r="B453" s="52" t="s">
        <v>354</v>
      </c>
      <c r="C453" s="52" t="s">
        <v>153</v>
      </c>
      <c r="D453" s="79" t="str">
        <f t="shared" ca="1" si="39"/>
        <v>원자재</v>
      </c>
      <c r="E453" s="79" t="str">
        <f t="shared" ca="1" si="40"/>
        <v>AR</v>
      </c>
      <c r="F453" s="52" t="s">
        <v>904</v>
      </c>
      <c r="G453" s="52" t="s">
        <v>2892</v>
      </c>
      <c r="H453" s="79" t="str">
        <f t="shared" si="41"/>
        <v>매칭완료</v>
      </c>
      <c r="I453" s="79" t="str">
        <f t="shared" ca="1" si="42"/>
        <v>67-AR</v>
      </c>
      <c r="J453" s="61" t="s">
        <v>904</v>
      </c>
      <c r="K453" s="65" t="s">
        <v>2893</v>
      </c>
      <c r="L453" s="83" t="str">
        <f t="shared" si="38"/>
        <v>→ 조립자재 R302</v>
      </c>
      <c r="M453" s="84"/>
      <c r="N453" s="80">
        <v>302</v>
      </c>
      <c r="O453" s="80" t="s">
        <v>2110</v>
      </c>
      <c r="P453" s="79" t="s">
        <v>2894</v>
      </c>
    </row>
    <row r="454" spans="1:16" ht="30" customHeight="1" x14ac:dyDescent="0.3">
      <c r="A454" s="56" t="s">
        <v>354</v>
      </c>
      <c r="B454" s="52" t="s">
        <v>354</v>
      </c>
      <c r="C454" s="52" t="s">
        <v>153</v>
      </c>
      <c r="D454" s="79" t="str">
        <f t="shared" ca="1" si="39"/>
        <v>원자재</v>
      </c>
      <c r="E454" s="79" t="str">
        <f t="shared" ca="1" si="40"/>
        <v>AR</v>
      </c>
      <c r="F454" s="52" t="s">
        <v>906</v>
      </c>
      <c r="G454" s="52" t="s">
        <v>2895</v>
      </c>
      <c r="H454" s="79" t="str">
        <f t="shared" si="41"/>
        <v>매칭완료</v>
      </c>
      <c r="I454" s="79" t="str">
        <f t="shared" ca="1" si="42"/>
        <v>37-AR</v>
      </c>
      <c r="J454" s="65" t="s">
        <v>906</v>
      </c>
      <c r="K454" s="65" t="s">
        <v>2896</v>
      </c>
      <c r="L454" s="83" t="str">
        <f t="shared" si="38"/>
        <v>→ 조립자재 R303</v>
      </c>
      <c r="M454" s="84"/>
      <c r="N454" s="80">
        <v>303</v>
      </c>
      <c r="O454" s="80" t="s">
        <v>2110</v>
      </c>
      <c r="P454" s="79" t="s">
        <v>2897</v>
      </c>
    </row>
    <row r="455" spans="1:16" ht="30" customHeight="1" x14ac:dyDescent="0.3">
      <c r="A455" s="56" t="s">
        <v>354</v>
      </c>
      <c r="B455" s="52" t="s">
        <v>415</v>
      </c>
      <c r="C455" s="52" t="s">
        <v>153</v>
      </c>
      <c r="D455" s="79" t="str">
        <f t="shared" ca="1" si="39"/>
        <v>원자재</v>
      </c>
      <c r="E455" s="79" t="str">
        <f t="shared" ca="1" si="40"/>
        <v>AR</v>
      </c>
      <c r="F455" s="52" t="s">
        <v>1442</v>
      </c>
      <c r="G455" s="52" t="s">
        <v>2898</v>
      </c>
      <c r="H455" s="79" t="str">
        <f t="shared" si="41"/>
        <v>매칭완료</v>
      </c>
      <c r="I455" s="79" t="str">
        <f t="shared" ca="1" si="42"/>
        <v>7-AR</v>
      </c>
      <c r="J455" s="65" t="s">
        <v>1442</v>
      </c>
      <c r="K455" s="65" t="s">
        <v>2899</v>
      </c>
      <c r="L455" s="83" t="str">
        <f t="shared" si="38"/>
        <v>→ 조립자재 R304</v>
      </c>
      <c r="M455" s="84"/>
      <c r="N455" s="80">
        <v>304</v>
      </c>
      <c r="O455" s="80" t="s">
        <v>2110</v>
      </c>
      <c r="P455" s="79" t="s">
        <v>2900</v>
      </c>
    </row>
    <row r="456" spans="1:16" ht="30" customHeight="1" x14ac:dyDescent="0.3">
      <c r="A456" s="56" t="s">
        <v>354</v>
      </c>
      <c r="B456" s="52" t="s">
        <v>415</v>
      </c>
      <c r="C456" s="52" t="s">
        <v>153</v>
      </c>
      <c r="D456" s="79" t="str">
        <f t="shared" ca="1" si="39"/>
        <v>원자재</v>
      </c>
      <c r="E456" s="79" t="str">
        <f t="shared" ca="1" si="40"/>
        <v>AR</v>
      </c>
      <c r="F456" s="52" t="s">
        <v>1443</v>
      </c>
      <c r="G456" s="52" t="s">
        <v>2901</v>
      </c>
      <c r="H456" s="79" t="str">
        <f t="shared" si="41"/>
        <v>매칭완료</v>
      </c>
      <c r="I456" s="79" t="str">
        <f t="shared" ca="1" si="42"/>
        <v>7-AR</v>
      </c>
      <c r="J456" s="65" t="s">
        <v>1443</v>
      </c>
      <c r="K456" s="65" t="s">
        <v>2902</v>
      </c>
      <c r="L456" s="83" t="str">
        <f t="shared" si="38"/>
        <v>→ 조립자재 R305</v>
      </c>
      <c r="M456" s="84"/>
      <c r="N456" s="80">
        <v>305</v>
      </c>
      <c r="O456" s="80" t="s">
        <v>2110</v>
      </c>
      <c r="P456" s="79" t="s">
        <v>2903</v>
      </c>
    </row>
    <row r="457" spans="1:16" ht="30" customHeight="1" x14ac:dyDescent="0.3">
      <c r="A457" s="56" t="s">
        <v>354</v>
      </c>
      <c r="B457" s="52" t="s">
        <v>415</v>
      </c>
      <c r="C457" s="52" t="s">
        <v>153</v>
      </c>
      <c r="D457" s="79" t="str">
        <f t="shared" ca="1" si="39"/>
        <v>원자재</v>
      </c>
      <c r="E457" s="79" t="str">
        <f t="shared" ca="1" si="40"/>
        <v>AR</v>
      </c>
      <c r="F457" s="52" t="s">
        <v>1444</v>
      </c>
      <c r="G457" s="52" t="s">
        <v>2904</v>
      </c>
      <c r="H457" s="79" t="str">
        <f t="shared" si="41"/>
        <v>매칭완료</v>
      </c>
      <c r="I457" s="79" t="str">
        <f t="shared" ca="1" si="42"/>
        <v>7-AR</v>
      </c>
      <c r="J457" s="65" t="s">
        <v>1444</v>
      </c>
      <c r="K457" s="65" t="s">
        <v>2905</v>
      </c>
      <c r="L457" s="83" t="str">
        <f t="shared" si="38"/>
        <v>→ 조립자재 R306</v>
      </c>
      <c r="M457" s="84"/>
      <c r="N457" s="80">
        <v>306</v>
      </c>
      <c r="O457" s="80" t="s">
        <v>2110</v>
      </c>
      <c r="P457" s="79" t="s">
        <v>2906</v>
      </c>
    </row>
    <row r="458" spans="1:16" ht="30" customHeight="1" x14ac:dyDescent="0.3">
      <c r="A458" s="56" t="s">
        <v>354</v>
      </c>
      <c r="B458" s="52" t="s">
        <v>415</v>
      </c>
      <c r="C458" s="52" t="s">
        <v>153</v>
      </c>
      <c r="D458" s="79" t="str">
        <f t="shared" ca="1" si="39"/>
        <v>원자재</v>
      </c>
      <c r="E458" s="79" t="str">
        <f t="shared" ca="1" si="40"/>
        <v>AR</v>
      </c>
      <c r="F458" s="52" t="s">
        <v>1445</v>
      </c>
      <c r="G458" s="52" t="s">
        <v>2907</v>
      </c>
      <c r="H458" s="79" t="str">
        <f t="shared" si="41"/>
        <v>매칭완료</v>
      </c>
      <c r="I458" s="79" t="str">
        <f t="shared" ca="1" si="42"/>
        <v>7-AR</v>
      </c>
      <c r="J458" s="65" t="s">
        <v>1445</v>
      </c>
      <c r="K458" s="65" t="s">
        <v>2908</v>
      </c>
      <c r="L458" s="83" t="str">
        <f t="shared" si="38"/>
        <v>→ 조립자재 R307</v>
      </c>
      <c r="M458" s="84"/>
      <c r="N458" s="80">
        <v>307</v>
      </c>
      <c r="O458" s="80" t="s">
        <v>2110</v>
      </c>
      <c r="P458" s="79" t="s">
        <v>2909</v>
      </c>
    </row>
    <row r="459" spans="1:16" ht="30" customHeight="1" x14ac:dyDescent="0.3">
      <c r="A459" s="56" t="s">
        <v>354</v>
      </c>
      <c r="B459" s="52" t="s">
        <v>415</v>
      </c>
      <c r="C459" s="52" t="s">
        <v>153</v>
      </c>
      <c r="D459" s="79" t="str">
        <f t="shared" ca="1" si="39"/>
        <v>원자재</v>
      </c>
      <c r="E459" s="79" t="str">
        <f t="shared" ca="1" si="40"/>
        <v>AR</v>
      </c>
      <c r="F459" s="52" t="s">
        <v>1446</v>
      </c>
      <c r="G459" s="52" t="s">
        <v>2910</v>
      </c>
      <c r="H459" s="79" t="str">
        <f t="shared" si="41"/>
        <v>매칭완료</v>
      </c>
      <c r="I459" s="79" t="str">
        <f t="shared" ca="1" si="42"/>
        <v>7-AR</v>
      </c>
      <c r="J459" s="65" t="s">
        <v>1446</v>
      </c>
      <c r="K459" s="65" t="s">
        <v>2911</v>
      </c>
      <c r="L459" s="83" t="str">
        <f t="shared" si="38"/>
        <v>→ 조립자재 R308</v>
      </c>
      <c r="M459" s="84"/>
      <c r="N459" s="80">
        <v>308</v>
      </c>
      <c r="O459" s="80" t="s">
        <v>2110</v>
      </c>
      <c r="P459" s="79" t="s">
        <v>2912</v>
      </c>
    </row>
    <row r="460" spans="1:16" ht="30" customHeight="1" x14ac:dyDescent="0.3">
      <c r="A460" s="56" t="s">
        <v>354</v>
      </c>
      <c r="B460" s="52" t="s">
        <v>415</v>
      </c>
      <c r="C460" s="52" t="s">
        <v>153</v>
      </c>
      <c r="D460" s="79" t="str">
        <f t="shared" ca="1" si="39"/>
        <v>원자재</v>
      </c>
      <c r="E460" s="79" t="str">
        <f t="shared" ca="1" si="40"/>
        <v>AR</v>
      </c>
      <c r="F460" s="52" t="s">
        <v>1447</v>
      </c>
      <c r="G460" s="52" t="s">
        <v>2913</v>
      </c>
      <c r="H460" s="79" t="str">
        <f t="shared" si="41"/>
        <v>매칭완료</v>
      </c>
      <c r="I460" s="79" t="str">
        <f t="shared" ca="1" si="42"/>
        <v>7-AR</v>
      </c>
      <c r="J460" s="65" t="s">
        <v>1447</v>
      </c>
      <c r="K460" s="65" t="s">
        <v>2914</v>
      </c>
      <c r="L460" s="83" t="str">
        <f t="shared" si="38"/>
        <v>→ 조립자재 R309</v>
      </c>
      <c r="M460" s="84"/>
      <c r="N460" s="80">
        <v>309</v>
      </c>
      <c r="O460" s="80" t="s">
        <v>2110</v>
      </c>
      <c r="P460" s="79" t="s">
        <v>2915</v>
      </c>
    </row>
    <row r="461" spans="1:16" ht="30" customHeight="1" x14ac:dyDescent="0.3">
      <c r="A461" s="56" t="s">
        <v>354</v>
      </c>
      <c r="B461" s="52" t="s">
        <v>415</v>
      </c>
      <c r="C461" s="52" t="s">
        <v>153</v>
      </c>
      <c r="D461" s="79" t="str">
        <f t="shared" ca="1" si="39"/>
        <v>원자재</v>
      </c>
      <c r="E461" s="79" t="str">
        <f t="shared" ca="1" si="40"/>
        <v>AR</v>
      </c>
      <c r="F461" s="52" t="s">
        <v>1448</v>
      </c>
      <c r="G461" s="52" t="s">
        <v>2916</v>
      </c>
      <c r="H461" s="79" t="str">
        <f t="shared" si="41"/>
        <v>매칭완료</v>
      </c>
      <c r="I461" s="79" t="str">
        <f t="shared" ca="1" si="42"/>
        <v>7-AR</v>
      </c>
      <c r="J461" s="65" t="s">
        <v>1448</v>
      </c>
      <c r="K461" s="65" t="s">
        <v>2917</v>
      </c>
      <c r="L461" s="83" t="str">
        <f t="shared" si="38"/>
        <v>→ 조립자재 R310</v>
      </c>
      <c r="M461" s="84"/>
      <c r="N461" s="80">
        <v>310</v>
      </c>
      <c r="O461" s="80" t="s">
        <v>2110</v>
      </c>
      <c r="P461" s="79" t="s">
        <v>2918</v>
      </c>
    </row>
    <row r="462" spans="1:16" ht="30" customHeight="1" x14ac:dyDescent="0.3">
      <c r="A462" s="56" t="s">
        <v>354</v>
      </c>
      <c r="B462" s="52" t="s">
        <v>536</v>
      </c>
      <c r="C462" s="52" t="s">
        <v>153</v>
      </c>
      <c r="D462" s="79" t="str">
        <f t="shared" ca="1" si="39"/>
        <v>원자재</v>
      </c>
      <c r="E462" s="79" t="str">
        <f t="shared" ca="1" si="40"/>
        <v>AR</v>
      </c>
      <c r="F462" s="52" t="s">
        <v>922</v>
      </c>
      <c r="G462" s="52" t="s">
        <v>2919</v>
      </c>
      <c r="H462" s="79" t="str">
        <f t="shared" si="41"/>
        <v>매칭완료</v>
      </c>
      <c r="I462" s="79" t="str">
        <f t="shared" ca="1" si="42"/>
        <v>7-AR</v>
      </c>
      <c r="J462" s="61" t="s">
        <v>922</v>
      </c>
      <c r="K462" s="65" t="s">
        <v>2920</v>
      </c>
      <c r="L462" s="83" t="str">
        <f t="shared" si="38"/>
        <v>→ 조립자재 R311</v>
      </c>
      <c r="M462" s="84"/>
      <c r="N462" s="80">
        <v>311</v>
      </c>
      <c r="O462" s="80" t="s">
        <v>2110</v>
      </c>
      <c r="P462" s="79" t="s">
        <v>2921</v>
      </c>
    </row>
    <row r="463" spans="1:16" ht="30" customHeight="1" x14ac:dyDescent="0.3">
      <c r="A463" s="56" t="s">
        <v>354</v>
      </c>
      <c r="B463" s="52" t="s">
        <v>536</v>
      </c>
      <c r="C463" s="52" t="s">
        <v>153</v>
      </c>
      <c r="D463" s="79" t="str">
        <f t="shared" ca="1" si="39"/>
        <v>원자재</v>
      </c>
      <c r="E463" s="79" t="str">
        <f t="shared" ca="1" si="40"/>
        <v>AR</v>
      </c>
      <c r="F463" s="52" t="s">
        <v>924</v>
      </c>
      <c r="G463" s="52" t="s">
        <v>2922</v>
      </c>
      <c r="H463" s="79" t="str">
        <f t="shared" si="41"/>
        <v>매칭완료</v>
      </c>
      <c r="I463" s="79" t="str">
        <f t="shared" ca="1" si="42"/>
        <v>7-AR</v>
      </c>
      <c r="J463" s="61" t="s">
        <v>924</v>
      </c>
      <c r="K463" s="65" t="s">
        <v>2923</v>
      </c>
      <c r="L463" s="83" t="str">
        <f t="shared" si="38"/>
        <v>→ 조립자재 R312</v>
      </c>
      <c r="M463" s="84"/>
      <c r="N463" s="80">
        <v>312</v>
      </c>
      <c r="O463" s="80" t="s">
        <v>2110</v>
      </c>
      <c r="P463" s="79" t="s">
        <v>2924</v>
      </c>
    </row>
    <row r="464" spans="1:16" ht="30" customHeight="1" x14ac:dyDescent="0.3">
      <c r="A464" s="56" t="s">
        <v>354</v>
      </c>
      <c r="B464" s="52" t="s">
        <v>536</v>
      </c>
      <c r="C464" s="52" t="s">
        <v>153</v>
      </c>
      <c r="D464" s="79" t="str">
        <f t="shared" ca="1" si="39"/>
        <v>원자재</v>
      </c>
      <c r="E464" s="79" t="str">
        <f t="shared" ca="1" si="40"/>
        <v>AR</v>
      </c>
      <c r="F464" s="52" t="s">
        <v>926</v>
      </c>
      <c r="G464" s="52" t="s">
        <v>2925</v>
      </c>
      <c r="H464" s="79" t="str">
        <f t="shared" si="41"/>
        <v>매칭완료</v>
      </c>
      <c r="I464" s="79" t="str">
        <f t="shared" ca="1" si="42"/>
        <v>7-AR</v>
      </c>
      <c r="J464" s="61" t="s">
        <v>926</v>
      </c>
      <c r="K464" s="65" t="s">
        <v>2926</v>
      </c>
      <c r="L464" s="83" t="str">
        <f t="shared" si="38"/>
        <v>→ 조립자재 R313</v>
      </c>
      <c r="M464" s="84"/>
      <c r="N464" s="80">
        <v>313</v>
      </c>
      <c r="O464" s="80" t="s">
        <v>2110</v>
      </c>
      <c r="P464" s="79" t="s">
        <v>2927</v>
      </c>
    </row>
    <row r="465" spans="1:16" ht="30" customHeight="1" x14ac:dyDescent="0.3">
      <c r="A465" s="56" t="s">
        <v>354</v>
      </c>
      <c r="B465" s="52" t="s">
        <v>536</v>
      </c>
      <c r="C465" s="52" t="s">
        <v>153</v>
      </c>
      <c r="D465" s="79" t="str">
        <f t="shared" ca="1" si="39"/>
        <v>원자재</v>
      </c>
      <c r="E465" s="79" t="str">
        <f t="shared" ca="1" si="40"/>
        <v>AR</v>
      </c>
      <c r="F465" s="52" t="s">
        <v>928</v>
      </c>
      <c r="G465" s="52" t="s">
        <v>2928</v>
      </c>
      <c r="H465" s="79" t="str">
        <f t="shared" si="41"/>
        <v>매칭완료</v>
      </c>
      <c r="I465" s="79" t="str">
        <f t="shared" ca="1" si="42"/>
        <v>7-AR</v>
      </c>
      <c r="J465" s="61" t="s">
        <v>928</v>
      </c>
      <c r="K465" s="65" t="s">
        <v>2929</v>
      </c>
      <c r="L465" s="83" t="str">
        <f t="shared" si="38"/>
        <v>→ 조립자재 R314</v>
      </c>
      <c r="M465" s="84"/>
      <c r="N465" s="80">
        <v>314</v>
      </c>
      <c r="O465" s="80" t="s">
        <v>2110</v>
      </c>
      <c r="P465" s="79" t="s">
        <v>2930</v>
      </c>
    </row>
    <row r="466" spans="1:16" ht="30" customHeight="1" x14ac:dyDescent="0.3">
      <c r="A466" s="56" t="s">
        <v>354</v>
      </c>
      <c r="B466" s="52" t="s">
        <v>536</v>
      </c>
      <c r="C466" s="52" t="s">
        <v>153</v>
      </c>
      <c r="D466" s="79" t="str">
        <f t="shared" ca="1" si="39"/>
        <v>원자재</v>
      </c>
      <c r="E466" s="79" t="str">
        <f t="shared" ca="1" si="40"/>
        <v>AR</v>
      </c>
      <c r="F466" s="52" t="s">
        <v>930</v>
      </c>
      <c r="G466" s="52"/>
      <c r="H466" s="79" t="str">
        <f t="shared" ca="1" si="41"/>
        <v>⚠ 원자재_부서보관</v>
      </c>
      <c r="I466" s="79" t="str">
        <f t="shared" ca="1" si="42"/>
        <v>7-AR</v>
      </c>
      <c r="J466" s="61" t="s">
        <v>930</v>
      </c>
      <c r="K466" s="65" t="s">
        <v>2931</v>
      </c>
      <c r="L466" s="83" t="str">
        <f t="shared" si="38"/>
        <v>→ 조립자재 R315</v>
      </c>
      <c r="M466" s="84"/>
      <c r="N466" s="80">
        <v>315</v>
      </c>
      <c r="O466" s="80" t="s">
        <v>2110</v>
      </c>
      <c r="P466" s="79" t="s">
        <v>2932</v>
      </c>
    </row>
    <row r="467" spans="1:16" ht="30" customHeight="1" x14ac:dyDescent="0.3">
      <c r="A467" s="56" t="s">
        <v>354</v>
      </c>
      <c r="B467" s="52" t="s">
        <v>536</v>
      </c>
      <c r="C467" s="52" t="s">
        <v>153</v>
      </c>
      <c r="D467" s="79" t="str">
        <f t="shared" ca="1" si="39"/>
        <v>원자재</v>
      </c>
      <c r="E467" s="79" t="str">
        <f t="shared" ca="1" si="40"/>
        <v>AR</v>
      </c>
      <c r="F467" s="52" t="s">
        <v>931</v>
      </c>
      <c r="G467" s="52"/>
      <c r="H467" s="79" t="str">
        <f t="shared" ca="1" si="41"/>
        <v>⚠ 원자재_부서보관</v>
      </c>
      <c r="I467" s="79" t="str">
        <f t="shared" ca="1" si="42"/>
        <v>7-AR</v>
      </c>
      <c r="J467" s="61" t="s">
        <v>931</v>
      </c>
      <c r="K467" s="65" t="s">
        <v>2933</v>
      </c>
      <c r="L467" s="83" t="str">
        <f t="shared" si="38"/>
        <v>→ 조립자재 R316</v>
      </c>
      <c r="M467" s="84"/>
      <c r="N467" s="80">
        <v>316</v>
      </c>
      <c r="O467" s="80" t="s">
        <v>2110</v>
      </c>
      <c r="P467" s="79" t="s">
        <v>2934</v>
      </c>
    </row>
    <row r="468" spans="1:16" ht="30" customHeight="1" x14ac:dyDescent="0.3">
      <c r="A468" s="56" t="s">
        <v>354</v>
      </c>
      <c r="B468" s="52" t="s">
        <v>536</v>
      </c>
      <c r="C468" s="52" t="s">
        <v>153</v>
      </c>
      <c r="D468" s="79" t="str">
        <f t="shared" ca="1" si="39"/>
        <v>반제품</v>
      </c>
      <c r="E468" s="79" t="str">
        <f t="shared" ca="1" si="40"/>
        <v>AA</v>
      </c>
      <c r="F468" s="52" t="s">
        <v>2935</v>
      </c>
      <c r="G468" s="52"/>
      <c r="H468" s="79" t="str">
        <f t="shared" ca="1" si="41"/>
        <v>반제품(창고없음)</v>
      </c>
      <c r="I468" s="79" t="str">
        <f t="shared" ca="1" si="42"/>
        <v>7-AA</v>
      </c>
      <c r="J468" s="61" t="s">
        <v>2935</v>
      </c>
      <c r="K468" s="65" t="s">
        <v>2936</v>
      </c>
      <c r="L468" s="83" t="str">
        <f t="shared" si="38"/>
        <v>→ 조립자재 R317</v>
      </c>
      <c r="M468" s="84"/>
      <c r="N468" s="80">
        <v>317</v>
      </c>
      <c r="O468" s="80" t="s">
        <v>2110</v>
      </c>
      <c r="P468" s="79" t="s">
        <v>2937</v>
      </c>
    </row>
    <row r="469" spans="1:16" ht="30" customHeight="1" x14ac:dyDescent="0.3">
      <c r="A469" s="56" t="s">
        <v>354</v>
      </c>
      <c r="B469" s="52" t="s">
        <v>436</v>
      </c>
      <c r="C469" s="52" t="s">
        <v>2770</v>
      </c>
      <c r="D469" s="79" t="str">
        <f t="shared" ca="1" si="39"/>
        <v>반제품</v>
      </c>
      <c r="E469" s="79" t="str">
        <f t="shared" ca="1" si="40"/>
        <v>AA</v>
      </c>
      <c r="F469" s="52" t="s">
        <v>933</v>
      </c>
      <c r="G469" s="52"/>
      <c r="H469" s="79" t="str">
        <f t="shared" ca="1" si="41"/>
        <v>반제품(창고없음)</v>
      </c>
      <c r="I469" s="79" t="str">
        <f t="shared" ca="1" si="42"/>
        <v>7-AA</v>
      </c>
      <c r="J469" s="61" t="s">
        <v>933</v>
      </c>
      <c r="K469" s="65" t="s">
        <v>2938</v>
      </c>
      <c r="L469" s="83" t="str">
        <f t="shared" si="38"/>
        <v>→ 조립자재 R318</v>
      </c>
      <c r="M469" s="84"/>
      <c r="N469" s="80">
        <v>318</v>
      </c>
      <c r="O469" s="80" t="s">
        <v>2110</v>
      </c>
      <c r="P469" s="79" t="s">
        <v>2939</v>
      </c>
    </row>
    <row r="470" spans="1:16" ht="30" customHeight="1" x14ac:dyDescent="0.3">
      <c r="A470" s="56" t="s">
        <v>354</v>
      </c>
      <c r="B470" s="52" t="s">
        <v>436</v>
      </c>
      <c r="C470" s="52" t="s">
        <v>2770</v>
      </c>
      <c r="D470" s="79" t="str">
        <f t="shared" ca="1" si="39"/>
        <v>반제품</v>
      </c>
      <c r="E470" s="79" t="str">
        <f t="shared" ca="1" si="40"/>
        <v>AA</v>
      </c>
      <c r="F470" s="52" t="s">
        <v>934</v>
      </c>
      <c r="G470" s="52"/>
      <c r="H470" s="79" t="str">
        <f t="shared" ca="1" si="41"/>
        <v>반제품(창고없음)</v>
      </c>
      <c r="I470" s="79" t="str">
        <f t="shared" ca="1" si="42"/>
        <v>7-AA</v>
      </c>
      <c r="J470" s="61" t="s">
        <v>934</v>
      </c>
      <c r="K470" s="65" t="s">
        <v>2940</v>
      </c>
      <c r="L470" s="83" t="str">
        <f t="shared" si="38"/>
        <v>→ 조립자재 R319</v>
      </c>
      <c r="M470" s="84"/>
      <c r="N470" s="80">
        <v>319</v>
      </c>
      <c r="O470" s="80" t="s">
        <v>2110</v>
      </c>
      <c r="P470" s="79" t="s">
        <v>2941</v>
      </c>
    </row>
    <row r="471" spans="1:16" ht="30" customHeight="1" x14ac:dyDescent="0.3">
      <c r="A471" s="56" t="s">
        <v>354</v>
      </c>
      <c r="B471" s="52" t="s">
        <v>436</v>
      </c>
      <c r="C471" s="52" t="s">
        <v>2849</v>
      </c>
      <c r="D471" s="79" t="str">
        <f t="shared" ca="1" si="39"/>
        <v>반제품</v>
      </c>
      <c r="E471" s="79" t="str">
        <f t="shared" ca="1" si="40"/>
        <v>AA</v>
      </c>
      <c r="F471" s="52" t="s">
        <v>933</v>
      </c>
      <c r="G471" s="52"/>
      <c r="H471" s="79" t="str">
        <f t="shared" ca="1" si="41"/>
        <v>반제품(창고없음)</v>
      </c>
      <c r="I471" s="79" t="str">
        <f t="shared" ca="1" si="42"/>
        <v>7-AA</v>
      </c>
      <c r="J471" s="61" t="s">
        <v>933</v>
      </c>
      <c r="K471" s="65" t="s">
        <v>2942</v>
      </c>
      <c r="L471" s="83" t="str">
        <f t="shared" si="38"/>
        <v>→ 조립자재 R320</v>
      </c>
      <c r="M471" s="84"/>
      <c r="N471" s="80">
        <v>320</v>
      </c>
      <c r="O471" s="80" t="s">
        <v>2110</v>
      </c>
      <c r="P471" s="79" t="s">
        <v>2943</v>
      </c>
    </row>
    <row r="472" spans="1:16" ht="30" customHeight="1" x14ac:dyDescent="0.3">
      <c r="A472" s="56" t="s">
        <v>354</v>
      </c>
      <c r="B472" s="52" t="s">
        <v>436</v>
      </c>
      <c r="C472" s="52" t="s">
        <v>2776</v>
      </c>
      <c r="D472" s="79" t="str">
        <f t="shared" ca="1" si="39"/>
        <v>반제품</v>
      </c>
      <c r="E472" s="79" t="str">
        <f t="shared" ca="1" si="40"/>
        <v>AA</v>
      </c>
      <c r="F472" s="52" t="s">
        <v>936</v>
      </c>
      <c r="G472" s="52"/>
      <c r="H472" s="79" t="str">
        <f t="shared" ca="1" si="41"/>
        <v>반제품(창고없음)</v>
      </c>
      <c r="I472" s="79" t="str">
        <f t="shared" ca="1" si="42"/>
        <v>7-AA</v>
      </c>
      <c r="J472" s="61" t="s">
        <v>936</v>
      </c>
      <c r="K472" s="65" t="s">
        <v>2944</v>
      </c>
      <c r="L472" s="83" t="str">
        <f t="shared" si="38"/>
        <v>→ 조립자재 R321</v>
      </c>
      <c r="M472" s="84"/>
      <c r="N472" s="80">
        <v>321</v>
      </c>
      <c r="O472" s="80" t="s">
        <v>2110</v>
      </c>
      <c r="P472" s="79" t="s">
        <v>2945</v>
      </c>
    </row>
    <row r="473" spans="1:16" ht="30" customHeight="1" x14ac:dyDescent="0.3">
      <c r="A473" s="56" t="s">
        <v>354</v>
      </c>
      <c r="B473" s="52" t="s">
        <v>436</v>
      </c>
      <c r="C473" s="52" t="s">
        <v>2849</v>
      </c>
      <c r="D473" s="79" t="str">
        <f t="shared" ca="1" si="39"/>
        <v>반제품</v>
      </c>
      <c r="E473" s="79" t="str">
        <f t="shared" ca="1" si="40"/>
        <v>AA</v>
      </c>
      <c r="F473" s="52" t="s">
        <v>936</v>
      </c>
      <c r="G473" s="52"/>
      <c r="H473" s="79" t="str">
        <f t="shared" ca="1" si="41"/>
        <v>반제품(창고없음)</v>
      </c>
      <c r="I473" s="79" t="str">
        <f t="shared" ca="1" si="42"/>
        <v>7-AA</v>
      </c>
      <c r="J473" s="61" t="s">
        <v>936</v>
      </c>
      <c r="K473" s="65" t="s">
        <v>2946</v>
      </c>
      <c r="L473" s="83" t="str">
        <f t="shared" si="38"/>
        <v>→ 조립자재 R322</v>
      </c>
      <c r="M473" s="84"/>
      <c r="N473" s="80">
        <v>322</v>
      </c>
      <c r="O473" s="80" t="s">
        <v>2110</v>
      </c>
      <c r="P473" s="79" t="s">
        <v>2947</v>
      </c>
    </row>
    <row r="474" spans="1:16" ht="30" customHeight="1" x14ac:dyDescent="0.3">
      <c r="A474" s="56" t="s">
        <v>354</v>
      </c>
      <c r="B474" s="52" t="s">
        <v>436</v>
      </c>
      <c r="C474" s="52" t="s">
        <v>153</v>
      </c>
      <c r="D474" s="79" t="str">
        <f t="shared" ca="1" si="39"/>
        <v>반제품</v>
      </c>
      <c r="E474" s="79" t="str">
        <f t="shared" ca="1" si="40"/>
        <v>AA</v>
      </c>
      <c r="F474" s="52" t="s">
        <v>937</v>
      </c>
      <c r="G474" s="52"/>
      <c r="H474" s="79" t="str">
        <f t="shared" ca="1" si="41"/>
        <v>반제품(창고없음)</v>
      </c>
      <c r="I474" s="79" t="str">
        <f t="shared" ca="1" si="42"/>
        <v>7-AA</v>
      </c>
      <c r="J474" s="61" t="s">
        <v>937</v>
      </c>
      <c r="K474" s="65" t="s">
        <v>2948</v>
      </c>
      <c r="L474" s="83" t="str">
        <f t="shared" si="38"/>
        <v>→ 조립자재 R323</v>
      </c>
      <c r="M474" s="84"/>
      <c r="N474" s="80">
        <v>323</v>
      </c>
      <c r="O474" s="80" t="s">
        <v>2110</v>
      </c>
      <c r="P474" s="79" t="s">
        <v>2949</v>
      </c>
    </row>
    <row r="475" spans="1:16" ht="30" customHeight="1" x14ac:dyDescent="0.3">
      <c r="A475" s="56" t="s">
        <v>354</v>
      </c>
      <c r="B475" s="52" t="s">
        <v>436</v>
      </c>
      <c r="C475" s="52" t="s">
        <v>2770</v>
      </c>
      <c r="D475" s="79" t="str">
        <f t="shared" ca="1" si="39"/>
        <v>반제품</v>
      </c>
      <c r="E475" s="79" t="str">
        <f t="shared" ca="1" si="40"/>
        <v>AA</v>
      </c>
      <c r="F475" s="52" t="s">
        <v>938</v>
      </c>
      <c r="G475" s="52"/>
      <c r="H475" s="79" t="str">
        <f t="shared" ca="1" si="41"/>
        <v>반제품(창고없음)</v>
      </c>
      <c r="I475" s="79" t="str">
        <f t="shared" ca="1" si="42"/>
        <v>7-AA</v>
      </c>
      <c r="J475" s="61" t="s">
        <v>938</v>
      </c>
      <c r="K475" s="65" t="s">
        <v>2950</v>
      </c>
      <c r="L475" s="83" t="str">
        <f t="shared" si="38"/>
        <v>→ 조립자재 R324</v>
      </c>
      <c r="M475" s="84"/>
      <c r="N475" s="80">
        <v>324</v>
      </c>
      <c r="O475" s="80" t="s">
        <v>2110</v>
      </c>
      <c r="P475" s="79" t="s">
        <v>2951</v>
      </c>
    </row>
    <row r="476" spans="1:16" ht="30" customHeight="1" x14ac:dyDescent="0.3">
      <c r="A476" s="56" t="s">
        <v>354</v>
      </c>
      <c r="B476" s="52" t="s">
        <v>436</v>
      </c>
      <c r="C476" s="52" t="s">
        <v>2770</v>
      </c>
      <c r="D476" s="79" t="str">
        <f t="shared" ca="1" si="39"/>
        <v>반제품</v>
      </c>
      <c r="E476" s="79" t="str">
        <f t="shared" ca="1" si="40"/>
        <v>AA</v>
      </c>
      <c r="F476" s="52" t="s">
        <v>2952</v>
      </c>
      <c r="G476" s="52"/>
      <c r="H476" s="79" t="str">
        <f t="shared" ca="1" si="41"/>
        <v>반제품(창고없음)</v>
      </c>
      <c r="I476" s="79" t="str">
        <f t="shared" ca="1" si="42"/>
        <v>7-AA</v>
      </c>
      <c r="J476" s="61" t="s">
        <v>2952</v>
      </c>
      <c r="K476" s="65" t="s">
        <v>2953</v>
      </c>
      <c r="L476" s="83" t="str">
        <f t="shared" si="38"/>
        <v>→ 조립자재 R325</v>
      </c>
      <c r="M476" s="84"/>
      <c r="N476" s="80">
        <v>325</v>
      </c>
      <c r="O476" s="80" t="s">
        <v>2110</v>
      </c>
      <c r="P476" s="79" t="s">
        <v>2954</v>
      </c>
    </row>
    <row r="477" spans="1:16" ht="30" customHeight="1" x14ac:dyDescent="0.3">
      <c r="A477" s="56" t="s">
        <v>354</v>
      </c>
      <c r="B477" s="52" t="s">
        <v>436</v>
      </c>
      <c r="C477" s="52" t="s">
        <v>2849</v>
      </c>
      <c r="D477" s="79" t="str">
        <f t="shared" ca="1" si="39"/>
        <v>반제품</v>
      </c>
      <c r="E477" s="79" t="str">
        <f t="shared" ca="1" si="40"/>
        <v>AA</v>
      </c>
      <c r="F477" s="52" t="s">
        <v>938</v>
      </c>
      <c r="G477" s="52"/>
      <c r="H477" s="79" t="str">
        <f t="shared" ca="1" si="41"/>
        <v>반제품(창고없음)</v>
      </c>
      <c r="I477" s="79" t="str">
        <f t="shared" ca="1" si="42"/>
        <v>7-AA</v>
      </c>
      <c r="J477" s="61" t="s">
        <v>938</v>
      </c>
      <c r="K477" s="65" t="s">
        <v>2955</v>
      </c>
      <c r="L477" s="83" t="str">
        <f t="shared" si="38"/>
        <v>→ 조립자재 R326</v>
      </c>
      <c r="M477" s="84"/>
      <c r="N477" s="80">
        <v>326</v>
      </c>
      <c r="O477" s="80" t="s">
        <v>2110</v>
      </c>
      <c r="P477" s="79" t="s">
        <v>2956</v>
      </c>
    </row>
    <row r="478" spans="1:16" ht="30" customHeight="1" x14ac:dyDescent="0.3">
      <c r="A478" s="56" t="s">
        <v>354</v>
      </c>
      <c r="B478" s="52" t="s">
        <v>436</v>
      </c>
      <c r="C478" s="52" t="s">
        <v>2776</v>
      </c>
      <c r="D478" s="79" t="str">
        <f t="shared" ca="1" si="39"/>
        <v>반제품</v>
      </c>
      <c r="E478" s="79" t="str">
        <f t="shared" ca="1" si="40"/>
        <v>AA</v>
      </c>
      <c r="F478" s="52" t="s">
        <v>940</v>
      </c>
      <c r="G478" s="52"/>
      <c r="H478" s="79" t="str">
        <f t="shared" ca="1" si="41"/>
        <v>반제품(창고없음)</v>
      </c>
      <c r="I478" s="79" t="str">
        <f t="shared" ca="1" si="42"/>
        <v>7-AA</v>
      </c>
      <c r="J478" s="61" t="s">
        <v>940</v>
      </c>
      <c r="K478" s="65" t="s">
        <v>2957</v>
      </c>
      <c r="L478" s="83" t="str">
        <f t="shared" si="38"/>
        <v>→ 조립자재 R327</v>
      </c>
      <c r="M478" s="84"/>
      <c r="N478" s="80">
        <v>327</v>
      </c>
      <c r="O478" s="80" t="s">
        <v>2110</v>
      </c>
      <c r="P478" s="79" t="s">
        <v>2958</v>
      </c>
    </row>
    <row r="479" spans="1:16" ht="30" customHeight="1" x14ac:dyDescent="0.3">
      <c r="A479" s="56" t="s">
        <v>354</v>
      </c>
      <c r="B479" s="52" t="s">
        <v>436</v>
      </c>
      <c r="C479" s="52" t="s">
        <v>2849</v>
      </c>
      <c r="D479" s="79" t="str">
        <f t="shared" ca="1" si="39"/>
        <v>반제품</v>
      </c>
      <c r="E479" s="79" t="str">
        <f t="shared" ca="1" si="40"/>
        <v>AA</v>
      </c>
      <c r="F479" s="52" t="s">
        <v>940</v>
      </c>
      <c r="G479" s="52"/>
      <c r="H479" s="79" t="str">
        <f t="shared" ca="1" si="41"/>
        <v>반제품(창고없음)</v>
      </c>
      <c r="I479" s="79" t="str">
        <f t="shared" ca="1" si="42"/>
        <v>7-AA</v>
      </c>
      <c r="J479" s="61" t="s">
        <v>940</v>
      </c>
      <c r="K479" s="65" t="s">
        <v>2959</v>
      </c>
      <c r="L479" s="83" t="str">
        <f t="shared" si="38"/>
        <v>→ 조립자재 R328</v>
      </c>
      <c r="M479" s="84"/>
      <c r="N479" s="80">
        <v>328</v>
      </c>
      <c r="O479" s="80" t="s">
        <v>2110</v>
      </c>
      <c r="P479" s="79" t="s">
        <v>2960</v>
      </c>
    </row>
    <row r="480" spans="1:16" ht="30" customHeight="1" x14ac:dyDescent="0.3">
      <c r="A480" s="56" t="s">
        <v>354</v>
      </c>
      <c r="B480" s="52" t="s">
        <v>941</v>
      </c>
      <c r="C480" s="52" t="s">
        <v>153</v>
      </c>
      <c r="D480" s="79" t="str">
        <f t="shared" ca="1" si="39"/>
        <v>원자재</v>
      </c>
      <c r="E480" s="79" t="str">
        <f t="shared" ca="1" si="40"/>
        <v>AR</v>
      </c>
      <c r="F480" s="52" t="s">
        <v>942</v>
      </c>
      <c r="G480" s="52" t="s">
        <v>2961</v>
      </c>
      <c r="H480" s="79" t="str">
        <f t="shared" si="41"/>
        <v>매칭완료</v>
      </c>
      <c r="I480" s="79" t="str">
        <f t="shared" ca="1" si="42"/>
        <v>78-AR</v>
      </c>
      <c r="J480" s="61" t="s">
        <v>942</v>
      </c>
      <c r="K480" s="65" t="s">
        <v>2962</v>
      </c>
      <c r="L480" s="83" t="str">
        <f t="shared" si="38"/>
        <v>→ 조립자재 R329</v>
      </c>
      <c r="M480" s="84"/>
      <c r="N480" s="80">
        <v>329</v>
      </c>
      <c r="O480" s="80" t="s">
        <v>2110</v>
      </c>
      <c r="P480" s="79" t="s">
        <v>2963</v>
      </c>
    </row>
    <row r="481" spans="1:16" ht="30" customHeight="1" x14ac:dyDescent="0.3">
      <c r="A481" s="56" t="s">
        <v>354</v>
      </c>
      <c r="B481" s="52" t="s">
        <v>941</v>
      </c>
      <c r="C481" s="52" t="s">
        <v>153</v>
      </c>
      <c r="D481" s="79" t="str">
        <f t="shared" ca="1" si="39"/>
        <v>원자재</v>
      </c>
      <c r="E481" s="79" t="str">
        <f t="shared" ca="1" si="40"/>
        <v>AR</v>
      </c>
      <c r="F481" s="52" t="s">
        <v>944</v>
      </c>
      <c r="G481" s="52" t="s">
        <v>2964</v>
      </c>
      <c r="H481" s="79" t="str">
        <f t="shared" si="41"/>
        <v>매칭완료</v>
      </c>
      <c r="I481" s="79" t="str">
        <f t="shared" ca="1" si="42"/>
        <v>78-AR</v>
      </c>
      <c r="J481" s="61" t="s">
        <v>944</v>
      </c>
      <c r="K481" s="65" t="s">
        <v>2965</v>
      </c>
      <c r="L481" s="83" t="str">
        <f t="shared" si="38"/>
        <v>→ 조립자재 R330</v>
      </c>
      <c r="M481" s="84"/>
      <c r="N481" s="80">
        <v>330</v>
      </c>
      <c r="O481" s="80" t="s">
        <v>2110</v>
      </c>
      <c r="P481" s="79" t="s">
        <v>2966</v>
      </c>
    </row>
    <row r="482" spans="1:16" ht="30" customHeight="1" x14ac:dyDescent="0.3">
      <c r="A482" s="56" t="s">
        <v>354</v>
      </c>
      <c r="B482" s="52" t="s">
        <v>941</v>
      </c>
      <c r="C482" s="52" t="s">
        <v>153</v>
      </c>
      <c r="D482" s="79" t="str">
        <f t="shared" ca="1" si="39"/>
        <v>원자재</v>
      </c>
      <c r="E482" s="79" t="str">
        <f t="shared" ca="1" si="40"/>
        <v>AR</v>
      </c>
      <c r="F482" s="52" t="s">
        <v>946</v>
      </c>
      <c r="G482" s="52" t="s">
        <v>2967</v>
      </c>
      <c r="H482" s="79" t="str">
        <f t="shared" si="41"/>
        <v>매칭완료</v>
      </c>
      <c r="I482" s="79" t="str">
        <f t="shared" ca="1" si="42"/>
        <v>78-AR</v>
      </c>
      <c r="J482" s="61" t="s">
        <v>946</v>
      </c>
      <c r="K482" s="65" t="s">
        <v>2968</v>
      </c>
      <c r="L482" s="83" t="str">
        <f t="shared" si="38"/>
        <v>→ 조립자재 R331</v>
      </c>
      <c r="M482" s="84"/>
      <c r="N482" s="80">
        <v>331</v>
      </c>
      <c r="O482" s="80" t="s">
        <v>2110</v>
      </c>
      <c r="P482" s="79" t="s">
        <v>2969</v>
      </c>
    </row>
    <row r="483" spans="1:16" ht="30" customHeight="1" x14ac:dyDescent="0.3">
      <c r="A483" s="56" t="s">
        <v>354</v>
      </c>
      <c r="B483" s="52" t="s">
        <v>941</v>
      </c>
      <c r="C483" s="52" t="s">
        <v>153</v>
      </c>
      <c r="D483" s="79" t="str">
        <f t="shared" ca="1" si="39"/>
        <v>원자재</v>
      </c>
      <c r="E483" s="79" t="str">
        <f t="shared" ca="1" si="40"/>
        <v>AR</v>
      </c>
      <c r="F483" s="52" t="s">
        <v>948</v>
      </c>
      <c r="G483" s="52" t="s">
        <v>2970</v>
      </c>
      <c r="H483" s="79" t="str">
        <f t="shared" si="41"/>
        <v>매칭완료</v>
      </c>
      <c r="I483" s="79" t="str">
        <f t="shared" ca="1" si="42"/>
        <v>78-AR</v>
      </c>
      <c r="J483" s="61" t="s">
        <v>948</v>
      </c>
      <c r="K483" s="65" t="s">
        <v>2971</v>
      </c>
      <c r="L483" s="83" t="str">
        <f t="shared" si="38"/>
        <v>→ 조립자재 R332</v>
      </c>
      <c r="M483" s="84"/>
      <c r="N483" s="80">
        <v>332</v>
      </c>
      <c r="O483" s="80" t="s">
        <v>2110</v>
      </c>
      <c r="P483" s="79" t="s">
        <v>2972</v>
      </c>
    </row>
    <row r="484" spans="1:16" ht="30" customHeight="1" x14ac:dyDescent="0.3">
      <c r="A484" s="56" t="s">
        <v>354</v>
      </c>
      <c r="B484" s="52" t="s">
        <v>941</v>
      </c>
      <c r="C484" s="52" t="s">
        <v>2776</v>
      </c>
      <c r="D484" s="79" t="str">
        <f t="shared" ca="1" si="39"/>
        <v>원자재</v>
      </c>
      <c r="E484" s="79" t="str">
        <f t="shared" ca="1" si="40"/>
        <v>AR</v>
      </c>
      <c r="F484" s="52" t="s">
        <v>950</v>
      </c>
      <c r="G484" s="52" t="s">
        <v>2973</v>
      </c>
      <c r="H484" s="79" t="str">
        <f t="shared" si="41"/>
        <v>매칭완료</v>
      </c>
      <c r="I484" s="79" t="str">
        <f t="shared" ca="1" si="42"/>
        <v>7-AR</v>
      </c>
      <c r="J484" s="61" t="s">
        <v>950</v>
      </c>
      <c r="K484" s="65" t="s">
        <v>2974</v>
      </c>
      <c r="L484" s="83" t="str">
        <f t="shared" si="38"/>
        <v>→ 조립자재 R333</v>
      </c>
      <c r="M484" s="84"/>
      <c r="N484" s="80">
        <v>333</v>
      </c>
      <c r="O484" s="80" t="s">
        <v>2110</v>
      </c>
      <c r="P484" s="79" t="s">
        <v>2975</v>
      </c>
    </row>
    <row r="485" spans="1:16" ht="30" customHeight="1" x14ac:dyDescent="0.3">
      <c r="A485" s="56" t="s">
        <v>354</v>
      </c>
      <c r="B485" s="52" t="s">
        <v>941</v>
      </c>
      <c r="C485" s="52" t="s">
        <v>153</v>
      </c>
      <c r="D485" s="79" t="str">
        <f t="shared" ca="1" si="39"/>
        <v>원자재</v>
      </c>
      <c r="E485" s="79" t="str">
        <f t="shared" ca="1" si="40"/>
        <v>AR</v>
      </c>
      <c r="F485" s="52" t="s">
        <v>952</v>
      </c>
      <c r="G485" s="52" t="s">
        <v>2976</v>
      </c>
      <c r="H485" s="79" t="str">
        <f t="shared" si="41"/>
        <v>매칭완료</v>
      </c>
      <c r="I485" s="79" t="str">
        <f t="shared" ca="1" si="42"/>
        <v>7-AR</v>
      </c>
      <c r="J485" s="61" t="s">
        <v>952</v>
      </c>
      <c r="K485" s="65" t="s">
        <v>2977</v>
      </c>
      <c r="L485" s="83" t="str">
        <f t="shared" si="38"/>
        <v>→ 조립자재 R334</v>
      </c>
      <c r="M485" s="84"/>
      <c r="N485" s="80">
        <v>334</v>
      </c>
      <c r="O485" s="80" t="s">
        <v>2110</v>
      </c>
      <c r="P485" s="79" t="s">
        <v>2978</v>
      </c>
    </row>
    <row r="486" spans="1:16" ht="30" customHeight="1" x14ac:dyDescent="0.3">
      <c r="A486" s="56" t="s">
        <v>354</v>
      </c>
      <c r="B486" s="52" t="s">
        <v>941</v>
      </c>
      <c r="C486" s="52" t="s">
        <v>2979</v>
      </c>
      <c r="D486" s="79" t="str">
        <f t="shared" ca="1" si="39"/>
        <v>원자재</v>
      </c>
      <c r="E486" s="79" t="str">
        <f t="shared" ca="1" si="40"/>
        <v>AR</v>
      </c>
      <c r="F486" s="52" t="s">
        <v>955</v>
      </c>
      <c r="G486" s="52" t="s">
        <v>2980</v>
      </c>
      <c r="H486" s="79" t="str">
        <f t="shared" si="41"/>
        <v>매칭완료</v>
      </c>
      <c r="I486" s="79" t="str">
        <f t="shared" ca="1" si="42"/>
        <v>7-AR</v>
      </c>
      <c r="J486" s="61" t="s">
        <v>955</v>
      </c>
      <c r="K486" s="65" t="s">
        <v>2981</v>
      </c>
      <c r="L486" s="83" t="str">
        <f t="shared" si="38"/>
        <v>→ 조립자재 R335</v>
      </c>
      <c r="M486" s="84"/>
      <c r="N486" s="80">
        <v>335</v>
      </c>
      <c r="O486" s="80" t="s">
        <v>2110</v>
      </c>
      <c r="P486" s="79" t="s">
        <v>2982</v>
      </c>
    </row>
    <row r="487" spans="1:16" ht="30" customHeight="1" x14ac:dyDescent="0.3">
      <c r="A487" s="56" t="s">
        <v>354</v>
      </c>
      <c r="B487" s="52" t="s">
        <v>941</v>
      </c>
      <c r="C487" s="52" t="s">
        <v>2979</v>
      </c>
      <c r="D487" s="79" t="str">
        <f t="shared" ca="1" si="39"/>
        <v>원자재</v>
      </c>
      <c r="E487" s="79" t="str">
        <f t="shared" ca="1" si="40"/>
        <v>AR</v>
      </c>
      <c r="F487" s="52" t="s">
        <v>957</v>
      </c>
      <c r="G487" s="52" t="s">
        <v>2983</v>
      </c>
      <c r="H487" s="79" t="str">
        <f t="shared" si="41"/>
        <v>매칭완료</v>
      </c>
      <c r="I487" s="79" t="str">
        <f t="shared" ca="1" si="42"/>
        <v>7-AR</v>
      </c>
      <c r="J487" s="61" t="s">
        <v>957</v>
      </c>
      <c r="K487" s="65" t="s">
        <v>2984</v>
      </c>
      <c r="L487" s="83" t="str">
        <f t="shared" si="38"/>
        <v>→ 조립자재 R336</v>
      </c>
      <c r="M487" s="84"/>
      <c r="N487" s="80">
        <v>336</v>
      </c>
      <c r="O487" s="80" t="s">
        <v>2110</v>
      </c>
      <c r="P487" s="79" t="s">
        <v>2985</v>
      </c>
    </row>
    <row r="488" spans="1:16" ht="30" customHeight="1" x14ac:dyDescent="0.3">
      <c r="A488" s="56" t="s">
        <v>354</v>
      </c>
      <c r="B488" s="52" t="s">
        <v>941</v>
      </c>
      <c r="C488" s="52" t="s">
        <v>153</v>
      </c>
      <c r="D488" s="79" t="str">
        <f t="shared" ca="1" si="39"/>
        <v>반제품</v>
      </c>
      <c r="E488" s="79" t="str">
        <f t="shared" ca="1" si="40"/>
        <v>AA</v>
      </c>
      <c r="F488" s="52" t="s">
        <v>959</v>
      </c>
      <c r="G488" s="52"/>
      <c r="H488" s="79" t="str">
        <f t="shared" ca="1" si="41"/>
        <v>반제품(창고없음)</v>
      </c>
      <c r="I488" s="79" t="str">
        <f t="shared" ca="1" si="42"/>
        <v>7-AA</v>
      </c>
      <c r="J488" s="61" t="s">
        <v>959</v>
      </c>
      <c r="K488" s="65" t="s">
        <v>2986</v>
      </c>
      <c r="L488" s="83" t="str">
        <f t="shared" si="38"/>
        <v>→ 조립자재 R337</v>
      </c>
      <c r="M488" s="84"/>
      <c r="N488" s="80">
        <v>337</v>
      </c>
      <c r="O488" s="80" t="s">
        <v>2110</v>
      </c>
      <c r="P488" s="79" t="s">
        <v>2987</v>
      </c>
    </row>
    <row r="489" spans="1:16" ht="30" customHeight="1" x14ac:dyDescent="0.3">
      <c r="A489" s="56" t="s">
        <v>354</v>
      </c>
      <c r="B489" s="52" t="s">
        <v>941</v>
      </c>
      <c r="C489" s="52" t="s">
        <v>153</v>
      </c>
      <c r="D489" s="79" t="str">
        <f t="shared" ca="1" si="39"/>
        <v>원자재</v>
      </c>
      <c r="E489" s="79" t="str">
        <f t="shared" ca="1" si="40"/>
        <v>AR</v>
      </c>
      <c r="F489" s="52" t="s">
        <v>960</v>
      </c>
      <c r="G489" s="52" t="s">
        <v>2988</v>
      </c>
      <c r="H489" s="79" t="str">
        <f t="shared" si="41"/>
        <v>매칭완료</v>
      </c>
      <c r="I489" s="79" t="str">
        <f t="shared" ca="1" si="42"/>
        <v>7-AR</v>
      </c>
      <c r="J489" s="61" t="s">
        <v>960</v>
      </c>
      <c r="K489" s="65" t="s">
        <v>2989</v>
      </c>
      <c r="L489" s="83" t="str">
        <f t="shared" si="38"/>
        <v>→ 조립자재 R338</v>
      </c>
      <c r="M489" s="84"/>
      <c r="N489" s="80">
        <v>338</v>
      </c>
      <c r="O489" s="80" t="s">
        <v>2110</v>
      </c>
      <c r="P489" s="79" t="s">
        <v>2990</v>
      </c>
    </row>
    <row r="490" spans="1:16" ht="30" customHeight="1" x14ac:dyDescent="0.3">
      <c r="A490" s="56" t="s">
        <v>354</v>
      </c>
      <c r="B490" s="52" t="s">
        <v>941</v>
      </c>
      <c r="C490" s="52" t="s">
        <v>153</v>
      </c>
      <c r="D490" s="79" t="str">
        <f t="shared" ca="1" si="39"/>
        <v>원자재</v>
      </c>
      <c r="E490" s="79" t="str">
        <f t="shared" ca="1" si="40"/>
        <v>AR</v>
      </c>
      <c r="F490" s="52" t="s">
        <v>962</v>
      </c>
      <c r="G490" s="52" t="s">
        <v>2991</v>
      </c>
      <c r="H490" s="79" t="str">
        <f t="shared" si="41"/>
        <v>매칭완료</v>
      </c>
      <c r="I490" s="79" t="str">
        <f t="shared" ca="1" si="42"/>
        <v>7-AR</v>
      </c>
      <c r="J490" s="61" t="s">
        <v>962</v>
      </c>
      <c r="K490" s="65" t="s">
        <v>2992</v>
      </c>
      <c r="L490" s="83" t="str">
        <f t="shared" si="38"/>
        <v>→ 조립자재 R339</v>
      </c>
      <c r="M490" s="84"/>
      <c r="N490" s="80">
        <v>339</v>
      </c>
      <c r="O490" s="80" t="s">
        <v>2110</v>
      </c>
      <c r="P490" s="79" t="s">
        <v>2993</v>
      </c>
    </row>
    <row r="491" spans="1:16" ht="30" customHeight="1" x14ac:dyDescent="0.3">
      <c r="A491" s="56" t="s">
        <v>354</v>
      </c>
      <c r="B491" s="52" t="s">
        <v>941</v>
      </c>
      <c r="C491" s="52" t="s">
        <v>153</v>
      </c>
      <c r="D491" s="79" t="str">
        <f t="shared" ca="1" si="39"/>
        <v>원자재</v>
      </c>
      <c r="E491" s="79" t="str">
        <f t="shared" ca="1" si="40"/>
        <v>AR</v>
      </c>
      <c r="F491" s="52" t="s">
        <v>964</v>
      </c>
      <c r="G491" s="52" t="s">
        <v>2994</v>
      </c>
      <c r="H491" s="79" t="str">
        <f t="shared" si="41"/>
        <v>매칭완료</v>
      </c>
      <c r="I491" s="79" t="str">
        <f t="shared" ca="1" si="42"/>
        <v>7-AR</v>
      </c>
      <c r="J491" s="61" t="s">
        <v>964</v>
      </c>
      <c r="K491" s="65" t="s">
        <v>2995</v>
      </c>
      <c r="L491" s="83" t="str">
        <f t="shared" si="38"/>
        <v>→ 조립자재 R340</v>
      </c>
      <c r="M491" s="84"/>
      <c r="N491" s="80">
        <v>340</v>
      </c>
      <c r="O491" s="80" t="s">
        <v>2110</v>
      </c>
      <c r="P491" s="79" t="s">
        <v>2996</v>
      </c>
    </row>
    <row r="492" spans="1:16" ht="30" customHeight="1" x14ac:dyDescent="0.3">
      <c r="A492" s="56" t="s">
        <v>354</v>
      </c>
      <c r="B492" s="52" t="s">
        <v>941</v>
      </c>
      <c r="C492" s="52" t="s">
        <v>153</v>
      </c>
      <c r="D492" s="79" t="str">
        <f t="shared" ca="1" si="39"/>
        <v>원자재</v>
      </c>
      <c r="E492" s="79" t="str">
        <f t="shared" ca="1" si="40"/>
        <v>AR</v>
      </c>
      <c r="F492" s="52" t="s">
        <v>1449</v>
      </c>
      <c r="G492" s="52" t="s">
        <v>2997</v>
      </c>
      <c r="H492" s="79" t="str">
        <f t="shared" si="41"/>
        <v>매칭완료</v>
      </c>
      <c r="I492" s="79" t="str">
        <f t="shared" ca="1" si="42"/>
        <v>7-AR</v>
      </c>
      <c r="J492" s="61" t="s">
        <v>1449</v>
      </c>
      <c r="K492" s="65" t="s">
        <v>2998</v>
      </c>
      <c r="L492" s="83" t="str">
        <f t="shared" si="38"/>
        <v>→ 조립자재 R341</v>
      </c>
      <c r="M492" s="84"/>
      <c r="N492" s="80">
        <v>341</v>
      </c>
      <c r="O492" s="80" t="s">
        <v>2110</v>
      </c>
      <c r="P492" s="79" t="s">
        <v>2999</v>
      </c>
    </row>
    <row r="493" spans="1:16" ht="30" customHeight="1" x14ac:dyDescent="0.3">
      <c r="A493" s="56" t="s">
        <v>354</v>
      </c>
      <c r="B493" s="52" t="s">
        <v>941</v>
      </c>
      <c r="C493" s="52" t="s">
        <v>153</v>
      </c>
      <c r="D493" s="79" t="str">
        <f t="shared" ca="1" si="39"/>
        <v>원자재</v>
      </c>
      <c r="E493" s="79" t="str">
        <f t="shared" ca="1" si="40"/>
        <v>AR</v>
      </c>
      <c r="F493" s="52" t="s">
        <v>968</v>
      </c>
      <c r="G493" s="52"/>
      <c r="H493" s="79" t="str">
        <f t="shared" ca="1" si="41"/>
        <v>⚠ 원자재_부서보관</v>
      </c>
      <c r="I493" s="79" t="str">
        <f t="shared" ca="1" si="42"/>
        <v>7-AR</v>
      </c>
      <c r="J493" s="61" t="s">
        <v>968</v>
      </c>
      <c r="K493" s="65" t="s">
        <v>3000</v>
      </c>
      <c r="L493" s="83" t="str">
        <f t="shared" si="38"/>
        <v>→ 조립자재 R342</v>
      </c>
      <c r="M493" s="84"/>
      <c r="N493" s="80">
        <v>342</v>
      </c>
      <c r="O493" s="80" t="s">
        <v>2110</v>
      </c>
      <c r="P493" s="79" t="s">
        <v>3001</v>
      </c>
    </row>
    <row r="494" spans="1:16" ht="30" customHeight="1" x14ac:dyDescent="0.3">
      <c r="A494" s="56" t="s">
        <v>354</v>
      </c>
      <c r="B494" s="52" t="s">
        <v>941</v>
      </c>
      <c r="C494" s="52" t="s">
        <v>153</v>
      </c>
      <c r="D494" s="79" t="str">
        <f t="shared" ca="1" si="39"/>
        <v>반제품</v>
      </c>
      <c r="E494" s="79" t="str">
        <f t="shared" ca="1" si="40"/>
        <v>AA</v>
      </c>
      <c r="F494" s="52" t="s">
        <v>969</v>
      </c>
      <c r="G494" s="52"/>
      <c r="H494" s="79" t="str">
        <f t="shared" ca="1" si="41"/>
        <v>반제품(창고없음)</v>
      </c>
      <c r="I494" s="79" t="str">
        <f t="shared" ca="1" si="42"/>
        <v>7-AA</v>
      </c>
      <c r="J494" s="65" t="s">
        <v>969</v>
      </c>
      <c r="K494" s="65" t="s">
        <v>969</v>
      </c>
      <c r="L494" s="83" t="str">
        <f t="shared" si="38"/>
        <v>→ 조립자재 R343</v>
      </c>
      <c r="M494" s="84"/>
      <c r="N494" s="80">
        <v>343</v>
      </c>
      <c r="O494" s="80" t="s">
        <v>2110</v>
      </c>
      <c r="P494" s="79" t="s">
        <v>3002</v>
      </c>
    </row>
    <row r="495" spans="1:16" ht="30" customHeight="1" x14ac:dyDescent="0.3">
      <c r="A495" s="56" t="s">
        <v>354</v>
      </c>
      <c r="B495" s="52" t="s">
        <v>941</v>
      </c>
      <c r="C495" s="52" t="s">
        <v>153</v>
      </c>
      <c r="D495" s="79" t="str">
        <f t="shared" ca="1" si="39"/>
        <v>반제품</v>
      </c>
      <c r="E495" s="79" t="str">
        <f t="shared" ca="1" si="40"/>
        <v>AA</v>
      </c>
      <c r="F495" s="52" t="s">
        <v>970</v>
      </c>
      <c r="G495" s="52"/>
      <c r="H495" s="79" t="str">
        <f t="shared" ca="1" si="41"/>
        <v>반제품(창고없음)</v>
      </c>
      <c r="I495" s="79" t="str">
        <f t="shared" ca="1" si="42"/>
        <v>7-AA</v>
      </c>
      <c r="J495" s="61" t="s">
        <v>970</v>
      </c>
      <c r="K495" s="65" t="s">
        <v>970</v>
      </c>
      <c r="L495" s="83" t="str">
        <f t="shared" si="38"/>
        <v>→ 조립자재 R344</v>
      </c>
      <c r="M495" s="84"/>
      <c r="N495" s="80">
        <v>344</v>
      </c>
      <c r="O495" s="80" t="s">
        <v>2110</v>
      </c>
      <c r="P495" s="79" t="s">
        <v>3003</v>
      </c>
    </row>
    <row r="496" spans="1:16" ht="30" customHeight="1" x14ac:dyDescent="0.3">
      <c r="A496" s="56" t="s">
        <v>354</v>
      </c>
      <c r="B496" s="52" t="s">
        <v>941</v>
      </c>
      <c r="C496" s="52" t="s">
        <v>3004</v>
      </c>
      <c r="D496" s="79" t="str">
        <f t="shared" ca="1" si="39"/>
        <v>원자재</v>
      </c>
      <c r="E496" s="79" t="str">
        <f t="shared" ca="1" si="40"/>
        <v>AR</v>
      </c>
      <c r="F496" s="52" t="s">
        <v>972</v>
      </c>
      <c r="G496" s="52"/>
      <c r="H496" s="79" t="str">
        <f t="shared" ca="1" si="41"/>
        <v>⚠ 원자재_부서보관</v>
      </c>
      <c r="I496" s="79" t="str">
        <f t="shared" ca="1" si="42"/>
        <v>7-AR</v>
      </c>
      <c r="J496" s="61" t="s">
        <v>972</v>
      </c>
      <c r="K496" s="65" t="s">
        <v>3005</v>
      </c>
      <c r="L496" s="83" t="str">
        <f t="shared" si="38"/>
        <v>→ 조립자재 R345</v>
      </c>
      <c r="M496" s="84"/>
      <c r="N496" s="80">
        <v>345</v>
      </c>
      <c r="O496" s="80" t="s">
        <v>2110</v>
      </c>
      <c r="P496" s="79" t="s">
        <v>3006</v>
      </c>
    </row>
    <row r="497" spans="1:16" ht="30" customHeight="1" x14ac:dyDescent="0.3">
      <c r="A497" s="56" t="s">
        <v>354</v>
      </c>
      <c r="B497" s="52" t="s">
        <v>941</v>
      </c>
      <c r="C497" s="52" t="s">
        <v>3007</v>
      </c>
      <c r="D497" s="79" t="str">
        <f t="shared" ca="1" si="39"/>
        <v>원자재</v>
      </c>
      <c r="E497" s="79" t="str">
        <f t="shared" ca="1" si="40"/>
        <v>AR</v>
      </c>
      <c r="F497" s="52" t="s">
        <v>860</v>
      </c>
      <c r="G497" s="52" t="s">
        <v>3008</v>
      </c>
      <c r="H497" s="79" t="str">
        <f t="shared" si="41"/>
        <v>매칭완료</v>
      </c>
      <c r="I497" s="79" t="str">
        <f t="shared" ca="1" si="42"/>
        <v>7-AR</v>
      </c>
      <c r="J497" s="61" t="s">
        <v>860</v>
      </c>
      <c r="K497" s="65" t="s">
        <v>3009</v>
      </c>
      <c r="L497" s="83" t="str">
        <f t="shared" si="38"/>
        <v>→ 조립자재 R346</v>
      </c>
      <c r="M497" s="84"/>
      <c r="N497" s="80">
        <v>346</v>
      </c>
      <c r="O497" s="80" t="s">
        <v>2110</v>
      </c>
      <c r="P497" s="79" t="s">
        <v>3010</v>
      </c>
    </row>
    <row r="498" spans="1:16" ht="30" customHeight="1" x14ac:dyDescent="0.3">
      <c r="A498" s="56" t="s">
        <v>354</v>
      </c>
      <c r="B498" s="52" t="s">
        <v>941</v>
      </c>
      <c r="C498" s="52" t="s">
        <v>3007</v>
      </c>
      <c r="D498" s="79" t="str">
        <f t="shared" ca="1" si="39"/>
        <v>원자재</v>
      </c>
      <c r="E498" s="79" t="str">
        <f t="shared" ca="1" si="40"/>
        <v>AR</v>
      </c>
      <c r="F498" s="52" t="s">
        <v>975</v>
      </c>
      <c r="G498" s="52" t="s">
        <v>3011</v>
      </c>
      <c r="H498" s="79" t="str">
        <f t="shared" si="41"/>
        <v>매칭완료</v>
      </c>
      <c r="I498" s="79" t="str">
        <f t="shared" ca="1" si="42"/>
        <v>7-AR</v>
      </c>
      <c r="J498" s="61" t="s">
        <v>975</v>
      </c>
      <c r="K498" s="65" t="s">
        <v>3012</v>
      </c>
      <c r="L498" s="83" t="str">
        <f t="shared" ref="L498:L561" si="43">HYPERLINK("#'"&amp;$O498&amp;"'!A"&amp;$N498,"→ 조립자재 R"&amp;$N498)</f>
        <v>→ 조립자재 R347</v>
      </c>
      <c r="M498" s="84"/>
      <c r="N498" s="80">
        <v>347</v>
      </c>
      <c r="O498" s="80" t="s">
        <v>2110</v>
      </c>
      <c r="P498" s="79" t="s">
        <v>3013</v>
      </c>
    </row>
    <row r="499" spans="1:16" ht="30" customHeight="1" x14ac:dyDescent="0.3">
      <c r="A499" s="56" t="s">
        <v>354</v>
      </c>
      <c r="B499" s="52" t="s">
        <v>941</v>
      </c>
      <c r="C499" s="52" t="s">
        <v>3007</v>
      </c>
      <c r="D499" s="79" t="str">
        <f t="shared" ca="1" si="39"/>
        <v>원자재</v>
      </c>
      <c r="E499" s="79" t="str">
        <f t="shared" ca="1" si="40"/>
        <v>AR</v>
      </c>
      <c r="F499" s="52" t="s">
        <v>898</v>
      </c>
      <c r="G499" s="52" t="s">
        <v>3014</v>
      </c>
      <c r="H499" s="79" t="str">
        <f t="shared" si="41"/>
        <v>매칭완료</v>
      </c>
      <c r="I499" s="79" t="str">
        <f t="shared" ca="1" si="42"/>
        <v>7-AR</v>
      </c>
      <c r="J499" s="61" t="s">
        <v>898</v>
      </c>
      <c r="K499" s="65" t="s">
        <v>3015</v>
      </c>
      <c r="L499" s="83" t="str">
        <f t="shared" si="43"/>
        <v>→ 조립자재 R348</v>
      </c>
      <c r="M499" s="84"/>
      <c r="N499" s="80">
        <v>348</v>
      </c>
      <c r="O499" s="80" t="s">
        <v>2110</v>
      </c>
      <c r="P499" s="79" t="s">
        <v>3016</v>
      </c>
    </row>
    <row r="500" spans="1:16" ht="30" customHeight="1" x14ac:dyDescent="0.3">
      <c r="A500" s="56" t="s">
        <v>354</v>
      </c>
      <c r="B500" s="52" t="s">
        <v>941</v>
      </c>
      <c r="C500" s="52" t="s">
        <v>3007</v>
      </c>
      <c r="D500" s="79" t="str">
        <f t="shared" ca="1" si="39"/>
        <v>원자재</v>
      </c>
      <c r="E500" s="79" t="str">
        <f t="shared" ca="1" si="40"/>
        <v>AR</v>
      </c>
      <c r="F500" s="52" t="s">
        <v>950</v>
      </c>
      <c r="G500" s="52" t="s">
        <v>3017</v>
      </c>
      <c r="H500" s="79" t="str">
        <f t="shared" si="41"/>
        <v>매칭완료</v>
      </c>
      <c r="I500" s="79" t="str">
        <f t="shared" ca="1" si="42"/>
        <v>78-AR</v>
      </c>
      <c r="J500" s="61" t="s">
        <v>950</v>
      </c>
      <c r="K500" s="65" t="s">
        <v>3018</v>
      </c>
      <c r="L500" s="83" t="str">
        <f t="shared" si="43"/>
        <v>→ 조립자재 R349</v>
      </c>
      <c r="M500" s="84"/>
      <c r="N500" s="80">
        <v>349</v>
      </c>
      <c r="O500" s="80" t="s">
        <v>2110</v>
      </c>
      <c r="P500" s="79" t="s">
        <v>3019</v>
      </c>
    </row>
    <row r="501" spans="1:16" ht="30" customHeight="1" x14ac:dyDescent="0.3">
      <c r="A501" s="56" t="s">
        <v>354</v>
      </c>
      <c r="B501" s="52" t="s">
        <v>941</v>
      </c>
      <c r="C501" s="52" t="s">
        <v>2776</v>
      </c>
      <c r="D501" s="79" t="str">
        <f t="shared" ca="1" si="39"/>
        <v>반제품</v>
      </c>
      <c r="E501" s="79" t="str">
        <f t="shared" ca="1" si="40"/>
        <v>AA</v>
      </c>
      <c r="F501" s="52" t="s">
        <v>979</v>
      </c>
      <c r="G501" s="52"/>
      <c r="H501" s="79" t="str">
        <f t="shared" ca="1" si="41"/>
        <v>반제품(창고없음)</v>
      </c>
      <c r="I501" s="79" t="str">
        <f t="shared" ca="1" si="42"/>
        <v>7-AA</v>
      </c>
      <c r="J501" s="61" t="s">
        <v>979</v>
      </c>
      <c r="K501" s="65" t="s">
        <v>3020</v>
      </c>
      <c r="L501" s="83" t="str">
        <f t="shared" si="43"/>
        <v>→ 조립자재 R350</v>
      </c>
      <c r="M501" s="84"/>
      <c r="N501" s="80">
        <v>350</v>
      </c>
      <c r="O501" s="80" t="s">
        <v>2110</v>
      </c>
      <c r="P501" s="79" t="s">
        <v>3021</v>
      </c>
    </row>
    <row r="502" spans="1:16" ht="30" customHeight="1" x14ac:dyDescent="0.3">
      <c r="A502" s="56" t="s">
        <v>354</v>
      </c>
      <c r="B502" s="52" t="s">
        <v>941</v>
      </c>
      <c r="C502" s="52" t="s">
        <v>3007</v>
      </c>
      <c r="D502" s="79" t="str">
        <f t="shared" ca="1" si="39"/>
        <v>반제품</v>
      </c>
      <c r="E502" s="79" t="str">
        <f t="shared" ca="1" si="40"/>
        <v>AA</v>
      </c>
      <c r="F502" s="52" t="s">
        <v>979</v>
      </c>
      <c r="G502" s="52"/>
      <c r="H502" s="79" t="str">
        <f t="shared" ca="1" si="41"/>
        <v>반제품(창고없음)</v>
      </c>
      <c r="I502" s="79" t="str">
        <f t="shared" ca="1" si="42"/>
        <v>78-AA</v>
      </c>
      <c r="J502" s="61" t="s">
        <v>979</v>
      </c>
      <c r="K502" s="103" t="s">
        <v>3022</v>
      </c>
      <c r="L502" s="83" t="str">
        <f t="shared" si="43"/>
        <v>→ 조립자재 R351</v>
      </c>
      <c r="M502" s="84"/>
      <c r="N502" s="80">
        <v>351</v>
      </c>
      <c r="O502" s="80" t="s">
        <v>2110</v>
      </c>
      <c r="P502" s="79" t="s">
        <v>3023</v>
      </c>
    </row>
    <row r="503" spans="1:16" ht="30" customHeight="1" x14ac:dyDescent="0.3">
      <c r="A503" s="56" t="s">
        <v>354</v>
      </c>
      <c r="B503" s="52" t="s">
        <v>980</v>
      </c>
      <c r="C503" s="52" t="s">
        <v>3024</v>
      </c>
      <c r="D503" s="79" t="str">
        <f t="shared" ca="1" si="39"/>
        <v>반제품</v>
      </c>
      <c r="E503" s="79" t="str">
        <f t="shared" ca="1" si="40"/>
        <v>AA</v>
      </c>
      <c r="F503" s="52" t="s">
        <v>982</v>
      </c>
      <c r="G503" s="52"/>
      <c r="H503" s="79" t="str">
        <f t="shared" ca="1" si="41"/>
        <v>반제품(창고없음)</v>
      </c>
      <c r="I503" s="79" t="str">
        <f t="shared" ca="1" si="42"/>
        <v>7-AA</v>
      </c>
      <c r="J503" s="61" t="s">
        <v>982</v>
      </c>
      <c r="K503" s="103" t="s">
        <v>3025</v>
      </c>
      <c r="L503" s="83" t="str">
        <f t="shared" si="43"/>
        <v>→ 조립자재 R352</v>
      </c>
      <c r="M503" s="84"/>
      <c r="N503" s="80">
        <v>352</v>
      </c>
      <c r="O503" s="80" t="s">
        <v>2110</v>
      </c>
      <c r="P503" s="79" t="s">
        <v>3026</v>
      </c>
    </row>
    <row r="504" spans="1:16" ht="30" customHeight="1" x14ac:dyDescent="0.3">
      <c r="A504" s="56" t="s">
        <v>354</v>
      </c>
      <c r="B504" s="52" t="s">
        <v>980</v>
      </c>
      <c r="C504" s="52" t="s">
        <v>3007</v>
      </c>
      <c r="D504" s="79" t="str">
        <f t="shared" ca="1" si="39"/>
        <v>반제품</v>
      </c>
      <c r="E504" s="79" t="str">
        <f t="shared" ca="1" si="40"/>
        <v>AA</v>
      </c>
      <c r="F504" s="52" t="s">
        <v>936</v>
      </c>
      <c r="G504" s="52"/>
      <c r="H504" s="79" t="str">
        <f t="shared" ca="1" si="41"/>
        <v>반제품(창고없음)</v>
      </c>
      <c r="I504" s="79" t="str">
        <f t="shared" ca="1" si="42"/>
        <v>7-AA</v>
      </c>
      <c r="J504" s="61" t="s">
        <v>936</v>
      </c>
      <c r="K504" s="103" t="s">
        <v>3027</v>
      </c>
      <c r="L504" s="83" t="str">
        <f t="shared" si="43"/>
        <v>→ 조립자재 R353</v>
      </c>
      <c r="M504" s="84"/>
      <c r="N504" s="80">
        <v>353</v>
      </c>
      <c r="O504" s="80" t="s">
        <v>2110</v>
      </c>
      <c r="P504" s="79" t="s">
        <v>3028</v>
      </c>
    </row>
    <row r="505" spans="1:16" ht="30" customHeight="1" x14ac:dyDescent="0.3">
      <c r="A505" s="56" t="s">
        <v>354</v>
      </c>
      <c r="B505" s="52" t="s">
        <v>980</v>
      </c>
      <c r="C505" s="52" t="s">
        <v>3024</v>
      </c>
      <c r="D505" s="79" t="str">
        <f t="shared" ca="1" si="39"/>
        <v>반제품</v>
      </c>
      <c r="E505" s="79" t="str">
        <f t="shared" ca="1" si="40"/>
        <v>AA</v>
      </c>
      <c r="F505" s="52" t="s">
        <v>2952</v>
      </c>
      <c r="G505" s="52"/>
      <c r="H505" s="79" t="str">
        <f t="shared" ca="1" si="41"/>
        <v>반제품(창고없음)</v>
      </c>
      <c r="I505" s="79" t="str">
        <f t="shared" ca="1" si="42"/>
        <v>7-AA</v>
      </c>
      <c r="J505" s="61" t="s">
        <v>2952</v>
      </c>
      <c r="K505" s="103" t="s">
        <v>3029</v>
      </c>
      <c r="L505" s="83" t="str">
        <f t="shared" si="43"/>
        <v>→ 조립자재 R354</v>
      </c>
      <c r="M505" s="84"/>
      <c r="N505" s="80">
        <v>354</v>
      </c>
      <c r="O505" s="80" t="s">
        <v>2110</v>
      </c>
      <c r="P505" s="79" t="s">
        <v>3030</v>
      </c>
    </row>
    <row r="506" spans="1:16" ht="30" customHeight="1" x14ac:dyDescent="0.3">
      <c r="A506" s="56" t="s">
        <v>354</v>
      </c>
      <c r="B506" s="52" t="s">
        <v>980</v>
      </c>
      <c r="C506" s="52" t="s">
        <v>3024</v>
      </c>
      <c r="D506" s="79" t="str">
        <f t="shared" ca="1" si="39"/>
        <v>반제품</v>
      </c>
      <c r="E506" s="79" t="str">
        <f t="shared" ca="1" si="40"/>
        <v>AA</v>
      </c>
      <c r="F506" s="52" t="s">
        <v>984</v>
      </c>
      <c r="G506" s="52"/>
      <c r="H506" s="79" t="str">
        <f t="shared" ca="1" si="41"/>
        <v>반제품(창고없음)</v>
      </c>
      <c r="I506" s="79" t="str">
        <f t="shared" ca="1" si="42"/>
        <v>7-AA</v>
      </c>
      <c r="J506" s="61" t="s">
        <v>984</v>
      </c>
      <c r="K506" s="103" t="s">
        <v>3031</v>
      </c>
      <c r="L506" s="83" t="str">
        <f t="shared" si="43"/>
        <v>→ 조립자재 R355</v>
      </c>
      <c r="M506" s="84"/>
      <c r="N506" s="80">
        <v>355</v>
      </c>
      <c r="O506" s="80" t="s">
        <v>2110</v>
      </c>
      <c r="P506" s="79" t="s">
        <v>3032</v>
      </c>
    </row>
    <row r="507" spans="1:16" ht="30" customHeight="1" x14ac:dyDescent="0.3">
      <c r="A507" s="56" t="s">
        <v>354</v>
      </c>
      <c r="B507" s="52" t="s">
        <v>1185</v>
      </c>
      <c r="C507" s="52" t="s">
        <v>182</v>
      </c>
      <c r="D507" s="79" t="str">
        <f t="shared" ca="1" si="39"/>
        <v>원자재</v>
      </c>
      <c r="E507" s="79" t="str">
        <f t="shared" ca="1" si="40"/>
        <v>AR</v>
      </c>
      <c r="F507" s="52" t="s">
        <v>1186</v>
      </c>
      <c r="G507" s="52" t="s">
        <v>3033</v>
      </c>
      <c r="H507" s="79" t="str">
        <f t="shared" si="41"/>
        <v>매칭완료</v>
      </c>
      <c r="I507" s="79" t="str">
        <f t="shared" ca="1" si="42"/>
        <v>8-AR</v>
      </c>
      <c r="J507" s="61" t="s">
        <v>1186</v>
      </c>
      <c r="K507" s="103" t="s">
        <v>3034</v>
      </c>
      <c r="L507" s="83" t="str">
        <f t="shared" si="43"/>
        <v>→ 조립자재 R460</v>
      </c>
      <c r="M507" s="84"/>
      <c r="N507" s="80">
        <v>460</v>
      </c>
      <c r="O507" s="80" t="s">
        <v>2110</v>
      </c>
      <c r="P507" s="79" t="s">
        <v>3035</v>
      </c>
    </row>
    <row r="508" spans="1:16" ht="30" customHeight="1" x14ac:dyDescent="0.3">
      <c r="A508" s="56" t="s">
        <v>354</v>
      </c>
      <c r="B508" s="52" t="s">
        <v>1185</v>
      </c>
      <c r="C508" s="52" t="s">
        <v>182</v>
      </c>
      <c r="D508" s="79" t="str">
        <f t="shared" ca="1" si="39"/>
        <v>원자재</v>
      </c>
      <c r="E508" s="79" t="str">
        <f t="shared" ca="1" si="40"/>
        <v>AR</v>
      </c>
      <c r="F508" s="52" t="s">
        <v>1188</v>
      </c>
      <c r="G508" s="52" t="s">
        <v>3036</v>
      </c>
      <c r="H508" s="79" t="str">
        <f t="shared" si="41"/>
        <v>매칭완료</v>
      </c>
      <c r="I508" s="79" t="str">
        <f t="shared" ca="1" si="42"/>
        <v>8-AR</v>
      </c>
      <c r="J508" s="61" t="s">
        <v>1188</v>
      </c>
      <c r="K508" s="103" t="s">
        <v>3037</v>
      </c>
      <c r="L508" s="83" t="str">
        <f t="shared" si="43"/>
        <v>→ 조립자재 R461</v>
      </c>
      <c r="M508" s="84"/>
      <c r="N508" s="80">
        <v>461</v>
      </c>
      <c r="O508" s="80" t="s">
        <v>2110</v>
      </c>
      <c r="P508" s="79" t="s">
        <v>3038</v>
      </c>
    </row>
    <row r="509" spans="1:16" ht="30" customHeight="1" x14ac:dyDescent="0.3">
      <c r="A509" s="56" t="s">
        <v>354</v>
      </c>
      <c r="B509" s="52" t="s">
        <v>1185</v>
      </c>
      <c r="C509" s="52" t="s">
        <v>182</v>
      </c>
      <c r="D509" s="79" t="str">
        <f t="shared" ca="1" si="39"/>
        <v>원자재</v>
      </c>
      <c r="E509" s="79" t="str">
        <f t="shared" ca="1" si="40"/>
        <v>AR</v>
      </c>
      <c r="F509" s="52" t="s">
        <v>1190</v>
      </c>
      <c r="G509" s="52" t="s">
        <v>3039</v>
      </c>
      <c r="H509" s="79" t="str">
        <f t="shared" si="41"/>
        <v>매칭완료</v>
      </c>
      <c r="I509" s="79" t="str">
        <f t="shared" ca="1" si="42"/>
        <v>8-AR</v>
      </c>
      <c r="J509" s="61" t="s">
        <v>1190</v>
      </c>
      <c r="K509" s="103" t="s">
        <v>3040</v>
      </c>
      <c r="L509" s="83" t="str">
        <f t="shared" si="43"/>
        <v>→ 조립자재 R462</v>
      </c>
      <c r="M509" s="84"/>
      <c r="N509" s="80">
        <v>462</v>
      </c>
      <c r="O509" s="80" t="s">
        <v>2110</v>
      </c>
      <c r="P509" s="79" t="s">
        <v>3041</v>
      </c>
    </row>
    <row r="510" spans="1:16" ht="30" customHeight="1" x14ac:dyDescent="0.3">
      <c r="A510" s="56" t="s">
        <v>354</v>
      </c>
      <c r="B510" s="52" t="s">
        <v>1185</v>
      </c>
      <c r="C510" s="52" t="s">
        <v>182</v>
      </c>
      <c r="D510" s="79" t="str">
        <f t="shared" ca="1" si="39"/>
        <v>원자재</v>
      </c>
      <c r="E510" s="79" t="str">
        <f t="shared" ca="1" si="40"/>
        <v>AR</v>
      </c>
      <c r="F510" s="52" t="s">
        <v>1192</v>
      </c>
      <c r="G510" s="52" t="s">
        <v>3042</v>
      </c>
      <c r="H510" s="79" t="str">
        <f t="shared" si="41"/>
        <v>매칭완료</v>
      </c>
      <c r="I510" s="79" t="str">
        <f t="shared" ca="1" si="42"/>
        <v>8-AR</v>
      </c>
      <c r="J510" s="61" t="s">
        <v>1192</v>
      </c>
      <c r="K510" s="103" t="s">
        <v>3043</v>
      </c>
      <c r="L510" s="83" t="str">
        <f t="shared" si="43"/>
        <v>→ 조립자재 R463</v>
      </c>
      <c r="M510" s="84"/>
      <c r="N510" s="80">
        <v>463</v>
      </c>
      <c r="O510" s="80" t="s">
        <v>2110</v>
      </c>
      <c r="P510" s="79" t="s">
        <v>3044</v>
      </c>
    </row>
    <row r="511" spans="1:16" ht="30" customHeight="1" x14ac:dyDescent="0.3">
      <c r="A511" s="56" t="s">
        <v>354</v>
      </c>
      <c r="B511" s="52" t="s">
        <v>1185</v>
      </c>
      <c r="C511" s="52" t="s">
        <v>182</v>
      </c>
      <c r="D511" s="79" t="str">
        <f t="shared" ca="1" si="39"/>
        <v>원자재</v>
      </c>
      <c r="E511" s="79" t="str">
        <f t="shared" ca="1" si="40"/>
        <v>AR</v>
      </c>
      <c r="F511" s="52" t="s">
        <v>1194</v>
      </c>
      <c r="G511" s="52" t="s">
        <v>3045</v>
      </c>
      <c r="H511" s="79" t="str">
        <f t="shared" si="41"/>
        <v>매칭완료</v>
      </c>
      <c r="I511" s="79" t="str">
        <f t="shared" ca="1" si="42"/>
        <v>8-AR</v>
      </c>
      <c r="J511" s="61" t="s">
        <v>1194</v>
      </c>
      <c r="K511" s="103" t="s">
        <v>3046</v>
      </c>
      <c r="L511" s="83" t="str">
        <f t="shared" si="43"/>
        <v>→ 조립자재 R464</v>
      </c>
      <c r="M511" s="84"/>
      <c r="N511" s="80">
        <v>464</v>
      </c>
      <c r="O511" s="80" t="s">
        <v>2110</v>
      </c>
      <c r="P511" s="79" t="s">
        <v>3047</v>
      </c>
    </row>
    <row r="512" spans="1:16" ht="30" customHeight="1" x14ac:dyDescent="0.3">
      <c r="A512" s="56" t="s">
        <v>354</v>
      </c>
      <c r="B512" s="52" t="s">
        <v>1185</v>
      </c>
      <c r="C512" s="52" t="s">
        <v>182</v>
      </c>
      <c r="D512" s="79" t="str">
        <f t="shared" ca="1" si="39"/>
        <v>원자재</v>
      </c>
      <c r="E512" s="79" t="str">
        <f t="shared" ca="1" si="40"/>
        <v>AR</v>
      </c>
      <c r="F512" s="52" t="s">
        <v>1196</v>
      </c>
      <c r="G512" s="52" t="s">
        <v>3048</v>
      </c>
      <c r="H512" s="79" t="str">
        <f t="shared" si="41"/>
        <v>매칭완료</v>
      </c>
      <c r="I512" s="79" t="str">
        <f t="shared" ca="1" si="42"/>
        <v>8-AR</v>
      </c>
      <c r="J512" s="61" t="s">
        <v>1196</v>
      </c>
      <c r="K512" s="103" t="s">
        <v>3049</v>
      </c>
      <c r="L512" s="83" t="str">
        <f t="shared" si="43"/>
        <v>→ 조립자재 R465</v>
      </c>
      <c r="M512" s="84"/>
      <c r="N512" s="80">
        <v>465</v>
      </c>
      <c r="O512" s="80" t="s">
        <v>2110</v>
      </c>
      <c r="P512" s="79" t="s">
        <v>3050</v>
      </c>
    </row>
    <row r="513" spans="1:16" ht="30" customHeight="1" x14ac:dyDescent="0.3">
      <c r="A513" s="56" t="s">
        <v>354</v>
      </c>
      <c r="B513" s="52" t="s">
        <v>1185</v>
      </c>
      <c r="C513" s="52" t="s">
        <v>182</v>
      </c>
      <c r="D513" s="79" t="str">
        <f t="shared" ca="1" si="39"/>
        <v>원자재</v>
      </c>
      <c r="E513" s="79" t="str">
        <f t="shared" ca="1" si="40"/>
        <v>AR</v>
      </c>
      <c r="F513" s="52" t="s">
        <v>1198</v>
      </c>
      <c r="G513" s="52" t="s">
        <v>3051</v>
      </c>
      <c r="H513" s="79" t="str">
        <f t="shared" si="41"/>
        <v>매칭완료</v>
      </c>
      <c r="I513" s="79" t="str">
        <f t="shared" ca="1" si="42"/>
        <v>8-AR</v>
      </c>
      <c r="J513" s="61" t="s">
        <v>1198</v>
      </c>
      <c r="K513" s="103" t="s">
        <v>3052</v>
      </c>
      <c r="L513" s="83" t="str">
        <f t="shared" si="43"/>
        <v>→ 조립자재 R466</v>
      </c>
      <c r="M513" s="84"/>
      <c r="N513" s="80">
        <v>466</v>
      </c>
      <c r="O513" s="80" t="s">
        <v>2110</v>
      </c>
      <c r="P513" s="79" t="s">
        <v>3053</v>
      </c>
    </row>
    <row r="514" spans="1:16" ht="30" customHeight="1" x14ac:dyDescent="0.3">
      <c r="A514" s="56" t="s">
        <v>354</v>
      </c>
      <c r="B514" s="52" t="s">
        <v>1200</v>
      </c>
      <c r="C514" s="52" t="s">
        <v>182</v>
      </c>
      <c r="D514" s="79" t="str">
        <f t="shared" ref="D514:D577" ca="1" si="44">IF(INDIRECT("'"&amp;$O514&amp;"'!F"&amp;$N514)="O","원자재",IF(INDIRECT("'"&amp;$O514&amp;"'!G"&amp;$N514)="O","반제품",IF(INDIRECT("'"&amp;$O514&amp;"'!H"&amp;$N514)="O","완제품","")))</f>
        <v>원자재</v>
      </c>
      <c r="E514" s="79" t="str">
        <f t="shared" ref="E514:E577" ca="1" si="45">IFERROR(IF(INDIRECT("'"&amp;$O514&amp;"'!I"&amp;$N514)=0,"",INDIRECT("'"&amp;$O514&amp;"'!I"&amp;$N514)),"")</f>
        <v>AR</v>
      </c>
      <c r="F514" s="52" t="s">
        <v>1201</v>
      </c>
      <c r="G514" s="52" t="s">
        <v>3054</v>
      </c>
      <c r="H514" s="79" t="str">
        <f t="shared" ref="H514:H577" si="46">IF(AND($F514="",$G514=""),"",IF($F514="","창고전용",IF($G514&lt;&gt;"","매칭완료",IF($D514="반제품","반제품(창고없음)",IF($D514="완제품","완제품(창고없음)",IF($D514="원자재","⚠ 원자재_부서보관","미분류"))))))</f>
        <v>매칭완료</v>
      </c>
      <c r="I514" s="79" t="str">
        <f t="shared" ref="I514:I577" ca="1" si="47">IFERROR(IF(INDIRECT("'"&amp;$O514&amp;"'!P"&amp;$N514)=0,"",INDIRECT("'"&amp;$O514&amp;"'!P"&amp;$N514)),"")</f>
        <v>8-AR</v>
      </c>
      <c r="J514" s="61" t="s">
        <v>1201</v>
      </c>
      <c r="K514" s="103" t="s">
        <v>3055</v>
      </c>
      <c r="L514" s="83" t="str">
        <f t="shared" si="43"/>
        <v>→ 조립자재 R467</v>
      </c>
      <c r="M514" s="84"/>
      <c r="N514" s="80">
        <v>467</v>
      </c>
      <c r="O514" s="80" t="s">
        <v>2110</v>
      </c>
      <c r="P514" s="79" t="s">
        <v>3056</v>
      </c>
    </row>
    <row r="515" spans="1:16" ht="30" customHeight="1" x14ac:dyDescent="0.3">
      <c r="A515" s="56" t="s">
        <v>354</v>
      </c>
      <c r="B515" s="52" t="s">
        <v>1200</v>
      </c>
      <c r="C515" s="52" t="s">
        <v>182</v>
      </c>
      <c r="D515" s="79" t="str">
        <f t="shared" ca="1" si="44"/>
        <v>원자재</v>
      </c>
      <c r="E515" s="79" t="str">
        <f t="shared" ca="1" si="45"/>
        <v>AR</v>
      </c>
      <c r="F515" s="52" t="s">
        <v>1470</v>
      </c>
      <c r="G515" s="52" t="s">
        <v>3057</v>
      </c>
      <c r="H515" s="79" t="str">
        <f t="shared" si="46"/>
        <v>매칭완료</v>
      </c>
      <c r="I515" s="79" t="str">
        <f t="shared" ca="1" si="47"/>
        <v>8-AR</v>
      </c>
      <c r="J515" s="61" t="s">
        <v>1470</v>
      </c>
      <c r="K515" s="103" t="s">
        <v>3058</v>
      </c>
      <c r="L515" s="83" t="str">
        <f t="shared" si="43"/>
        <v>→ 조립자재 R468</v>
      </c>
      <c r="M515" s="84"/>
      <c r="N515" s="80">
        <v>468</v>
      </c>
      <c r="O515" s="80" t="s">
        <v>2110</v>
      </c>
      <c r="P515" s="79" t="s">
        <v>3059</v>
      </c>
    </row>
    <row r="516" spans="1:16" ht="30" customHeight="1" x14ac:dyDescent="0.3">
      <c r="A516" s="56" t="s">
        <v>354</v>
      </c>
      <c r="B516" s="52" t="s">
        <v>1200</v>
      </c>
      <c r="C516" s="52" t="s">
        <v>182</v>
      </c>
      <c r="D516" s="79" t="str">
        <f t="shared" ca="1" si="44"/>
        <v>원자재</v>
      </c>
      <c r="E516" s="79" t="str">
        <f t="shared" ca="1" si="45"/>
        <v>AR</v>
      </c>
      <c r="F516" s="52" t="s">
        <v>1205</v>
      </c>
      <c r="G516" s="52" t="s">
        <v>3060</v>
      </c>
      <c r="H516" s="79" t="str">
        <f t="shared" si="46"/>
        <v>매칭완료</v>
      </c>
      <c r="I516" s="79" t="str">
        <f t="shared" ca="1" si="47"/>
        <v>8-AR</v>
      </c>
      <c r="J516" s="61" t="s">
        <v>1205</v>
      </c>
      <c r="K516" s="103" t="s">
        <v>3061</v>
      </c>
      <c r="L516" s="83" t="str">
        <f t="shared" si="43"/>
        <v>→ 조립자재 R469</v>
      </c>
      <c r="M516" s="84"/>
      <c r="N516" s="80">
        <v>469</v>
      </c>
      <c r="O516" s="80" t="s">
        <v>2110</v>
      </c>
      <c r="P516" s="79" t="s">
        <v>3062</v>
      </c>
    </row>
    <row r="517" spans="1:16" ht="30" customHeight="1" x14ac:dyDescent="0.3">
      <c r="A517" s="56" t="s">
        <v>354</v>
      </c>
      <c r="B517" s="52" t="s">
        <v>1200</v>
      </c>
      <c r="C517" s="52" t="s">
        <v>182</v>
      </c>
      <c r="D517" s="79" t="str">
        <f t="shared" ca="1" si="44"/>
        <v>원자재</v>
      </c>
      <c r="E517" s="79" t="str">
        <f t="shared" ca="1" si="45"/>
        <v>AR</v>
      </c>
      <c r="F517" s="52" t="s">
        <v>1207</v>
      </c>
      <c r="G517" s="52"/>
      <c r="H517" s="79" t="str">
        <f t="shared" ca="1" si="46"/>
        <v>⚠ 원자재_부서보관</v>
      </c>
      <c r="I517" s="79" t="str">
        <f t="shared" ca="1" si="47"/>
        <v>8-AR</v>
      </c>
      <c r="J517" s="61" t="s">
        <v>1207</v>
      </c>
      <c r="K517" s="103" t="s">
        <v>3063</v>
      </c>
      <c r="L517" s="83" t="str">
        <f t="shared" si="43"/>
        <v>→ 조립자재 R470</v>
      </c>
      <c r="M517" s="84"/>
      <c r="N517" s="80">
        <v>470</v>
      </c>
      <c r="O517" s="80" t="s">
        <v>2110</v>
      </c>
      <c r="P517" s="79" t="s">
        <v>3064</v>
      </c>
    </row>
    <row r="518" spans="1:16" ht="30" customHeight="1" x14ac:dyDescent="0.3">
      <c r="A518" s="56" t="s">
        <v>354</v>
      </c>
      <c r="B518" s="52" t="s">
        <v>1200</v>
      </c>
      <c r="C518" s="52" t="s">
        <v>182</v>
      </c>
      <c r="D518" s="79" t="str">
        <f t="shared" ca="1" si="44"/>
        <v>원자재</v>
      </c>
      <c r="E518" s="79" t="str">
        <f t="shared" ca="1" si="45"/>
        <v>AR</v>
      </c>
      <c r="F518" s="52" t="s">
        <v>1208</v>
      </c>
      <c r="G518" s="52" t="s">
        <v>3065</v>
      </c>
      <c r="H518" s="79" t="str">
        <f t="shared" si="46"/>
        <v>매칭완료</v>
      </c>
      <c r="I518" s="79" t="str">
        <f t="shared" ca="1" si="47"/>
        <v>8-AR</v>
      </c>
      <c r="J518" s="61" t="s">
        <v>1208</v>
      </c>
      <c r="K518" s="103" t="s">
        <v>3066</v>
      </c>
      <c r="L518" s="83" t="str">
        <f t="shared" si="43"/>
        <v>→ 조립자재 R471</v>
      </c>
      <c r="M518" s="84"/>
      <c r="N518" s="80">
        <v>471</v>
      </c>
      <c r="O518" s="80" t="s">
        <v>2110</v>
      </c>
      <c r="P518" s="79" t="s">
        <v>3067</v>
      </c>
    </row>
    <row r="519" spans="1:16" ht="30" customHeight="1" x14ac:dyDescent="0.3">
      <c r="A519" s="56" t="s">
        <v>354</v>
      </c>
      <c r="B519" s="52" t="s">
        <v>1200</v>
      </c>
      <c r="C519" s="52" t="s">
        <v>182</v>
      </c>
      <c r="D519" s="79" t="str">
        <f t="shared" ca="1" si="44"/>
        <v>원자재</v>
      </c>
      <c r="E519" s="79" t="str">
        <f t="shared" ca="1" si="45"/>
        <v>AR</v>
      </c>
      <c r="F519" s="52" t="s">
        <v>1210</v>
      </c>
      <c r="G519" s="52" t="s">
        <v>3068</v>
      </c>
      <c r="H519" s="79" t="str">
        <f t="shared" si="46"/>
        <v>매칭완료</v>
      </c>
      <c r="I519" s="79" t="str">
        <f t="shared" ca="1" si="47"/>
        <v>8-AR</v>
      </c>
      <c r="J519" s="61" t="s">
        <v>1210</v>
      </c>
      <c r="K519" s="103" t="s">
        <v>3069</v>
      </c>
      <c r="L519" s="83" t="str">
        <f t="shared" si="43"/>
        <v>→ 조립자재 R472</v>
      </c>
      <c r="M519" s="84"/>
      <c r="N519" s="80">
        <v>472</v>
      </c>
      <c r="O519" s="80" t="s">
        <v>2110</v>
      </c>
      <c r="P519" s="79" t="s">
        <v>3070</v>
      </c>
    </row>
    <row r="520" spans="1:16" ht="30" customHeight="1" x14ac:dyDescent="0.3">
      <c r="A520" s="56" t="s">
        <v>354</v>
      </c>
      <c r="B520" s="52" t="s">
        <v>1200</v>
      </c>
      <c r="C520" s="52" t="s">
        <v>182</v>
      </c>
      <c r="D520" s="79" t="str">
        <f t="shared" ca="1" si="44"/>
        <v>원자재</v>
      </c>
      <c r="E520" s="79" t="str">
        <f t="shared" ca="1" si="45"/>
        <v>AR</v>
      </c>
      <c r="F520" s="52" t="s">
        <v>1212</v>
      </c>
      <c r="G520" s="52" t="s">
        <v>3071</v>
      </c>
      <c r="H520" s="79" t="str">
        <f t="shared" si="46"/>
        <v>매칭완료</v>
      </c>
      <c r="I520" s="79" t="str">
        <f t="shared" ca="1" si="47"/>
        <v>8-AR</v>
      </c>
      <c r="J520" s="61" t="s">
        <v>1212</v>
      </c>
      <c r="K520" s="103" t="s">
        <v>3072</v>
      </c>
      <c r="L520" s="83" t="str">
        <f t="shared" si="43"/>
        <v>→ 조립자재 R473</v>
      </c>
      <c r="M520" s="84"/>
      <c r="N520" s="80">
        <v>473</v>
      </c>
      <c r="O520" s="80" t="s">
        <v>2110</v>
      </c>
      <c r="P520" s="79" t="s">
        <v>3073</v>
      </c>
    </row>
    <row r="521" spans="1:16" ht="30" customHeight="1" x14ac:dyDescent="0.3">
      <c r="A521" s="56" t="s">
        <v>354</v>
      </c>
      <c r="B521" s="52" t="s">
        <v>824</v>
      </c>
      <c r="C521" s="52" t="s">
        <v>182</v>
      </c>
      <c r="D521" s="79" t="str">
        <f t="shared" ca="1" si="44"/>
        <v>원자재</v>
      </c>
      <c r="E521" s="79" t="str">
        <f t="shared" ca="1" si="45"/>
        <v>AR</v>
      </c>
      <c r="F521" s="52" t="s">
        <v>1214</v>
      </c>
      <c r="G521" s="52" t="s">
        <v>3074</v>
      </c>
      <c r="H521" s="79" t="str">
        <f t="shared" si="46"/>
        <v>매칭완료</v>
      </c>
      <c r="I521" s="79" t="str">
        <f t="shared" ca="1" si="47"/>
        <v>8-AR</v>
      </c>
      <c r="J521" s="61" t="s">
        <v>1214</v>
      </c>
      <c r="K521" s="103" t="s">
        <v>3075</v>
      </c>
      <c r="L521" s="83" t="str">
        <f t="shared" si="43"/>
        <v>→ 조립자재 R474</v>
      </c>
      <c r="M521" s="84"/>
      <c r="N521" s="80">
        <v>474</v>
      </c>
      <c r="O521" s="80" t="s">
        <v>2110</v>
      </c>
      <c r="P521" s="79" t="s">
        <v>3076</v>
      </c>
    </row>
    <row r="522" spans="1:16" ht="30" customHeight="1" x14ac:dyDescent="0.3">
      <c r="A522" s="56" t="s">
        <v>354</v>
      </c>
      <c r="B522" s="52" t="s">
        <v>824</v>
      </c>
      <c r="C522" s="52" t="s">
        <v>182</v>
      </c>
      <c r="D522" s="79" t="str">
        <f t="shared" ca="1" si="44"/>
        <v>원자재</v>
      </c>
      <c r="E522" s="79" t="str">
        <f t="shared" ca="1" si="45"/>
        <v>AR</v>
      </c>
      <c r="F522" s="52" t="s">
        <v>1216</v>
      </c>
      <c r="G522" s="52" t="s">
        <v>3077</v>
      </c>
      <c r="H522" s="79" t="str">
        <f t="shared" si="46"/>
        <v>매칭완료</v>
      </c>
      <c r="I522" s="79" t="str">
        <f t="shared" ca="1" si="47"/>
        <v>8-AR</v>
      </c>
      <c r="J522" s="61" t="s">
        <v>1216</v>
      </c>
      <c r="K522" s="103" t="s">
        <v>3078</v>
      </c>
      <c r="L522" s="83" t="str">
        <f t="shared" si="43"/>
        <v>→ 조립자재 R475</v>
      </c>
      <c r="M522" s="84"/>
      <c r="N522" s="80">
        <v>475</v>
      </c>
      <c r="O522" s="80" t="s">
        <v>2110</v>
      </c>
      <c r="P522" s="79" t="s">
        <v>3079</v>
      </c>
    </row>
    <row r="523" spans="1:16" ht="30" customHeight="1" x14ac:dyDescent="0.3">
      <c r="A523" s="56" t="s">
        <v>354</v>
      </c>
      <c r="B523" s="52" t="s">
        <v>824</v>
      </c>
      <c r="C523" s="52" t="s">
        <v>182</v>
      </c>
      <c r="D523" s="79" t="str">
        <f t="shared" ca="1" si="44"/>
        <v>원자재</v>
      </c>
      <c r="E523" s="79" t="str">
        <f t="shared" ca="1" si="45"/>
        <v>AR</v>
      </c>
      <c r="F523" s="52" t="s">
        <v>1218</v>
      </c>
      <c r="G523" s="52" t="s">
        <v>3080</v>
      </c>
      <c r="H523" s="79" t="str">
        <f t="shared" si="46"/>
        <v>매칭완료</v>
      </c>
      <c r="I523" s="79" t="str">
        <f t="shared" ca="1" si="47"/>
        <v>8-AR</v>
      </c>
      <c r="J523" s="61" t="s">
        <v>1218</v>
      </c>
      <c r="K523" s="103" t="s">
        <v>3081</v>
      </c>
      <c r="L523" s="83" t="str">
        <f t="shared" si="43"/>
        <v>→ 조립자재 R476</v>
      </c>
      <c r="M523" s="84"/>
      <c r="N523" s="80">
        <v>476</v>
      </c>
      <c r="O523" s="80" t="s">
        <v>2110</v>
      </c>
      <c r="P523" s="79" t="s">
        <v>3082</v>
      </c>
    </row>
    <row r="524" spans="1:16" ht="30" customHeight="1" x14ac:dyDescent="0.3">
      <c r="A524" s="56" t="s">
        <v>354</v>
      </c>
      <c r="B524" s="52" t="s">
        <v>824</v>
      </c>
      <c r="C524" s="52" t="s">
        <v>182</v>
      </c>
      <c r="D524" s="79" t="str">
        <f t="shared" ca="1" si="44"/>
        <v>원자재</v>
      </c>
      <c r="E524" s="79" t="str">
        <f t="shared" ca="1" si="45"/>
        <v>AR</v>
      </c>
      <c r="F524" s="52" t="s">
        <v>1220</v>
      </c>
      <c r="G524" s="52" t="s">
        <v>3083</v>
      </c>
      <c r="H524" s="79" t="str">
        <f t="shared" si="46"/>
        <v>매칭완료</v>
      </c>
      <c r="I524" s="79" t="str">
        <f t="shared" ca="1" si="47"/>
        <v>8-AR</v>
      </c>
      <c r="J524" s="61" t="s">
        <v>1220</v>
      </c>
      <c r="K524" s="103" t="s">
        <v>3084</v>
      </c>
      <c r="L524" s="83" t="str">
        <f t="shared" si="43"/>
        <v>→ 조립자재 R477</v>
      </c>
      <c r="M524" s="84"/>
      <c r="N524" s="80">
        <v>477</v>
      </c>
      <c r="O524" s="80" t="s">
        <v>2110</v>
      </c>
      <c r="P524" s="79" t="s">
        <v>3085</v>
      </c>
    </row>
    <row r="525" spans="1:16" ht="30" customHeight="1" x14ac:dyDescent="0.3">
      <c r="A525" s="56" t="s">
        <v>354</v>
      </c>
      <c r="B525" s="52" t="s">
        <v>824</v>
      </c>
      <c r="C525" s="52" t="s">
        <v>182</v>
      </c>
      <c r="D525" s="79" t="str">
        <f t="shared" ca="1" si="44"/>
        <v>원자재</v>
      </c>
      <c r="E525" s="79" t="str">
        <f t="shared" ca="1" si="45"/>
        <v>AR</v>
      </c>
      <c r="F525" s="52" t="s">
        <v>1222</v>
      </c>
      <c r="G525" s="52" t="s">
        <v>3086</v>
      </c>
      <c r="H525" s="79" t="str">
        <f t="shared" si="46"/>
        <v>매칭완료</v>
      </c>
      <c r="I525" s="79" t="str">
        <f t="shared" ca="1" si="47"/>
        <v>8-AR</v>
      </c>
      <c r="J525" s="61" t="s">
        <v>1222</v>
      </c>
      <c r="K525" s="103" t="s">
        <v>3087</v>
      </c>
      <c r="L525" s="83" t="str">
        <f t="shared" si="43"/>
        <v>→ 조립자재 R478</v>
      </c>
      <c r="M525" s="84"/>
      <c r="N525" s="80">
        <v>478</v>
      </c>
      <c r="O525" s="80" t="s">
        <v>2110</v>
      </c>
      <c r="P525" s="79" t="s">
        <v>3088</v>
      </c>
    </row>
    <row r="526" spans="1:16" ht="30" customHeight="1" x14ac:dyDescent="0.3">
      <c r="A526" s="56" t="s">
        <v>354</v>
      </c>
      <c r="B526" s="52" t="s">
        <v>3089</v>
      </c>
      <c r="C526" s="52" t="s">
        <v>182</v>
      </c>
      <c r="D526" s="79" t="str">
        <f t="shared" ca="1" si="44"/>
        <v>원자재</v>
      </c>
      <c r="E526" s="79" t="str">
        <f t="shared" ca="1" si="45"/>
        <v>AR</v>
      </c>
      <c r="F526" s="52" t="s">
        <v>1225</v>
      </c>
      <c r="G526" s="52" t="s">
        <v>3090</v>
      </c>
      <c r="H526" s="79" t="str">
        <f t="shared" si="46"/>
        <v>매칭완료</v>
      </c>
      <c r="I526" s="79" t="str">
        <f t="shared" ca="1" si="47"/>
        <v>8-AR</v>
      </c>
      <c r="J526" s="61" t="s">
        <v>1225</v>
      </c>
      <c r="K526" s="103" t="s">
        <v>3091</v>
      </c>
      <c r="L526" s="83" t="str">
        <f t="shared" si="43"/>
        <v>→ 조립자재 R479</v>
      </c>
      <c r="M526" s="84"/>
      <c r="N526" s="80">
        <v>479</v>
      </c>
      <c r="O526" s="80" t="s">
        <v>2110</v>
      </c>
      <c r="P526" s="79" t="s">
        <v>3092</v>
      </c>
    </row>
    <row r="527" spans="1:16" ht="30" customHeight="1" x14ac:dyDescent="0.3">
      <c r="A527" s="56" t="s">
        <v>354</v>
      </c>
      <c r="B527" s="52" t="s">
        <v>3089</v>
      </c>
      <c r="C527" s="52" t="s">
        <v>182</v>
      </c>
      <c r="D527" s="79" t="str">
        <f t="shared" ca="1" si="44"/>
        <v>원자재</v>
      </c>
      <c r="E527" s="79" t="str">
        <f t="shared" ca="1" si="45"/>
        <v>AR</v>
      </c>
      <c r="F527" s="52" t="s">
        <v>1227</v>
      </c>
      <c r="G527" s="52" t="s">
        <v>3093</v>
      </c>
      <c r="H527" s="79" t="str">
        <f t="shared" si="46"/>
        <v>매칭완료</v>
      </c>
      <c r="I527" s="79" t="str">
        <f t="shared" ca="1" si="47"/>
        <v>8-AR</v>
      </c>
      <c r="J527" s="61" t="s">
        <v>1227</v>
      </c>
      <c r="K527" s="103" t="s">
        <v>3094</v>
      </c>
      <c r="L527" s="83" t="str">
        <f t="shared" si="43"/>
        <v>→ 조립자재 R480</v>
      </c>
      <c r="M527" s="84"/>
      <c r="N527" s="80">
        <v>480</v>
      </c>
      <c r="O527" s="80" t="s">
        <v>2110</v>
      </c>
      <c r="P527" s="79" t="s">
        <v>3095</v>
      </c>
    </row>
    <row r="528" spans="1:16" ht="30" customHeight="1" x14ac:dyDescent="0.3">
      <c r="A528" s="56" t="s">
        <v>354</v>
      </c>
      <c r="B528" s="52" t="s">
        <v>3089</v>
      </c>
      <c r="C528" s="52" t="s">
        <v>182</v>
      </c>
      <c r="D528" s="79" t="str">
        <f t="shared" ca="1" si="44"/>
        <v>원자재</v>
      </c>
      <c r="E528" s="79" t="str">
        <f t="shared" ca="1" si="45"/>
        <v>AR</v>
      </c>
      <c r="F528" s="52" t="s">
        <v>1229</v>
      </c>
      <c r="G528" s="52" t="s">
        <v>3096</v>
      </c>
      <c r="H528" s="79" t="str">
        <f t="shared" si="46"/>
        <v>매칭완료</v>
      </c>
      <c r="I528" s="79" t="str">
        <f t="shared" ca="1" si="47"/>
        <v>8-AR</v>
      </c>
      <c r="J528" s="61" t="s">
        <v>1229</v>
      </c>
      <c r="K528" s="103" t="s">
        <v>3097</v>
      </c>
      <c r="L528" s="83" t="str">
        <f t="shared" si="43"/>
        <v>→ 조립자재 R481</v>
      </c>
      <c r="M528" s="84"/>
      <c r="N528" s="80">
        <v>481</v>
      </c>
      <c r="O528" s="80" t="s">
        <v>2110</v>
      </c>
      <c r="P528" s="79" t="s">
        <v>3098</v>
      </c>
    </row>
    <row r="529" spans="1:16" ht="30" customHeight="1" x14ac:dyDescent="0.3">
      <c r="A529" s="56" t="s">
        <v>354</v>
      </c>
      <c r="B529" s="52" t="s">
        <v>3089</v>
      </c>
      <c r="C529" s="52" t="s">
        <v>182</v>
      </c>
      <c r="D529" s="79" t="str">
        <f t="shared" ca="1" si="44"/>
        <v>원자재</v>
      </c>
      <c r="E529" s="79" t="str">
        <f t="shared" ca="1" si="45"/>
        <v>AR</v>
      </c>
      <c r="F529" s="52" t="s">
        <v>1231</v>
      </c>
      <c r="G529" s="52" t="s">
        <v>3099</v>
      </c>
      <c r="H529" s="79" t="str">
        <f t="shared" si="46"/>
        <v>매칭완료</v>
      </c>
      <c r="I529" s="79" t="str">
        <f t="shared" ca="1" si="47"/>
        <v>8-AR</v>
      </c>
      <c r="J529" s="61" t="s">
        <v>1231</v>
      </c>
      <c r="K529" s="103" t="s">
        <v>3100</v>
      </c>
      <c r="L529" s="83" t="str">
        <f t="shared" si="43"/>
        <v>→ 조립자재 R482</v>
      </c>
      <c r="M529" s="84"/>
      <c r="N529" s="80">
        <v>482</v>
      </c>
      <c r="O529" s="80" t="s">
        <v>2110</v>
      </c>
      <c r="P529" s="79" t="s">
        <v>3101</v>
      </c>
    </row>
    <row r="530" spans="1:16" ht="30" customHeight="1" x14ac:dyDescent="0.3">
      <c r="A530" s="56" t="s">
        <v>354</v>
      </c>
      <c r="B530" s="52" t="s">
        <v>3089</v>
      </c>
      <c r="C530" s="52" t="s">
        <v>182</v>
      </c>
      <c r="D530" s="79" t="str">
        <f t="shared" ca="1" si="44"/>
        <v>원자재</v>
      </c>
      <c r="E530" s="79" t="str">
        <f t="shared" ca="1" si="45"/>
        <v>AR</v>
      </c>
      <c r="F530" s="52" t="s">
        <v>1233</v>
      </c>
      <c r="G530" s="52" t="s">
        <v>3102</v>
      </c>
      <c r="H530" s="79" t="str">
        <f t="shared" si="46"/>
        <v>매칭완료</v>
      </c>
      <c r="I530" s="79" t="str">
        <f t="shared" ca="1" si="47"/>
        <v>8-AR</v>
      </c>
      <c r="J530" s="61" t="s">
        <v>1233</v>
      </c>
      <c r="K530" s="103" t="s">
        <v>3103</v>
      </c>
      <c r="L530" s="83" t="str">
        <f t="shared" si="43"/>
        <v>→ 조립자재 R483</v>
      </c>
      <c r="M530" s="84"/>
      <c r="N530" s="80">
        <v>483</v>
      </c>
      <c r="O530" s="80" t="s">
        <v>2110</v>
      </c>
      <c r="P530" s="79" t="s">
        <v>3104</v>
      </c>
    </row>
    <row r="531" spans="1:16" ht="30" customHeight="1" x14ac:dyDescent="0.3">
      <c r="A531" s="56" t="s">
        <v>354</v>
      </c>
      <c r="B531" s="52" t="s">
        <v>1235</v>
      </c>
      <c r="C531" s="52" t="s">
        <v>182</v>
      </c>
      <c r="D531" s="79" t="str">
        <f t="shared" ca="1" si="44"/>
        <v>원자재</v>
      </c>
      <c r="E531" s="79" t="str">
        <f t="shared" ca="1" si="45"/>
        <v>AR</v>
      </c>
      <c r="F531" s="52" t="s">
        <v>1236</v>
      </c>
      <c r="G531" s="52" t="s">
        <v>3105</v>
      </c>
      <c r="H531" s="79" t="str">
        <f t="shared" si="46"/>
        <v>매칭완료</v>
      </c>
      <c r="I531" s="79" t="str">
        <f t="shared" ca="1" si="47"/>
        <v>8-AR</v>
      </c>
      <c r="J531" s="61" t="s">
        <v>1236</v>
      </c>
      <c r="K531" s="65" t="s">
        <v>3106</v>
      </c>
      <c r="L531" s="83" t="str">
        <f t="shared" si="43"/>
        <v>→ 조립자재 R484</v>
      </c>
      <c r="M531" s="84"/>
      <c r="N531" s="80">
        <v>484</v>
      </c>
      <c r="O531" s="80" t="s">
        <v>2110</v>
      </c>
      <c r="P531" s="79" t="s">
        <v>3107</v>
      </c>
    </row>
    <row r="532" spans="1:16" ht="30" customHeight="1" x14ac:dyDescent="0.3">
      <c r="A532" s="56" t="s">
        <v>354</v>
      </c>
      <c r="B532" s="52" t="s">
        <v>1238</v>
      </c>
      <c r="C532" s="52" t="s">
        <v>182</v>
      </c>
      <c r="D532" s="79" t="str">
        <f t="shared" ca="1" si="44"/>
        <v>원자재</v>
      </c>
      <c r="E532" s="79" t="str">
        <f t="shared" ca="1" si="45"/>
        <v>AR</v>
      </c>
      <c r="F532" s="52" t="s">
        <v>1239</v>
      </c>
      <c r="G532" s="52"/>
      <c r="H532" s="79" t="str">
        <f t="shared" ca="1" si="46"/>
        <v>⚠ 원자재_부서보관</v>
      </c>
      <c r="I532" s="79" t="str">
        <f t="shared" ca="1" si="47"/>
        <v>8-AR</v>
      </c>
      <c r="J532" s="65" t="s">
        <v>1239</v>
      </c>
      <c r="K532" s="103" t="s">
        <v>3108</v>
      </c>
      <c r="L532" s="83" t="str">
        <f t="shared" si="43"/>
        <v>→ 조립자재 R485</v>
      </c>
      <c r="M532" s="84"/>
      <c r="N532" s="80">
        <v>485</v>
      </c>
      <c r="O532" s="80" t="s">
        <v>2110</v>
      </c>
      <c r="P532" s="79" t="s">
        <v>3109</v>
      </c>
    </row>
    <row r="533" spans="1:16" ht="30" customHeight="1" x14ac:dyDescent="0.3">
      <c r="A533" s="56" t="s">
        <v>354</v>
      </c>
      <c r="B533" s="52" t="s">
        <v>1031</v>
      </c>
      <c r="C533" s="52" t="s">
        <v>182</v>
      </c>
      <c r="D533" s="79" t="str">
        <f t="shared" ca="1" si="44"/>
        <v>원자재</v>
      </c>
      <c r="E533" s="79" t="str">
        <f t="shared" ca="1" si="45"/>
        <v>AR</v>
      </c>
      <c r="F533" s="52" t="s">
        <v>1240</v>
      </c>
      <c r="G533" s="52" t="s">
        <v>3110</v>
      </c>
      <c r="H533" s="79" t="str">
        <f t="shared" si="46"/>
        <v>매칭완료</v>
      </c>
      <c r="I533" s="79" t="str">
        <f t="shared" ca="1" si="47"/>
        <v>8-AR</v>
      </c>
      <c r="J533" s="61" t="s">
        <v>1240</v>
      </c>
      <c r="K533" s="103" t="s">
        <v>3111</v>
      </c>
      <c r="L533" s="83" t="str">
        <f t="shared" si="43"/>
        <v>→ 조립자재 R486</v>
      </c>
      <c r="M533" s="84"/>
      <c r="N533" s="80">
        <v>486</v>
      </c>
      <c r="O533" s="80" t="s">
        <v>2110</v>
      </c>
      <c r="P533" s="79" t="s">
        <v>3112</v>
      </c>
    </row>
    <row r="534" spans="1:16" ht="30" customHeight="1" x14ac:dyDescent="0.3">
      <c r="A534" s="56" t="s">
        <v>354</v>
      </c>
      <c r="B534" s="52" t="s">
        <v>1242</v>
      </c>
      <c r="C534" s="52" t="s">
        <v>182</v>
      </c>
      <c r="D534" s="79" t="str">
        <f t="shared" ca="1" si="44"/>
        <v>원자재</v>
      </c>
      <c r="E534" s="79" t="str">
        <f t="shared" ca="1" si="45"/>
        <v>AR</v>
      </c>
      <c r="F534" s="52" t="s">
        <v>1243</v>
      </c>
      <c r="G534" s="52" t="s">
        <v>3113</v>
      </c>
      <c r="H534" s="79" t="str">
        <f t="shared" si="46"/>
        <v>매칭완료</v>
      </c>
      <c r="I534" s="79" t="str">
        <f t="shared" ca="1" si="47"/>
        <v>8-AR</v>
      </c>
      <c r="J534" s="61" t="s">
        <v>1243</v>
      </c>
      <c r="K534" s="103" t="s">
        <v>3114</v>
      </c>
      <c r="L534" s="83" t="str">
        <f t="shared" si="43"/>
        <v>→ 조립자재 R487</v>
      </c>
      <c r="M534" s="84"/>
      <c r="N534" s="80">
        <v>487</v>
      </c>
      <c r="O534" s="80" t="s">
        <v>2110</v>
      </c>
      <c r="P534" s="79" t="s">
        <v>3115</v>
      </c>
    </row>
    <row r="535" spans="1:16" ht="30" customHeight="1" x14ac:dyDescent="0.3">
      <c r="A535" s="56" t="s">
        <v>354</v>
      </c>
      <c r="B535" s="52" t="s">
        <v>1245</v>
      </c>
      <c r="C535" s="52" t="s">
        <v>182</v>
      </c>
      <c r="D535" s="79" t="str">
        <f t="shared" ca="1" si="44"/>
        <v>원자재</v>
      </c>
      <c r="E535" s="79" t="str">
        <f t="shared" ca="1" si="45"/>
        <v>AR</v>
      </c>
      <c r="F535" s="52" t="s">
        <v>1246</v>
      </c>
      <c r="G535" s="52"/>
      <c r="H535" s="79" t="str">
        <f t="shared" ca="1" si="46"/>
        <v>⚠ 원자재_부서보관</v>
      </c>
      <c r="I535" s="79" t="str">
        <f t="shared" ca="1" si="47"/>
        <v>8-AR</v>
      </c>
      <c r="J535" s="61" t="s">
        <v>1246</v>
      </c>
      <c r="K535" s="65" t="s">
        <v>3116</v>
      </c>
      <c r="L535" s="83" t="str">
        <f t="shared" si="43"/>
        <v>→ 조립자재 R488</v>
      </c>
      <c r="M535" s="84"/>
      <c r="N535" s="80">
        <v>488</v>
      </c>
      <c r="O535" s="80" t="s">
        <v>2110</v>
      </c>
      <c r="P535" s="79" t="s">
        <v>3117</v>
      </c>
    </row>
    <row r="536" spans="1:16" ht="30" customHeight="1" x14ac:dyDescent="0.3">
      <c r="A536" s="56" t="s">
        <v>354</v>
      </c>
      <c r="B536" s="52" t="s">
        <v>1247</v>
      </c>
      <c r="C536" s="52" t="s">
        <v>182</v>
      </c>
      <c r="D536" s="79" t="str">
        <f t="shared" ca="1" si="44"/>
        <v>원자재</v>
      </c>
      <c r="E536" s="79" t="str">
        <f t="shared" ca="1" si="45"/>
        <v>AR</v>
      </c>
      <c r="F536" s="52" t="s">
        <v>952</v>
      </c>
      <c r="G536" s="52"/>
      <c r="H536" s="79" t="str">
        <f t="shared" ca="1" si="46"/>
        <v>⚠ 원자재_부서보관</v>
      </c>
      <c r="I536" s="79" t="str">
        <f t="shared" ca="1" si="47"/>
        <v>8-AR</v>
      </c>
      <c r="J536" s="61" t="s">
        <v>952</v>
      </c>
      <c r="K536" s="65" t="s">
        <v>3118</v>
      </c>
      <c r="L536" s="83" t="str">
        <f t="shared" si="43"/>
        <v>→ 조립자재 R489</v>
      </c>
      <c r="M536" s="84"/>
      <c r="N536" s="80">
        <v>489</v>
      </c>
      <c r="O536" s="80" t="s">
        <v>2110</v>
      </c>
      <c r="P536" s="79" t="s">
        <v>3119</v>
      </c>
    </row>
    <row r="537" spans="1:16" ht="30" customHeight="1" x14ac:dyDescent="0.3">
      <c r="A537" s="56" t="s">
        <v>354</v>
      </c>
      <c r="B537" s="52" t="s">
        <v>1235</v>
      </c>
      <c r="C537" s="52" t="s">
        <v>182</v>
      </c>
      <c r="D537" s="79" t="str">
        <f t="shared" ca="1" si="44"/>
        <v>원자재</v>
      </c>
      <c r="E537" s="79" t="str">
        <f t="shared" ca="1" si="45"/>
        <v>AR</v>
      </c>
      <c r="F537" s="52" t="s">
        <v>1248</v>
      </c>
      <c r="G537" s="52"/>
      <c r="H537" s="79" t="str">
        <f t="shared" ca="1" si="46"/>
        <v>⚠ 원자재_부서보관</v>
      </c>
      <c r="I537" s="79" t="str">
        <f t="shared" ca="1" si="47"/>
        <v>8-AR</v>
      </c>
      <c r="J537" s="61" t="s">
        <v>1248</v>
      </c>
      <c r="K537" s="103" t="s">
        <v>3120</v>
      </c>
      <c r="L537" s="83" t="str">
        <f t="shared" si="43"/>
        <v>→ 조립자재 R490</v>
      </c>
      <c r="M537" s="84"/>
      <c r="N537" s="80">
        <v>490</v>
      </c>
      <c r="O537" s="80" t="s">
        <v>2110</v>
      </c>
      <c r="P537" s="79" t="s">
        <v>3121</v>
      </c>
    </row>
    <row r="538" spans="1:16" ht="30" customHeight="1" x14ac:dyDescent="0.3">
      <c r="A538" s="56" t="s">
        <v>354</v>
      </c>
      <c r="B538" s="52" t="s">
        <v>824</v>
      </c>
      <c r="C538" s="52" t="s">
        <v>182</v>
      </c>
      <c r="D538" s="79" t="str">
        <f t="shared" ca="1" si="44"/>
        <v>원자재</v>
      </c>
      <c r="E538" s="79" t="str">
        <f t="shared" ca="1" si="45"/>
        <v>AR</v>
      </c>
      <c r="F538" s="52" t="s">
        <v>3122</v>
      </c>
      <c r="G538" s="52"/>
      <c r="H538" s="79" t="str">
        <f t="shared" ca="1" si="46"/>
        <v>⚠ 원자재_부서보관</v>
      </c>
      <c r="I538" s="79" t="str">
        <f t="shared" ca="1" si="47"/>
        <v>8-AR</v>
      </c>
      <c r="J538" s="61" t="s">
        <v>3122</v>
      </c>
      <c r="K538" s="103" t="s">
        <v>3123</v>
      </c>
      <c r="L538" s="83" t="str">
        <f t="shared" si="43"/>
        <v>→ 조립자재 R491</v>
      </c>
      <c r="M538" s="84"/>
      <c r="N538" s="80">
        <v>491</v>
      </c>
      <c r="O538" s="80" t="s">
        <v>2110</v>
      </c>
      <c r="P538" s="79" t="s">
        <v>3124</v>
      </c>
    </row>
    <row r="539" spans="1:16" ht="30" customHeight="1" x14ac:dyDescent="0.3">
      <c r="A539" s="56" t="s">
        <v>354</v>
      </c>
      <c r="B539" s="52" t="s">
        <v>1250</v>
      </c>
      <c r="C539" s="52" t="s">
        <v>182</v>
      </c>
      <c r="D539" s="79" t="str">
        <f t="shared" ca="1" si="44"/>
        <v>원자재</v>
      </c>
      <c r="E539" s="79" t="str">
        <f t="shared" ca="1" si="45"/>
        <v>AR</v>
      </c>
      <c r="F539" s="52" t="s">
        <v>1251</v>
      </c>
      <c r="G539" s="52"/>
      <c r="H539" s="79" t="str">
        <f t="shared" ca="1" si="46"/>
        <v>⚠ 원자재_부서보관</v>
      </c>
      <c r="I539" s="79" t="str">
        <f t="shared" ca="1" si="47"/>
        <v>8-AR</v>
      </c>
      <c r="J539" s="61" t="s">
        <v>1251</v>
      </c>
      <c r="K539" s="103" t="s">
        <v>3125</v>
      </c>
      <c r="L539" s="83" t="str">
        <f t="shared" si="43"/>
        <v>→ 조립자재 R492</v>
      </c>
      <c r="M539" s="84"/>
      <c r="N539" s="80">
        <v>492</v>
      </c>
      <c r="O539" s="80" t="s">
        <v>2110</v>
      </c>
      <c r="P539" s="79" t="s">
        <v>3126</v>
      </c>
    </row>
    <row r="540" spans="1:16" ht="30" customHeight="1" x14ac:dyDescent="0.3">
      <c r="A540" s="56" t="s">
        <v>354</v>
      </c>
      <c r="B540" s="52" t="s">
        <v>1250</v>
      </c>
      <c r="C540" s="52" t="s">
        <v>182</v>
      </c>
      <c r="D540" s="79" t="str">
        <f t="shared" ca="1" si="44"/>
        <v>원자재</v>
      </c>
      <c r="E540" s="79" t="str">
        <f t="shared" ca="1" si="45"/>
        <v>AR</v>
      </c>
      <c r="F540" s="52" t="s">
        <v>1252</v>
      </c>
      <c r="G540" s="52" t="s">
        <v>3127</v>
      </c>
      <c r="H540" s="79" t="str">
        <f t="shared" si="46"/>
        <v>매칭완료</v>
      </c>
      <c r="I540" s="79" t="str">
        <f t="shared" ca="1" si="47"/>
        <v>8-AR</v>
      </c>
      <c r="J540" s="61" t="s">
        <v>1252</v>
      </c>
      <c r="K540" s="103" t="s">
        <v>3128</v>
      </c>
      <c r="L540" s="83" t="str">
        <f t="shared" si="43"/>
        <v>→ 조립자재 R493</v>
      </c>
      <c r="M540" s="84"/>
      <c r="N540" s="80">
        <v>493</v>
      </c>
      <c r="O540" s="80" t="s">
        <v>2110</v>
      </c>
      <c r="P540" s="79" t="s">
        <v>3129</v>
      </c>
    </row>
    <row r="541" spans="1:16" ht="30" customHeight="1" x14ac:dyDescent="0.3">
      <c r="A541" s="56" t="s">
        <v>354</v>
      </c>
      <c r="B541" s="52" t="s">
        <v>1250</v>
      </c>
      <c r="C541" s="52" t="s">
        <v>182</v>
      </c>
      <c r="D541" s="79" t="str">
        <f t="shared" ca="1" si="44"/>
        <v>원자재</v>
      </c>
      <c r="E541" s="79" t="str">
        <f t="shared" ca="1" si="45"/>
        <v>AR</v>
      </c>
      <c r="F541" s="52" t="s">
        <v>1254</v>
      </c>
      <c r="G541" s="52" t="s">
        <v>3130</v>
      </c>
      <c r="H541" s="79" t="str">
        <f t="shared" si="46"/>
        <v>매칭완료</v>
      </c>
      <c r="I541" s="79" t="str">
        <f t="shared" ca="1" si="47"/>
        <v>8-AR</v>
      </c>
      <c r="J541" s="61" t="s">
        <v>1254</v>
      </c>
      <c r="K541" s="65" t="s">
        <v>3131</v>
      </c>
      <c r="L541" s="83" t="str">
        <f t="shared" si="43"/>
        <v>→ 조립자재 R494</v>
      </c>
      <c r="M541" s="84"/>
      <c r="N541" s="80">
        <v>494</v>
      </c>
      <c r="O541" s="80" t="s">
        <v>2110</v>
      </c>
      <c r="P541" s="79" t="s">
        <v>3132</v>
      </c>
    </row>
    <row r="542" spans="1:16" ht="30" customHeight="1" x14ac:dyDescent="0.3">
      <c r="A542" s="56" t="s">
        <v>354</v>
      </c>
      <c r="B542" s="52" t="s">
        <v>1250</v>
      </c>
      <c r="C542" s="52" t="s">
        <v>182</v>
      </c>
      <c r="D542" s="79" t="str">
        <f t="shared" ca="1" si="44"/>
        <v>원자재</v>
      </c>
      <c r="E542" s="79" t="str">
        <f t="shared" ca="1" si="45"/>
        <v>AR</v>
      </c>
      <c r="F542" s="52" t="s">
        <v>1256</v>
      </c>
      <c r="G542" s="52" t="s">
        <v>3133</v>
      </c>
      <c r="H542" s="79" t="str">
        <f t="shared" si="46"/>
        <v>매칭완료</v>
      </c>
      <c r="I542" s="79" t="str">
        <f t="shared" ca="1" si="47"/>
        <v>8-AR</v>
      </c>
      <c r="J542" s="61" t="s">
        <v>1256</v>
      </c>
      <c r="K542" s="103" t="s">
        <v>3134</v>
      </c>
      <c r="L542" s="83" t="str">
        <f t="shared" si="43"/>
        <v>→ 조립자재 R495</v>
      </c>
      <c r="M542" s="84"/>
      <c r="N542" s="80">
        <v>495</v>
      </c>
      <c r="O542" s="80" t="s">
        <v>2110</v>
      </c>
      <c r="P542" s="79" t="s">
        <v>3135</v>
      </c>
    </row>
    <row r="543" spans="1:16" ht="30" customHeight="1" x14ac:dyDescent="0.3">
      <c r="A543" s="56" t="s">
        <v>354</v>
      </c>
      <c r="B543" s="52" t="s">
        <v>1250</v>
      </c>
      <c r="C543" s="52" t="s">
        <v>182</v>
      </c>
      <c r="D543" s="79" t="str">
        <f t="shared" ca="1" si="44"/>
        <v>원자재</v>
      </c>
      <c r="E543" s="79" t="str">
        <f t="shared" ca="1" si="45"/>
        <v>AR</v>
      </c>
      <c r="F543" s="52" t="s">
        <v>1258</v>
      </c>
      <c r="G543" s="52" t="s">
        <v>3136</v>
      </c>
      <c r="H543" s="79" t="str">
        <f t="shared" si="46"/>
        <v>매칭완료</v>
      </c>
      <c r="I543" s="79" t="str">
        <f t="shared" ca="1" si="47"/>
        <v>8-AR</v>
      </c>
      <c r="J543" s="61" t="s">
        <v>1258</v>
      </c>
      <c r="K543" s="103" t="s">
        <v>3137</v>
      </c>
      <c r="L543" s="83" t="str">
        <f t="shared" si="43"/>
        <v>→ 조립자재 R496</v>
      </c>
      <c r="M543" s="84"/>
      <c r="N543" s="80">
        <v>496</v>
      </c>
      <c r="O543" s="80" t="s">
        <v>2110</v>
      </c>
      <c r="P543" s="79" t="s">
        <v>3138</v>
      </c>
    </row>
    <row r="544" spans="1:16" ht="30" customHeight="1" x14ac:dyDescent="0.3">
      <c r="A544" s="56" t="s">
        <v>354</v>
      </c>
      <c r="B544" s="52" t="s">
        <v>1250</v>
      </c>
      <c r="C544" s="52" t="s">
        <v>182</v>
      </c>
      <c r="D544" s="79" t="str">
        <f t="shared" ca="1" si="44"/>
        <v>원자재</v>
      </c>
      <c r="E544" s="79" t="str">
        <f t="shared" ca="1" si="45"/>
        <v>AR</v>
      </c>
      <c r="F544" s="52" t="s">
        <v>1260</v>
      </c>
      <c r="G544" s="52" t="s">
        <v>3139</v>
      </c>
      <c r="H544" s="79" t="str">
        <f t="shared" si="46"/>
        <v>매칭완료</v>
      </c>
      <c r="I544" s="79" t="str">
        <f t="shared" ca="1" si="47"/>
        <v>8-AR</v>
      </c>
      <c r="J544" s="61" t="s">
        <v>1260</v>
      </c>
      <c r="K544" s="103" t="s">
        <v>3140</v>
      </c>
      <c r="L544" s="83" t="str">
        <f t="shared" si="43"/>
        <v>→ 조립자재 R497</v>
      </c>
      <c r="M544" s="84"/>
      <c r="N544" s="80">
        <v>497</v>
      </c>
      <c r="O544" s="80" t="s">
        <v>2110</v>
      </c>
      <c r="P544" s="79" t="s">
        <v>3141</v>
      </c>
    </row>
    <row r="545" spans="1:16" ht="30" customHeight="1" x14ac:dyDescent="0.3">
      <c r="A545" s="56" t="s">
        <v>354</v>
      </c>
      <c r="B545" s="52" t="s">
        <v>1250</v>
      </c>
      <c r="C545" s="52" t="s">
        <v>182</v>
      </c>
      <c r="D545" s="79" t="str">
        <f t="shared" ca="1" si="44"/>
        <v>원자재</v>
      </c>
      <c r="E545" s="79" t="str">
        <f t="shared" ca="1" si="45"/>
        <v>AR</v>
      </c>
      <c r="F545" s="52" t="s">
        <v>1262</v>
      </c>
      <c r="G545" s="52" t="s">
        <v>3142</v>
      </c>
      <c r="H545" s="79" t="str">
        <f t="shared" si="46"/>
        <v>매칭완료</v>
      </c>
      <c r="I545" s="79" t="str">
        <f t="shared" ca="1" si="47"/>
        <v>8-AR</v>
      </c>
      <c r="J545" s="61" t="s">
        <v>1262</v>
      </c>
      <c r="K545" s="103" t="s">
        <v>3143</v>
      </c>
      <c r="L545" s="83" t="str">
        <f t="shared" si="43"/>
        <v>→ 조립자재 R498</v>
      </c>
      <c r="M545" s="84"/>
      <c r="N545" s="80">
        <v>498</v>
      </c>
      <c r="O545" s="80" t="s">
        <v>2110</v>
      </c>
      <c r="P545" s="79" t="s">
        <v>3144</v>
      </c>
    </row>
    <row r="546" spans="1:16" ht="30" customHeight="1" x14ac:dyDescent="0.3">
      <c r="A546" s="56" t="s">
        <v>354</v>
      </c>
      <c r="B546" s="52" t="s">
        <v>1250</v>
      </c>
      <c r="C546" s="52" t="s">
        <v>182</v>
      </c>
      <c r="D546" s="79" t="str">
        <f t="shared" ca="1" si="44"/>
        <v>원자재</v>
      </c>
      <c r="E546" s="79" t="str">
        <f t="shared" ca="1" si="45"/>
        <v>AR</v>
      </c>
      <c r="F546" s="52" t="s">
        <v>1264</v>
      </c>
      <c r="G546" s="52" t="s">
        <v>3145</v>
      </c>
      <c r="H546" s="79" t="str">
        <f t="shared" si="46"/>
        <v>매칭완료</v>
      </c>
      <c r="I546" s="79" t="str">
        <f t="shared" ca="1" si="47"/>
        <v>8-AR</v>
      </c>
      <c r="J546" s="61" t="s">
        <v>1264</v>
      </c>
      <c r="K546" s="103" t="s">
        <v>3146</v>
      </c>
      <c r="L546" s="83" t="str">
        <f t="shared" si="43"/>
        <v>→ 조립자재 R499</v>
      </c>
      <c r="M546" s="84"/>
      <c r="N546" s="80">
        <v>499</v>
      </c>
      <c r="O546" s="80" t="s">
        <v>2110</v>
      </c>
      <c r="P546" s="79" t="s">
        <v>3147</v>
      </c>
    </row>
    <row r="547" spans="1:16" ht="30" customHeight="1" x14ac:dyDescent="0.3">
      <c r="A547" s="56" t="s">
        <v>354</v>
      </c>
      <c r="B547" s="52" t="s">
        <v>415</v>
      </c>
      <c r="C547" s="52" t="s">
        <v>182</v>
      </c>
      <c r="D547" s="79" t="str">
        <f t="shared" ca="1" si="44"/>
        <v>원자재</v>
      </c>
      <c r="E547" s="79" t="str">
        <f t="shared" ca="1" si="45"/>
        <v>AR</v>
      </c>
      <c r="F547" s="52" t="s">
        <v>1465</v>
      </c>
      <c r="G547" s="52" t="s">
        <v>3148</v>
      </c>
      <c r="H547" s="79" t="str">
        <f t="shared" si="46"/>
        <v>매칭완료</v>
      </c>
      <c r="I547" s="79" t="str">
        <f t="shared" ca="1" si="47"/>
        <v>8-AR</v>
      </c>
      <c r="J547" s="61" t="s">
        <v>1465</v>
      </c>
      <c r="K547" s="103" t="s">
        <v>3149</v>
      </c>
      <c r="L547" s="83" t="str">
        <f t="shared" si="43"/>
        <v>→ 조립자재 R500</v>
      </c>
      <c r="M547" s="84"/>
      <c r="N547" s="80">
        <v>500</v>
      </c>
      <c r="O547" s="80" t="s">
        <v>2110</v>
      </c>
      <c r="P547" s="79" t="s">
        <v>3150</v>
      </c>
    </row>
    <row r="548" spans="1:16" ht="30" customHeight="1" x14ac:dyDescent="0.3">
      <c r="A548" s="56" t="s">
        <v>354</v>
      </c>
      <c r="B548" s="52" t="s">
        <v>415</v>
      </c>
      <c r="C548" s="52" t="s">
        <v>182</v>
      </c>
      <c r="D548" s="79" t="str">
        <f t="shared" ca="1" si="44"/>
        <v>원자재</v>
      </c>
      <c r="E548" s="79" t="str">
        <f t="shared" ca="1" si="45"/>
        <v>AR</v>
      </c>
      <c r="F548" s="52" t="s">
        <v>1467</v>
      </c>
      <c r="G548" s="52" t="s">
        <v>3151</v>
      </c>
      <c r="H548" s="79" t="str">
        <f t="shared" si="46"/>
        <v>매칭완료</v>
      </c>
      <c r="I548" s="79" t="str">
        <f t="shared" ca="1" si="47"/>
        <v>8-AR</v>
      </c>
      <c r="J548" s="61" t="s">
        <v>1467</v>
      </c>
      <c r="K548" s="103" t="s">
        <v>3152</v>
      </c>
      <c r="L548" s="83" t="str">
        <f t="shared" si="43"/>
        <v>→ 조립자재 R501</v>
      </c>
      <c r="M548" s="84"/>
      <c r="N548" s="80">
        <v>501</v>
      </c>
      <c r="O548" s="80" t="s">
        <v>2110</v>
      </c>
      <c r="P548" s="79" t="s">
        <v>3153</v>
      </c>
    </row>
    <row r="549" spans="1:16" ht="30" customHeight="1" x14ac:dyDescent="0.3">
      <c r="A549" s="56" t="s">
        <v>354</v>
      </c>
      <c r="B549" s="52" t="s">
        <v>415</v>
      </c>
      <c r="C549" s="52" t="s">
        <v>182</v>
      </c>
      <c r="D549" s="79" t="str">
        <f t="shared" ca="1" si="44"/>
        <v>원자재</v>
      </c>
      <c r="E549" s="79" t="str">
        <f t="shared" ca="1" si="45"/>
        <v>AR</v>
      </c>
      <c r="F549" s="52" t="s">
        <v>1464</v>
      </c>
      <c r="G549" s="52" t="s">
        <v>3154</v>
      </c>
      <c r="H549" s="79" t="str">
        <f t="shared" si="46"/>
        <v>매칭완료</v>
      </c>
      <c r="I549" s="79" t="str">
        <f t="shared" ca="1" si="47"/>
        <v>8-AR</v>
      </c>
      <c r="J549" s="61" t="s">
        <v>1464</v>
      </c>
      <c r="K549" s="103" t="s">
        <v>3155</v>
      </c>
      <c r="L549" s="83" t="str">
        <f t="shared" si="43"/>
        <v>→ 조립자재 R502</v>
      </c>
      <c r="M549" s="84"/>
      <c r="N549" s="80">
        <v>502</v>
      </c>
      <c r="O549" s="80" t="s">
        <v>2110</v>
      </c>
      <c r="P549" s="79" t="s">
        <v>3156</v>
      </c>
    </row>
    <row r="550" spans="1:16" ht="30" customHeight="1" x14ac:dyDescent="0.3">
      <c r="A550" s="56" t="s">
        <v>354</v>
      </c>
      <c r="B550" s="52" t="s">
        <v>415</v>
      </c>
      <c r="C550" s="52" t="s">
        <v>182</v>
      </c>
      <c r="D550" s="79" t="str">
        <f t="shared" ca="1" si="44"/>
        <v>원자재</v>
      </c>
      <c r="E550" s="79" t="str">
        <f t="shared" ca="1" si="45"/>
        <v>AR</v>
      </c>
      <c r="F550" s="52" t="s">
        <v>1466</v>
      </c>
      <c r="G550" s="52" t="s">
        <v>3157</v>
      </c>
      <c r="H550" s="79" t="str">
        <f t="shared" si="46"/>
        <v>매칭완료</v>
      </c>
      <c r="I550" s="79" t="str">
        <f t="shared" ca="1" si="47"/>
        <v>8-AR</v>
      </c>
      <c r="J550" s="61" t="s">
        <v>1466</v>
      </c>
      <c r="K550" s="103" t="s">
        <v>3158</v>
      </c>
      <c r="L550" s="83" t="str">
        <f t="shared" si="43"/>
        <v>→ 조립자재 R503</v>
      </c>
      <c r="M550" s="84"/>
      <c r="N550" s="80">
        <v>503</v>
      </c>
      <c r="O550" s="80" t="s">
        <v>2110</v>
      </c>
      <c r="P550" s="79" t="s">
        <v>3159</v>
      </c>
    </row>
    <row r="551" spans="1:16" ht="30" customHeight="1" x14ac:dyDescent="0.3">
      <c r="A551" s="56" t="s">
        <v>354</v>
      </c>
      <c r="B551" s="52" t="s">
        <v>415</v>
      </c>
      <c r="C551" s="52" t="s">
        <v>182</v>
      </c>
      <c r="D551" s="79" t="str">
        <f t="shared" ca="1" si="44"/>
        <v>원자재</v>
      </c>
      <c r="E551" s="79" t="str">
        <f t="shared" ca="1" si="45"/>
        <v>AR</v>
      </c>
      <c r="F551" s="52" t="s">
        <v>3160</v>
      </c>
      <c r="G551" s="52"/>
      <c r="H551" s="79" t="str">
        <f t="shared" ca="1" si="46"/>
        <v>⚠ 원자재_부서보관</v>
      </c>
      <c r="I551" s="79" t="str">
        <f t="shared" ca="1" si="47"/>
        <v>8-AR</v>
      </c>
      <c r="J551" s="61" t="s">
        <v>3160</v>
      </c>
      <c r="K551" s="103" t="s">
        <v>3161</v>
      </c>
      <c r="L551" s="83" t="str">
        <f t="shared" si="43"/>
        <v>→ 조립자재 R504</v>
      </c>
      <c r="M551" s="84"/>
      <c r="N551" s="80">
        <v>504</v>
      </c>
      <c r="O551" s="80" t="s">
        <v>2110</v>
      </c>
      <c r="P551" s="79" t="s">
        <v>3162</v>
      </c>
    </row>
    <row r="552" spans="1:16" ht="30" customHeight="1" x14ac:dyDescent="0.3">
      <c r="A552" s="56" t="s">
        <v>354</v>
      </c>
      <c r="B552" s="52" t="s">
        <v>1275</v>
      </c>
      <c r="C552" s="52" t="s">
        <v>182</v>
      </c>
      <c r="D552" s="79" t="str">
        <f t="shared" ca="1" si="44"/>
        <v>반제품</v>
      </c>
      <c r="E552" s="79" t="str">
        <f t="shared" ca="1" si="45"/>
        <v>AA</v>
      </c>
      <c r="F552" s="52" t="s">
        <v>1276</v>
      </c>
      <c r="G552" s="52"/>
      <c r="H552" s="79" t="str">
        <f t="shared" ca="1" si="46"/>
        <v>반제품(창고없음)</v>
      </c>
      <c r="I552" s="79" t="str">
        <f t="shared" ca="1" si="47"/>
        <v>8-AA</v>
      </c>
      <c r="J552" s="61" t="s">
        <v>1276</v>
      </c>
      <c r="K552" s="103" t="s">
        <v>3163</v>
      </c>
      <c r="L552" s="83" t="str">
        <f t="shared" si="43"/>
        <v>→ 조립자재 R505</v>
      </c>
      <c r="M552" s="84"/>
      <c r="N552" s="80">
        <v>505</v>
      </c>
      <c r="O552" s="80" t="s">
        <v>2110</v>
      </c>
      <c r="P552" s="79" t="s">
        <v>3164</v>
      </c>
    </row>
    <row r="553" spans="1:16" ht="30" customHeight="1" x14ac:dyDescent="0.3">
      <c r="A553" s="56" t="s">
        <v>354</v>
      </c>
      <c r="B553" s="52" t="s">
        <v>1275</v>
      </c>
      <c r="C553" s="52" t="s">
        <v>182</v>
      </c>
      <c r="D553" s="79" t="str">
        <f t="shared" ca="1" si="44"/>
        <v>반제품</v>
      </c>
      <c r="E553" s="79" t="str">
        <f t="shared" ca="1" si="45"/>
        <v>AA</v>
      </c>
      <c r="F553" s="52" t="s">
        <v>3165</v>
      </c>
      <c r="G553" s="52"/>
      <c r="H553" s="79" t="str">
        <f t="shared" ca="1" si="46"/>
        <v>반제품(창고없음)</v>
      </c>
      <c r="I553" s="79" t="str">
        <f t="shared" ca="1" si="47"/>
        <v>8-AA</v>
      </c>
      <c r="J553" s="61" t="s">
        <v>3165</v>
      </c>
      <c r="K553" s="103" t="s">
        <v>3166</v>
      </c>
      <c r="L553" s="83" t="str">
        <f t="shared" si="43"/>
        <v>→ 조립자재 R506</v>
      </c>
      <c r="M553" s="84"/>
      <c r="N553" s="80">
        <v>506</v>
      </c>
      <c r="O553" s="80" t="s">
        <v>2110</v>
      </c>
      <c r="P553" s="79" t="s">
        <v>3167</v>
      </c>
    </row>
    <row r="554" spans="1:16" ht="30" customHeight="1" x14ac:dyDescent="0.3">
      <c r="A554" s="56" t="s">
        <v>354</v>
      </c>
      <c r="B554" s="52" t="s">
        <v>1275</v>
      </c>
      <c r="C554" s="52" t="s">
        <v>182</v>
      </c>
      <c r="D554" s="79" t="str">
        <f t="shared" ca="1" si="44"/>
        <v>반제품</v>
      </c>
      <c r="E554" s="79" t="str">
        <f t="shared" ca="1" si="45"/>
        <v>AA</v>
      </c>
      <c r="F554" s="52" t="s">
        <v>3168</v>
      </c>
      <c r="G554" s="52"/>
      <c r="H554" s="79" t="str">
        <f t="shared" ca="1" si="46"/>
        <v>반제품(창고없음)</v>
      </c>
      <c r="I554" s="79" t="str">
        <f t="shared" ca="1" si="47"/>
        <v>8-AA</v>
      </c>
      <c r="J554" s="61" t="s">
        <v>3168</v>
      </c>
      <c r="K554" s="103" t="s">
        <v>3169</v>
      </c>
      <c r="L554" s="83" t="str">
        <f t="shared" si="43"/>
        <v>→ 조립자재 R507</v>
      </c>
      <c r="M554" s="84"/>
      <c r="N554" s="80">
        <v>507</v>
      </c>
      <c r="O554" s="80" t="s">
        <v>2110</v>
      </c>
      <c r="P554" s="79" t="s">
        <v>3170</v>
      </c>
    </row>
    <row r="555" spans="1:16" ht="30" customHeight="1" x14ac:dyDescent="0.3">
      <c r="A555" s="56" t="s">
        <v>354</v>
      </c>
      <c r="B555" s="52" t="s">
        <v>1275</v>
      </c>
      <c r="C555" s="52" t="s">
        <v>182</v>
      </c>
      <c r="D555" s="79" t="str">
        <f t="shared" ca="1" si="44"/>
        <v>반제품</v>
      </c>
      <c r="E555" s="79" t="str">
        <f t="shared" ca="1" si="45"/>
        <v>AA</v>
      </c>
      <c r="F555" s="52" t="s">
        <v>3171</v>
      </c>
      <c r="G555" s="52"/>
      <c r="H555" s="79" t="str">
        <f t="shared" ca="1" si="46"/>
        <v>반제품(창고없음)</v>
      </c>
      <c r="I555" s="79" t="str">
        <f t="shared" ca="1" si="47"/>
        <v>8-AA</v>
      </c>
      <c r="J555" s="61" t="s">
        <v>3171</v>
      </c>
      <c r="K555" s="103" t="s">
        <v>3172</v>
      </c>
      <c r="L555" s="83" t="str">
        <f t="shared" si="43"/>
        <v>→ 조립자재 R508</v>
      </c>
      <c r="M555" s="84"/>
      <c r="N555" s="80">
        <v>508</v>
      </c>
      <c r="O555" s="80" t="s">
        <v>2110</v>
      </c>
      <c r="P555" s="79" t="s">
        <v>3173</v>
      </c>
    </row>
    <row r="556" spans="1:16" ht="30" customHeight="1" x14ac:dyDescent="0.3">
      <c r="A556" s="56" t="s">
        <v>354</v>
      </c>
      <c r="B556" s="52" t="s">
        <v>1275</v>
      </c>
      <c r="C556" s="52" t="s">
        <v>182</v>
      </c>
      <c r="D556" s="79" t="str">
        <f t="shared" ca="1" si="44"/>
        <v>반제품</v>
      </c>
      <c r="E556" s="79" t="str">
        <f t="shared" ca="1" si="45"/>
        <v>AA</v>
      </c>
      <c r="F556" s="52" t="s">
        <v>1280</v>
      </c>
      <c r="G556" s="52"/>
      <c r="H556" s="79" t="str">
        <f t="shared" ca="1" si="46"/>
        <v>반제품(창고없음)</v>
      </c>
      <c r="I556" s="79" t="str">
        <f t="shared" ca="1" si="47"/>
        <v>8-AA</v>
      </c>
      <c r="J556" s="61" t="s">
        <v>1280</v>
      </c>
      <c r="K556" s="103" t="s">
        <v>3174</v>
      </c>
      <c r="L556" s="83" t="str">
        <f t="shared" si="43"/>
        <v>→ 조립자재 R509</v>
      </c>
      <c r="M556" s="84"/>
      <c r="N556" s="80">
        <v>509</v>
      </c>
      <c r="O556" s="80" t="s">
        <v>2110</v>
      </c>
      <c r="P556" s="79" t="s">
        <v>3175</v>
      </c>
    </row>
    <row r="557" spans="1:16" ht="30" customHeight="1" x14ac:dyDescent="0.3">
      <c r="A557" s="56" t="s">
        <v>354</v>
      </c>
      <c r="B557" s="52" t="s">
        <v>1275</v>
      </c>
      <c r="C557" s="52" t="s">
        <v>182</v>
      </c>
      <c r="D557" s="79" t="str">
        <f t="shared" ca="1" si="44"/>
        <v>반제품</v>
      </c>
      <c r="E557" s="79" t="str">
        <f t="shared" ca="1" si="45"/>
        <v>AA</v>
      </c>
      <c r="F557" s="52" t="s">
        <v>1281</v>
      </c>
      <c r="G557" s="52"/>
      <c r="H557" s="79" t="str">
        <f t="shared" ca="1" si="46"/>
        <v>반제품(창고없음)</v>
      </c>
      <c r="I557" s="79" t="str">
        <f t="shared" ca="1" si="47"/>
        <v>8-AA</v>
      </c>
      <c r="J557" s="61" t="s">
        <v>1281</v>
      </c>
      <c r="K557" s="103" t="s">
        <v>3176</v>
      </c>
      <c r="L557" s="83" t="str">
        <f t="shared" si="43"/>
        <v>→ 조립자재 R510</v>
      </c>
      <c r="M557" s="84"/>
      <c r="N557" s="80">
        <v>510</v>
      </c>
      <c r="O557" s="80" t="s">
        <v>2110</v>
      </c>
      <c r="P557" s="79" t="s">
        <v>3177</v>
      </c>
    </row>
    <row r="558" spans="1:16" ht="30" customHeight="1" x14ac:dyDescent="0.3">
      <c r="A558" s="56" t="s">
        <v>354</v>
      </c>
      <c r="B558" s="52" t="s">
        <v>1275</v>
      </c>
      <c r="C558" s="52" t="s">
        <v>182</v>
      </c>
      <c r="D558" s="79" t="str">
        <f t="shared" ca="1" si="44"/>
        <v>반제품</v>
      </c>
      <c r="E558" s="79" t="str">
        <f t="shared" ca="1" si="45"/>
        <v>AA</v>
      </c>
      <c r="F558" s="52" t="s">
        <v>3178</v>
      </c>
      <c r="G558" s="52"/>
      <c r="H558" s="79" t="str">
        <f t="shared" ca="1" si="46"/>
        <v>반제품(창고없음)</v>
      </c>
      <c r="I558" s="79" t="str">
        <f t="shared" ca="1" si="47"/>
        <v>8-AA</v>
      </c>
      <c r="J558" s="61" t="s">
        <v>3178</v>
      </c>
      <c r="K558" s="103" t="s">
        <v>3179</v>
      </c>
      <c r="L558" s="83" t="str">
        <f t="shared" si="43"/>
        <v>→ 조립자재 R511</v>
      </c>
      <c r="M558" s="84"/>
      <c r="N558" s="80">
        <v>511</v>
      </c>
      <c r="O558" s="80" t="s">
        <v>2110</v>
      </c>
      <c r="P558" s="79" t="s">
        <v>3180</v>
      </c>
    </row>
    <row r="559" spans="1:16" ht="30" customHeight="1" x14ac:dyDescent="0.3">
      <c r="A559" s="57" t="s">
        <v>771</v>
      </c>
      <c r="B559" s="52" t="s">
        <v>772</v>
      </c>
      <c r="C559" s="52" t="s">
        <v>591</v>
      </c>
      <c r="D559" s="79" t="str">
        <f t="shared" ca="1" si="44"/>
        <v>원자재</v>
      </c>
      <c r="E559" s="79" t="str">
        <f t="shared" ca="1" si="45"/>
        <v>PR</v>
      </c>
      <c r="F559" s="52" t="s">
        <v>773</v>
      </c>
      <c r="G559" s="52" t="s">
        <v>3181</v>
      </c>
      <c r="H559" s="79" t="str">
        <f t="shared" si="46"/>
        <v>매칭완료</v>
      </c>
      <c r="I559" s="79" t="str">
        <f t="shared" ca="1" si="47"/>
        <v>6-PR</v>
      </c>
      <c r="J559" s="65" t="s">
        <v>773</v>
      </c>
      <c r="K559" s="103" t="s">
        <v>3182</v>
      </c>
      <c r="L559" s="83" t="str">
        <f t="shared" si="43"/>
        <v>→ 조립자재 R234</v>
      </c>
      <c r="M559" s="84"/>
      <c r="N559" s="80">
        <v>234</v>
      </c>
      <c r="O559" s="80" t="s">
        <v>2110</v>
      </c>
      <c r="P559" s="79" t="s">
        <v>3183</v>
      </c>
    </row>
    <row r="560" spans="1:16" ht="30" customHeight="1" x14ac:dyDescent="0.3">
      <c r="A560" s="57" t="s">
        <v>771</v>
      </c>
      <c r="B560" s="52" t="s">
        <v>772</v>
      </c>
      <c r="C560" s="52" t="s">
        <v>591</v>
      </c>
      <c r="D560" s="79" t="str">
        <f t="shared" ca="1" si="44"/>
        <v>원자재</v>
      </c>
      <c r="E560" s="79" t="str">
        <f t="shared" ca="1" si="45"/>
        <v>PR</v>
      </c>
      <c r="F560" s="52" t="s">
        <v>775</v>
      </c>
      <c r="G560" s="52" t="s">
        <v>3184</v>
      </c>
      <c r="H560" s="79" t="str">
        <f t="shared" si="46"/>
        <v>매칭완료</v>
      </c>
      <c r="I560" s="79" t="str">
        <f t="shared" ca="1" si="47"/>
        <v>6-PR</v>
      </c>
      <c r="J560" s="65" t="s">
        <v>775</v>
      </c>
      <c r="K560" s="103" t="s">
        <v>3185</v>
      </c>
      <c r="L560" s="83" t="str">
        <f t="shared" si="43"/>
        <v>→ 조립자재 R235</v>
      </c>
      <c r="M560" s="84"/>
      <c r="N560" s="80">
        <v>235</v>
      </c>
      <c r="O560" s="80" t="s">
        <v>2110</v>
      </c>
      <c r="P560" s="79" t="s">
        <v>3186</v>
      </c>
    </row>
    <row r="561" spans="1:16" ht="30" customHeight="1" x14ac:dyDescent="0.3">
      <c r="A561" s="57" t="s">
        <v>771</v>
      </c>
      <c r="B561" s="52" t="s">
        <v>772</v>
      </c>
      <c r="C561" s="52" t="s">
        <v>591</v>
      </c>
      <c r="D561" s="79" t="str">
        <f t="shared" ca="1" si="44"/>
        <v>원자재</v>
      </c>
      <c r="E561" s="79" t="str">
        <f t="shared" ca="1" si="45"/>
        <v>PR</v>
      </c>
      <c r="F561" s="52" t="s">
        <v>777</v>
      </c>
      <c r="G561" s="52" t="s">
        <v>3187</v>
      </c>
      <c r="H561" s="79" t="str">
        <f t="shared" si="46"/>
        <v>매칭완료</v>
      </c>
      <c r="I561" s="79" t="str">
        <f t="shared" ca="1" si="47"/>
        <v>6-PR</v>
      </c>
      <c r="J561" s="65" t="s">
        <v>777</v>
      </c>
      <c r="K561" s="103" t="s">
        <v>3188</v>
      </c>
      <c r="L561" s="83" t="str">
        <f t="shared" si="43"/>
        <v>→ 조립자재 R236</v>
      </c>
      <c r="M561" s="84"/>
      <c r="N561" s="80">
        <v>236</v>
      </c>
      <c r="O561" s="80" t="s">
        <v>2110</v>
      </c>
      <c r="P561" s="79" t="s">
        <v>3189</v>
      </c>
    </row>
    <row r="562" spans="1:16" ht="30" customHeight="1" x14ac:dyDescent="0.3">
      <c r="A562" s="57" t="s">
        <v>771</v>
      </c>
      <c r="B562" s="52" t="s">
        <v>772</v>
      </c>
      <c r="C562" s="52" t="s">
        <v>591</v>
      </c>
      <c r="D562" s="79" t="str">
        <f t="shared" ca="1" si="44"/>
        <v>원자재</v>
      </c>
      <c r="E562" s="79" t="str">
        <f t="shared" ca="1" si="45"/>
        <v>PR</v>
      </c>
      <c r="F562" s="52" t="s">
        <v>779</v>
      </c>
      <c r="G562" s="52" t="s">
        <v>3190</v>
      </c>
      <c r="H562" s="79" t="str">
        <f t="shared" si="46"/>
        <v>매칭완료</v>
      </c>
      <c r="I562" s="79" t="str">
        <f t="shared" ca="1" si="47"/>
        <v>6-PR</v>
      </c>
      <c r="J562" s="65" t="s">
        <v>779</v>
      </c>
      <c r="K562" s="103" t="s">
        <v>3191</v>
      </c>
      <c r="L562" s="83" t="str">
        <f t="shared" ref="L562:L625" si="48">HYPERLINK("#'"&amp;$O562&amp;"'!A"&amp;$N562,"→ 조립자재 R"&amp;$N562)</f>
        <v>→ 조립자재 R237</v>
      </c>
      <c r="M562" s="84"/>
      <c r="N562" s="80">
        <v>237</v>
      </c>
      <c r="O562" s="80" t="s">
        <v>2110</v>
      </c>
      <c r="P562" s="79" t="s">
        <v>3192</v>
      </c>
    </row>
    <row r="563" spans="1:16" ht="30" customHeight="1" x14ac:dyDescent="0.3">
      <c r="A563" s="57" t="s">
        <v>771</v>
      </c>
      <c r="B563" s="52" t="s">
        <v>772</v>
      </c>
      <c r="C563" s="52" t="s">
        <v>591</v>
      </c>
      <c r="D563" s="79" t="str">
        <f t="shared" ca="1" si="44"/>
        <v>원자재</v>
      </c>
      <c r="E563" s="79" t="str">
        <f t="shared" ca="1" si="45"/>
        <v>PR</v>
      </c>
      <c r="F563" s="52" t="s">
        <v>781</v>
      </c>
      <c r="G563" s="52" t="s">
        <v>3193</v>
      </c>
      <c r="H563" s="79" t="str">
        <f t="shared" si="46"/>
        <v>매칭완료</v>
      </c>
      <c r="I563" s="79" t="str">
        <f t="shared" ca="1" si="47"/>
        <v>6-PR</v>
      </c>
      <c r="J563" s="65" t="s">
        <v>781</v>
      </c>
      <c r="K563" s="103" t="s">
        <v>3194</v>
      </c>
      <c r="L563" s="83" t="str">
        <f t="shared" si="48"/>
        <v>→ 조립자재 R238</v>
      </c>
      <c r="M563" s="84"/>
      <c r="N563" s="80">
        <v>238</v>
      </c>
      <c r="O563" s="80" t="s">
        <v>2110</v>
      </c>
      <c r="P563" s="79" t="s">
        <v>3195</v>
      </c>
    </row>
    <row r="564" spans="1:16" ht="30" customHeight="1" x14ac:dyDescent="0.3">
      <c r="A564" s="57" t="s">
        <v>771</v>
      </c>
      <c r="B564" s="52" t="s">
        <v>772</v>
      </c>
      <c r="C564" s="52" t="s">
        <v>591</v>
      </c>
      <c r="D564" s="79" t="str">
        <f t="shared" ca="1" si="44"/>
        <v>원자재</v>
      </c>
      <c r="E564" s="79" t="str">
        <f t="shared" ca="1" si="45"/>
        <v>PR</v>
      </c>
      <c r="F564" s="52" t="s">
        <v>783</v>
      </c>
      <c r="G564" s="52" t="s">
        <v>3196</v>
      </c>
      <c r="H564" s="79" t="str">
        <f t="shared" si="46"/>
        <v>매칭완료</v>
      </c>
      <c r="I564" s="79" t="str">
        <f t="shared" ca="1" si="47"/>
        <v>6-PR</v>
      </c>
      <c r="J564" s="65" t="s">
        <v>783</v>
      </c>
      <c r="K564" s="103" t="s">
        <v>3197</v>
      </c>
      <c r="L564" s="83" t="str">
        <f t="shared" si="48"/>
        <v>→ 조립자재 R239</v>
      </c>
      <c r="M564" s="84"/>
      <c r="N564" s="80">
        <v>239</v>
      </c>
      <c r="O564" s="80" t="s">
        <v>2110</v>
      </c>
      <c r="P564" s="79" t="s">
        <v>3198</v>
      </c>
    </row>
    <row r="565" spans="1:16" ht="30" customHeight="1" x14ac:dyDescent="0.3">
      <c r="A565" s="57" t="s">
        <v>771</v>
      </c>
      <c r="B565" s="52" t="s">
        <v>772</v>
      </c>
      <c r="C565" s="52" t="s">
        <v>591</v>
      </c>
      <c r="D565" s="79" t="str">
        <f t="shared" ca="1" si="44"/>
        <v>원자재</v>
      </c>
      <c r="E565" s="79" t="str">
        <f t="shared" ca="1" si="45"/>
        <v>PR</v>
      </c>
      <c r="F565" s="52" t="s">
        <v>785</v>
      </c>
      <c r="G565" s="52" t="s">
        <v>3199</v>
      </c>
      <c r="H565" s="79" t="str">
        <f t="shared" si="46"/>
        <v>매칭완료</v>
      </c>
      <c r="I565" s="79" t="str">
        <f t="shared" ca="1" si="47"/>
        <v>6-PR</v>
      </c>
      <c r="J565" s="65" t="s">
        <v>785</v>
      </c>
      <c r="K565" s="103" t="s">
        <v>3200</v>
      </c>
      <c r="L565" s="83" t="str">
        <f t="shared" si="48"/>
        <v>→ 조립자재 R240</v>
      </c>
      <c r="M565" s="84"/>
      <c r="N565" s="80">
        <v>240</v>
      </c>
      <c r="O565" s="80" t="s">
        <v>2110</v>
      </c>
      <c r="P565" s="79" t="s">
        <v>3201</v>
      </c>
    </row>
    <row r="566" spans="1:16" ht="30" customHeight="1" x14ac:dyDescent="0.3">
      <c r="A566" s="57" t="s">
        <v>771</v>
      </c>
      <c r="B566" s="52" t="s">
        <v>772</v>
      </c>
      <c r="C566" s="52" t="s">
        <v>591</v>
      </c>
      <c r="D566" s="79" t="str">
        <f t="shared" ca="1" si="44"/>
        <v>원자재</v>
      </c>
      <c r="E566" s="79" t="str">
        <f t="shared" ca="1" si="45"/>
        <v>PR</v>
      </c>
      <c r="F566" s="52" t="s">
        <v>787</v>
      </c>
      <c r="G566" s="52" t="s">
        <v>3202</v>
      </c>
      <c r="H566" s="79" t="str">
        <f t="shared" si="46"/>
        <v>매칭완료</v>
      </c>
      <c r="I566" s="79" t="str">
        <f t="shared" ca="1" si="47"/>
        <v>6-PR</v>
      </c>
      <c r="J566" s="65" t="s">
        <v>787</v>
      </c>
      <c r="K566" s="103" t="s">
        <v>3203</v>
      </c>
      <c r="L566" s="83" t="str">
        <f t="shared" si="48"/>
        <v>→ 조립자재 R241</v>
      </c>
      <c r="M566" s="84"/>
      <c r="N566" s="80">
        <v>241</v>
      </c>
      <c r="O566" s="80" t="s">
        <v>2110</v>
      </c>
      <c r="P566" s="79" t="s">
        <v>3204</v>
      </c>
    </row>
    <row r="567" spans="1:16" ht="30" customHeight="1" x14ac:dyDescent="0.3">
      <c r="A567" s="57" t="s">
        <v>771</v>
      </c>
      <c r="B567" s="52" t="s">
        <v>772</v>
      </c>
      <c r="C567" s="52" t="s">
        <v>591</v>
      </c>
      <c r="D567" s="79" t="str">
        <f t="shared" ca="1" si="44"/>
        <v>원자재</v>
      </c>
      <c r="E567" s="79" t="str">
        <f t="shared" ca="1" si="45"/>
        <v>PR</v>
      </c>
      <c r="F567" s="52" t="s">
        <v>789</v>
      </c>
      <c r="G567" s="52" t="s">
        <v>3205</v>
      </c>
      <c r="H567" s="79" t="str">
        <f t="shared" si="46"/>
        <v>매칭완료</v>
      </c>
      <c r="I567" s="79" t="str">
        <f t="shared" ca="1" si="47"/>
        <v>6-PR</v>
      </c>
      <c r="J567" s="65" t="s">
        <v>789</v>
      </c>
      <c r="K567" s="65" t="s">
        <v>3206</v>
      </c>
      <c r="L567" s="83" t="str">
        <f t="shared" si="48"/>
        <v>→ 조립자재 R242</v>
      </c>
      <c r="M567" s="84"/>
      <c r="N567" s="80">
        <v>242</v>
      </c>
      <c r="O567" s="80" t="s">
        <v>2110</v>
      </c>
      <c r="P567" s="79" t="s">
        <v>3207</v>
      </c>
    </row>
    <row r="568" spans="1:16" ht="30" customHeight="1" x14ac:dyDescent="0.3">
      <c r="A568" s="57" t="s">
        <v>771</v>
      </c>
      <c r="B568" s="52" t="s">
        <v>772</v>
      </c>
      <c r="C568" s="52" t="s">
        <v>591</v>
      </c>
      <c r="D568" s="79" t="str">
        <f t="shared" ca="1" si="44"/>
        <v>반제품</v>
      </c>
      <c r="E568" s="79" t="str">
        <f t="shared" ca="1" si="45"/>
        <v>PA</v>
      </c>
      <c r="F568" s="52" t="s">
        <v>791</v>
      </c>
      <c r="G568" s="52"/>
      <c r="H568" s="79" t="str">
        <f t="shared" ca="1" si="46"/>
        <v>반제품(창고없음)</v>
      </c>
      <c r="I568" s="79" t="str">
        <f t="shared" ca="1" si="47"/>
        <v>6-PA</v>
      </c>
      <c r="J568" s="65" t="s">
        <v>791</v>
      </c>
      <c r="K568" s="103" t="s">
        <v>3208</v>
      </c>
      <c r="L568" s="83" t="str">
        <f t="shared" si="48"/>
        <v>→ 조립자재 R243</v>
      </c>
      <c r="M568" s="84"/>
      <c r="N568" s="80">
        <v>243</v>
      </c>
      <c r="O568" s="80" t="s">
        <v>2110</v>
      </c>
      <c r="P568" s="79" t="s">
        <v>3209</v>
      </c>
    </row>
    <row r="569" spans="1:16" ht="30" customHeight="1" x14ac:dyDescent="0.3">
      <c r="A569" s="57" t="s">
        <v>771</v>
      </c>
      <c r="B569" s="52" t="s">
        <v>772</v>
      </c>
      <c r="C569" s="52" t="s">
        <v>68</v>
      </c>
      <c r="D569" s="79" t="str">
        <f t="shared" ca="1" si="44"/>
        <v>원자재</v>
      </c>
      <c r="E569" s="79" t="str">
        <f t="shared" ca="1" si="45"/>
        <v>PR</v>
      </c>
      <c r="F569" s="52" t="s">
        <v>792</v>
      </c>
      <c r="G569" s="52" t="s">
        <v>3210</v>
      </c>
      <c r="H569" s="79" t="str">
        <f t="shared" si="46"/>
        <v>매칭완료</v>
      </c>
      <c r="I569" s="79" t="str">
        <f t="shared" ca="1" si="47"/>
        <v>346-PR</v>
      </c>
      <c r="J569" s="61" t="s">
        <v>792</v>
      </c>
      <c r="K569" s="103" t="s">
        <v>3211</v>
      </c>
      <c r="L569" s="83" t="str">
        <f t="shared" si="48"/>
        <v>→ 조립자재 R244</v>
      </c>
      <c r="M569" s="84"/>
      <c r="N569" s="80">
        <v>244</v>
      </c>
      <c r="O569" s="80" t="s">
        <v>2110</v>
      </c>
      <c r="P569" s="79" t="s">
        <v>3212</v>
      </c>
    </row>
    <row r="570" spans="1:16" ht="30" customHeight="1" x14ac:dyDescent="0.3">
      <c r="A570" s="57" t="s">
        <v>771</v>
      </c>
      <c r="B570" s="52" t="s">
        <v>772</v>
      </c>
      <c r="C570" s="52" t="s">
        <v>68</v>
      </c>
      <c r="D570" s="79" t="str">
        <f t="shared" ca="1" si="44"/>
        <v>원자재</v>
      </c>
      <c r="E570" s="79" t="str">
        <f t="shared" ca="1" si="45"/>
        <v>PR</v>
      </c>
      <c r="F570" s="52" t="s">
        <v>794</v>
      </c>
      <c r="G570" s="52" t="s">
        <v>3213</v>
      </c>
      <c r="H570" s="79" t="str">
        <f t="shared" si="46"/>
        <v>매칭완료</v>
      </c>
      <c r="I570" s="79" t="str">
        <f t="shared" ca="1" si="47"/>
        <v>346-PR</v>
      </c>
      <c r="J570" s="61" t="s">
        <v>794</v>
      </c>
      <c r="K570" s="103" t="s">
        <v>3214</v>
      </c>
      <c r="L570" s="83" t="str">
        <f t="shared" si="48"/>
        <v>→ 조립자재 R245</v>
      </c>
      <c r="M570" s="84"/>
      <c r="N570" s="80">
        <v>245</v>
      </c>
      <c r="O570" s="80" t="s">
        <v>2110</v>
      </c>
      <c r="P570" s="79" t="s">
        <v>3215</v>
      </c>
    </row>
    <row r="571" spans="1:16" ht="30" customHeight="1" x14ac:dyDescent="0.3">
      <c r="A571" s="57" t="s">
        <v>771</v>
      </c>
      <c r="B571" s="52" t="s">
        <v>772</v>
      </c>
      <c r="C571" s="52" t="s">
        <v>591</v>
      </c>
      <c r="D571" s="79" t="str">
        <f t="shared" ca="1" si="44"/>
        <v>원자재</v>
      </c>
      <c r="E571" s="79" t="str">
        <f t="shared" ca="1" si="45"/>
        <v>PR</v>
      </c>
      <c r="F571" s="52" t="s">
        <v>796</v>
      </c>
      <c r="G571" s="52" t="s">
        <v>3216</v>
      </c>
      <c r="H571" s="79" t="str">
        <f t="shared" si="46"/>
        <v>매칭완료</v>
      </c>
      <c r="I571" s="79" t="str">
        <f t="shared" ca="1" si="47"/>
        <v>6-PR</v>
      </c>
      <c r="J571" s="65" t="s">
        <v>796</v>
      </c>
      <c r="K571" s="65" t="s">
        <v>3217</v>
      </c>
      <c r="L571" s="83" t="str">
        <f t="shared" si="48"/>
        <v>→ 조립자재 R246</v>
      </c>
      <c r="M571" s="84"/>
      <c r="N571" s="80">
        <v>246</v>
      </c>
      <c r="O571" s="80" t="s">
        <v>2110</v>
      </c>
      <c r="P571" s="79" t="s">
        <v>3218</v>
      </c>
    </row>
    <row r="572" spans="1:16" ht="30" customHeight="1" x14ac:dyDescent="0.3">
      <c r="A572" s="57" t="s">
        <v>771</v>
      </c>
      <c r="B572" s="52" t="s">
        <v>772</v>
      </c>
      <c r="C572" s="52" t="s">
        <v>591</v>
      </c>
      <c r="D572" s="79" t="str">
        <f t="shared" ca="1" si="44"/>
        <v>원자재</v>
      </c>
      <c r="E572" s="79" t="str">
        <f t="shared" ca="1" si="45"/>
        <v>PR</v>
      </c>
      <c r="F572" s="52" t="s">
        <v>798</v>
      </c>
      <c r="G572" s="52" t="s">
        <v>3219</v>
      </c>
      <c r="H572" s="79" t="str">
        <f t="shared" si="46"/>
        <v>매칭완료</v>
      </c>
      <c r="I572" s="79" t="str">
        <f t="shared" ca="1" si="47"/>
        <v>6-PR</v>
      </c>
      <c r="J572" s="65" t="s">
        <v>798</v>
      </c>
      <c r="K572" s="65" t="s">
        <v>3220</v>
      </c>
      <c r="L572" s="83" t="str">
        <f t="shared" si="48"/>
        <v>→ 조립자재 R247</v>
      </c>
      <c r="M572" s="84"/>
      <c r="N572" s="80">
        <v>247</v>
      </c>
      <c r="O572" s="80" t="s">
        <v>2110</v>
      </c>
      <c r="P572" s="79" t="s">
        <v>3221</v>
      </c>
    </row>
    <row r="573" spans="1:16" ht="30" customHeight="1" x14ac:dyDescent="0.3">
      <c r="A573" s="57" t="s">
        <v>771</v>
      </c>
      <c r="B573" s="52" t="s">
        <v>772</v>
      </c>
      <c r="C573" s="52" t="s">
        <v>591</v>
      </c>
      <c r="D573" s="79" t="str">
        <f t="shared" ca="1" si="44"/>
        <v>원자재</v>
      </c>
      <c r="E573" s="79" t="str">
        <f t="shared" ca="1" si="45"/>
        <v>PR</v>
      </c>
      <c r="F573" s="52" t="s">
        <v>800</v>
      </c>
      <c r="G573" s="52" t="s">
        <v>3222</v>
      </c>
      <c r="H573" s="79" t="str">
        <f t="shared" si="46"/>
        <v>매칭완료</v>
      </c>
      <c r="I573" s="79" t="str">
        <f t="shared" ca="1" si="47"/>
        <v>6-PR</v>
      </c>
      <c r="J573" s="65" t="s">
        <v>800</v>
      </c>
      <c r="K573" s="65" t="s">
        <v>3223</v>
      </c>
      <c r="L573" s="83" t="str">
        <f t="shared" si="48"/>
        <v>→ 조립자재 R248</v>
      </c>
      <c r="M573" s="84"/>
      <c r="N573" s="80">
        <v>248</v>
      </c>
      <c r="O573" s="80" t="s">
        <v>2110</v>
      </c>
      <c r="P573" s="79" t="s">
        <v>3224</v>
      </c>
    </row>
    <row r="574" spans="1:16" ht="30" customHeight="1" x14ac:dyDescent="0.3">
      <c r="A574" s="57" t="s">
        <v>771</v>
      </c>
      <c r="B574" s="52" t="s">
        <v>772</v>
      </c>
      <c r="C574" s="52" t="s">
        <v>591</v>
      </c>
      <c r="D574" s="79" t="str">
        <f t="shared" ca="1" si="44"/>
        <v>원자재</v>
      </c>
      <c r="E574" s="79" t="str">
        <f t="shared" ca="1" si="45"/>
        <v>PR</v>
      </c>
      <c r="F574" s="52" t="s">
        <v>802</v>
      </c>
      <c r="G574" s="52" t="s">
        <v>3225</v>
      </c>
      <c r="H574" s="79" t="str">
        <f t="shared" si="46"/>
        <v>매칭완료</v>
      </c>
      <c r="I574" s="79" t="str">
        <f t="shared" ca="1" si="47"/>
        <v>6-PR</v>
      </c>
      <c r="J574" s="65" t="s">
        <v>802</v>
      </c>
      <c r="K574" s="103" t="s">
        <v>3226</v>
      </c>
      <c r="L574" s="83" t="str">
        <f t="shared" si="48"/>
        <v>→ 조립자재 R249</v>
      </c>
      <c r="M574" s="84"/>
      <c r="N574" s="80">
        <v>249</v>
      </c>
      <c r="O574" s="80" t="s">
        <v>2110</v>
      </c>
      <c r="P574" s="79" t="s">
        <v>3227</v>
      </c>
    </row>
    <row r="575" spans="1:16" ht="30" customHeight="1" x14ac:dyDescent="0.3">
      <c r="A575" s="57" t="s">
        <v>771</v>
      </c>
      <c r="B575" s="52" t="s">
        <v>772</v>
      </c>
      <c r="C575" s="52" t="s">
        <v>591</v>
      </c>
      <c r="D575" s="79" t="str">
        <f t="shared" ca="1" si="44"/>
        <v>원자재</v>
      </c>
      <c r="E575" s="79" t="str">
        <f t="shared" ca="1" si="45"/>
        <v>PR</v>
      </c>
      <c r="F575" s="52" t="s">
        <v>804</v>
      </c>
      <c r="G575" s="52" t="s">
        <v>3228</v>
      </c>
      <c r="H575" s="79" t="str">
        <f t="shared" si="46"/>
        <v>매칭완료</v>
      </c>
      <c r="I575" s="79" t="str">
        <f t="shared" ca="1" si="47"/>
        <v>6-PR</v>
      </c>
      <c r="J575" s="61" t="s">
        <v>804</v>
      </c>
      <c r="K575" s="65" t="s">
        <v>3229</v>
      </c>
      <c r="L575" s="83" t="str">
        <f t="shared" si="48"/>
        <v>→ 조립자재 R250</v>
      </c>
      <c r="M575" s="84"/>
      <c r="N575" s="80">
        <v>250</v>
      </c>
      <c r="O575" s="80" t="s">
        <v>2110</v>
      </c>
      <c r="P575" s="79" t="s">
        <v>3230</v>
      </c>
    </row>
    <row r="576" spans="1:16" ht="30" customHeight="1" x14ac:dyDescent="0.3">
      <c r="A576" s="57" t="s">
        <v>771</v>
      </c>
      <c r="B576" s="52" t="s">
        <v>772</v>
      </c>
      <c r="C576" s="52" t="s">
        <v>591</v>
      </c>
      <c r="D576" s="79" t="str">
        <f t="shared" ca="1" si="44"/>
        <v>원자재</v>
      </c>
      <c r="E576" s="79" t="str">
        <f t="shared" ca="1" si="45"/>
        <v>PR</v>
      </c>
      <c r="F576" s="52" t="s">
        <v>806</v>
      </c>
      <c r="G576" s="52" t="s">
        <v>3231</v>
      </c>
      <c r="H576" s="79" t="str">
        <f t="shared" si="46"/>
        <v>매칭완료</v>
      </c>
      <c r="I576" s="79" t="str">
        <f t="shared" ca="1" si="47"/>
        <v>6-PR</v>
      </c>
      <c r="J576" s="61" t="s">
        <v>806</v>
      </c>
      <c r="K576" s="65" t="s">
        <v>3232</v>
      </c>
      <c r="L576" s="83" t="str">
        <f t="shared" si="48"/>
        <v>→ 조립자재 R251</v>
      </c>
      <c r="M576" s="84"/>
      <c r="N576" s="80">
        <v>251</v>
      </c>
      <c r="O576" s="80" t="s">
        <v>2110</v>
      </c>
      <c r="P576" s="79" t="s">
        <v>3233</v>
      </c>
    </row>
    <row r="577" spans="1:16" ht="30" customHeight="1" x14ac:dyDescent="0.3">
      <c r="A577" s="57" t="s">
        <v>771</v>
      </c>
      <c r="B577" s="52" t="s">
        <v>772</v>
      </c>
      <c r="C577" s="52" t="s">
        <v>591</v>
      </c>
      <c r="D577" s="79" t="str">
        <f t="shared" ca="1" si="44"/>
        <v>원자재</v>
      </c>
      <c r="E577" s="79" t="str">
        <f t="shared" ca="1" si="45"/>
        <v>PR</v>
      </c>
      <c r="F577" s="52" t="s">
        <v>808</v>
      </c>
      <c r="G577" s="52" t="s">
        <v>3234</v>
      </c>
      <c r="H577" s="79" t="str">
        <f t="shared" si="46"/>
        <v>매칭완료</v>
      </c>
      <c r="I577" s="79" t="str">
        <f t="shared" ca="1" si="47"/>
        <v>6-PR</v>
      </c>
      <c r="J577" s="61" t="s">
        <v>808</v>
      </c>
      <c r="K577" s="65" t="s">
        <v>3235</v>
      </c>
      <c r="L577" s="83" t="str">
        <f t="shared" si="48"/>
        <v>→ 조립자재 R252</v>
      </c>
      <c r="M577" s="84"/>
      <c r="N577" s="80">
        <v>252</v>
      </c>
      <c r="O577" s="80" t="s">
        <v>2110</v>
      </c>
      <c r="P577" s="79" t="s">
        <v>3236</v>
      </c>
    </row>
    <row r="578" spans="1:16" ht="30" customHeight="1" x14ac:dyDescent="0.3">
      <c r="A578" s="57" t="s">
        <v>771</v>
      </c>
      <c r="B578" s="52" t="s">
        <v>772</v>
      </c>
      <c r="C578" s="52" t="s">
        <v>591</v>
      </c>
      <c r="D578" s="79" t="str">
        <f t="shared" ref="D578:D641" ca="1" si="49">IF(INDIRECT("'"&amp;$O578&amp;"'!F"&amp;$N578)="O","원자재",IF(INDIRECT("'"&amp;$O578&amp;"'!G"&amp;$N578)="O","반제품",IF(INDIRECT("'"&amp;$O578&amp;"'!H"&amp;$N578)="O","완제품","")))</f>
        <v>원자재</v>
      </c>
      <c r="E578" s="79" t="str">
        <f t="shared" ref="E578:E641" ca="1" si="50">IFERROR(IF(INDIRECT("'"&amp;$O578&amp;"'!I"&amp;$N578)=0,"",INDIRECT("'"&amp;$O578&amp;"'!I"&amp;$N578)),"")</f>
        <v>PR</v>
      </c>
      <c r="F578" s="52" t="s">
        <v>810</v>
      </c>
      <c r="G578" s="52" t="s">
        <v>3237</v>
      </c>
      <c r="H578" s="79" t="str">
        <f t="shared" ref="H578:H641" si="51">IF(AND($F578="",$G578=""),"",IF($F578="","창고전용",IF($G578&lt;&gt;"","매칭완료",IF($D578="반제품","반제품(창고없음)",IF($D578="완제품","완제품(창고없음)",IF($D578="원자재","⚠ 원자재_부서보관","미분류"))))))</f>
        <v>매칭완료</v>
      </c>
      <c r="I578" s="79" t="str">
        <f t="shared" ref="I578:I641" ca="1" si="52">IFERROR(IF(INDIRECT("'"&amp;$O578&amp;"'!P"&amp;$N578)=0,"",INDIRECT("'"&amp;$O578&amp;"'!P"&amp;$N578)),"")</f>
        <v>6-PR</v>
      </c>
      <c r="J578" s="61" t="s">
        <v>810</v>
      </c>
      <c r="K578" s="65" t="s">
        <v>3238</v>
      </c>
      <c r="L578" s="83" t="str">
        <f t="shared" si="48"/>
        <v>→ 조립자재 R253</v>
      </c>
      <c r="M578" s="84"/>
      <c r="N578" s="80">
        <v>253</v>
      </c>
      <c r="O578" s="80" t="s">
        <v>2110</v>
      </c>
      <c r="P578" s="79" t="s">
        <v>3239</v>
      </c>
    </row>
    <row r="579" spans="1:16" ht="30" customHeight="1" x14ac:dyDescent="0.3">
      <c r="A579" s="57" t="s">
        <v>771</v>
      </c>
      <c r="B579" s="52" t="s">
        <v>772</v>
      </c>
      <c r="C579" s="52" t="s">
        <v>591</v>
      </c>
      <c r="D579" s="79" t="str">
        <f t="shared" ca="1" si="49"/>
        <v>원자재</v>
      </c>
      <c r="E579" s="79" t="str">
        <f t="shared" ca="1" si="50"/>
        <v>PR</v>
      </c>
      <c r="F579" s="52" t="s">
        <v>812</v>
      </c>
      <c r="G579" s="52" t="s">
        <v>3240</v>
      </c>
      <c r="H579" s="79" t="str">
        <f t="shared" si="51"/>
        <v>매칭완료</v>
      </c>
      <c r="I579" s="79" t="str">
        <f t="shared" ca="1" si="52"/>
        <v>6-PR</v>
      </c>
      <c r="J579" s="65" t="s">
        <v>812</v>
      </c>
      <c r="K579" s="65" t="s">
        <v>3241</v>
      </c>
      <c r="L579" s="83" t="str">
        <f t="shared" si="48"/>
        <v>→ 조립자재 R254</v>
      </c>
      <c r="M579" s="84"/>
      <c r="N579" s="80">
        <v>254</v>
      </c>
      <c r="O579" s="80" t="s">
        <v>2110</v>
      </c>
      <c r="P579" s="79" t="s">
        <v>3242</v>
      </c>
    </row>
    <row r="580" spans="1:16" ht="30" customHeight="1" x14ac:dyDescent="0.3">
      <c r="A580" s="57" t="s">
        <v>771</v>
      </c>
      <c r="B580" s="52" t="s">
        <v>814</v>
      </c>
      <c r="C580" s="52" t="s">
        <v>195</v>
      </c>
      <c r="D580" s="79" t="str">
        <f t="shared" ca="1" si="49"/>
        <v>원자재</v>
      </c>
      <c r="E580" s="79" t="str">
        <f t="shared" ca="1" si="50"/>
        <v>PR</v>
      </c>
      <c r="F580" s="52" t="s">
        <v>815</v>
      </c>
      <c r="G580" s="52" t="s">
        <v>3243</v>
      </c>
      <c r="H580" s="79" t="str">
        <f t="shared" si="51"/>
        <v>매칭완료</v>
      </c>
      <c r="I580" s="79" t="str">
        <f t="shared" ca="1" si="52"/>
        <v>3-PR</v>
      </c>
      <c r="J580" s="65" t="s">
        <v>815</v>
      </c>
      <c r="K580" s="65" t="s">
        <v>3244</v>
      </c>
      <c r="L580" s="83" t="str">
        <f t="shared" si="48"/>
        <v>→ 조립자재 R255</v>
      </c>
      <c r="M580" s="84"/>
      <c r="N580" s="80">
        <v>255</v>
      </c>
      <c r="O580" s="80" t="s">
        <v>2110</v>
      </c>
      <c r="P580" s="79" t="s">
        <v>3245</v>
      </c>
    </row>
    <row r="581" spans="1:16" ht="30" customHeight="1" x14ac:dyDescent="0.3">
      <c r="A581" s="57" t="s">
        <v>771</v>
      </c>
      <c r="B581" s="52" t="s">
        <v>814</v>
      </c>
      <c r="C581" s="52" t="s">
        <v>198</v>
      </c>
      <c r="D581" s="79" t="str">
        <f t="shared" ca="1" si="49"/>
        <v>원자재</v>
      </c>
      <c r="E581" s="79" t="str">
        <f t="shared" ca="1" si="50"/>
        <v>PR</v>
      </c>
      <c r="F581" s="52" t="s">
        <v>815</v>
      </c>
      <c r="G581" s="52" t="s">
        <v>3246</v>
      </c>
      <c r="H581" s="79" t="str">
        <f t="shared" si="51"/>
        <v>매칭완료</v>
      </c>
      <c r="I581" s="79" t="str">
        <f t="shared" ca="1" si="52"/>
        <v>4-PR</v>
      </c>
      <c r="J581" s="65" t="s">
        <v>815</v>
      </c>
      <c r="K581" s="103" t="s">
        <v>3247</v>
      </c>
      <c r="L581" s="83" t="str">
        <f t="shared" si="48"/>
        <v>→ 조립자재 R256</v>
      </c>
      <c r="M581" s="84"/>
      <c r="N581" s="80">
        <v>256</v>
      </c>
      <c r="O581" s="80" t="s">
        <v>2110</v>
      </c>
      <c r="P581" s="79" t="s">
        <v>3248</v>
      </c>
    </row>
    <row r="582" spans="1:16" ht="30" customHeight="1" x14ac:dyDescent="0.3">
      <c r="A582" s="57" t="s">
        <v>771</v>
      </c>
      <c r="B582" s="52" t="s">
        <v>814</v>
      </c>
      <c r="C582" s="52" t="s">
        <v>198</v>
      </c>
      <c r="D582" s="79" t="str">
        <f t="shared" ca="1" si="49"/>
        <v>원자재</v>
      </c>
      <c r="E582" s="79" t="str">
        <f t="shared" ca="1" si="50"/>
        <v>PR</v>
      </c>
      <c r="F582" s="52" t="s">
        <v>818</v>
      </c>
      <c r="G582" s="52" t="s">
        <v>3249</v>
      </c>
      <c r="H582" s="79" t="str">
        <f t="shared" si="51"/>
        <v>매칭완료</v>
      </c>
      <c r="I582" s="79" t="str">
        <f t="shared" ca="1" si="52"/>
        <v>4-PR</v>
      </c>
      <c r="J582" s="61" t="s">
        <v>818</v>
      </c>
      <c r="K582" s="103" t="s">
        <v>3250</v>
      </c>
      <c r="L582" s="83" t="str">
        <f t="shared" si="48"/>
        <v>→ 조립자재 R257</v>
      </c>
      <c r="M582" s="84"/>
      <c r="N582" s="80">
        <v>257</v>
      </c>
      <c r="O582" s="80" t="s">
        <v>2110</v>
      </c>
      <c r="P582" s="79" t="s">
        <v>3251</v>
      </c>
    </row>
    <row r="583" spans="1:16" ht="30" customHeight="1" x14ac:dyDescent="0.3">
      <c r="A583" s="57" t="s">
        <v>771</v>
      </c>
      <c r="B583" s="52" t="s">
        <v>985</v>
      </c>
      <c r="C583" s="52" t="s">
        <v>68</v>
      </c>
      <c r="D583" s="79" t="str">
        <f t="shared" ca="1" si="49"/>
        <v>원자재</v>
      </c>
      <c r="E583" s="79" t="str">
        <f t="shared" ca="1" si="50"/>
        <v>PR</v>
      </c>
      <c r="F583" s="52" t="s">
        <v>986</v>
      </c>
      <c r="G583" s="52" t="s">
        <v>3252</v>
      </c>
      <c r="H583" s="79" t="str">
        <f t="shared" si="51"/>
        <v>매칭완료</v>
      </c>
      <c r="I583" s="79" t="str">
        <f t="shared" ca="1" si="52"/>
        <v>348-PR</v>
      </c>
      <c r="J583" s="65" t="s">
        <v>986</v>
      </c>
      <c r="K583" s="103" t="s">
        <v>3253</v>
      </c>
      <c r="L583" s="83" t="str">
        <f t="shared" si="48"/>
        <v>→ 조립자재 R356</v>
      </c>
      <c r="M583" s="84"/>
      <c r="N583" s="80">
        <v>356</v>
      </c>
      <c r="O583" s="80" t="s">
        <v>2110</v>
      </c>
      <c r="P583" s="79" t="s">
        <v>3254</v>
      </c>
    </row>
    <row r="584" spans="1:16" ht="30" customHeight="1" x14ac:dyDescent="0.3">
      <c r="A584" s="57" t="s">
        <v>771</v>
      </c>
      <c r="B584" s="52" t="s">
        <v>985</v>
      </c>
      <c r="C584" s="52" t="s">
        <v>591</v>
      </c>
      <c r="D584" s="79" t="str">
        <f t="shared" ca="1" si="49"/>
        <v>원자재</v>
      </c>
      <c r="E584" s="79" t="str">
        <f t="shared" ca="1" si="50"/>
        <v>PR</v>
      </c>
      <c r="F584" s="52" t="s">
        <v>988</v>
      </c>
      <c r="G584" s="52" t="s">
        <v>3255</v>
      </c>
      <c r="H584" s="79" t="str">
        <f t="shared" si="51"/>
        <v>매칭완료</v>
      </c>
      <c r="I584" s="79" t="str">
        <f t="shared" ca="1" si="52"/>
        <v>6-PR</v>
      </c>
      <c r="J584" s="65" t="s">
        <v>988</v>
      </c>
      <c r="K584" s="103" t="s">
        <v>3256</v>
      </c>
      <c r="L584" s="83" t="str">
        <f t="shared" si="48"/>
        <v>→ 조립자재 R357</v>
      </c>
      <c r="M584" s="84"/>
      <c r="N584" s="80">
        <v>357</v>
      </c>
      <c r="O584" s="80" t="s">
        <v>2110</v>
      </c>
      <c r="P584" s="79" t="s">
        <v>3257</v>
      </c>
    </row>
    <row r="585" spans="1:16" ht="30" customHeight="1" x14ac:dyDescent="0.3">
      <c r="A585" s="57" t="s">
        <v>771</v>
      </c>
      <c r="B585" s="52" t="s">
        <v>985</v>
      </c>
      <c r="C585" s="52" t="s">
        <v>68</v>
      </c>
      <c r="D585" s="79" t="str">
        <f t="shared" ca="1" si="49"/>
        <v>원자재</v>
      </c>
      <c r="E585" s="79" t="str">
        <f t="shared" ca="1" si="50"/>
        <v>PR</v>
      </c>
      <c r="F585" s="52" t="s">
        <v>990</v>
      </c>
      <c r="G585" s="52" t="s">
        <v>3258</v>
      </c>
      <c r="H585" s="79" t="str">
        <f t="shared" si="51"/>
        <v>매칭완료</v>
      </c>
      <c r="I585" s="79" t="str">
        <f t="shared" ca="1" si="52"/>
        <v>37-PR</v>
      </c>
      <c r="J585" s="61" t="s">
        <v>990</v>
      </c>
      <c r="K585" s="103" t="s">
        <v>3259</v>
      </c>
      <c r="L585" s="83" t="str">
        <f t="shared" si="48"/>
        <v>→ 조립자재 R358</v>
      </c>
      <c r="M585" s="84"/>
      <c r="N585" s="80">
        <v>358</v>
      </c>
      <c r="O585" s="80" t="s">
        <v>2110</v>
      </c>
      <c r="P585" s="79" t="s">
        <v>3260</v>
      </c>
    </row>
    <row r="586" spans="1:16" ht="30" customHeight="1" x14ac:dyDescent="0.3">
      <c r="A586" s="57" t="s">
        <v>771</v>
      </c>
      <c r="B586" s="52" t="s">
        <v>992</v>
      </c>
      <c r="C586" s="52" t="s">
        <v>68</v>
      </c>
      <c r="D586" s="79" t="str">
        <f t="shared" ca="1" si="49"/>
        <v>원자재</v>
      </c>
      <c r="E586" s="79" t="str">
        <f t="shared" ca="1" si="50"/>
        <v>PR</v>
      </c>
      <c r="F586" s="52" t="s">
        <v>993</v>
      </c>
      <c r="G586" s="52" t="s">
        <v>3261</v>
      </c>
      <c r="H586" s="79" t="str">
        <f t="shared" si="51"/>
        <v>매칭완료</v>
      </c>
      <c r="I586" s="79" t="str">
        <f t="shared" ca="1" si="52"/>
        <v>34678-PR</v>
      </c>
      <c r="J586" s="61" t="s">
        <v>993</v>
      </c>
      <c r="K586" s="103" t="s">
        <v>3262</v>
      </c>
      <c r="L586" s="83" t="str">
        <f t="shared" si="48"/>
        <v>→ 조립자재 R359</v>
      </c>
      <c r="M586" s="84"/>
      <c r="N586" s="80">
        <v>359</v>
      </c>
      <c r="O586" s="80" t="s">
        <v>2110</v>
      </c>
      <c r="P586" s="79" t="s">
        <v>3263</v>
      </c>
    </row>
    <row r="587" spans="1:16" ht="30" customHeight="1" x14ac:dyDescent="0.3">
      <c r="A587" s="57" t="s">
        <v>771</v>
      </c>
      <c r="B587" s="52" t="s">
        <v>992</v>
      </c>
      <c r="C587" s="52" t="s">
        <v>68</v>
      </c>
      <c r="D587" s="79" t="str">
        <f t="shared" ca="1" si="49"/>
        <v>원자재</v>
      </c>
      <c r="E587" s="79" t="str">
        <f t="shared" ca="1" si="50"/>
        <v>PR</v>
      </c>
      <c r="F587" s="52" t="s">
        <v>995</v>
      </c>
      <c r="G587" s="52" t="s">
        <v>3264</v>
      </c>
      <c r="H587" s="79" t="str">
        <f t="shared" si="51"/>
        <v>매칭완료</v>
      </c>
      <c r="I587" s="79" t="str">
        <f t="shared" ca="1" si="52"/>
        <v>34678-PR</v>
      </c>
      <c r="J587" s="61" t="s">
        <v>995</v>
      </c>
      <c r="K587" s="103" t="s">
        <v>3265</v>
      </c>
      <c r="L587" s="83" t="str">
        <f t="shared" si="48"/>
        <v>→ 조립자재 R360</v>
      </c>
      <c r="M587" s="84"/>
      <c r="N587" s="80">
        <v>360</v>
      </c>
      <c r="O587" s="80" t="s">
        <v>2110</v>
      </c>
      <c r="P587" s="79" t="s">
        <v>3266</v>
      </c>
    </row>
    <row r="588" spans="1:16" ht="30" customHeight="1" x14ac:dyDescent="0.3">
      <c r="A588" s="57" t="s">
        <v>771</v>
      </c>
      <c r="B588" s="52" t="s">
        <v>992</v>
      </c>
      <c r="C588" s="52" t="s">
        <v>591</v>
      </c>
      <c r="D588" s="79" t="str">
        <f t="shared" ca="1" si="49"/>
        <v>원자재</v>
      </c>
      <c r="E588" s="79" t="str">
        <f t="shared" ca="1" si="50"/>
        <v>PR</v>
      </c>
      <c r="F588" s="52" t="s">
        <v>997</v>
      </c>
      <c r="G588" s="52" t="s">
        <v>3267</v>
      </c>
      <c r="H588" s="79" t="str">
        <f t="shared" si="51"/>
        <v>매칭완료</v>
      </c>
      <c r="I588" s="79" t="str">
        <f t="shared" ca="1" si="52"/>
        <v>6-PR</v>
      </c>
      <c r="J588" s="61" t="s">
        <v>997</v>
      </c>
      <c r="K588" s="103" t="s">
        <v>3268</v>
      </c>
      <c r="L588" s="83" t="str">
        <f t="shared" si="48"/>
        <v>→ 조립자재 R361</v>
      </c>
      <c r="M588" s="84"/>
      <c r="N588" s="80">
        <v>361</v>
      </c>
      <c r="O588" s="80" t="s">
        <v>2110</v>
      </c>
      <c r="P588" s="79" t="s">
        <v>3269</v>
      </c>
    </row>
    <row r="589" spans="1:16" ht="30" customHeight="1" x14ac:dyDescent="0.3">
      <c r="A589" s="57" t="s">
        <v>771</v>
      </c>
      <c r="B589" s="52" t="s">
        <v>999</v>
      </c>
      <c r="C589" s="52" t="s">
        <v>68</v>
      </c>
      <c r="D589" s="79" t="str">
        <f t="shared" ca="1" si="49"/>
        <v>원자재</v>
      </c>
      <c r="E589" s="79" t="str">
        <f t="shared" ca="1" si="50"/>
        <v>PR</v>
      </c>
      <c r="F589" s="52" t="s">
        <v>1000</v>
      </c>
      <c r="G589" s="52" t="s">
        <v>3270</v>
      </c>
      <c r="H589" s="79" t="str">
        <f t="shared" si="51"/>
        <v>매칭완료</v>
      </c>
      <c r="I589" s="79" t="str">
        <f t="shared" ca="1" si="52"/>
        <v>34678-PR</v>
      </c>
      <c r="J589" s="65" t="s">
        <v>1000</v>
      </c>
      <c r="K589" s="103" t="s">
        <v>3271</v>
      </c>
      <c r="L589" s="83" t="str">
        <f t="shared" si="48"/>
        <v>→ 조립자재 R362</v>
      </c>
      <c r="M589" s="84"/>
      <c r="N589" s="80">
        <v>362</v>
      </c>
      <c r="O589" s="80" t="s">
        <v>2110</v>
      </c>
      <c r="P589" s="79" t="s">
        <v>3272</v>
      </c>
    </row>
    <row r="590" spans="1:16" ht="30" customHeight="1" x14ac:dyDescent="0.3">
      <c r="A590" s="57" t="s">
        <v>771</v>
      </c>
      <c r="B590" s="52" t="s">
        <v>999</v>
      </c>
      <c r="C590" s="52" t="s">
        <v>68</v>
      </c>
      <c r="D590" s="79" t="str">
        <f t="shared" ca="1" si="49"/>
        <v>원자재</v>
      </c>
      <c r="E590" s="79" t="str">
        <f t="shared" ca="1" si="50"/>
        <v>PR</v>
      </c>
      <c r="F590" s="52" t="s">
        <v>1002</v>
      </c>
      <c r="G590" s="52" t="s">
        <v>3273</v>
      </c>
      <c r="H590" s="79" t="str">
        <f t="shared" si="51"/>
        <v>매칭완료</v>
      </c>
      <c r="I590" s="79" t="str">
        <f t="shared" ca="1" si="52"/>
        <v>34678-PR</v>
      </c>
      <c r="J590" s="65" t="s">
        <v>1002</v>
      </c>
      <c r="K590" s="103" t="s">
        <v>3274</v>
      </c>
      <c r="L590" s="83" t="str">
        <f t="shared" si="48"/>
        <v>→ 조립자재 R363</v>
      </c>
      <c r="M590" s="84"/>
      <c r="N590" s="80">
        <v>363</v>
      </c>
      <c r="O590" s="80" t="s">
        <v>2110</v>
      </c>
      <c r="P590" s="79" t="s">
        <v>3275</v>
      </c>
    </row>
    <row r="591" spans="1:16" ht="30" customHeight="1" x14ac:dyDescent="0.3">
      <c r="A591" s="57" t="s">
        <v>771</v>
      </c>
      <c r="B591" s="52" t="s">
        <v>999</v>
      </c>
      <c r="C591" s="52" t="s">
        <v>68</v>
      </c>
      <c r="D591" s="79" t="str">
        <f t="shared" ca="1" si="49"/>
        <v>원자재</v>
      </c>
      <c r="E591" s="79" t="str">
        <f t="shared" ca="1" si="50"/>
        <v>PR</v>
      </c>
      <c r="F591" s="52" t="s">
        <v>1004</v>
      </c>
      <c r="G591" s="52" t="s">
        <v>3276</v>
      </c>
      <c r="H591" s="79" t="str">
        <f t="shared" si="51"/>
        <v>매칭완료</v>
      </c>
      <c r="I591" s="79" t="str">
        <f t="shared" ca="1" si="52"/>
        <v>34678-PR</v>
      </c>
      <c r="J591" s="65" t="s">
        <v>1004</v>
      </c>
      <c r="K591" s="103" t="s">
        <v>3277</v>
      </c>
      <c r="L591" s="83" t="str">
        <f t="shared" si="48"/>
        <v>→ 조립자재 R364</v>
      </c>
      <c r="M591" s="84"/>
      <c r="N591" s="80">
        <v>364</v>
      </c>
      <c r="O591" s="80" t="s">
        <v>2110</v>
      </c>
      <c r="P591" s="79" t="s">
        <v>3278</v>
      </c>
    </row>
    <row r="592" spans="1:16" ht="30" customHeight="1" x14ac:dyDescent="0.3">
      <c r="A592" s="57" t="s">
        <v>771</v>
      </c>
      <c r="B592" s="52" t="s">
        <v>999</v>
      </c>
      <c r="C592" s="52" t="s">
        <v>68</v>
      </c>
      <c r="D592" s="79" t="str">
        <f t="shared" ca="1" si="49"/>
        <v>원자재</v>
      </c>
      <c r="E592" s="79" t="str">
        <f t="shared" ca="1" si="50"/>
        <v>PR</v>
      </c>
      <c r="F592" s="52" t="s">
        <v>1006</v>
      </c>
      <c r="G592" s="52" t="s">
        <v>3279</v>
      </c>
      <c r="H592" s="79" t="str">
        <f t="shared" si="51"/>
        <v>매칭완료</v>
      </c>
      <c r="I592" s="79" t="str">
        <f t="shared" ca="1" si="52"/>
        <v>34678-PR</v>
      </c>
      <c r="J592" s="65" t="s">
        <v>1006</v>
      </c>
      <c r="K592" s="103" t="s">
        <v>3280</v>
      </c>
      <c r="L592" s="83" t="str">
        <f t="shared" si="48"/>
        <v>→ 조립자재 R365</v>
      </c>
      <c r="M592" s="84"/>
      <c r="N592" s="80">
        <v>365</v>
      </c>
      <c r="O592" s="80" t="s">
        <v>2110</v>
      </c>
      <c r="P592" s="79" t="s">
        <v>3281</v>
      </c>
    </row>
    <row r="593" spans="1:16" ht="30" customHeight="1" x14ac:dyDescent="0.3">
      <c r="A593" s="57" t="s">
        <v>771</v>
      </c>
      <c r="B593" s="52" t="s">
        <v>999</v>
      </c>
      <c r="C593" s="52" t="s">
        <v>68</v>
      </c>
      <c r="D593" s="79" t="str">
        <f t="shared" ca="1" si="49"/>
        <v>원자재</v>
      </c>
      <c r="E593" s="79" t="str">
        <f t="shared" ca="1" si="50"/>
        <v>PR</v>
      </c>
      <c r="F593" s="52" t="s">
        <v>1008</v>
      </c>
      <c r="G593" s="52" t="s">
        <v>3282</v>
      </c>
      <c r="H593" s="79" t="str">
        <f t="shared" si="51"/>
        <v>매칭완료</v>
      </c>
      <c r="I593" s="79" t="str">
        <f t="shared" ca="1" si="52"/>
        <v>34678-PR</v>
      </c>
      <c r="J593" s="65" t="s">
        <v>1008</v>
      </c>
      <c r="K593" s="103" t="s">
        <v>3283</v>
      </c>
      <c r="L593" s="83" t="str">
        <f t="shared" si="48"/>
        <v>→ 조립자재 R366</v>
      </c>
      <c r="M593" s="84"/>
      <c r="N593" s="80">
        <v>366</v>
      </c>
      <c r="O593" s="80" t="s">
        <v>2110</v>
      </c>
      <c r="P593" s="79" t="s">
        <v>3284</v>
      </c>
    </row>
    <row r="594" spans="1:16" ht="30" customHeight="1" x14ac:dyDescent="0.3">
      <c r="A594" s="57" t="s">
        <v>771</v>
      </c>
      <c r="B594" s="52" t="s">
        <v>999</v>
      </c>
      <c r="C594" s="52" t="s">
        <v>68</v>
      </c>
      <c r="D594" s="79" t="str">
        <f t="shared" ca="1" si="49"/>
        <v>원자재</v>
      </c>
      <c r="E594" s="79" t="str">
        <f t="shared" ca="1" si="50"/>
        <v>PR</v>
      </c>
      <c r="F594" s="52" t="s">
        <v>1010</v>
      </c>
      <c r="G594" s="52" t="s">
        <v>3285</v>
      </c>
      <c r="H594" s="79" t="str">
        <f t="shared" si="51"/>
        <v>매칭완료</v>
      </c>
      <c r="I594" s="79" t="str">
        <f t="shared" ca="1" si="52"/>
        <v>34678-PR</v>
      </c>
      <c r="J594" s="65" t="s">
        <v>1010</v>
      </c>
      <c r="K594" s="103" t="s">
        <v>3286</v>
      </c>
      <c r="L594" s="83" t="str">
        <f t="shared" si="48"/>
        <v>→ 조립자재 R367</v>
      </c>
      <c r="M594" s="84"/>
      <c r="N594" s="80">
        <v>367</v>
      </c>
      <c r="O594" s="80" t="s">
        <v>2110</v>
      </c>
      <c r="P594" s="79" t="s">
        <v>3287</v>
      </c>
    </row>
    <row r="595" spans="1:16" ht="30" customHeight="1" x14ac:dyDescent="0.3">
      <c r="A595" s="57" t="s">
        <v>771</v>
      </c>
      <c r="B595" s="52" t="s">
        <v>999</v>
      </c>
      <c r="C595" s="52" t="s">
        <v>68</v>
      </c>
      <c r="D595" s="79" t="str">
        <f t="shared" ca="1" si="49"/>
        <v>원자재</v>
      </c>
      <c r="E595" s="79" t="str">
        <f t="shared" ca="1" si="50"/>
        <v>PR</v>
      </c>
      <c r="F595" s="52" t="s">
        <v>1012</v>
      </c>
      <c r="G595" s="52" t="s">
        <v>3288</v>
      </c>
      <c r="H595" s="79" t="str">
        <f t="shared" si="51"/>
        <v>매칭완료</v>
      </c>
      <c r="I595" s="79" t="str">
        <f t="shared" ca="1" si="52"/>
        <v>34678-PR</v>
      </c>
      <c r="J595" s="65" t="s">
        <v>1012</v>
      </c>
      <c r="K595" s="103" t="s">
        <v>3289</v>
      </c>
      <c r="L595" s="83" t="str">
        <f t="shared" si="48"/>
        <v>→ 조립자재 R368</v>
      </c>
      <c r="M595" s="84"/>
      <c r="N595" s="80">
        <v>368</v>
      </c>
      <c r="O595" s="80" t="s">
        <v>2110</v>
      </c>
      <c r="P595" s="79" t="s">
        <v>3290</v>
      </c>
    </row>
    <row r="596" spans="1:16" ht="30" customHeight="1" x14ac:dyDescent="0.3">
      <c r="A596" s="57" t="s">
        <v>771</v>
      </c>
      <c r="B596" s="52" t="s">
        <v>1014</v>
      </c>
      <c r="C596" s="52" t="s">
        <v>3291</v>
      </c>
      <c r="D596" s="79" t="str">
        <f t="shared" ca="1" si="49"/>
        <v>원자재</v>
      </c>
      <c r="E596" s="79" t="str">
        <f t="shared" ca="1" si="50"/>
        <v>PR</v>
      </c>
      <c r="F596" s="52" t="s">
        <v>1016</v>
      </c>
      <c r="G596" s="52" t="s">
        <v>3292</v>
      </c>
      <c r="H596" s="79" t="str">
        <f t="shared" si="51"/>
        <v>매칭완료</v>
      </c>
      <c r="I596" s="79" t="str">
        <f t="shared" ca="1" si="52"/>
        <v>348-PR</v>
      </c>
      <c r="J596" s="65" t="s">
        <v>1016</v>
      </c>
      <c r="K596" s="103" t="s">
        <v>3293</v>
      </c>
      <c r="L596" s="83" t="str">
        <f t="shared" si="48"/>
        <v>→ 조립자재 R369</v>
      </c>
      <c r="M596" s="84"/>
      <c r="N596" s="80">
        <v>369</v>
      </c>
      <c r="O596" s="80" t="s">
        <v>2110</v>
      </c>
      <c r="P596" s="79" t="s">
        <v>3294</v>
      </c>
    </row>
    <row r="597" spans="1:16" ht="30" customHeight="1" x14ac:dyDescent="0.3">
      <c r="A597" s="57" t="s">
        <v>771</v>
      </c>
      <c r="B597" s="52" t="s">
        <v>1018</v>
      </c>
      <c r="C597" s="52" t="s">
        <v>153</v>
      </c>
      <c r="D597" s="79" t="str">
        <f t="shared" ca="1" si="49"/>
        <v>원자재</v>
      </c>
      <c r="E597" s="79" t="str">
        <f t="shared" ca="1" si="50"/>
        <v>PR</v>
      </c>
      <c r="F597" s="52" t="s">
        <v>1019</v>
      </c>
      <c r="G597" s="52" t="s">
        <v>3295</v>
      </c>
      <c r="H597" s="79" t="str">
        <f t="shared" si="51"/>
        <v>매칭완료</v>
      </c>
      <c r="I597" s="79" t="str">
        <f t="shared" ca="1" si="52"/>
        <v>78-PR</v>
      </c>
      <c r="J597" s="61" t="s">
        <v>1019</v>
      </c>
      <c r="K597" s="65" t="s">
        <v>3296</v>
      </c>
      <c r="L597" s="83" t="str">
        <f t="shared" si="48"/>
        <v>→ 조립자재 R370</v>
      </c>
      <c r="M597" s="84"/>
      <c r="N597" s="80">
        <v>370</v>
      </c>
      <c r="O597" s="80" t="s">
        <v>2110</v>
      </c>
      <c r="P597" s="79" t="s">
        <v>3297</v>
      </c>
    </row>
    <row r="598" spans="1:16" ht="30" customHeight="1" x14ac:dyDescent="0.3">
      <c r="A598" s="57" t="s">
        <v>771</v>
      </c>
      <c r="B598" s="52" t="s">
        <v>1018</v>
      </c>
      <c r="C598" s="52" t="s">
        <v>1120</v>
      </c>
      <c r="D598" s="79" t="str">
        <f t="shared" ca="1" si="49"/>
        <v>원자재</v>
      </c>
      <c r="E598" s="79" t="str">
        <f t="shared" ca="1" si="50"/>
        <v>PR</v>
      </c>
      <c r="F598" s="52" t="s">
        <v>1021</v>
      </c>
      <c r="G598" s="52" t="s">
        <v>3298</v>
      </c>
      <c r="H598" s="79" t="str">
        <f t="shared" si="51"/>
        <v>매칭완료</v>
      </c>
      <c r="I598" s="79" t="str">
        <f t="shared" ca="1" si="52"/>
        <v>34-PR</v>
      </c>
      <c r="J598" s="61" t="s">
        <v>1021</v>
      </c>
      <c r="K598" s="65" t="s">
        <v>3299</v>
      </c>
      <c r="L598" s="83" t="str">
        <f t="shared" si="48"/>
        <v>→ 조립자재 R371</v>
      </c>
      <c r="M598" s="84"/>
      <c r="N598" s="80">
        <v>371</v>
      </c>
      <c r="O598" s="80" t="s">
        <v>2110</v>
      </c>
      <c r="P598" s="79" t="s">
        <v>3300</v>
      </c>
    </row>
    <row r="599" spans="1:16" ht="30" customHeight="1" x14ac:dyDescent="0.3">
      <c r="A599" s="57" t="s">
        <v>771</v>
      </c>
      <c r="B599" s="52" t="s">
        <v>1018</v>
      </c>
      <c r="C599" s="52" t="s">
        <v>68</v>
      </c>
      <c r="D599" s="79" t="str">
        <f t="shared" ca="1" si="49"/>
        <v>원자재</v>
      </c>
      <c r="E599" s="79" t="str">
        <f t="shared" ca="1" si="50"/>
        <v>PR</v>
      </c>
      <c r="F599" s="52" t="s">
        <v>1023</v>
      </c>
      <c r="G599" s="52" t="s">
        <v>3301</v>
      </c>
      <c r="H599" s="79" t="str">
        <f t="shared" si="51"/>
        <v>매칭완료</v>
      </c>
      <c r="I599" s="79" t="str">
        <f t="shared" ca="1" si="52"/>
        <v>3478-PR</v>
      </c>
      <c r="J599" s="61" t="s">
        <v>1023</v>
      </c>
      <c r="K599" s="65" t="s">
        <v>3302</v>
      </c>
      <c r="L599" s="83" t="str">
        <f t="shared" si="48"/>
        <v>→ 조립자재 R372</v>
      </c>
      <c r="M599" s="84"/>
      <c r="N599" s="80">
        <v>372</v>
      </c>
      <c r="O599" s="80" t="s">
        <v>2110</v>
      </c>
      <c r="P599" s="79" t="s">
        <v>3303</v>
      </c>
    </row>
    <row r="600" spans="1:16" ht="30" customHeight="1" x14ac:dyDescent="0.3">
      <c r="A600" s="57" t="s">
        <v>771</v>
      </c>
      <c r="B600" s="52" t="s">
        <v>1018</v>
      </c>
      <c r="C600" s="52" t="s">
        <v>68</v>
      </c>
      <c r="D600" s="79" t="str">
        <f t="shared" ca="1" si="49"/>
        <v>원자재</v>
      </c>
      <c r="E600" s="79" t="str">
        <f t="shared" ca="1" si="50"/>
        <v>PR</v>
      </c>
      <c r="F600" s="52" t="s">
        <v>1025</v>
      </c>
      <c r="G600" s="52" t="s">
        <v>3304</v>
      </c>
      <c r="H600" s="79" t="str">
        <f t="shared" si="51"/>
        <v>매칭완료</v>
      </c>
      <c r="I600" s="79" t="str">
        <f t="shared" ca="1" si="52"/>
        <v>3478-PR</v>
      </c>
      <c r="J600" s="61" t="s">
        <v>1025</v>
      </c>
      <c r="K600" s="65" t="s">
        <v>3305</v>
      </c>
      <c r="L600" s="83" t="str">
        <f t="shared" si="48"/>
        <v>→ 조립자재 R373</v>
      </c>
      <c r="M600" s="84"/>
      <c r="N600" s="80">
        <v>373</v>
      </c>
      <c r="O600" s="80" t="s">
        <v>2110</v>
      </c>
      <c r="P600" s="79" t="s">
        <v>3306</v>
      </c>
    </row>
    <row r="601" spans="1:16" ht="30" customHeight="1" x14ac:dyDescent="0.3">
      <c r="A601" s="57" t="s">
        <v>771</v>
      </c>
      <c r="B601" s="52" t="s">
        <v>1018</v>
      </c>
      <c r="C601" s="52" t="s">
        <v>68</v>
      </c>
      <c r="D601" s="79" t="str">
        <f t="shared" ca="1" si="49"/>
        <v>원자재</v>
      </c>
      <c r="E601" s="79" t="str">
        <f t="shared" ca="1" si="50"/>
        <v>PR</v>
      </c>
      <c r="F601" s="52" t="s">
        <v>1027</v>
      </c>
      <c r="G601" s="52"/>
      <c r="H601" s="79" t="str">
        <f t="shared" ca="1" si="51"/>
        <v>⚠ 원자재_부서보관</v>
      </c>
      <c r="I601" s="79" t="str">
        <f t="shared" ca="1" si="52"/>
        <v>78-PR</v>
      </c>
      <c r="J601" s="61" t="s">
        <v>1027</v>
      </c>
      <c r="K601" s="65" t="s">
        <v>3307</v>
      </c>
      <c r="L601" s="83" t="str">
        <f t="shared" si="48"/>
        <v>→ 조립자재 R374</v>
      </c>
      <c r="M601" s="84"/>
      <c r="N601" s="80">
        <v>374</v>
      </c>
      <c r="O601" s="80" t="s">
        <v>2110</v>
      </c>
      <c r="P601" s="79" t="s">
        <v>3308</v>
      </c>
    </row>
    <row r="602" spans="1:16" ht="30" customHeight="1" x14ac:dyDescent="0.3">
      <c r="A602" s="57" t="s">
        <v>771</v>
      </c>
      <c r="B602" s="52" t="s">
        <v>1018</v>
      </c>
      <c r="C602" s="52" t="s">
        <v>591</v>
      </c>
      <c r="D602" s="79" t="str">
        <f t="shared" ca="1" si="49"/>
        <v>원자재</v>
      </c>
      <c r="E602" s="79" t="str">
        <f t="shared" ca="1" si="50"/>
        <v>PR</v>
      </c>
      <c r="F602" s="52" t="s">
        <v>1569</v>
      </c>
      <c r="G602" s="52" t="s">
        <v>3309</v>
      </c>
      <c r="H602" s="79" t="str">
        <f t="shared" si="51"/>
        <v>매칭완료</v>
      </c>
      <c r="I602" s="79" t="str">
        <f t="shared" ca="1" si="52"/>
        <v>6-PR</v>
      </c>
      <c r="J602" s="65" t="s">
        <v>1569</v>
      </c>
      <c r="K602" s="103" t="s">
        <v>3310</v>
      </c>
      <c r="L602" s="83" t="str">
        <f t="shared" si="48"/>
        <v>→ 조립자재 R375</v>
      </c>
      <c r="M602" s="84"/>
      <c r="N602" s="80">
        <v>375</v>
      </c>
      <c r="O602" s="80" t="s">
        <v>2110</v>
      </c>
      <c r="P602" s="79" t="s">
        <v>3311</v>
      </c>
    </row>
    <row r="603" spans="1:16" ht="30" customHeight="1" x14ac:dyDescent="0.3">
      <c r="A603" s="57" t="s">
        <v>771</v>
      </c>
      <c r="B603" s="52" t="s">
        <v>1018</v>
      </c>
      <c r="C603" s="52" t="s">
        <v>591</v>
      </c>
      <c r="D603" s="79" t="str">
        <f t="shared" ca="1" si="49"/>
        <v>원자재</v>
      </c>
      <c r="E603" s="79" t="str">
        <f t="shared" ca="1" si="50"/>
        <v>PR</v>
      </c>
      <c r="F603" s="52" t="s">
        <v>1030</v>
      </c>
      <c r="G603" s="52"/>
      <c r="H603" s="79" t="str">
        <f t="shared" ca="1" si="51"/>
        <v>⚠ 원자재_부서보관</v>
      </c>
      <c r="I603" s="79" t="str">
        <f t="shared" ca="1" si="52"/>
        <v>6-PR</v>
      </c>
      <c r="J603" s="61" t="s">
        <v>1030</v>
      </c>
      <c r="K603" s="103" t="s">
        <v>3312</v>
      </c>
      <c r="L603" s="83" t="str">
        <f t="shared" si="48"/>
        <v>→ 조립자재 R376</v>
      </c>
      <c r="M603" s="84"/>
      <c r="N603" s="80">
        <v>376</v>
      </c>
      <c r="O603" s="80" t="s">
        <v>2110</v>
      </c>
      <c r="P603" s="79" t="s">
        <v>3313</v>
      </c>
    </row>
    <row r="604" spans="1:16" ht="30" customHeight="1" x14ac:dyDescent="0.3">
      <c r="A604" s="57" t="s">
        <v>771</v>
      </c>
      <c r="B604" s="52" t="s">
        <v>1031</v>
      </c>
      <c r="C604" s="52" t="s">
        <v>68</v>
      </c>
      <c r="D604" s="79" t="str">
        <f t="shared" ca="1" si="49"/>
        <v>원자재</v>
      </c>
      <c r="E604" s="79" t="str">
        <f t="shared" ca="1" si="50"/>
        <v>PR</v>
      </c>
      <c r="F604" s="52" t="s">
        <v>1032</v>
      </c>
      <c r="G604" s="52" t="s">
        <v>3314</v>
      </c>
      <c r="H604" s="79" t="str">
        <f t="shared" si="51"/>
        <v>매칭완료</v>
      </c>
      <c r="I604" s="79" t="str">
        <f t="shared" ca="1" si="52"/>
        <v>3478-PR</v>
      </c>
      <c r="J604" s="65" t="s">
        <v>1032</v>
      </c>
      <c r="K604" s="65" t="s">
        <v>3315</v>
      </c>
      <c r="L604" s="83" t="str">
        <f t="shared" si="48"/>
        <v>→ 조립자재 R377</v>
      </c>
      <c r="M604" s="84"/>
      <c r="N604" s="80">
        <v>377</v>
      </c>
      <c r="O604" s="80" t="s">
        <v>2110</v>
      </c>
      <c r="P604" s="79" t="s">
        <v>3316</v>
      </c>
    </row>
    <row r="605" spans="1:16" ht="30" customHeight="1" x14ac:dyDescent="0.3">
      <c r="A605" s="57" t="s">
        <v>771</v>
      </c>
      <c r="B605" s="52" t="s">
        <v>1031</v>
      </c>
      <c r="C605" s="52" t="s">
        <v>68</v>
      </c>
      <c r="D605" s="79" t="str">
        <f t="shared" ca="1" si="49"/>
        <v>원자재</v>
      </c>
      <c r="E605" s="79" t="str">
        <f t="shared" ca="1" si="50"/>
        <v>PR</v>
      </c>
      <c r="F605" s="52" t="s">
        <v>3317</v>
      </c>
      <c r="G605" s="52"/>
      <c r="H605" s="79" t="str">
        <f t="shared" ca="1" si="51"/>
        <v>⚠ 원자재_부서보관</v>
      </c>
      <c r="I605" s="79" t="str">
        <f t="shared" ca="1" si="52"/>
        <v>78-PR</v>
      </c>
      <c r="J605" s="65" t="s">
        <v>3317</v>
      </c>
      <c r="K605" s="103" t="s">
        <v>3318</v>
      </c>
      <c r="L605" s="83" t="str">
        <f t="shared" si="48"/>
        <v>→ 조립자재 R378</v>
      </c>
      <c r="M605" s="84"/>
      <c r="N605" s="80">
        <v>378</v>
      </c>
      <c r="O605" s="80" t="s">
        <v>2110</v>
      </c>
      <c r="P605" s="79" t="s">
        <v>3319</v>
      </c>
    </row>
    <row r="606" spans="1:16" ht="30" customHeight="1" x14ac:dyDescent="0.3">
      <c r="A606" s="57" t="s">
        <v>771</v>
      </c>
      <c r="B606" s="52" t="s">
        <v>1031</v>
      </c>
      <c r="C606" s="52" t="s">
        <v>195</v>
      </c>
      <c r="D606" s="79" t="str">
        <f t="shared" ca="1" si="49"/>
        <v>원자재</v>
      </c>
      <c r="E606" s="79" t="str">
        <f t="shared" ca="1" si="50"/>
        <v>PR</v>
      </c>
      <c r="F606" s="52" t="s">
        <v>1035</v>
      </c>
      <c r="G606" s="52" t="s">
        <v>3320</v>
      </c>
      <c r="H606" s="79" t="str">
        <f t="shared" si="51"/>
        <v>매칭완료</v>
      </c>
      <c r="I606" s="79" t="str">
        <f t="shared" ca="1" si="52"/>
        <v>3-PR</v>
      </c>
      <c r="J606" s="61" t="s">
        <v>1035</v>
      </c>
      <c r="K606" s="65" t="s">
        <v>3321</v>
      </c>
      <c r="L606" s="83" t="str">
        <f t="shared" si="48"/>
        <v>→ 조립자재 R379</v>
      </c>
      <c r="M606" s="84"/>
      <c r="N606" s="80">
        <v>379</v>
      </c>
      <c r="O606" s="80" t="s">
        <v>2110</v>
      </c>
      <c r="P606" s="79" t="s">
        <v>3322</v>
      </c>
    </row>
    <row r="607" spans="1:16" ht="30" customHeight="1" x14ac:dyDescent="0.3">
      <c r="A607" s="57" t="s">
        <v>771</v>
      </c>
      <c r="B607" s="52" t="s">
        <v>1031</v>
      </c>
      <c r="C607" s="52" t="s">
        <v>198</v>
      </c>
      <c r="D607" s="79" t="str">
        <f t="shared" ca="1" si="49"/>
        <v>원자재</v>
      </c>
      <c r="E607" s="79" t="str">
        <f t="shared" ca="1" si="50"/>
        <v>PR</v>
      </c>
      <c r="F607" s="52" t="s">
        <v>1037</v>
      </c>
      <c r="G607" s="52" t="s">
        <v>3323</v>
      </c>
      <c r="H607" s="79" t="str">
        <f t="shared" si="51"/>
        <v>매칭완료</v>
      </c>
      <c r="I607" s="79" t="str">
        <f t="shared" ca="1" si="52"/>
        <v>4-PR</v>
      </c>
      <c r="J607" s="61" t="s">
        <v>1037</v>
      </c>
      <c r="K607" s="65" t="s">
        <v>3324</v>
      </c>
      <c r="L607" s="83" t="str">
        <f t="shared" si="48"/>
        <v>→ 조립자재 R380</v>
      </c>
      <c r="M607" s="84"/>
      <c r="N607" s="80">
        <v>380</v>
      </c>
      <c r="O607" s="80" t="s">
        <v>2110</v>
      </c>
      <c r="P607" s="79" t="s">
        <v>3325</v>
      </c>
    </row>
    <row r="608" spans="1:16" ht="30" customHeight="1" x14ac:dyDescent="0.3">
      <c r="A608" s="57" t="s">
        <v>771</v>
      </c>
      <c r="B608" s="52" t="s">
        <v>1031</v>
      </c>
      <c r="C608" s="52" t="s">
        <v>591</v>
      </c>
      <c r="D608" s="79" t="str">
        <f t="shared" ca="1" si="49"/>
        <v>원자재</v>
      </c>
      <c r="E608" s="79" t="str">
        <f t="shared" ca="1" si="50"/>
        <v>PR</v>
      </c>
      <c r="F608" s="52" t="s">
        <v>1039</v>
      </c>
      <c r="G608" s="52" t="s">
        <v>3326</v>
      </c>
      <c r="H608" s="79" t="str">
        <f t="shared" si="51"/>
        <v>매칭완료</v>
      </c>
      <c r="I608" s="79" t="str">
        <f t="shared" ca="1" si="52"/>
        <v>6-PR</v>
      </c>
      <c r="J608" s="61" t="s">
        <v>1039</v>
      </c>
      <c r="K608" s="61" t="s">
        <v>3327</v>
      </c>
      <c r="L608" s="83" t="str">
        <f t="shared" si="48"/>
        <v>→ 조립자재 R381</v>
      </c>
      <c r="M608" s="84"/>
      <c r="N608" s="80">
        <v>381</v>
      </c>
      <c r="O608" s="80" t="s">
        <v>2110</v>
      </c>
      <c r="P608" s="79" t="s">
        <v>3328</v>
      </c>
    </row>
    <row r="609" spans="1:16" ht="30" customHeight="1" x14ac:dyDescent="0.3">
      <c r="A609" s="57" t="s">
        <v>771</v>
      </c>
      <c r="B609" s="52" t="s">
        <v>1031</v>
      </c>
      <c r="C609" s="52" t="s">
        <v>68</v>
      </c>
      <c r="D609" s="79" t="str">
        <f t="shared" ca="1" si="49"/>
        <v>원자재</v>
      </c>
      <c r="E609" s="79" t="str">
        <f t="shared" ca="1" si="50"/>
        <v>PR</v>
      </c>
      <c r="F609" s="52" t="s">
        <v>1041</v>
      </c>
      <c r="G609" s="52" t="s">
        <v>3329</v>
      </c>
      <c r="H609" s="79" t="str">
        <f t="shared" si="51"/>
        <v>매칭완료</v>
      </c>
      <c r="I609" s="79" t="str">
        <f t="shared" ca="1" si="52"/>
        <v>34-PR</v>
      </c>
      <c r="J609" s="65" t="s">
        <v>1041</v>
      </c>
      <c r="K609" s="103" t="s">
        <v>1041</v>
      </c>
      <c r="L609" s="83" t="str">
        <f t="shared" si="48"/>
        <v>→ 조립자재 R382</v>
      </c>
      <c r="M609" s="84"/>
      <c r="N609" s="80">
        <v>382</v>
      </c>
      <c r="O609" s="80" t="s">
        <v>2110</v>
      </c>
      <c r="P609" s="79" t="s">
        <v>3330</v>
      </c>
    </row>
    <row r="610" spans="1:16" ht="30" customHeight="1" x14ac:dyDescent="0.3">
      <c r="A610" s="57" t="s">
        <v>771</v>
      </c>
      <c r="B610" s="52" t="s">
        <v>1031</v>
      </c>
      <c r="C610" s="52" t="s">
        <v>68</v>
      </c>
      <c r="D610" s="79" t="str">
        <f t="shared" ca="1" si="49"/>
        <v>원자재</v>
      </c>
      <c r="E610" s="79" t="str">
        <f t="shared" ca="1" si="50"/>
        <v>PR</v>
      </c>
      <c r="F610" s="52" t="s">
        <v>1043</v>
      </c>
      <c r="G610" s="52"/>
      <c r="H610" s="79" t="str">
        <f t="shared" ca="1" si="51"/>
        <v>⚠ 원자재_부서보관</v>
      </c>
      <c r="I610" s="79" t="str">
        <f t="shared" ca="1" si="52"/>
        <v>34-PR</v>
      </c>
      <c r="J610" s="65" t="s">
        <v>1043</v>
      </c>
      <c r="K610" s="65" t="s">
        <v>1043</v>
      </c>
      <c r="L610" s="83" t="str">
        <f t="shared" si="48"/>
        <v>→ 조립자재 R383</v>
      </c>
      <c r="M610" s="84"/>
      <c r="N610" s="80">
        <v>383</v>
      </c>
      <c r="O610" s="80" t="s">
        <v>2110</v>
      </c>
      <c r="P610" s="79" t="s">
        <v>3331</v>
      </c>
    </row>
    <row r="611" spans="1:16" ht="30" customHeight="1" x14ac:dyDescent="0.3">
      <c r="A611" s="57" t="s">
        <v>771</v>
      </c>
      <c r="B611" s="52" t="s">
        <v>1031</v>
      </c>
      <c r="C611" s="52" t="s">
        <v>195</v>
      </c>
      <c r="D611" s="79" t="str">
        <f t="shared" ca="1" si="49"/>
        <v>원자재</v>
      </c>
      <c r="E611" s="79" t="str">
        <f t="shared" ca="1" si="50"/>
        <v>PR</v>
      </c>
      <c r="F611" s="52" t="s">
        <v>1044</v>
      </c>
      <c r="G611" s="52" t="s">
        <v>3332</v>
      </c>
      <c r="H611" s="79" t="str">
        <f t="shared" si="51"/>
        <v>매칭완료</v>
      </c>
      <c r="I611" s="79" t="str">
        <f t="shared" ca="1" si="52"/>
        <v>3-PR</v>
      </c>
      <c r="J611" s="65" t="s">
        <v>1044</v>
      </c>
      <c r="K611" s="103" t="s">
        <v>3333</v>
      </c>
      <c r="L611" s="83" t="str">
        <f t="shared" si="48"/>
        <v>→ 조립자재 R384</v>
      </c>
      <c r="M611" s="84"/>
      <c r="N611" s="80">
        <v>384</v>
      </c>
      <c r="O611" s="80" t="s">
        <v>2110</v>
      </c>
      <c r="P611" s="79" t="s">
        <v>3334</v>
      </c>
    </row>
    <row r="612" spans="1:16" ht="30" customHeight="1" x14ac:dyDescent="0.3">
      <c r="A612" s="57" t="s">
        <v>771</v>
      </c>
      <c r="B612" s="52" t="s">
        <v>1046</v>
      </c>
      <c r="C612" s="52" t="s">
        <v>195</v>
      </c>
      <c r="D612" s="79" t="str">
        <f t="shared" ca="1" si="49"/>
        <v>원자재</v>
      </c>
      <c r="E612" s="79" t="str">
        <f t="shared" ca="1" si="50"/>
        <v>PR</v>
      </c>
      <c r="F612" s="52" t="s">
        <v>1047</v>
      </c>
      <c r="G612" s="52" t="s">
        <v>3335</v>
      </c>
      <c r="H612" s="79" t="str">
        <f t="shared" si="51"/>
        <v>매칭완료</v>
      </c>
      <c r="I612" s="79" t="str">
        <f t="shared" ca="1" si="52"/>
        <v>3-PR</v>
      </c>
      <c r="J612" s="65" t="s">
        <v>1047</v>
      </c>
      <c r="K612" s="103" t="s">
        <v>3336</v>
      </c>
      <c r="L612" s="83" t="str">
        <f t="shared" si="48"/>
        <v>→ 조립자재 R385</v>
      </c>
      <c r="M612" s="84"/>
      <c r="N612" s="80">
        <v>385</v>
      </c>
      <c r="O612" s="80" t="s">
        <v>2110</v>
      </c>
      <c r="P612" s="79" t="s">
        <v>3337</v>
      </c>
    </row>
    <row r="613" spans="1:16" ht="30" customHeight="1" x14ac:dyDescent="0.3">
      <c r="A613" s="57" t="s">
        <v>771</v>
      </c>
      <c r="B613" s="52" t="s">
        <v>1046</v>
      </c>
      <c r="C613" s="52" t="s">
        <v>195</v>
      </c>
      <c r="D613" s="79" t="str">
        <f t="shared" ca="1" si="49"/>
        <v>원자재</v>
      </c>
      <c r="E613" s="79" t="str">
        <f t="shared" ca="1" si="50"/>
        <v>PR</v>
      </c>
      <c r="F613" s="52" t="s">
        <v>1049</v>
      </c>
      <c r="G613" s="52" t="s">
        <v>3338</v>
      </c>
      <c r="H613" s="79" t="str">
        <f t="shared" si="51"/>
        <v>매칭완료</v>
      </c>
      <c r="I613" s="79" t="str">
        <f t="shared" ca="1" si="52"/>
        <v>3-PR</v>
      </c>
      <c r="J613" s="65" t="s">
        <v>1049</v>
      </c>
      <c r="K613" s="103" t="s">
        <v>3339</v>
      </c>
      <c r="L613" s="83" t="str">
        <f t="shared" si="48"/>
        <v>→ 조립자재 R386</v>
      </c>
      <c r="M613" s="84"/>
      <c r="N613" s="80">
        <v>386</v>
      </c>
      <c r="O613" s="80" t="s">
        <v>2110</v>
      </c>
      <c r="P613" s="79" t="s">
        <v>3340</v>
      </c>
    </row>
    <row r="614" spans="1:16" ht="30" customHeight="1" x14ac:dyDescent="0.3">
      <c r="A614" s="57" t="s">
        <v>771</v>
      </c>
      <c r="B614" s="52" t="s">
        <v>1046</v>
      </c>
      <c r="C614" s="52" t="s">
        <v>195</v>
      </c>
      <c r="D614" s="79" t="str">
        <f t="shared" ca="1" si="49"/>
        <v>원자재</v>
      </c>
      <c r="E614" s="79" t="str">
        <f t="shared" ca="1" si="50"/>
        <v>PR</v>
      </c>
      <c r="F614" s="52" t="s">
        <v>1051</v>
      </c>
      <c r="G614" s="52" t="s">
        <v>3341</v>
      </c>
      <c r="H614" s="79" t="str">
        <f t="shared" si="51"/>
        <v>매칭완료</v>
      </c>
      <c r="I614" s="79" t="str">
        <f t="shared" ca="1" si="52"/>
        <v>3-PR</v>
      </c>
      <c r="J614" s="65" t="s">
        <v>1051</v>
      </c>
      <c r="K614" s="103" t="s">
        <v>3342</v>
      </c>
      <c r="L614" s="83" t="str">
        <f t="shared" si="48"/>
        <v>→ 조립자재 R387</v>
      </c>
      <c r="M614" s="84"/>
      <c r="N614" s="80">
        <v>387</v>
      </c>
      <c r="O614" s="80" t="s">
        <v>2110</v>
      </c>
      <c r="P614" s="79" t="s">
        <v>3343</v>
      </c>
    </row>
    <row r="615" spans="1:16" ht="30" customHeight="1" x14ac:dyDescent="0.3">
      <c r="A615" s="57" t="s">
        <v>771</v>
      </c>
      <c r="B615" s="52" t="s">
        <v>1046</v>
      </c>
      <c r="C615" s="52" t="s">
        <v>198</v>
      </c>
      <c r="D615" s="79" t="str">
        <f t="shared" ca="1" si="49"/>
        <v>원자재</v>
      </c>
      <c r="E615" s="79" t="str">
        <f t="shared" ca="1" si="50"/>
        <v>PR</v>
      </c>
      <c r="F615" s="52" t="s">
        <v>1053</v>
      </c>
      <c r="G615" s="52" t="s">
        <v>3344</v>
      </c>
      <c r="H615" s="79" t="str">
        <f t="shared" si="51"/>
        <v>매칭완료</v>
      </c>
      <c r="I615" s="79" t="str">
        <f t="shared" ca="1" si="52"/>
        <v>4-PR</v>
      </c>
      <c r="J615" s="65" t="s">
        <v>1053</v>
      </c>
      <c r="K615" s="103" t="s">
        <v>3345</v>
      </c>
      <c r="L615" s="83" t="str">
        <f t="shared" si="48"/>
        <v>→ 조립자재 R388</v>
      </c>
      <c r="M615" s="84"/>
      <c r="N615" s="80">
        <v>388</v>
      </c>
      <c r="O615" s="80" t="s">
        <v>2110</v>
      </c>
      <c r="P615" s="79" t="s">
        <v>3346</v>
      </c>
    </row>
    <row r="616" spans="1:16" ht="30" customHeight="1" x14ac:dyDescent="0.3">
      <c r="A616" s="57" t="s">
        <v>771</v>
      </c>
      <c r="B616" s="52" t="s">
        <v>1055</v>
      </c>
      <c r="C616" s="52" t="s">
        <v>68</v>
      </c>
      <c r="D616" s="79" t="str">
        <f t="shared" ca="1" si="49"/>
        <v>원자재</v>
      </c>
      <c r="E616" s="79" t="str">
        <f t="shared" ca="1" si="50"/>
        <v>PR</v>
      </c>
      <c r="F616" s="52" t="s">
        <v>1056</v>
      </c>
      <c r="G616" s="52" t="s">
        <v>3347</v>
      </c>
      <c r="H616" s="79" t="str">
        <f t="shared" si="51"/>
        <v>매칭완료</v>
      </c>
      <c r="I616" s="79" t="str">
        <f t="shared" ca="1" si="52"/>
        <v>3-PR</v>
      </c>
      <c r="J616" s="61" t="s">
        <v>1056</v>
      </c>
      <c r="K616" s="65" t="s">
        <v>3348</v>
      </c>
      <c r="L616" s="83" t="str">
        <f t="shared" si="48"/>
        <v>→ 조립자재 R389</v>
      </c>
      <c r="M616" s="84"/>
      <c r="N616" s="80">
        <v>389</v>
      </c>
      <c r="O616" s="80" t="s">
        <v>2110</v>
      </c>
      <c r="P616" s="79" t="s">
        <v>3349</v>
      </c>
    </row>
    <row r="617" spans="1:16" ht="30" customHeight="1" x14ac:dyDescent="0.3">
      <c r="A617" s="57" t="s">
        <v>771</v>
      </c>
      <c r="B617" s="52" t="s">
        <v>1055</v>
      </c>
      <c r="C617" s="52" t="s">
        <v>2357</v>
      </c>
      <c r="D617" s="79" t="str">
        <f t="shared" ca="1" si="49"/>
        <v>원자재</v>
      </c>
      <c r="E617" s="79" t="str">
        <f t="shared" ca="1" si="50"/>
        <v>PR</v>
      </c>
      <c r="F617" s="52" t="s">
        <v>1058</v>
      </c>
      <c r="G617" s="52" t="s">
        <v>3350</v>
      </c>
      <c r="H617" s="79" t="str">
        <f t="shared" si="51"/>
        <v>매칭완료</v>
      </c>
      <c r="I617" s="79" t="str">
        <f t="shared" ca="1" si="52"/>
        <v>4-PR</v>
      </c>
      <c r="J617" s="65" t="s">
        <v>1058</v>
      </c>
      <c r="K617" s="103" t="s">
        <v>3351</v>
      </c>
      <c r="L617" s="83" t="str">
        <f t="shared" si="48"/>
        <v>→ 조립자재 R390</v>
      </c>
      <c r="M617" s="84"/>
      <c r="N617" s="80">
        <v>390</v>
      </c>
      <c r="O617" s="80" t="s">
        <v>2110</v>
      </c>
      <c r="P617" s="79" t="s">
        <v>3352</v>
      </c>
    </row>
    <row r="618" spans="1:16" ht="30" customHeight="1" x14ac:dyDescent="0.3">
      <c r="A618" s="57" t="s">
        <v>771</v>
      </c>
      <c r="B618" s="52" t="s">
        <v>1055</v>
      </c>
      <c r="C618" s="52" t="s">
        <v>2357</v>
      </c>
      <c r="D618" s="79" t="str">
        <f t="shared" ca="1" si="49"/>
        <v>원자재</v>
      </c>
      <c r="E618" s="79" t="str">
        <f t="shared" ca="1" si="50"/>
        <v>PR</v>
      </c>
      <c r="F618" s="52" t="s">
        <v>1060</v>
      </c>
      <c r="G618" s="52"/>
      <c r="H618" s="79" t="str">
        <f t="shared" ca="1" si="51"/>
        <v>⚠ 원자재_부서보관</v>
      </c>
      <c r="I618" s="79" t="str">
        <f t="shared" ca="1" si="52"/>
        <v>4-PR</v>
      </c>
      <c r="J618" s="65" t="s">
        <v>1060</v>
      </c>
      <c r="K618" s="65" t="s">
        <v>3353</v>
      </c>
      <c r="L618" s="83" t="str">
        <f t="shared" si="48"/>
        <v>→ 조립자재 R391</v>
      </c>
      <c r="M618" s="84"/>
      <c r="N618" s="80">
        <v>391</v>
      </c>
      <c r="O618" s="80" t="s">
        <v>2110</v>
      </c>
      <c r="P618" s="79" t="s">
        <v>3354</v>
      </c>
    </row>
    <row r="619" spans="1:16" ht="30" customHeight="1" x14ac:dyDescent="0.3">
      <c r="A619" s="57" t="s">
        <v>771</v>
      </c>
      <c r="B619" s="52" t="s">
        <v>1055</v>
      </c>
      <c r="C619" s="52" t="s">
        <v>3355</v>
      </c>
      <c r="D619" s="79" t="str">
        <f t="shared" ca="1" si="49"/>
        <v>원자재</v>
      </c>
      <c r="E619" s="79" t="str">
        <f t="shared" ca="1" si="50"/>
        <v>PR</v>
      </c>
      <c r="F619" s="52" t="s">
        <v>1062</v>
      </c>
      <c r="G619" s="52" t="s">
        <v>3356</v>
      </c>
      <c r="H619" s="79" t="str">
        <f t="shared" si="51"/>
        <v>매칭완료</v>
      </c>
      <c r="I619" s="79" t="str">
        <f t="shared" ca="1" si="52"/>
        <v>37-PR</v>
      </c>
      <c r="J619" s="65" t="s">
        <v>1062</v>
      </c>
      <c r="K619" s="61" t="s">
        <v>3357</v>
      </c>
      <c r="L619" s="83" t="str">
        <f t="shared" si="48"/>
        <v>→ 조립자재 R392</v>
      </c>
      <c r="M619" s="84"/>
      <c r="N619" s="80">
        <v>392</v>
      </c>
      <c r="O619" s="80" t="s">
        <v>2110</v>
      </c>
      <c r="P619" s="79" t="s">
        <v>3358</v>
      </c>
    </row>
    <row r="620" spans="1:16" ht="30" customHeight="1" x14ac:dyDescent="0.3">
      <c r="A620" s="57" t="s">
        <v>771</v>
      </c>
      <c r="B620" s="52" t="s">
        <v>1055</v>
      </c>
      <c r="C620" s="52" t="s">
        <v>68</v>
      </c>
      <c r="D620" s="79" t="str">
        <f t="shared" ca="1" si="49"/>
        <v>원자재</v>
      </c>
      <c r="E620" s="79" t="str">
        <f t="shared" ca="1" si="50"/>
        <v>PR</v>
      </c>
      <c r="F620" s="52" t="s">
        <v>1064</v>
      </c>
      <c r="G620" s="52"/>
      <c r="H620" s="79" t="str">
        <f t="shared" ca="1" si="51"/>
        <v>⚠ 원자재_부서보관</v>
      </c>
      <c r="I620" s="79" t="str">
        <f t="shared" ca="1" si="52"/>
        <v>34678-PR</v>
      </c>
      <c r="J620" s="65" t="s">
        <v>1064</v>
      </c>
      <c r="K620" s="103" t="s">
        <v>3359</v>
      </c>
      <c r="L620" s="83" t="str">
        <f t="shared" si="48"/>
        <v>→ 조립자재 R393</v>
      </c>
      <c r="M620" s="84"/>
      <c r="N620" s="80">
        <v>393</v>
      </c>
      <c r="O620" s="80" t="s">
        <v>2110</v>
      </c>
      <c r="P620" s="79" t="s">
        <v>3360</v>
      </c>
    </row>
    <row r="621" spans="1:16" ht="30" customHeight="1" x14ac:dyDescent="0.3">
      <c r="A621" s="57" t="s">
        <v>771</v>
      </c>
      <c r="B621" s="52" t="s">
        <v>1055</v>
      </c>
      <c r="C621" s="52" t="s">
        <v>68</v>
      </c>
      <c r="D621" s="79" t="str">
        <f t="shared" ca="1" si="49"/>
        <v>원자재</v>
      </c>
      <c r="E621" s="79" t="str">
        <f t="shared" ca="1" si="50"/>
        <v>PR</v>
      </c>
      <c r="F621" s="52" t="s">
        <v>1065</v>
      </c>
      <c r="G621" s="52" t="s">
        <v>3361</v>
      </c>
      <c r="H621" s="79" t="str">
        <f t="shared" si="51"/>
        <v>매칭완료</v>
      </c>
      <c r="I621" s="79" t="str">
        <f t="shared" ca="1" si="52"/>
        <v>346-PR</v>
      </c>
      <c r="J621" s="61" t="s">
        <v>1065</v>
      </c>
      <c r="K621" s="61" t="s">
        <v>3362</v>
      </c>
      <c r="L621" s="83" t="str">
        <f t="shared" si="48"/>
        <v>→ 조립자재 R394</v>
      </c>
      <c r="M621" s="84"/>
      <c r="N621" s="80">
        <v>394</v>
      </c>
      <c r="O621" s="80" t="s">
        <v>2110</v>
      </c>
      <c r="P621" s="79" t="s">
        <v>3363</v>
      </c>
    </row>
    <row r="622" spans="1:16" ht="30" customHeight="1" x14ac:dyDescent="0.3">
      <c r="A622" s="57" t="s">
        <v>771</v>
      </c>
      <c r="B622" s="52" t="s">
        <v>1055</v>
      </c>
      <c r="C622" s="52" t="s">
        <v>68</v>
      </c>
      <c r="D622" s="79" t="str">
        <f t="shared" ca="1" si="49"/>
        <v>원자재</v>
      </c>
      <c r="E622" s="79" t="str">
        <f t="shared" ca="1" si="50"/>
        <v>PR</v>
      </c>
      <c r="F622" s="52" t="s">
        <v>1067</v>
      </c>
      <c r="G622" s="52" t="s">
        <v>3364</v>
      </c>
      <c r="H622" s="79" t="str">
        <f t="shared" si="51"/>
        <v>매칭완료</v>
      </c>
      <c r="I622" s="79" t="str">
        <f t="shared" ca="1" si="52"/>
        <v>3-PR</v>
      </c>
      <c r="J622" s="61" t="s">
        <v>1067</v>
      </c>
      <c r="K622" s="61" t="s">
        <v>3365</v>
      </c>
      <c r="L622" s="83" t="str">
        <f t="shared" si="48"/>
        <v>→ 조립자재 R395</v>
      </c>
      <c r="M622" s="84"/>
      <c r="N622" s="80">
        <v>395</v>
      </c>
      <c r="O622" s="80" t="s">
        <v>2110</v>
      </c>
      <c r="P622" s="79" t="s">
        <v>3366</v>
      </c>
    </row>
    <row r="623" spans="1:16" ht="30" customHeight="1" x14ac:dyDescent="0.3">
      <c r="A623" s="57" t="s">
        <v>771</v>
      </c>
      <c r="B623" s="52" t="s">
        <v>1055</v>
      </c>
      <c r="C623" s="52" t="s">
        <v>68</v>
      </c>
      <c r="D623" s="79" t="str">
        <f t="shared" ca="1" si="49"/>
        <v>원자재</v>
      </c>
      <c r="E623" s="79" t="str">
        <f t="shared" ca="1" si="50"/>
        <v>PR</v>
      </c>
      <c r="F623" s="52" t="s">
        <v>1069</v>
      </c>
      <c r="G623" s="52" t="s">
        <v>3367</v>
      </c>
      <c r="H623" s="79" t="str">
        <f t="shared" si="51"/>
        <v>매칭완료</v>
      </c>
      <c r="I623" s="79" t="str">
        <f t="shared" ca="1" si="52"/>
        <v>4-PR</v>
      </c>
      <c r="J623" s="65" t="s">
        <v>1069</v>
      </c>
      <c r="K623" s="103" t="s">
        <v>3368</v>
      </c>
      <c r="L623" s="83" t="str">
        <f t="shared" si="48"/>
        <v>→ 조립자재 R396</v>
      </c>
      <c r="M623" s="84"/>
      <c r="N623" s="80">
        <v>396</v>
      </c>
      <c r="O623" s="80" t="s">
        <v>2110</v>
      </c>
      <c r="P623" s="79" t="s">
        <v>3369</v>
      </c>
    </row>
    <row r="624" spans="1:16" ht="30" customHeight="1" x14ac:dyDescent="0.3">
      <c r="A624" s="57" t="s">
        <v>771</v>
      </c>
      <c r="B624" s="52" t="s">
        <v>1055</v>
      </c>
      <c r="C624" s="52" t="s">
        <v>68</v>
      </c>
      <c r="D624" s="79" t="str">
        <f t="shared" ca="1" si="49"/>
        <v>원자재</v>
      </c>
      <c r="E624" s="79" t="str">
        <f t="shared" ca="1" si="50"/>
        <v>PR</v>
      </c>
      <c r="F624" s="52" t="s">
        <v>1071</v>
      </c>
      <c r="G624" s="52" t="s">
        <v>3370</v>
      </c>
      <c r="H624" s="79" t="str">
        <f t="shared" si="51"/>
        <v>매칭완료</v>
      </c>
      <c r="I624" s="79" t="str">
        <f t="shared" ca="1" si="52"/>
        <v>37-PR</v>
      </c>
      <c r="J624" s="65" t="s">
        <v>1071</v>
      </c>
      <c r="K624" s="65" t="s">
        <v>3371</v>
      </c>
      <c r="L624" s="83" t="str">
        <f t="shared" si="48"/>
        <v>→ 조립자재 R397</v>
      </c>
      <c r="M624" s="84"/>
      <c r="N624" s="80">
        <v>397</v>
      </c>
      <c r="O624" s="80" t="s">
        <v>2110</v>
      </c>
      <c r="P624" s="79" t="s">
        <v>3372</v>
      </c>
    </row>
    <row r="625" spans="1:16" ht="30" customHeight="1" x14ac:dyDescent="0.3">
      <c r="A625" s="57" t="s">
        <v>771</v>
      </c>
      <c r="B625" s="52" t="s">
        <v>1055</v>
      </c>
      <c r="C625" s="52" t="s">
        <v>68</v>
      </c>
      <c r="D625" s="79" t="str">
        <f t="shared" ca="1" si="49"/>
        <v>원자재</v>
      </c>
      <c r="E625" s="79" t="str">
        <f t="shared" ca="1" si="50"/>
        <v>PR</v>
      </c>
      <c r="F625" s="52" t="s">
        <v>1073</v>
      </c>
      <c r="G625" s="52" t="s">
        <v>3373</v>
      </c>
      <c r="H625" s="79" t="str">
        <f t="shared" si="51"/>
        <v>매칭완료</v>
      </c>
      <c r="I625" s="79" t="str">
        <f t="shared" ca="1" si="52"/>
        <v>34678-PR</v>
      </c>
      <c r="J625" s="65" t="s">
        <v>1073</v>
      </c>
      <c r="K625" s="103" t="s">
        <v>3374</v>
      </c>
      <c r="L625" s="83" t="str">
        <f t="shared" si="48"/>
        <v>→ 조립자재 R398</v>
      </c>
      <c r="M625" s="84"/>
      <c r="N625" s="80">
        <v>398</v>
      </c>
      <c r="O625" s="80" t="s">
        <v>2110</v>
      </c>
      <c r="P625" s="79" t="s">
        <v>3375</v>
      </c>
    </row>
    <row r="626" spans="1:16" ht="30" customHeight="1" x14ac:dyDescent="0.3">
      <c r="A626" s="57" t="s">
        <v>771</v>
      </c>
      <c r="B626" s="52" t="s">
        <v>1055</v>
      </c>
      <c r="C626" s="52" t="s">
        <v>591</v>
      </c>
      <c r="D626" s="79" t="str">
        <f t="shared" ca="1" si="49"/>
        <v>원자재</v>
      </c>
      <c r="E626" s="79" t="str">
        <f t="shared" ca="1" si="50"/>
        <v>PR</v>
      </c>
      <c r="F626" s="52" t="s">
        <v>1075</v>
      </c>
      <c r="G626" s="52" t="s">
        <v>3376</v>
      </c>
      <c r="H626" s="79" t="str">
        <f t="shared" si="51"/>
        <v>매칭완료</v>
      </c>
      <c r="I626" s="79" t="str">
        <f t="shared" ca="1" si="52"/>
        <v>6-PR</v>
      </c>
      <c r="J626" s="65" t="s">
        <v>1075</v>
      </c>
      <c r="K626" s="103" t="s">
        <v>3376</v>
      </c>
      <c r="L626" s="83" t="str">
        <f t="shared" ref="L626:L686" si="53">HYPERLINK("#'"&amp;$O626&amp;"'!A"&amp;$N626,"→ 조립자재 R"&amp;$N626)</f>
        <v>→ 조립자재 R399</v>
      </c>
      <c r="M626" s="84"/>
      <c r="N626" s="80">
        <v>399</v>
      </c>
      <c r="O626" s="80" t="s">
        <v>2110</v>
      </c>
      <c r="P626" s="79" t="s">
        <v>3377</v>
      </c>
    </row>
    <row r="627" spans="1:16" ht="30" customHeight="1" x14ac:dyDescent="0.3">
      <c r="A627" s="57" t="s">
        <v>771</v>
      </c>
      <c r="B627" s="52" t="s">
        <v>1055</v>
      </c>
      <c r="C627" s="52" t="s">
        <v>591</v>
      </c>
      <c r="D627" s="79" t="str">
        <f t="shared" ca="1" si="49"/>
        <v>원자재</v>
      </c>
      <c r="E627" s="79" t="str">
        <f t="shared" ca="1" si="50"/>
        <v>PR</v>
      </c>
      <c r="F627" s="52" t="s">
        <v>1077</v>
      </c>
      <c r="G627" s="52" t="s">
        <v>3378</v>
      </c>
      <c r="H627" s="79" t="str">
        <f t="shared" si="51"/>
        <v>매칭완료</v>
      </c>
      <c r="I627" s="79" t="str">
        <f t="shared" ca="1" si="52"/>
        <v>6-PR</v>
      </c>
      <c r="J627" s="65" t="s">
        <v>1077</v>
      </c>
      <c r="K627" s="103" t="s">
        <v>3379</v>
      </c>
      <c r="L627" s="83" t="str">
        <f t="shared" si="53"/>
        <v>→ 조립자재 R400</v>
      </c>
      <c r="M627" s="84"/>
      <c r="N627" s="80">
        <v>400</v>
      </c>
      <c r="O627" s="80" t="s">
        <v>2110</v>
      </c>
      <c r="P627" s="79" t="s">
        <v>3380</v>
      </c>
    </row>
    <row r="628" spans="1:16" ht="30" customHeight="1" x14ac:dyDescent="0.3">
      <c r="A628" s="57" t="s">
        <v>771</v>
      </c>
      <c r="B628" s="52" t="s">
        <v>1055</v>
      </c>
      <c r="C628" s="52" t="s">
        <v>591</v>
      </c>
      <c r="D628" s="79" t="str">
        <f t="shared" ca="1" si="49"/>
        <v>원자재</v>
      </c>
      <c r="E628" s="79" t="str">
        <f t="shared" ca="1" si="50"/>
        <v>PR</v>
      </c>
      <c r="F628" s="52" t="s">
        <v>1079</v>
      </c>
      <c r="G628" s="52"/>
      <c r="H628" s="79" t="str">
        <f t="shared" ca="1" si="51"/>
        <v>⚠ 원자재_부서보관</v>
      </c>
      <c r="I628" s="79" t="str">
        <f t="shared" ca="1" si="52"/>
        <v>6-PR</v>
      </c>
      <c r="J628" s="65" t="s">
        <v>1079</v>
      </c>
      <c r="K628" s="103" t="s">
        <v>3381</v>
      </c>
      <c r="L628" s="83" t="str">
        <f t="shared" si="53"/>
        <v>→ 조립자재 R401</v>
      </c>
      <c r="M628" s="84"/>
      <c r="N628" s="80">
        <v>401</v>
      </c>
      <c r="O628" s="80" t="s">
        <v>2110</v>
      </c>
      <c r="P628" s="79" t="s">
        <v>3382</v>
      </c>
    </row>
    <row r="629" spans="1:16" ht="30" customHeight="1" x14ac:dyDescent="0.3">
      <c r="A629" s="57" t="s">
        <v>771</v>
      </c>
      <c r="B629" s="52" t="s">
        <v>1055</v>
      </c>
      <c r="C629" s="52" t="s">
        <v>591</v>
      </c>
      <c r="D629" s="79" t="str">
        <f t="shared" ca="1" si="49"/>
        <v>원자재</v>
      </c>
      <c r="E629" s="79" t="str">
        <f t="shared" ca="1" si="50"/>
        <v>PR</v>
      </c>
      <c r="F629" s="52" t="s">
        <v>1080</v>
      </c>
      <c r="G629" s="52" t="s">
        <v>3383</v>
      </c>
      <c r="H629" s="79" t="str">
        <f t="shared" si="51"/>
        <v>매칭완료</v>
      </c>
      <c r="I629" s="79" t="str">
        <f t="shared" ca="1" si="52"/>
        <v>6-PR</v>
      </c>
      <c r="J629" s="65" t="s">
        <v>1080</v>
      </c>
      <c r="K629" s="103" t="s">
        <v>3384</v>
      </c>
      <c r="L629" s="83" t="str">
        <f t="shared" si="53"/>
        <v>→ 조립자재 R402</v>
      </c>
      <c r="M629" s="84"/>
      <c r="N629" s="80">
        <v>402</v>
      </c>
      <c r="O629" s="80" t="s">
        <v>2110</v>
      </c>
      <c r="P629" s="79" t="s">
        <v>3385</v>
      </c>
    </row>
    <row r="630" spans="1:16" ht="30" customHeight="1" x14ac:dyDescent="0.3">
      <c r="A630" s="57" t="s">
        <v>771</v>
      </c>
      <c r="B630" s="52" t="s">
        <v>1055</v>
      </c>
      <c r="C630" s="52" t="s">
        <v>117</v>
      </c>
      <c r="D630" s="79" t="str">
        <f t="shared" ca="1" si="49"/>
        <v>원자재</v>
      </c>
      <c r="E630" s="79" t="str">
        <f t="shared" ca="1" si="50"/>
        <v>PR</v>
      </c>
      <c r="F630" s="52" t="s">
        <v>1082</v>
      </c>
      <c r="G630" s="52" t="s">
        <v>3386</v>
      </c>
      <c r="H630" s="79" t="str">
        <f t="shared" si="51"/>
        <v>매칭완료</v>
      </c>
      <c r="I630" s="79" t="str">
        <f t="shared" ca="1" si="52"/>
        <v>6-PR</v>
      </c>
      <c r="J630" s="65" t="s">
        <v>1082</v>
      </c>
      <c r="K630" s="103" t="s">
        <v>1082</v>
      </c>
      <c r="L630" s="83" t="str">
        <f t="shared" si="53"/>
        <v>→ 조립자재 R403</v>
      </c>
      <c r="M630" s="84"/>
      <c r="N630" s="80">
        <v>403</v>
      </c>
      <c r="O630" s="80" t="s">
        <v>2110</v>
      </c>
      <c r="P630" s="79" t="s">
        <v>3387</v>
      </c>
    </row>
    <row r="631" spans="1:16" ht="30" customHeight="1" x14ac:dyDescent="0.3">
      <c r="A631" s="57" t="s">
        <v>771</v>
      </c>
      <c r="B631" s="52" t="s">
        <v>1055</v>
      </c>
      <c r="C631" s="52" t="s">
        <v>591</v>
      </c>
      <c r="D631" s="79" t="str">
        <f t="shared" ca="1" si="49"/>
        <v>원자재</v>
      </c>
      <c r="E631" s="79" t="str">
        <f t="shared" ca="1" si="50"/>
        <v>PR</v>
      </c>
      <c r="F631" s="52" t="s">
        <v>1084</v>
      </c>
      <c r="G631" s="52"/>
      <c r="H631" s="79" t="str">
        <f t="shared" ca="1" si="51"/>
        <v>⚠ 원자재_부서보관</v>
      </c>
      <c r="I631" s="79" t="str">
        <f t="shared" ca="1" si="52"/>
        <v>6-PR</v>
      </c>
      <c r="J631" s="65" t="s">
        <v>1084</v>
      </c>
      <c r="K631" s="103" t="s">
        <v>3388</v>
      </c>
      <c r="L631" s="83" t="str">
        <f t="shared" si="53"/>
        <v>→ 조립자재 R404</v>
      </c>
      <c r="M631" s="84"/>
      <c r="N631" s="80">
        <v>404</v>
      </c>
      <c r="O631" s="80" t="s">
        <v>2110</v>
      </c>
      <c r="P631" s="79" t="s">
        <v>3389</v>
      </c>
    </row>
    <row r="632" spans="1:16" ht="30" customHeight="1" x14ac:dyDescent="0.3">
      <c r="A632" s="57" t="s">
        <v>771</v>
      </c>
      <c r="B632" s="52" t="s">
        <v>1055</v>
      </c>
      <c r="C632" s="52" t="s">
        <v>591</v>
      </c>
      <c r="D632" s="79" t="str">
        <f t="shared" ca="1" si="49"/>
        <v>원자재</v>
      </c>
      <c r="E632" s="79" t="str">
        <f t="shared" ca="1" si="50"/>
        <v>PR</v>
      </c>
      <c r="F632" s="52" t="s">
        <v>1085</v>
      </c>
      <c r="G632" s="52" t="s">
        <v>3390</v>
      </c>
      <c r="H632" s="79" t="str">
        <f t="shared" si="51"/>
        <v>매칭완료</v>
      </c>
      <c r="I632" s="79" t="str">
        <f t="shared" ca="1" si="52"/>
        <v>6-PR</v>
      </c>
      <c r="J632" s="65" t="s">
        <v>1085</v>
      </c>
      <c r="K632" s="103" t="s">
        <v>1085</v>
      </c>
      <c r="L632" s="83" t="str">
        <f t="shared" si="53"/>
        <v>→ 조립자재 R405</v>
      </c>
      <c r="M632" s="84"/>
      <c r="N632" s="80">
        <v>405</v>
      </c>
      <c r="O632" s="80" t="s">
        <v>2110</v>
      </c>
      <c r="P632" s="79" t="s">
        <v>3391</v>
      </c>
    </row>
    <row r="633" spans="1:16" ht="30" customHeight="1" x14ac:dyDescent="0.3">
      <c r="A633" s="57" t="s">
        <v>771</v>
      </c>
      <c r="B633" s="52" t="s">
        <v>1055</v>
      </c>
      <c r="C633" s="52" t="s">
        <v>591</v>
      </c>
      <c r="D633" s="79" t="str">
        <f t="shared" ca="1" si="49"/>
        <v>원자재</v>
      </c>
      <c r="E633" s="79" t="str">
        <f t="shared" ca="1" si="50"/>
        <v>PR</v>
      </c>
      <c r="F633" s="52" t="s">
        <v>1087</v>
      </c>
      <c r="G633" s="52" t="s">
        <v>3392</v>
      </c>
      <c r="H633" s="79" t="str">
        <f t="shared" si="51"/>
        <v>매칭완료</v>
      </c>
      <c r="I633" s="79" t="str">
        <f t="shared" ca="1" si="52"/>
        <v>6-PR</v>
      </c>
      <c r="J633" s="65" t="s">
        <v>1087</v>
      </c>
      <c r="K633" s="103" t="s">
        <v>1087</v>
      </c>
      <c r="L633" s="83" t="str">
        <f t="shared" si="53"/>
        <v>→ 조립자재 R406</v>
      </c>
      <c r="M633" s="84"/>
      <c r="N633" s="80">
        <v>406</v>
      </c>
      <c r="O633" s="80" t="s">
        <v>2110</v>
      </c>
      <c r="P633" s="79" t="s">
        <v>3393</v>
      </c>
    </row>
    <row r="634" spans="1:16" ht="30" customHeight="1" x14ac:dyDescent="0.3">
      <c r="A634" s="57" t="s">
        <v>771</v>
      </c>
      <c r="B634" s="52" t="s">
        <v>1055</v>
      </c>
      <c r="C634" s="52" t="s">
        <v>591</v>
      </c>
      <c r="D634" s="79" t="str">
        <f t="shared" ca="1" si="49"/>
        <v>원자재</v>
      </c>
      <c r="E634" s="79" t="str">
        <f t="shared" ca="1" si="50"/>
        <v>PR</v>
      </c>
      <c r="F634" s="52" t="s">
        <v>1089</v>
      </c>
      <c r="G634" s="52" t="s">
        <v>3394</v>
      </c>
      <c r="H634" s="79" t="str">
        <f t="shared" si="51"/>
        <v>매칭완료</v>
      </c>
      <c r="I634" s="79" t="str">
        <f t="shared" ca="1" si="52"/>
        <v>6-PR</v>
      </c>
      <c r="J634" s="65" t="s">
        <v>1089</v>
      </c>
      <c r="K634" s="65" t="s">
        <v>1089</v>
      </c>
      <c r="L634" s="83" t="str">
        <f t="shared" si="53"/>
        <v>→ 조립자재 R407</v>
      </c>
      <c r="M634" s="84"/>
      <c r="N634" s="80">
        <v>407</v>
      </c>
      <c r="O634" s="80" t="s">
        <v>2110</v>
      </c>
      <c r="P634" s="79" t="s">
        <v>3395</v>
      </c>
    </row>
    <row r="635" spans="1:16" ht="30" customHeight="1" x14ac:dyDescent="0.3">
      <c r="A635" s="57" t="s">
        <v>771</v>
      </c>
      <c r="B635" s="52" t="s">
        <v>1091</v>
      </c>
      <c r="C635" s="52" t="s">
        <v>68</v>
      </c>
      <c r="D635" s="79" t="str">
        <f t="shared" ca="1" si="49"/>
        <v>원자재</v>
      </c>
      <c r="E635" s="79" t="str">
        <f t="shared" ca="1" si="50"/>
        <v>PR</v>
      </c>
      <c r="F635" s="52" t="s">
        <v>1092</v>
      </c>
      <c r="G635" s="52" t="s">
        <v>3396</v>
      </c>
      <c r="H635" s="79" t="str">
        <f t="shared" si="51"/>
        <v>매칭완료</v>
      </c>
      <c r="I635" s="79" t="str">
        <f t="shared" ca="1" si="52"/>
        <v>34678-PR</v>
      </c>
      <c r="J635" s="61" t="s">
        <v>1092</v>
      </c>
      <c r="K635" s="61" t="s">
        <v>3397</v>
      </c>
      <c r="L635" s="83" t="str">
        <f t="shared" si="53"/>
        <v>→ 조립자재 R408</v>
      </c>
      <c r="M635" s="84"/>
      <c r="N635" s="80">
        <v>408</v>
      </c>
      <c r="O635" s="80" t="s">
        <v>2110</v>
      </c>
      <c r="P635" s="79" t="s">
        <v>3398</v>
      </c>
    </row>
    <row r="636" spans="1:16" ht="30" customHeight="1" x14ac:dyDescent="0.3">
      <c r="A636" s="57" t="s">
        <v>771</v>
      </c>
      <c r="B636" s="52" t="s">
        <v>1091</v>
      </c>
      <c r="C636" s="52" t="s">
        <v>68</v>
      </c>
      <c r="D636" s="79" t="str">
        <f t="shared" ca="1" si="49"/>
        <v>원자재</v>
      </c>
      <c r="E636" s="79" t="str">
        <f t="shared" ca="1" si="50"/>
        <v>PR</v>
      </c>
      <c r="F636" s="52" t="s">
        <v>1094</v>
      </c>
      <c r="G636" s="52" t="s">
        <v>3399</v>
      </c>
      <c r="H636" s="79" t="str">
        <f t="shared" si="51"/>
        <v>매칭완료</v>
      </c>
      <c r="I636" s="79" t="str">
        <f t="shared" ca="1" si="52"/>
        <v>34678-PR</v>
      </c>
      <c r="J636" s="61" t="s">
        <v>1094</v>
      </c>
      <c r="K636" s="61" t="s">
        <v>3400</v>
      </c>
      <c r="L636" s="83" t="str">
        <f t="shared" si="53"/>
        <v>→ 조립자재 R409</v>
      </c>
      <c r="M636" s="84"/>
      <c r="N636" s="80">
        <v>409</v>
      </c>
      <c r="O636" s="80" t="s">
        <v>2110</v>
      </c>
      <c r="P636" s="79" t="s">
        <v>3401</v>
      </c>
    </row>
    <row r="637" spans="1:16" ht="30" customHeight="1" x14ac:dyDescent="0.3">
      <c r="A637" s="57" t="s">
        <v>771</v>
      </c>
      <c r="B637" s="52" t="s">
        <v>1096</v>
      </c>
      <c r="C637" s="52" t="s">
        <v>68</v>
      </c>
      <c r="D637" s="79" t="str">
        <f t="shared" ca="1" si="49"/>
        <v>원자재</v>
      </c>
      <c r="E637" s="79" t="str">
        <f t="shared" ca="1" si="50"/>
        <v>PR</v>
      </c>
      <c r="F637" s="52" t="s">
        <v>1097</v>
      </c>
      <c r="G637" s="52" t="s">
        <v>3402</v>
      </c>
      <c r="H637" s="79" t="str">
        <f t="shared" si="51"/>
        <v>매칭완료</v>
      </c>
      <c r="I637" s="79" t="str">
        <f t="shared" ca="1" si="52"/>
        <v>34678-PR</v>
      </c>
      <c r="J637" s="61" t="s">
        <v>1097</v>
      </c>
      <c r="K637" s="61" t="s">
        <v>3403</v>
      </c>
      <c r="L637" s="83" t="str">
        <f t="shared" si="53"/>
        <v>→ 조립자재 R410</v>
      </c>
      <c r="M637" s="84"/>
      <c r="N637" s="80">
        <v>410</v>
      </c>
      <c r="O637" s="80" t="s">
        <v>2110</v>
      </c>
      <c r="P637" s="79" t="s">
        <v>3404</v>
      </c>
    </row>
    <row r="638" spans="1:16" ht="30" customHeight="1" x14ac:dyDescent="0.3">
      <c r="A638" s="57" t="s">
        <v>771</v>
      </c>
      <c r="B638" s="52" t="s">
        <v>1096</v>
      </c>
      <c r="C638" s="52" t="s">
        <v>68</v>
      </c>
      <c r="D638" s="79" t="str">
        <f t="shared" ca="1" si="49"/>
        <v>원자재</v>
      </c>
      <c r="E638" s="79" t="str">
        <f t="shared" ca="1" si="50"/>
        <v>PR</v>
      </c>
      <c r="F638" s="52" t="s">
        <v>1099</v>
      </c>
      <c r="G638" s="52" t="s">
        <v>3405</v>
      </c>
      <c r="H638" s="79" t="str">
        <f t="shared" si="51"/>
        <v>매칭완료</v>
      </c>
      <c r="I638" s="79" t="str">
        <f t="shared" ca="1" si="52"/>
        <v>34678-PR</v>
      </c>
      <c r="J638" s="61" t="s">
        <v>1099</v>
      </c>
      <c r="K638" s="61" t="s">
        <v>3406</v>
      </c>
      <c r="L638" s="83" t="str">
        <f t="shared" si="53"/>
        <v>→ 조립자재 R411</v>
      </c>
      <c r="M638" s="84"/>
      <c r="N638" s="80">
        <v>411</v>
      </c>
      <c r="O638" s="80" t="s">
        <v>2110</v>
      </c>
      <c r="P638" s="79" t="s">
        <v>3407</v>
      </c>
    </row>
    <row r="639" spans="1:16" ht="30" customHeight="1" x14ac:dyDescent="0.3">
      <c r="A639" s="57" t="s">
        <v>771</v>
      </c>
      <c r="B639" s="52" t="s">
        <v>1096</v>
      </c>
      <c r="C639" s="52" t="s">
        <v>68</v>
      </c>
      <c r="D639" s="79" t="str">
        <f t="shared" ca="1" si="49"/>
        <v>원자재</v>
      </c>
      <c r="E639" s="79" t="str">
        <f t="shared" ca="1" si="50"/>
        <v>PR</v>
      </c>
      <c r="F639" s="52" t="s">
        <v>1101</v>
      </c>
      <c r="G639" s="52"/>
      <c r="H639" s="79" t="str">
        <f t="shared" ca="1" si="51"/>
        <v>⚠ 원자재_부서보관</v>
      </c>
      <c r="I639" s="79" t="str">
        <f t="shared" ca="1" si="52"/>
        <v>34678-PR</v>
      </c>
      <c r="J639" s="61" t="s">
        <v>1101</v>
      </c>
      <c r="K639" s="61" t="s">
        <v>1101</v>
      </c>
      <c r="L639" s="83" t="str">
        <f t="shared" si="53"/>
        <v>→ 조립자재 R412</v>
      </c>
      <c r="M639" s="84"/>
      <c r="N639" s="80">
        <v>412</v>
      </c>
      <c r="O639" s="80" t="s">
        <v>2110</v>
      </c>
      <c r="P639" s="79" t="s">
        <v>3408</v>
      </c>
    </row>
    <row r="640" spans="1:16" ht="30" customHeight="1" x14ac:dyDescent="0.3">
      <c r="A640" s="57" t="s">
        <v>771</v>
      </c>
      <c r="B640" s="52" t="s">
        <v>1096</v>
      </c>
      <c r="C640" s="52" t="s">
        <v>68</v>
      </c>
      <c r="D640" s="79" t="str">
        <f t="shared" ca="1" si="49"/>
        <v>원자재</v>
      </c>
      <c r="E640" s="79" t="str">
        <f t="shared" ca="1" si="50"/>
        <v>PR</v>
      </c>
      <c r="F640" s="52" t="s">
        <v>1102</v>
      </c>
      <c r="G640" s="52"/>
      <c r="H640" s="79" t="str">
        <f t="shared" ca="1" si="51"/>
        <v>⚠ 원자재_부서보관</v>
      </c>
      <c r="I640" s="79" t="str">
        <f t="shared" ca="1" si="52"/>
        <v>34678-PR</v>
      </c>
      <c r="J640" s="61" t="s">
        <v>1102</v>
      </c>
      <c r="K640" s="61" t="s">
        <v>1102</v>
      </c>
      <c r="L640" s="83" t="str">
        <f t="shared" si="53"/>
        <v>→ 조립자재 R413</v>
      </c>
      <c r="M640" s="84"/>
      <c r="N640" s="80">
        <v>413</v>
      </c>
      <c r="O640" s="80" t="s">
        <v>2110</v>
      </c>
      <c r="P640" s="79" t="s">
        <v>3409</v>
      </c>
    </row>
    <row r="641" spans="1:16" ht="30" customHeight="1" x14ac:dyDescent="0.3">
      <c r="A641" s="57" t="s">
        <v>771</v>
      </c>
      <c r="B641" s="52" t="s">
        <v>1096</v>
      </c>
      <c r="C641" s="52" t="s">
        <v>68</v>
      </c>
      <c r="D641" s="79" t="str">
        <f t="shared" ca="1" si="49"/>
        <v>원자재</v>
      </c>
      <c r="E641" s="79" t="str">
        <f t="shared" ca="1" si="50"/>
        <v>PR</v>
      </c>
      <c r="F641" s="52" t="s">
        <v>1103</v>
      </c>
      <c r="G641" s="52" t="s">
        <v>3410</v>
      </c>
      <c r="H641" s="79" t="str">
        <f t="shared" si="51"/>
        <v>매칭완료</v>
      </c>
      <c r="I641" s="79" t="str">
        <f t="shared" ca="1" si="52"/>
        <v>34678-PR</v>
      </c>
      <c r="J641" s="61" t="s">
        <v>1103</v>
      </c>
      <c r="K641" s="61" t="s">
        <v>3411</v>
      </c>
      <c r="L641" s="83" t="str">
        <f t="shared" si="53"/>
        <v>→ 조립자재 R414</v>
      </c>
      <c r="M641" s="84"/>
      <c r="N641" s="80">
        <v>414</v>
      </c>
      <c r="O641" s="80" t="s">
        <v>2110</v>
      </c>
      <c r="P641" s="79" t="s">
        <v>3412</v>
      </c>
    </row>
    <row r="642" spans="1:16" ht="30" customHeight="1" x14ac:dyDescent="0.3">
      <c r="A642" s="57" t="s">
        <v>771</v>
      </c>
      <c r="B642" s="52" t="s">
        <v>1096</v>
      </c>
      <c r="C642" s="52" t="s">
        <v>68</v>
      </c>
      <c r="D642" s="79" t="str">
        <f t="shared" ref="D642:D705" ca="1" si="54">IF(INDIRECT("'"&amp;$O642&amp;"'!F"&amp;$N642)="O","원자재",IF(INDIRECT("'"&amp;$O642&amp;"'!G"&amp;$N642)="O","반제품",IF(INDIRECT("'"&amp;$O642&amp;"'!H"&amp;$N642)="O","완제품","")))</f>
        <v>원자재</v>
      </c>
      <c r="E642" s="79" t="str">
        <f t="shared" ref="E642:E705" ca="1" si="55">IFERROR(IF(INDIRECT("'"&amp;$O642&amp;"'!I"&amp;$N642)=0,"",INDIRECT("'"&amp;$O642&amp;"'!I"&amp;$N642)),"")</f>
        <v>PR</v>
      </c>
      <c r="F642" s="52" t="s">
        <v>1105</v>
      </c>
      <c r="G642" s="52" t="s">
        <v>3413</v>
      </c>
      <c r="H642" s="79" t="str">
        <f t="shared" ref="H642:H705" si="56">IF(AND($F642="",$G642=""),"",IF($F642="","창고전용",IF($G642&lt;&gt;"","매칭완료",IF($D642="반제품","반제품(창고없음)",IF($D642="완제품","완제품(창고없음)",IF($D642="원자재","⚠ 원자재_부서보관","미분류"))))))</f>
        <v>매칭완료</v>
      </c>
      <c r="I642" s="79" t="str">
        <f t="shared" ref="I642:I705" ca="1" si="57">IFERROR(IF(INDIRECT("'"&amp;$O642&amp;"'!P"&amp;$N642)=0,"",INDIRECT("'"&amp;$O642&amp;"'!P"&amp;$N642)),"")</f>
        <v>34678-PR</v>
      </c>
      <c r="J642" s="61" t="s">
        <v>1105</v>
      </c>
      <c r="K642" s="61" t="s">
        <v>3414</v>
      </c>
      <c r="L642" s="83" t="str">
        <f t="shared" si="53"/>
        <v>→ 조립자재 R415</v>
      </c>
      <c r="M642" s="84"/>
      <c r="N642" s="80">
        <v>415</v>
      </c>
      <c r="O642" s="80" t="s">
        <v>2110</v>
      </c>
      <c r="P642" s="79" t="s">
        <v>3415</v>
      </c>
    </row>
    <row r="643" spans="1:16" ht="30" customHeight="1" x14ac:dyDescent="0.3">
      <c r="A643" s="57" t="s">
        <v>771</v>
      </c>
      <c r="B643" s="52" t="s">
        <v>1096</v>
      </c>
      <c r="C643" s="52" t="s">
        <v>68</v>
      </c>
      <c r="D643" s="79" t="str">
        <f t="shared" ca="1" si="54"/>
        <v>원자재</v>
      </c>
      <c r="E643" s="79" t="str">
        <f t="shared" ca="1" si="55"/>
        <v>PR</v>
      </c>
      <c r="F643" s="52" t="s">
        <v>1107</v>
      </c>
      <c r="G643" s="52" t="s">
        <v>3416</v>
      </c>
      <c r="H643" s="79" t="str">
        <f t="shared" si="56"/>
        <v>매칭완료</v>
      </c>
      <c r="I643" s="79" t="str">
        <f t="shared" ca="1" si="57"/>
        <v>34678-PR</v>
      </c>
      <c r="J643" s="61" t="s">
        <v>1107</v>
      </c>
      <c r="K643" s="61" t="s">
        <v>1107</v>
      </c>
      <c r="L643" s="83" t="str">
        <f t="shared" si="53"/>
        <v>→ 조립자재 R416</v>
      </c>
      <c r="M643" s="84"/>
      <c r="N643" s="80">
        <v>416</v>
      </c>
      <c r="O643" s="80" t="s">
        <v>2110</v>
      </c>
      <c r="P643" s="79" t="s">
        <v>3417</v>
      </c>
    </row>
    <row r="644" spans="1:16" ht="30" customHeight="1" x14ac:dyDescent="0.3">
      <c r="A644" s="57" t="s">
        <v>771</v>
      </c>
      <c r="B644" s="52" t="s">
        <v>1096</v>
      </c>
      <c r="C644" s="52" t="s">
        <v>68</v>
      </c>
      <c r="D644" s="79" t="str">
        <f t="shared" ca="1" si="54"/>
        <v>원자재</v>
      </c>
      <c r="E644" s="79" t="str">
        <f t="shared" ca="1" si="55"/>
        <v>PR</v>
      </c>
      <c r="F644" s="52" t="s">
        <v>1109</v>
      </c>
      <c r="G644" s="52" t="s">
        <v>3418</v>
      </c>
      <c r="H644" s="79" t="str">
        <f t="shared" si="56"/>
        <v>매칭완료</v>
      </c>
      <c r="I644" s="79" t="str">
        <f t="shared" ca="1" si="57"/>
        <v>34678-PR</v>
      </c>
      <c r="J644" s="61" t="s">
        <v>1109</v>
      </c>
      <c r="K644" s="61" t="s">
        <v>1109</v>
      </c>
      <c r="L644" s="83" t="str">
        <f t="shared" si="53"/>
        <v>→ 조립자재 R417</v>
      </c>
      <c r="M644" s="84"/>
      <c r="N644" s="80">
        <v>417</v>
      </c>
      <c r="O644" s="80" t="s">
        <v>2110</v>
      </c>
      <c r="P644" s="79" t="s">
        <v>3419</v>
      </c>
    </row>
    <row r="645" spans="1:16" ht="30" customHeight="1" x14ac:dyDescent="0.3">
      <c r="A645" s="57" t="s">
        <v>771</v>
      </c>
      <c r="B645" s="52" t="s">
        <v>1096</v>
      </c>
      <c r="C645" s="52" t="s">
        <v>68</v>
      </c>
      <c r="D645" s="79" t="str">
        <f t="shared" ca="1" si="54"/>
        <v>원자재</v>
      </c>
      <c r="E645" s="79" t="str">
        <f t="shared" ca="1" si="55"/>
        <v>PR</v>
      </c>
      <c r="F645" s="52" t="s">
        <v>1111</v>
      </c>
      <c r="G645" s="52" t="s">
        <v>3420</v>
      </c>
      <c r="H645" s="79" t="str">
        <f t="shared" si="56"/>
        <v>매칭완료</v>
      </c>
      <c r="I645" s="79" t="str">
        <f t="shared" ca="1" si="57"/>
        <v>34678-PR</v>
      </c>
      <c r="J645" s="61" t="s">
        <v>1111</v>
      </c>
      <c r="K645" s="61" t="s">
        <v>1111</v>
      </c>
      <c r="L645" s="83" t="str">
        <f t="shared" si="53"/>
        <v>→ 조립자재 R418</v>
      </c>
      <c r="M645" s="84"/>
      <c r="N645" s="80">
        <v>418</v>
      </c>
      <c r="O645" s="80" t="s">
        <v>2110</v>
      </c>
      <c r="P645" s="79" t="s">
        <v>3421</v>
      </c>
    </row>
    <row r="646" spans="1:16" ht="30" customHeight="1" x14ac:dyDescent="0.3">
      <c r="A646" s="57" t="s">
        <v>771</v>
      </c>
      <c r="B646" s="52" t="s">
        <v>1096</v>
      </c>
      <c r="C646" s="52" t="s">
        <v>68</v>
      </c>
      <c r="D646" s="79" t="str">
        <f t="shared" ca="1" si="54"/>
        <v>원자재</v>
      </c>
      <c r="E646" s="79" t="str">
        <f t="shared" ca="1" si="55"/>
        <v>PR</v>
      </c>
      <c r="F646" s="52" t="s">
        <v>1113</v>
      </c>
      <c r="G646" s="52" t="s">
        <v>3422</v>
      </c>
      <c r="H646" s="79" t="str">
        <f t="shared" si="56"/>
        <v>매칭완료</v>
      </c>
      <c r="I646" s="79" t="str">
        <f t="shared" ca="1" si="57"/>
        <v>4-PR</v>
      </c>
      <c r="J646" s="61" t="s">
        <v>1113</v>
      </c>
      <c r="K646" s="61" t="s">
        <v>3423</v>
      </c>
      <c r="L646" s="83" t="str">
        <f t="shared" si="53"/>
        <v>→ 조립자재 R419</v>
      </c>
      <c r="M646" s="84"/>
      <c r="N646" s="80">
        <v>419</v>
      </c>
      <c r="O646" s="80" t="s">
        <v>2110</v>
      </c>
      <c r="P646" s="79" t="s">
        <v>3424</v>
      </c>
    </row>
    <row r="647" spans="1:16" ht="30" customHeight="1" x14ac:dyDescent="0.3">
      <c r="A647" s="57" t="s">
        <v>771</v>
      </c>
      <c r="B647" s="52" t="s">
        <v>1096</v>
      </c>
      <c r="C647" s="52" t="s">
        <v>68</v>
      </c>
      <c r="D647" s="79" t="str">
        <f t="shared" ca="1" si="54"/>
        <v>원자재</v>
      </c>
      <c r="E647" s="79" t="str">
        <f t="shared" ca="1" si="55"/>
        <v>PR</v>
      </c>
      <c r="F647" s="52" t="s">
        <v>1115</v>
      </c>
      <c r="G647" s="52" t="s">
        <v>3425</v>
      </c>
      <c r="H647" s="79" t="str">
        <f t="shared" si="56"/>
        <v>매칭완료</v>
      </c>
      <c r="I647" s="79" t="str">
        <f t="shared" ca="1" si="57"/>
        <v>4-PR</v>
      </c>
      <c r="J647" s="61" t="s">
        <v>1115</v>
      </c>
      <c r="K647" s="61" t="s">
        <v>3426</v>
      </c>
      <c r="L647" s="83" t="str">
        <f t="shared" si="53"/>
        <v>→ 조립자재 R420</v>
      </c>
      <c r="M647" s="84"/>
      <c r="N647" s="80">
        <v>420</v>
      </c>
      <c r="O647" s="80" t="s">
        <v>2110</v>
      </c>
      <c r="P647" s="79" t="s">
        <v>3427</v>
      </c>
    </row>
    <row r="648" spans="1:16" ht="30" customHeight="1" x14ac:dyDescent="0.3">
      <c r="A648" s="57" t="s">
        <v>771</v>
      </c>
      <c r="B648" s="52" t="s">
        <v>1096</v>
      </c>
      <c r="C648" s="52" t="s">
        <v>68</v>
      </c>
      <c r="D648" s="79" t="str">
        <f t="shared" ca="1" si="54"/>
        <v>원자재</v>
      </c>
      <c r="E648" s="79" t="str">
        <f t="shared" ca="1" si="55"/>
        <v>PR</v>
      </c>
      <c r="F648" s="52" t="s">
        <v>1117</v>
      </c>
      <c r="G648" s="52"/>
      <c r="H648" s="79" t="str">
        <f t="shared" ca="1" si="56"/>
        <v>⚠ 원자재_부서보관</v>
      </c>
      <c r="I648" s="79" t="str">
        <f t="shared" ca="1" si="57"/>
        <v>6-PR</v>
      </c>
      <c r="J648" s="61" t="s">
        <v>1117</v>
      </c>
      <c r="K648" s="61" t="s">
        <v>3428</v>
      </c>
      <c r="L648" s="83" t="str">
        <f t="shared" si="53"/>
        <v>→ 조립자재 R421</v>
      </c>
      <c r="M648" s="84"/>
      <c r="N648" s="80">
        <v>421</v>
      </c>
      <c r="O648" s="80" t="s">
        <v>2110</v>
      </c>
      <c r="P648" s="79" t="s">
        <v>3429</v>
      </c>
    </row>
    <row r="649" spans="1:16" ht="30" customHeight="1" x14ac:dyDescent="0.3">
      <c r="A649" s="57" t="s">
        <v>771</v>
      </c>
      <c r="B649" s="52" t="s">
        <v>1096</v>
      </c>
      <c r="C649" s="52" t="s">
        <v>68</v>
      </c>
      <c r="D649" s="79" t="str">
        <f t="shared" ca="1" si="54"/>
        <v>원자재</v>
      </c>
      <c r="E649" s="79" t="str">
        <f t="shared" ca="1" si="55"/>
        <v>PR</v>
      </c>
      <c r="F649" s="52" t="s">
        <v>1118</v>
      </c>
      <c r="G649" s="52"/>
      <c r="H649" s="79" t="str">
        <f t="shared" ca="1" si="56"/>
        <v>⚠ 원자재_부서보관</v>
      </c>
      <c r="I649" s="79" t="str">
        <f t="shared" ca="1" si="57"/>
        <v>6-PR</v>
      </c>
      <c r="J649" s="61" t="s">
        <v>1118</v>
      </c>
      <c r="K649" s="61" t="s">
        <v>3430</v>
      </c>
      <c r="L649" s="83" t="str">
        <f t="shared" si="53"/>
        <v>→ 조립자재 R422</v>
      </c>
      <c r="M649" s="84"/>
      <c r="N649" s="80">
        <v>422</v>
      </c>
      <c r="O649" s="80" t="s">
        <v>2110</v>
      </c>
      <c r="P649" s="79" t="s">
        <v>3431</v>
      </c>
    </row>
    <row r="650" spans="1:16" ht="30" customHeight="1" x14ac:dyDescent="0.3">
      <c r="A650" s="62" t="s">
        <v>771</v>
      </c>
      <c r="B650" s="63" t="s">
        <v>1119</v>
      </c>
      <c r="C650" s="63" t="s">
        <v>1120</v>
      </c>
      <c r="D650" s="79" t="str">
        <f t="shared" ca="1" si="54"/>
        <v>원자재</v>
      </c>
      <c r="E650" s="79" t="str">
        <f t="shared" ca="1" si="55"/>
        <v>PR</v>
      </c>
      <c r="F650" s="63" t="s">
        <v>1121</v>
      </c>
      <c r="G650" s="63" t="s">
        <v>1121</v>
      </c>
      <c r="H650" s="79" t="str">
        <f t="shared" si="56"/>
        <v>매칭완료</v>
      </c>
      <c r="I650" s="79" t="str">
        <f t="shared" ca="1" si="57"/>
        <v>34-PR</v>
      </c>
      <c r="J650" s="63" t="s">
        <v>1121</v>
      </c>
      <c r="K650" s="61" t="s">
        <v>1121</v>
      </c>
      <c r="L650" s="83" t="str">
        <f t="shared" si="53"/>
        <v>→ 조립자재 R423</v>
      </c>
      <c r="M650" s="84"/>
      <c r="N650" s="80">
        <v>423</v>
      </c>
      <c r="O650" s="80" t="s">
        <v>2110</v>
      </c>
      <c r="P650" s="79" t="s">
        <v>3432</v>
      </c>
    </row>
    <row r="651" spans="1:16" s="64" customFormat="1" ht="30" customHeight="1" x14ac:dyDescent="0.3">
      <c r="A651" s="62" t="s">
        <v>771</v>
      </c>
      <c r="B651" s="63" t="s">
        <v>1119</v>
      </c>
      <c r="C651" s="63" t="s">
        <v>1120</v>
      </c>
      <c r="D651" s="79" t="str">
        <f t="shared" ca="1" si="54"/>
        <v>원자재</v>
      </c>
      <c r="E651" s="79" t="str">
        <f t="shared" ca="1" si="55"/>
        <v>PR</v>
      </c>
      <c r="F651" s="63" t="s">
        <v>1122</v>
      </c>
      <c r="G651" s="63" t="s">
        <v>1122</v>
      </c>
      <c r="H651" s="79" t="str">
        <f t="shared" si="56"/>
        <v>매칭완료</v>
      </c>
      <c r="I651" s="79" t="str">
        <f t="shared" ca="1" si="57"/>
        <v>34-PR</v>
      </c>
      <c r="J651" s="63" t="s">
        <v>1122</v>
      </c>
      <c r="K651" s="65" t="s">
        <v>1122</v>
      </c>
      <c r="L651" s="83" t="str">
        <f t="shared" si="53"/>
        <v>→ 조립자재 R424</v>
      </c>
      <c r="M651" s="84"/>
      <c r="N651" s="80">
        <v>424</v>
      </c>
      <c r="O651" s="80" t="s">
        <v>2110</v>
      </c>
      <c r="P651" s="79" t="s">
        <v>3433</v>
      </c>
    </row>
    <row r="652" spans="1:16" s="64" customFormat="1" ht="30" customHeight="1" x14ac:dyDescent="0.3">
      <c r="A652" s="62" t="s">
        <v>771</v>
      </c>
      <c r="B652" s="63" t="s">
        <v>1119</v>
      </c>
      <c r="C652" s="63" t="s">
        <v>1123</v>
      </c>
      <c r="D652" s="79" t="str">
        <f t="shared" ca="1" si="54"/>
        <v>원자재</v>
      </c>
      <c r="E652" s="79" t="str">
        <f t="shared" ca="1" si="55"/>
        <v>PR</v>
      </c>
      <c r="F652" s="63" t="s">
        <v>1124</v>
      </c>
      <c r="G652" s="63" t="s">
        <v>1124</v>
      </c>
      <c r="H652" s="79" t="str">
        <f t="shared" si="56"/>
        <v>매칭완료</v>
      </c>
      <c r="I652" s="79" t="str">
        <f t="shared" ca="1" si="57"/>
        <v>67-PR</v>
      </c>
      <c r="J652" s="63" t="s">
        <v>1124</v>
      </c>
      <c r="K652" s="61" t="s">
        <v>1124</v>
      </c>
      <c r="L652" s="83" t="str">
        <f t="shared" si="53"/>
        <v>→ 조립자재 R425</v>
      </c>
      <c r="M652" s="84"/>
      <c r="N652" s="80">
        <v>425</v>
      </c>
      <c r="O652" s="80" t="s">
        <v>2110</v>
      </c>
      <c r="P652" s="79" t="s">
        <v>3434</v>
      </c>
    </row>
    <row r="653" spans="1:16" s="64" customFormat="1" ht="30" customHeight="1" x14ac:dyDescent="0.3">
      <c r="A653" s="62" t="s">
        <v>771</v>
      </c>
      <c r="B653" s="63" t="s">
        <v>1119</v>
      </c>
      <c r="C653" s="63" t="s">
        <v>1123</v>
      </c>
      <c r="D653" s="79" t="str">
        <f t="shared" ca="1" si="54"/>
        <v>원자재</v>
      </c>
      <c r="E653" s="79" t="str">
        <f t="shared" ca="1" si="55"/>
        <v>PR</v>
      </c>
      <c r="F653" s="63" t="s">
        <v>1125</v>
      </c>
      <c r="G653" s="63" t="s">
        <v>1125</v>
      </c>
      <c r="H653" s="79" t="str">
        <f t="shared" si="56"/>
        <v>매칭완료</v>
      </c>
      <c r="I653" s="79" t="str">
        <f t="shared" ca="1" si="57"/>
        <v>67-PR</v>
      </c>
      <c r="J653" s="63" t="s">
        <v>1125</v>
      </c>
      <c r="K653" s="61" t="s">
        <v>1125</v>
      </c>
      <c r="L653" s="83" t="str">
        <f t="shared" si="53"/>
        <v>→ 조립자재 R426</v>
      </c>
      <c r="M653" s="84"/>
      <c r="N653" s="80">
        <v>426</v>
      </c>
      <c r="O653" s="80" t="s">
        <v>2110</v>
      </c>
      <c r="P653" s="79" t="s">
        <v>3435</v>
      </c>
    </row>
    <row r="654" spans="1:16" s="64" customFormat="1" ht="30" customHeight="1" x14ac:dyDescent="0.3">
      <c r="A654" s="62" t="s">
        <v>771</v>
      </c>
      <c r="B654" s="63" t="s">
        <v>1119</v>
      </c>
      <c r="C654" s="63" t="s">
        <v>1126</v>
      </c>
      <c r="D654" s="79" t="str">
        <f t="shared" ca="1" si="54"/>
        <v>원자재</v>
      </c>
      <c r="E654" s="79" t="str">
        <f t="shared" ca="1" si="55"/>
        <v>PR</v>
      </c>
      <c r="F654" s="63" t="s">
        <v>1127</v>
      </c>
      <c r="G654" s="63" t="s">
        <v>1127</v>
      </c>
      <c r="H654" s="79" t="str">
        <f t="shared" si="56"/>
        <v>매칭완료</v>
      </c>
      <c r="I654" s="79" t="str">
        <f t="shared" ca="1" si="57"/>
        <v>7-PR</v>
      </c>
      <c r="J654" s="63" t="s">
        <v>1127</v>
      </c>
      <c r="K654" s="61" t="s">
        <v>1127</v>
      </c>
      <c r="L654" s="83" t="str">
        <f t="shared" si="53"/>
        <v>→ 조립자재 R427</v>
      </c>
      <c r="M654" s="84"/>
      <c r="N654" s="80">
        <v>427</v>
      </c>
      <c r="O654" s="80" t="s">
        <v>2110</v>
      </c>
      <c r="P654" s="79" t="s">
        <v>3436</v>
      </c>
    </row>
    <row r="655" spans="1:16" s="64" customFormat="1" ht="30" customHeight="1" x14ac:dyDescent="0.3">
      <c r="A655" s="57" t="s">
        <v>771</v>
      </c>
      <c r="B655" s="52" t="s">
        <v>1119</v>
      </c>
      <c r="C655" s="52" t="s">
        <v>68</v>
      </c>
      <c r="D655" s="79" t="str">
        <f t="shared" ca="1" si="54"/>
        <v>원자재</v>
      </c>
      <c r="E655" s="79" t="str">
        <f t="shared" ca="1" si="55"/>
        <v>PR</v>
      </c>
      <c r="F655" s="52" t="s">
        <v>1128</v>
      </c>
      <c r="G655" s="52"/>
      <c r="H655" s="79" t="str">
        <f t="shared" ca="1" si="56"/>
        <v>⚠ 원자재_부서보관</v>
      </c>
      <c r="I655" s="79" t="str">
        <f t="shared" ca="1" si="57"/>
        <v>34678-PR</v>
      </c>
      <c r="J655" s="61" t="s">
        <v>1128</v>
      </c>
      <c r="K655" s="61" t="s">
        <v>3437</v>
      </c>
      <c r="L655" s="83" t="str">
        <f t="shared" si="53"/>
        <v>→ 조립자재 R428</v>
      </c>
      <c r="M655" s="84"/>
      <c r="N655" s="80">
        <v>428</v>
      </c>
      <c r="O655" s="80" t="s">
        <v>2110</v>
      </c>
      <c r="P655" s="79" t="s">
        <v>3438</v>
      </c>
    </row>
    <row r="656" spans="1:16" ht="30" customHeight="1" x14ac:dyDescent="0.3">
      <c r="A656" s="62" t="s">
        <v>771</v>
      </c>
      <c r="B656" s="63" t="s">
        <v>1129</v>
      </c>
      <c r="C656" s="63" t="s">
        <v>195</v>
      </c>
      <c r="D656" s="79" t="str">
        <f t="shared" ca="1" si="54"/>
        <v>원자재</v>
      </c>
      <c r="E656" s="79" t="str">
        <f t="shared" ca="1" si="55"/>
        <v>PR</v>
      </c>
      <c r="F656" s="63" t="s">
        <v>1130</v>
      </c>
      <c r="G656" s="63" t="s">
        <v>3439</v>
      </c>
      <c r="H656" s="79" t="str">
        <f t="shared" si="56"/>
        <v>매칭완료</v>
      </c>
      <c r="I656" s="79" t="str">
        <f t="shared" ca="1" si="57"/>
        <v>3-PR</v>
      </c>
      <c r="J656" s="65" t="s">
        <v>1130</v>
      </c>
      <c r="K656" s="65" t="s">
        <v>3440</v>
      </c>
      <c r="L656" s="83" t="str">
        <f t="shared" si="53"/>
        <v>→ 조립자재 R429</v>
      </c>
      <c r="M656" s="84"/>
      <c r="N656" s="80">
        <v>429</v>
      </c>
      <c r="O656" s="80" t="s">
        <v>2110</v>
      </c>
      <c r="P656" s="79" t="s">
        <v>3441</v>
      </c>
    </row>
    <row r="657" spans="1:16" s="64" customFormat="1" ht="30" customHeight="1" x14ac:dyDescent="0.3">
      <c r="A657" s="62" t="s">
        <v>771</v>
      </c>
      <c r="B657" s="63" t="s">
        <v>1129</v>
      </c>
      <c r="C657" s="63" t="s">
        <v>195</v>
      </c>
      <c r="D657" s="79" t="str">
        <f t="shared" ca="1" si="54"/>
        <v>원자재</v>
      </c>
      <c r="E657" s="79" t="str">
        <f t="shared" ca="1" si="55"/>
        <v>PR</v>
      </c>
      <c r="F657" s="63" t="s">
        <v>1132</v>
      </c>
      <c r="G657" s="63" t="s">
        <v>3442</v>
      </c>
      <c r="H657" s="79" t="str">
        <f t="shared" si="56"/>
        <v>매칭완료</v>
      </c>
      <c r="I657" s="79" t="str">
        <f t="shared" ca="1" si="57"/>
        <v>3-PR</v>
      </c>
      <c r="J657" s="65" t="s">
        <v>1132</v>
      </c>
      <c r="K657" s="65" t="s">
        <v>3443</v>
      </c>
      <c r="L657" s="83" t="str">
        <f t="shared" si="53"/>
        <v>→ 조립자재 R430</v>
      </c>
      <c r="M657" s="84"/>
      <c r="N657" s="80">
        <v>430</v>
      </c>
      <c r="O657" s="80" t="s">
        <v>2110</v>
      </c>
      <c r="P657" s="79" t="s">
        <v>3444</v>
      </c>
    </row>
    <row r="658" spans="1:16" s="64" customFormat="1" ht="30" customHeight="1" x14ac:dyDescent="0.3">
      <c r="A658" s="62" t="s">
        <v>771</v>
      </c>
      <c r="B658" s="63" t="s">
        <v>1129</v>
      </c>
      <c r="C658" s="63" t="s">
        <v>198</v>
      </c>
      <c r="D658" s="79" t="str">
        <f t="shared" ca="1" si="54"/>
        <v>원자재</v>
      </c>
      <c r="E658" s="79" t="str">
        <f t="shared" ca="1" si="55"/>
        <v>PR</v>
      </c>
      <c r="F658" s="63" t="s">
        <v>1134</v>
      </c>
      <c r="G658" s="63" t="s">
        <v>3445</v>
      </c>
      <c r="H658" s="79" t="str">
        <f t="shared" si="56"/>
        <v>매칭완료</v>
      </c>
      <c r="I658" s="79" t="str">
        <f t="shared" ca="1" si="57"/>
        <v>4-PR</v>
      </c>
      <c r="J658" s="65" t="s">
        <v>1134</v>
      </c>
      <c r="K658" s="103" t="s">
        <v>3446</v>
      </c>
      <c r="L658" s="83" t="str">
        <f t="shared" si="53"/>
        <v>→ 조립자재 R431</v>
      </c>
      <c r="M658" s="84"/>
      <c r="N658" s="80">
        <v>431</v>
      </c>
      <c r="O658" s="80" t="s">
        <v>2110</v>
      </c>
      <c r="P658" s="79" t="s">
        <v>3447</v>
      </c>
    </row>
    <row r="659" spans="1:16" s="64" customFormat="1" ht="30" customHeight="1" x14ac:dyDescent="0.3">
      <c r="A659" s="62" t="s">
        <v>771</v>
      </c>
      <c r="B659" s="63" t="s">
        <v>1129</v>
      </c>
      <c r="C659" s="63" t="s">
        <v>198</v>
      </c>
      <c r="D659" s="79" t="str">
        <f t="shared" ca="1" si="54"/>
        <v>원자재</v>
      </c>
      <c r="E659" s="79" t="str">
        <f t="shared" ca="1" si="55"/>
        <v>PR</v>
      </c>
      <c r="F659" s="63" t="s">
        <v>1136</v>
      </c>
      <c r="G659" s="63" t="s">
        <v>3448</v>
      </c>
      <c r="H659" s="79" t="str">
        <f t="shared" si="56"/>
        <v>매칭완료</v>
      </c>
      <c r="I659" s="79" t="str">
        <f t="shared" ca="1" si="57"/>
        <v>4-PR</v>
      </c>
      <c r="J659" s="65" t="s">
        <v>1136</v>
      </c>
      <c r="K659" s="103" t="s">
        <v>3449</v>
      </c>
      <c r="L659" s="83" t="str">
        <f t="shared" si="53"/>
        <v>→ 조립자재 R432</v>
      </c>
      <c r="M659" s="84"/>
      <c r="N659" s="80">
        <v>432</v>
      </c>
      <c r="O659" s="80" t="s">
        <v>2110</v>
      </c>
      <c r="P659" s="79" t="s">
        <v>3450</v>
      </c>
    </row>
    <row r="660" spans="1:16" s="64" customFormat="1" ht="30" customHeight="1" x14ac:dyDescent="0.3">
      <c r="A660" s="62" t="s">
        <v>771</v>
      </c>
      <c r="B660" s="63" t="s">
        <v>1129</v>
      </c>
      <c r="C660" s="63" t="s">
        <v>153</v>
      </c>
      <c r="D660" s="79" t="str">
        <f t="shared" ca="1" si="54"/>
        <v>원자재</v>
      </c>
      <c r="E660" s="79" t="str">
        <f t="shared" ca="1" si="55"/>
        <v>PR</v>
      </c>
      <c r="F660" s="63" t="s">
        <v>1522</v>
      </c>
      <c r="G660" s="63" t="s">
        <v>1522</v>
      </c>
      <c r="H660" s="79" t="str">
        <f t="shared" si="56"/>
        <v>매칭완료</v>
      </c>
      <c r="I660" s="79" t="str">
        <f t="shared" ca="1" si="57"/>
        <v>7-PR</v>
      </c>
      <c r="J660" s="65" t="s">
        <v>1522</v>
      </c>
      <c r="K660" s="65" t="s">
        <v>3451</v>
      </c>
      <c r="L660" s="83" t="str">
        <f t="shared" si="53"/>
        <v>→ 조립자재 R433</v>
      </c>
      <c r="M660" s="84"/>
      <c r="N660" s="80">
        <v>433</v>
      </c>
      <c r="O660" s="80" t="s">
        <v>2110</v>
      </c>
      <c r="P660" s="79" t="s">
        <v>3452</v>
      </c>
    </row>
    <row r="661" spans="1:16" s="64" customFormat="1" ht="30" customHeight="1" x14ac:dyDescent="0.3">
      <c r="A661" s="62" t="s">
        <v>771</v>
      </c>
      <c r="B661" s="63" t="s">
        <v>1129</v>
      </c>
      <c r="C661" s="63" t="s">
        <v>153</v>
      </c>
      <c r="D661" s="79" t="str">
        <f t="shared" ca="1" si="54"/>
        <v>원자재</v>
      </c>
      <c r="E661" s="79" t="str">
        <f t="shared" ca="1" si="55"/>
        <v>PR</v>
      </c>
      <c r="F661" s="63" t="s">
        <v>1523</v>
      </c>
      <c r="G661" s="63" t="s">
        <v>1523</v>
      </c>
      <c r="H661" s="79" t="str">
        <f t="shared" si="56"/>
        <v>매칭완료</v>
      </c>
      <c r="I661" s="79" t="str">
        <f t="shared" ca="1" si="57"/>
        <v>7-PR</v>
      </c>
      <c r="J661" s="65" t="s">
        <v>1523</v>
      </c>
      <c r="K661" s="65" t="s">
        <v>3453</v>
      </c>
      <c r="L661" s="83" t="str">
        <f t="shared" si="53"/>
        <v>→ 조립자재 R434</v>
      </c>
      <c r="M661" s="84"/>
      <c r="N661" s="80">
        <v>434</v>
      </c>
      <c r="O661" s="80" t="s">
        <v>2110</v>
      </c>
      <c r="P661" s="79" t="s">
        <v>3454</v>
      </c>
    </row>
    <row r="662" spans="1:16" s="64" customFormat="1" ht="30" customHeight="1" x14ac:dyDescent="0.3">
      <c r="A662" s="62" t="s">
        <v>771</v>
      </c>
      <c r="B662" s="63" t="s">
        <v>1129</v>
      </c>
      <c r="C662" s="63" t="s">
        <v>153</v>
      </c>
      <c r="D662" s="79" t="str">
        <f t="shared" ca="1" si="54"/>
        <v>원자재</v>
      </c>
      <c r="E662" s="79" t="str">
        <f t="shared" ca="1" si="55"/>
        <v>PR</v>
      </c>
      <c r="F662" s="63" t="s">
        <v>1524</v>
      </c>
      <c r="G662" s="63" t="s">
        <v>1524</v>
      </c>
      <c r="H662" s="79" t="str">
        <f t="shared" si="56"/>
        <v>매칭완료</v>
      </c>
      <c r="I662" s="79" t="str">
        <f t="shared" ca="1" si="57"/>
        <v>7-PR</v>
      </c>
      <c r="J662" s="65" t="s">
        <v>1524</v>
      </c>
      <c r="K662" s="65" t="s">
        <v>3455</v>
      </c>
      <c r="L662" s="83" t="str">
        <f t="shared" si="53"/>
        <v>→ 조립자재 R435</v>
      </c>
      <c r="M662" s="84"/>
      <c r="N662" s="80">
        <v>435</v>
      </c>
      <c r="O662" s="80" t="s">
        <v>2110</v>
      </c>
      <c r="P662" s="79" t="s">
        <v>3456</v>
      </c>
    </row>
    <row r="663" spans="1:16" s="64" customFormat="1" ht="30" customHeight="1" x14ac:dyDescent="0.3">
      <c r="A663" s="62" t="s">
        <v>771</v>
      </c>
      <c r="B663" s="63" t="s">
        <v>1129</v>
      </c>
      <c r="C663" s="63" t="s">
        <v>153</v>
      </c>
      <c r="D663" s="79" t="str">
        <f t="shared" ca="1" si="54"/>
        <v>원자재</v>
      </c>
      <c r="E663" s="79" t="str">
        <f t="shared" ca="1" si="55"/>
        <v>PR</v>
      </c>
      <c r="F663" s="63" t="s">
        <v>1525</v>
      </c>
      <c r="G663" s="63" t="s">
        <v>1525</v>
      </c>
      <c r="H663" s="79" t="str">
        <f t="shared" si="56"/>
        <v>매칭완료</v>
      </c>
      <c r="I663" s="79" t="str">
        <f t="shared" ca="1" si="57"/>
        <v>7-PR</v>
      </c>
      <c r="J663" s="65" t="s">
        <v>1525</v>
      </c>
      <c r="K663" s="65" t="s">
        <v>3457</v>
      </c>
      <c r="L663" s="83" t="str">
        <f t="shared" si="53"/>
        <v>→ 조립자재 R436</v>
      </c>
      <c r="M663" s="84"/>
      <c r="N663" s="80">
        <v>436</v>
      </c>
      <c r="O663" s="80" t="s">
        <v>2110</v>
      </c>
      <c r="P663" s="79" t="s">
        <v>3458</v>
      </c>
    </row>
    <row r="664" spans="1:16" s="64" customFormat="1" ht="30" customHeight="1" x14ac:dyDescent="0.3">
      <c r="A664" s="62" t="s">
        <v>771</v>
      </c>
      <c r="B664" s="63" t="s">
        <v>1129</v>
      </c>
      <c r="C664" s="63" t="s">
        <v>684</v>
      </c>
      <c r="D664" s="79" t="str">
        <f t="shared" ca="1" si="54"/>
        <v>원자재</v>
      </c>
      <c r="E664" s="79" t="str">
        <f t="shared" ca="1" si="55"/>
        <v>PR</v>
      </c>
      <c r="F664" s="63" t="s">
        <v>1526</v>
      </c>
      <c r="G664" s="63" t="s">
        <v>1526</v>
      </c>
      <c r="H664" s="79" t="str">
        <f t="shared" si="56"/>
        <v>매칭완료</v>
      </c>
      <c r="I664" s="79" t="str">
        <f t="shared" ca="1" si="57"/>
        <v>6-PR</v>
      </c>
      <c r="J664" s="65" t="s">
        <v>1526</v>
      </c>
      <c r="K664" s="103" t="s">
        <v>3459</v>
      </c>
      <c r="L664" s="83" t="str">
        <f t="shared" si="53"/>
        <v>→ 조립자재 R437</v>
      </c>
      <c r="M664" s="84"/>
      <c r="N664" s="80">
        <v>437</v>
      </c>
      <c r="O664" s="80" t="s">
        <v>2110</v>
      </c>
      <c r="P664" s="79" t="s">
        <v>3460</v>
      </c>
    </row>
    <row r="665" spans="1:16" s="64" customFormat="1" ht="30" customHeight="1" x14ac:dyDescent="0.3">
      <c r="A665" s="62" t="s">
        <v>771</v>
      </c>
      <c r="B665" s="63" t="s">
        <v>1129</v>
      </c>
      <c r="C665" s="63" t="s">
        <v>684</v>
      </c>
      <c r="D665" s="79" t="str">
        <f t="shared" ca="1" si="54"/>
        <v>원자재</v>
      </c>
      <c r="E665" s="79" t="str">
        <f t="shared" ca="1" si="55"/>
        <v>PR</v>
      </c>
      <c r="F665" s="63" t="s">
        <v>1527</v>
      </c>
      <c r="G665" s="63" t="s">
        <v>1527</v>
      </c>
      <c r="H665" s="79" t="str">
        <f t="shared" si="56"/>
        <v>매칭완료</v>
      </c>
      <c r="I665" s="79" t="str">
        <f t="shared" ca="1" si="57"/>
        <v>6-PR</v>
      </c>
      <c r="J665" s="65" t="s">
        <v>1527</v>
      </c>
      <c r="K665" s="103" t="s">
        <v>3461</v>
      </c>
      <c r="L665" s="83" t="str">
        <f t="shared" si="53"/>
        <v>→ 조립자재 R438</v>
      </c>
      <c r="M665" s="84"/>
      <c r="N665" s="80">
        <v>438</v>
      </c>
      <c r="O665" s="80" t="s">
        <v>2110</v>
      </c>
      <c r="P665" s="79" t="s">
        <v>3462</v>
      </c>
    </row>
    <row r="666" spans="1:16" s="64" customFormat="1" ht="30" customHeight="1" x14ac:dyDescent="0.3">
      <c r="A666" s="62" t="s">
        <v>771</v>
      </c>
      <c r="B666" s="63" t="s">
        <v>1129</v>
      </c>
      <c r="C666" s="63" t="s">
        <v>684</v>
      </c>
      <c r="D666" s="79" t="str">
        <f t="shared" ca="1" si="54"/>
        <v>원자재</v>
      </c>
      <c r="E666" s="79" t="str">
        <f t="shared" ca="1" si="55"/>
        <v>PR</v>
      </c>
      <c r="F666" s="63" t="s">
        <v>1528</v>
      </c>
      <c r="G666" s="63" t="s">
        <v>1528</v>
      </c>
      <c r="H666" s="79" t="str">
        <f t="shared" si="56"/>
        <v>매칭완료</v>
      </c>
      <c r="I666" s="79" t="str">
        <f t="shared" ca="1" si="57"/>
        <v>6-PR</v>
      </c>
      <c r="J666" s="65" t="s">
        <v>1528</v>
      </c>
      <c r="K666" s="103" t="s">
        <v>3463</v>
      </c>
      <c r="L666" s="83" t="str">
        <f t="shared" si="53"/>
        <v>→ 조립자재 R439</v>
      </c>
      <c r="M666" s="84"/>
      <c r="N666" s="80">
        <v>439</v>
      </c>
      <c r="O666" s="80" t="s">
        <v>2110</v>
      </c>
      <c r="P666" s="79" t="s">
        <v>3464</v>
      </c>
    </row>
    <row r="667" spans="1:16" s="64" customFormat="1" ht="30" customHeight="1" x14ac:dyDescent="0.3">
      <c r="A667" s="57" t="s">
        <v>771</v>
      </c>
      <c r="B667" s="52" t="s">
        <v>1129</v>
      </c>
      <c r="C667" s="52" t="s">
        <v>182</v>
      </c>
      <c r="D667" s="79" t="str">
        <f t="shared" ca="1" si="54"/>
        <v>원자재</v>
      </c>
      <c r="E667" s="79" t="str">
        <f t="shared" ca="1" si="55"/>
        <v>PR</v>
      </c>
      <c r="F667" s="52" t="s">
        <v>3465</v>
      </c>
      <c r="G667" s="52"/>
      <c r="H667" s="79" t="str">
        <f t="shared" ca="1" si="56"/>
        <v>⚠ 원자재_부서보관</v>
      </c>
      <c r="I667" s="79" t="str">
        <f t="shared" ca="1" si="57"/>
        <v>8-PR</v>
      </c>
      <c r="J667" s="61" t="s">
        <v>3465</v>
      </c>
      <c r="K667" s="61" t="s">
        <v>3466</v>
      </c>
      <c r="L667" s="83" t="str">
        <f t="shared" si="53"/>
        <v>→ 조립자재 R440</v>
      </c>
      <c r="M667" s="84"/>
      <c r="N667" s="80">
        <v>440</v>
      </c>
      <c r="O667" s="80" t="s">
        <v>2110</v>
      </c>
      <c r="P667" s="79" t="s">
        <v>3467</v>
      </c>
    </row>
    <row r="668" spans="1:16" ht="30" customHeight="1" x14ac:dyDescent="0.3">
      <c r="A668" s="57" t="s">
        <v>771</v>
      </c>
      <c r="B668" s="52" t="s">
        <v>1129</v>
      </c>
      <c r="C668" s="52" t="s">
        <v>182</v>
      </c>
      <c r="D668" s="79" t="str">
        <f t="shared" ca="1" si="54"/>
        <v>원자재</v>
      </c>
      <c r="E668" s="79" t="str">
        <f t="shared" ca="1" si="55"/>
        <v>PR</v>
      </c>
      <c r="F668" s="52" t="s">
        <v>1153</v>
      </c>
      <c r="G668" s="52"/>
      <c r="H668" s="79" t="str">
        <f t="shared" ca="1" si="56"/>
        <v>⚠ 원자재_부서보관</v>
      </c>
      <c r="I668" s="79" t="str">
        <f t="shared" ca="1" si="57"/>
        <v>8-PR</v>
      </c>
      <c r="J668" s="61" t="s">
        <v>1153</v>
      </c>
      <c r="K668" s="61" t="s">
        <v>3468</v>
      </c>
      <c r="L668" s="83" t="str">
        <f t="shared" si="53"/>
        <v>→ 조립자재 R441</v>
      </c>
      <c r="M668" s="84"/>
      <c r="N668" s="80">
        <v>441</v>
      </c>
      <c r="O668" s="80" t="s">
        <v>2110</v>
      </c>
      <c r="P668" s="79" t="s">
        <v>3469</v>
      </c>
    </row>
    <row r="669" spans="1:16" ht="30" customHeight="1" x14ac:dyDescent="0.3">
      <c r="A669" s="57" t="s">
        <v>771</v>
      </c>
      <c r="B669" s="52" t="s">
        <v>1129</v>
      </c>
      <c r="C669" s="52" t="s">
        <v>182</v>
      </c>
      <c r="D669" s="79" t="str">
        <f t="shared" ca="1" si="54"/>
        <v>원자재</v>
      </c>
      <c r="E669" s="79" t="str">
        <f t="shared" ca="1" si="55"/>
        <v>PR</v>
      </c>
      <c r="F669" s="52" t="s">
        <v>1154</v>
      </c>
      <c r="G669" s="52"/>
      <c r="H669" s="79" t="str">
        <f t="shared" ca="1" si="56"/>
        <v>⚠ 원자재_부서보관</v>
      </c>
      <c r="I669" s="79" t="str">
        <f t="shared" ca="1" si="57"/>
        <v>8-PR</v>
      </c>
      <c r="J669" s="61" t="s">
        <v>1154</v>
      </c>
      <c r="K669" s="61" t="s">
        <v>3470</v>
      </c>
      <c r="L669" s="83" t="str">
        <f t="shared" si="53"/>
        <v>→ 조립자재 R442</v>
      </c>
      <c r="M669" s="84"/>
      <c r="N669" s="80">
        <v>442</v>
      </c>
      <c r="O669" s="80" t="s">
        <v>2110</v>
      </c>
      <c r="P669" s="79" t="s">
        <v>3471</v>
      </c>
    </row>
    <row r="670" spans="1:16" ht="30" customHeight="1" x14ac:dyDescent="0.3">
      <c r="A670" s="57" t="s">
        <v>771</v>
      </c>
      <c r="B670" s="52" t="s">
        <v>1129</v>
      </c>
      <c r="C670" s="52" t="s">
        <v>182</v>
      </c>
      <c r="D670" s="79" t="str">
        <f t="shared" ca="1" si="54"/>
        <v>원자재</v>
      </c>
      <c r="E670" s="79" t="str">
        <f t="shared" ca="1" si="55"/>
        <v>PR</v>
      </c>
      <c r="F670" s="52" t="s">
        <v>1558</v>
      </c>
      <c r="G670" s="52" t="s">
        <v>3472</v>
      </c>
      <c r="H670" s="79" t="str">
        <f t="shared" si="56"/>
        <v>매칭완료</v>
      </c>
      <c r="I670" s="79" t="str">
        <f t="shared" ca="1" si="57"/>
        <v>8-PR</v>
      </c>
      <c r="J670" s="61" t="s">
        <v>1558</v>
      </c>
      <c r="K670" s="103" t="s">
        <v>3473</v>
      </c>
      <c r="L670" s="83" t="str">
        <f t="shared" si="53"/>
        <v>→ 조립자재 R443</v>
      </c>
      <c r="M670" s="84"/>
      <c r="N670" s="80">
        <v>443</v>
      </c>
      <c r="O670" s="80" t="s">
        <v>2110</v>
      </c>
      <c r="P670" s="79" t="s">
        <v>3474</v>
      </c>
    </row>
    <row r="671" spans="1:16" ht="30" customHeight="1" x14ac:dyDescent="0.3">
      <c r="A671" s="57" t="s">
        <v>771</v>
      </c>
      <c r="B671" s="52" t="s">
        <v>1129</v>
      </c>
      <c r="C671" s="52" t="s">
        <v>182</v>
      </c>
      <c r="D671" s="79" t="str">
        <f t="shared" ca="1" si="54"/>
        <v>원자재</v>
      </c>
      <c r="E671" s="79" t="str">
        <f t="shared" ca="1" si="55"/>
        <v>PR</v>
      </c>
      <c r="F671" s="52" t="s">
        <v>1157</v>
      </c>
      <c r="G671" s="52" t="s">
        <v>3475</v>
      </c>
      <c r="H671" s="79" t="str">
        <f t="shared" si="56"/>
        <v>매칭완료</v>
      </c>
      <c r="I671" s="79" t="str">
        <f t="shared" ca="1" si="57"/>
        <v>8-PR</v>
      </c>
      <c r="J671" s="61" t="s">
        <v>1157</v>
      </c>
      <c r="K671" s="61" t="s">
        <v>3476</v>
      </c>
      <c r="L671" s="83" t="str">
        <f t="shared" si="53"/>
        <v>→ 조립자재 R444</v>
      </c>
      <c r="M671" s="84"/>
      <c r="N671" s="80">
        <v>444</v>
      </c>
      <c r="O671" s="80" t="s">
        <v>2110</v>
      </c>
      <c r="P671" s="79" t="s">
        <v>3477</v>
      </c>
    </row>
    <row r="672" spans="1:16" ht="30" customHeight="1" x14ac:dyDescent="0.3">
      <c r="A672" s="57" t="s">
        <v>771</v>
      </c>
      <c r="B672" s="52" t="s">
        <v>1129</v>
      </c>
      <c r="C672" s="52" t="s">
        <v>182</v>
      </c>
      <c r="D672" s="79" t="str">
        <f t="shared" ca="1" si="54"/>
        <v>원자재</v>
      </c>
      <c r="E672" s="79" t="str">
        <f t="shared" ca="1" si="55"/>
        <v>PR</v>
      </c>
      <c r="F672" s="52" t="s">
        <v>1159</v>
      </c>
      <c r="G672" s="52" t="s">
        <v>3478</v>
      </c>
      <c r="H672" s="79" t="str">
        <f t="shared" si="56"/>
        <v>매칭완료</v>
      </c>
      <c r="I672" s="79" t="str">
        <f t="shared" ca="1" si="57"/>
        <v>8-PR</v>
      </c>
      <c r="J672" s="61" t="s">
        <v>1159</v>
      </c>
      <c r="K672" s="61" t="s">
        <v>3479</v>
      </c>
      <c r="L672" s="83" t="str">
        <f t="shared" si="53"/>
        <v>→ 조립자재 R445</v>
      </c>
      <c r="M672" s="84"/>
      <c r="N672" s="80">
        <v>445</v>
      </c>
      <c r="O672" s="80" t="s">
        <v>2110</v>
      </c>
      <c r="P672" s="79" t="s">
        <v>3480</v>
      </c>
    </row>
    <row r="673" spans="1:16" ht="30" customHeight="1" x14ac:dyDescent="0.3">
      <c r="A673" s="57" t="s">
        <v>771</v>
      </c>
      <c r="B673" s="52" t="s">
        <v>1161</v>
      </c>
      <c r="C673" s="52" t="s">
        <v>1120</v>
      </c>
      <c r="D673" s="79" t="str">
        <f t="shared" ca="1" si="54"/>
        <v>원자재</v>
      </c>
      <c r="E673" s="79" t="str">
        <f t="shared" ca="1" si="55"/>
        <v>PR</v>
      </c>
      <c r="F673" s="52" t="s">
        <v>1162</v>
      </c>
      <c r="G673" s="52" t="s">
        <v>3481</v>
      </c>
      <c r="H673" s="79" t="str">
        <f t="shared" si="56"/>
        <v>매칭완료</v>
      </c>
      <c r="I673" s="79" t="str">
        <f t="shared" ca="1" si="57"/>
        <v>34-PR</v>
      </c>
      <c r="J673" s="61" t="s">
        <v>1162</v>
      </c>
      <c r="K673" s="61" t="s">
        <v>3482</v>
      </c>
      <c r="L673" s="83" t="str">
        <f t="shared" si="53"/>
        <v>→ 조립자재 R446</v>
      </c>
      <c r="M673" s="84"/>
      <c r="N673" s="80">
        <v>446</v>
      </c>
      <c r="O673" s="80" t="s">
        <v>2110</v>
      </c>
      <c r="P673" s="79" t="s">
        <v>3483</v>
      </c>
    </row>
    <row r="674" spans="1:16" ht="30" customHeight="1" x14ac:dyDescent="0.3">
      <c r="A674" s="57" t="s">
        <v>771</v>
      </c>
      <c r="B674" s="52" t="s">
        <v>1161</v>
      </c>
      <c r="C674" s="52" t="s">
        <v>153</v>
      </c>
      <c r="D674" s="79" t="str">
        <f t="shared" ca="1" si="54"/>
        <v>원자재</v>
      </c>
      <c r="E674" s="79" t="str">
        <f t="shared" ca="1" si="55"/>
        <v>PR</v>
      </c>
      <c r="F674" s="52" t="s">
        <v>1164</v>
      </c>
      <c r="G674" s="52" t="s">
        <v>3484</v>
      </c>
      <c r="H674" s="79" t="str">
        <f t="shared" si="56"/>
        <v>매칭완료</v>
      </c>
      <c r="I674" s="79" t="str">
        <f t="shared" ca="1" si="57"/>
        <v>7-PR</v>
      </c>
      <c r="J674" s="61" t="s">
        <v>1164</v>
      </c>
      <c r="K674" s="61" t="s">
        <v>3485</v>
      </c>
      <c r="L674" s="83" t="str">
        <f t="shared" si="53"/>
        <v>→ 조립자재 R447</v>
      </c>
      <c r="M674" s="84"/>
      <c r="N674" s="80">
        <v>447</v>
      </c>
      <c r="O674" s="80" t="s">
        <v>2110</v>
      </c>
      <c r="P674" s="79" t="s">
        <v>3486</v>
      </c>
    </row>
    <row r="675" spans="1:16" ht="30" customHeight="1" x14ac:dyDescent="0.3">
      <c r="A675" s="57" t="s">
        <v>771</v>
      </c>
      <c r="B675" s="52" t="s">
        <v>1161</v>
      </c>
      <c r="C675" s="52" t="s">
        <v>591</v>
      </c>
      <c r="D675" s="79" t="str">
        <f t="shared" ca="1" si="54"/>
        <v>원자재</v>
      </c>
      <c r="E675" s="79" t="str">
        <f t="shared" ca="1" si="55"/>
        <v>PR</v>
      </c>
      <c r="F675" s="52" t="s">
        <v>1166</v>
      </c>
      <c r="G675" s="52" t="s">
        <v>3487</v>
      </c>
      <c r="H675" s="79" t="str">
        <f t="shared" si="56"/>
        <v>매칭완료</v>
      </c>
      <c r="I675" s="79" t="str">
        <f t="shared" ca="1" si="57"/>
        <v>6-PR</v>
      </c>
      <c r="J675" s="61" t="s">
        <v>1166</v>
      </c>
      <c r="K675" s="61" t="s">
        <v>3488</v>
      </c>
      <c r="L675" s="83" t="str">
        <f t="shared" si="53"/>
        <v>→ 조립자재 R448</v>
      </c>
      <c r="M675" s="84"/>
      <c r="N675" s="80">
        <v>448</v>
      </c>
      <c r="O675" s="80" t="s">
        <v>2110</v>
      </c>
      <c r="P675" s="79" t="s">
        <v>3489</v>
      </c>
    </row>
    <row r="676" spans="1:16" ht="30" customHeight="1" x14ac:dyDescent="0.3">
      <c r="A676" s="57" t="s">
        <v>771</v>
      </c>
      <c r="B676" s="52" t="s">
        <v>1161</v>
      </c>
      <c r="C676" s="52" t="s">
        <v>1120</v>
      </c>
      <c r="D676" s="79" t="str">
        <f t="shared" ca="1" si="54"/>
        <v>원자재</v>
      </c>
      <c r="E676" s="79" t="str">
        <f t="shared" ca="1" si="55"/>
        <v>PR</v>
      </c>
      <c r="F676" s="52" t="s">
        <v>1168</v>
      </c>
      <c r="G676" s="52" t="s">
        <v>3490</v>
      </c>
      <c r="H676" s="79" t="str">
        <f t="shared" si="56"/>
        <v>매칭완료</v>
      </c>
      <c r="I676" s="79" t="str">
        <f t="shared" ca="1" si="57"/>
        <v>34-PR</v>
      </c>
      <c r="J676" s="61" t="s">
        <v>1168</v>
      </c>
      <c r="K676" s="61" t="s">
        <v>3491</v>
      </c>
      <c r="L676" s="83" t="str">
        <f t="shared" si="53"/>
        <v>→ 조립자재 R449</v>
      </c>
      <c r="M676" s="84"/>
      <c r="N676" s="80">
        <v>449</v>
      </c>
      <c r="O676" s="80" t="s">
        <v>2110</v>
      </c>
      <c r="P676" s="79" t="s">
        <v>3492</v>
      </c>
    </row>
    <row r="677" spans="1:16" ht="30" customHeight="1" x14ac:dyDescent="0.3">
      <c r="A677" s="57" t="s">
        <v>771</v>
      </c>
      <c r="B677" s="52" t="s">
        <v>1161</v>
      </c>
      <c r="C677" s="52" t="s">
        <v>153</v>
      </c>
      <c r="D677" s="79" t="str">
        <f t="shared" ca="1" si="54"/>
        <v>원자재</v>
      </c>
      <c r="E677" s="79" t="str">
        <f t="shared" ca="1" si="55"/>
        <v>PR</v>
      </c>
      <c r="F677" s="52" t="s">
        <v>1170</v>
      </c>
      <c r="G677" s="52" t="s">
        <v>3493</v>
      </c>
      <c r="H677" s="79" t="str">
        <f t="shared" si="56"/>
        <v>매칭완료</v>
      </c>
      <c r="I677" s="79" t="str">
        <f t="shared" ca="1" si="57"/>
        <v>7-PR</v>
      </c>
      <c r="J677" s="61" t="s">
        <v>1170</v>
      </c>
      <c r="K677" s="61" t="s">
        <v>3494</v>
      </c>
      <c r="L677" s="83" t="str">
        <f t="shared" si="53"/>
        <v>→ 조립자재 R450</v>
      </c>
      <c r="M677" s="84"/>
      <c r="N677" s="80">
        <v>450</v>
      </c>
      <c r="O677" s="80" t="s">
        <v>2110</v>
      </c>
      <c r="P677" s="79" t="s">
        <v>3495</v>
      </c>
    </row>
    <row r="678" spans="1:16" ht="30" customHeight="1" x14ac:dyDescent="0.3">
      <c r="A678" s="57" t="s">
        <v>771</v>
      </c>
      <c r="B678" s="52" t="s">
        <v>1161</v>
      </c>
      <c r="C678" s="52" t="s">
        <v>591</v>
      </c>
      <c r="D678" s="79" t="str">
        <f t="shared" ca="1" si="54"/>
        <v>원자재</v>
      </c>
      <c r="E678" s="79" t="str">
        <f t="shared" ca="1" si="55"/>
        <v>PR</v>
      </c>
      <c r="F678" s="52" t="s">
        <v>1172</v>
      </c>
      <c r="G678" s="52" t="s">
        <v>3496</v>
      </c>
      <c r="H678" s="79" t="str">
        <f t="shared" si="56"/>
        <v>매칭완료</v>
      </c>
      <c r="I678" s="79" t="str">
        <f t="shared" ca="1" si="57"/>
        <v>6-PR</v>
      </c>
      <c r="J678" s="61" t="s">
        <v>1172</v>
      </c>
      <c r="K678" s="61" t="s">
        <v>3497</v>
      </c>
      <c r="L678" s="83" t="str">
        <f t="shared" si="53"/>
        <v>→ 조립자재 R451</v>
      </c>
      <c r="M678" s="84"/>
      <c r="N678" s="80">
        <v>451</v>
      </c>
      <c r="O678" s="80" t="s">
        <v>2110</v>
      </c>
      <c r="P678" s="79" t="s">
        <v>3498</v>
      </c>
    </row>
    <row r="679" spans="1:16" ht="30" customHeight="1" x14ac:dyDescent="0.3">
      <c r="A679" s="57" t="s">
        <v>771</v>
      </c>
      <c r="B679" s="52" t="s">
        <v>1161</v>
      </c>
      <c r="C679" s="52" t="s">
        <v>195</v>
      </c>
      <c r="D679" s="79" t="str">
        <f t="shared" ca="1" si="54"/>
        <v>원자재</v>
      </c>
      <c r="E679" s="79" t="str">
        <f t="shared" ca="1" si="55"/>
        <v>PR</v>
      </c>
      <c r="F679" s="52" t="s">
        <v>1174</v>
      </c>
      <c r="G679" s="52" t="s">
        <v>3499</v>
      </c>
      <c r="H679" s="79" t="str">
        <f t="shared" si="56"/>
        <v>매칭완료</v>
      </c>
      <c r="I679" s="79" t="str">
        <f t="shared" ca="1" si="57"/>
        <v>3-PR</v>
      </c>
      <c r="J679" s="61" t="s">
        <v>1174</v>
      </c>
      <c r="K679" s="61" t="s">
        <v>3500</v>
      </c>
      <c r="L679" s="83" t="str">
        <f t="shared" si="53"/>
        <v>→ 조립자재 R452</v>
      </c>
      <c r="M679" s="84"/>
      <c r="N679" s="80">
        <v>452</v>
      </c>
      <c r="O679" s="80" t="s">
        <v>2110</v>
      </c>
      <c r="P679" s="79" t="s">
        <v>3501</v>
      </c>
    </row>
    <row r="680" spans="1:16" ht="30" customHeight="1" x14ac:dyDescent="0.3">
      <c r="A680" s="57" t="s">
        <v>771</v>
      </c>
      <c r="B680" s="52" t="s">
        <v>1176</v>
      </c>
      <c r="C680" s="52" t="s">
        <v>1176</v>
      </c>
      <c r="D680" s="79" t="str">
        <f t="shared" ca="1" si="54"/>
        <v>원자재</v>
      </c>
      <c r="E680" s="79" t="str">
        <f t="shared" ca="1" si="55"/>
        <v>PR</v>
      </c>
      <c r="F680" s="52" t="s">
        <v>1177</v>
      </c>
      <c r="G680" s="52" t="s">
        <v>3502</v>
      </c>
      <c r="H680" s="79" t="str">
        <f t="shared" si="56"/>
        <v>매칭완료</v>
      </c>
      <c r="I680" s="79" t="str">
        <f t="shared" ca="1" si="57"/>
        <v>3-PR</v>
      </c>
      <c r="J680" s="61" t="s">
        <v>1177</v>
      </c>
      <c r="K680" s="61" t="s">
        <v>3503</v>
      </c>
      <c r="L680" s="83" t="str">
        <f t="shared" si="53"/>
        <v>→ 조립자재 R453</v>
      </c>
      <c r="M680" s="84"/>
      <c r="N680" s="80">
        <v>453</v>
      </c>
      <c r="O680" s="80" t="s">
        <v>2110</v>
      </c>
      <c r="P680" s="79" t="s">
        <v>3504</v>
      </c>
    </row>
    <row r="681" spans="1:16" ht="30" customHeight="1" x14ac:dyDescent="0.3">
      <c r="A681" s="57" t="s">
        <v>771</v>
      </c>
      <c r="B681" s="52" t="s">
        <v>1176</v>
      </c>
      <c r="C681" s="52" t="s">
        <v>1176</v>
      </c>
      <c r="D681" s="79" t="str">
        <f t="shared" ca="1" si="54"/>
        <v>원자재</v>
      </c>
      <c r="E681" s="79" t="str">
        <f t="shared" ca="1" si="55"/>
        <v>PR</v>
      </c>
      <c r="F681" s="52" t="s">
        <v>1179</v>
      </c>
      <c r="G681" s="52"/>
      <c r="H681" s="79" t="str">
        <f t="shared" ca="1" si="56"/>
        <v>⚠ 원자재_부서보관</v>
      </c>
      <c r="I681" s="79" t="str">
        <f t="shared" ca="1" si="57"/>
        <v>3-PR</v>
      </c>
      <c r="J681" s="61" t="s">
        <v>1179</v>
      </c>
      <c r="K681" s="61" t="s">
        <v>3505</v>
      </c>
      <c r="L681" s="83" t="str">
        <f t="shared" si="53"/>
        <v>→ 조립자재 R454</v>
      </c>
      <c r="M681" s="84"/>
      <c r="N681" s="80">
        <v>454</v>
      </c>
      <c r="O681" s="80" t="s">
        <v>2110</v>
      </c>
      <c r="P681" s="79" t="s">
        <v>3506</v>
      </c>
    </row>
    <row r="682" spans="1:16" ht="30" customHeight="1" x14ac:dyDescent="0.3">
      <c r="A682" s="57" t="s">
        <v>771</v>
      </c>
      <c r="B682" s="52" t="s">
        <v>1176</v>
      </c>
      <c r="C682" s="52" t="s">
        <v>1176</v>
      </c>
      <c r="D682" s="79" t="str">
        <f t="shared" ca="1" si="54"/>
        <v>원자재</v>
      </c>
      <c r="E682" s="79" t="str">
        <f t="shared" ca="1" si="55"/>
        <v>PR</v>
      </c>
      <c r="F682" s="52" t="s">
        <v>1180</v>
      </c>
      <c r="G682" s="52"/>
      <c r="H682" s="79" t="str">
        <f t="shared" ca="1" si="56"/>
        <v>⚠ 원자재_부서보관</v>
      </c>
      <c r="I682" s="79" t="str">
        <f t="shared" ca="1" si="57"/>
        <v>34-PR</v>
      </c>
      <c r="J682" s="61" t="s">
        <v>1180</v>
      </c>
      <c r="K682" s="61" t="s">
        <v>3507</v>
      </c>
      <c r="L682" s="83" t="str">
        <f t="shared" si="53"/>
        <v>→ 조립자재 R455</v>
      </c>
      <c r="M682" s="84"/>
      <c r="N682" s="80">
        <v>455</v>
      </c>
      <c r="O682" s="80" t="s">
        <v>2110</v>
      </c>
      <c r="P682" s="79" t="s">
        <v>3508</v>
      </c>
    </row>
    <row r="683" spans="1:16" ht="30" customHeight="1" x14ac:dyDescent="0.3">
      <c r="A683" s="57" t="s">
        <v>771</v>
      </c>
      <c r="B683" s="52" t="s">
        <v>1176</v>
      </c>
      <c r="C683" s="52" t="s">
        <v>1176</v>
      </c>
      <c r="D683" s="79" t="str">
        <f t="shared" ca="1" si="54"/>
        <v>원자재</v>
      </c>
      <c r="E683" s="79" t="str">
        <f t="shared" ca="1" si="55"/>
        <v>PR</v>
      </c>
      <c r="F683" s="52" t="s">
        <v>1181</v>
      </c>
      <c r="G683" s="52"/>
      <c r="H683" s="79" t="str">
        <f t="shared" ca="1" si="56"/>
        <v>⚠ 원자재_부서보관</v>
      </c>
      <c r="I683" s="79" t="str">
        <f t="shared" ca="1" si="57"/>
        <v>34-PR</v>
      </c>
      <c r="J683" s="61" t="s">
        <v>1181</v>
      </c>
      <c r="K683" s="61" t="s">
        <v>3509</v>
      </c>
      <c r="L683" s="83" t="str">
        <f t="shared" si="53"/>
        <v>→ 조립자재 R456</v>
      </c>
      <c r="M683" s="84"/>
      <c r="N683" s="80">
        <v>456</v>
      </c>
      <c r="O683" s="80" t="s">
        <v>2110</v>
      </c>
      <c r="P683" s="79" t="s">
        <v>3510</v>
      </c>
    </row>
    <row r="684" spans="1:16" ht="30" customHeight="1" x14ac:dyDescent="0.3">
      <c r="A684" s="57" t="s">
        <v>771</v>
      </c>
      <c r="B684" s="52" t="s">
        <v>1176</v>
      </c>
      <c r="C684" s="52" t="s">
        <v>1176</v>
      </c>
      <c r="D684" s="79" t="str">
        <f t="shared" ca="1" si="54"/>
        <v>원자재</v>
      </c>
      <c r="E684" s="79" t="str">
        <f t="shared" ca="1" si="55"/>
        <v>PR</v>
      </c>
      <c r="F684" s="52" t="s">
        <v>1182</v>
      </c>
      <c r="G684" s="52"/>
      <c r="H684" s="79" t="str">
        <f t="shared" ca="1" si="56"/>
        <v>⚠ 원자재_부서보관</v>
      </c>
      <c r="I684" s="79" t="str">
        <f t="shared" ca="1" si="57"/>
        <v>67-PR</v>
      </c>
      <c r="J684" s="61" t="s">
        <v>1182</v>
      </c>
      <c r="K684" s="61" t="s">
        <v>3511</v>
      </c>
      <c r="L684" s="83" t="str">
        <f t="shared" si="53"/>
        <v>→ 조립자재 R457</v>
      </c>
      <c r="M684" s="84"/>
      <c r="N684" s="80">
        <v>457</v>
      </c>
      <c r="O684" s="80" t="s">
        <v>2110</v>
      </c>
      <c r="P684" s="79" t="s">
        <v>3512</v>
      </c>
    </row>
    <row r="685" spans="1:16" ht="30" customHeight="1" x14ac:dyDescent="0.3">
      <c r="A685" s="57" t="s">
        <v>771</v>
      </c>
      <c r="B685" s="52" t="s">
        <v>1176</v>
      </c>
      <c r="C685" s="52" t="s">
        <v>1176</v>
      </c>
      <c r="D685" s="79" t="str">
        <f t="shared" ca="1" si="54"/>
        <v>원자재</v>
      </c>
      <c r="E685" s="79" t="str">
        <f t="shared" ca="1" si="55"/>
        <v>PR</v>
      </c>
      <c r="F685" s="52" t="s">
        <v>1183</v>
      </c>
      <c r="G685" s="52"/>
      <c r="H685" s="79" t="str">
        <f t="shared" ca="1" si="56"/>
        <v>⚠ 원자재_부서보관</v>
      </c>
      <c r="I685" s="79" t="str">
        <f t="shared" ca="1" si="57"/>
        <v>67-PR</v>
      </c>
      <c r="J685" s="61" t="s">
        <v>1183</v>
      </c>
      <c r="K685" s="61" t="s">
        <v>3513</v>
      </c>
      <c r="L685" s="83" t="str">
        <f t="shared" si="53"/>
        <v>→ 조립자재 R458</v>
      </c>
      <c r="M685" s="84"/>
      <c r="N685" s="80">
        <v>458</v>
      </c>
      <c r="O685" s="80" t="s">
        <v>2110</v>
      </c>
      <c r="P685" s="79" t="s">
        <v>3514</v>
      </c>
    </row>
    <row r="686" spans="1:16" ht="30" customHeight="1" x14ac:dyDescent="0.3">
      <c r="A686" s="57" t="s">
        <v>771</v>
      </c>
      <c r="B686" s="52" t="s">
        <v>1176</v>
      </c>
      <c r="C686" s="52" t="s">
        <v>1176</v>
      </c>
      <c r="D686" s="79" t="str">
        <f t="shared" ca="1" si="54"/>
        <v>원자재</v>
      </c>
      <c r="E686" s="79" t="str">
        <f t="shared" ca="1" si="55"/>
        <v>PR</v>
      </c>
      <c r="F686" s="52" t="s">
        <v>1184</v>
      </c>
      <c r="G686" s="52"/>
      <c r="H686" s="79" t="str">
        <f t="shared" ca="1" si="56"/>
        <v>⚠ 원자재_부서보관</v>
      </c>
      <c r="I686" s="79" t="str">
        <f t="shared" ca="1" si="57"/>
        <v>3-PR</v>
      </c>
      <c r="J686" s="61" t="s">
        <v>1184</v>
      </c>
      <c r="K686" s="61" t="s">
        <v>3515</v>
      </c>
      <c r="L686" s="83" t="str">
        <f t="shared" si="53"/>
        <v>→ 조립자재 R459</v>
      </c>
      <c r="M686" s="84"/>
      <c r="N686" s="80">
        <v>459</v>
      </c>
      <c r="O686" s="80" t="s">
        <v>2110</v>
      </c>
      <c r="P686" s="79" t="s">
        <v>3516</v>
      </c>
    </row>
    <row r="687" spans="1:16" ht="30" customHeight="1" x14ac:dyDescent="0.3">
      <c r="A687" s="58" t="s">
        <v>3517</v>
      </c>
      <c r="B687" s="52" t="s">
        <v>337</v>
      </c>
      <c r="C687" s="52" t="s">
        <v>338</v>
      </c>
      <c r="D687" s="79" t="str">
        <f t="shared" ca="1" si="54"/>
        <v>원자재</v>
      </c>
      <c r="E687" s="79" t="str">
        <f t="shared" ca="1" si="55"/>
        <v>NR</v>
      </c>
      <c r="F687" s="52" t="s">
        <v>339</v>
      </c>
      <c r="G687" s="52"/>
      <c r="H687" s="79" t="str">
        <f t="shared" ca="1" si="56"/>
        <v>⚠ 원자재_부서보관</v>
      </c>
      <c r="I687" s="79" t="str">
        <f t="shared" ca="1" si="57"/>
        <v>6-NR</v>
      </c>
      <c r="J687" s="61" t="s">
        <v>339</v>
      </c>
      <c r="K687" s="65" t="s">
        <v>3518</v>
      </c>
      <c r="L687" s="83" t="str">
        <f t="shared" ref="L687:L693" si="58">HYPERLINK("#'"&amp;$O687&amp;"'!A"&amp;$N687,"→ 고압진공 R"&amp;$N687)</f>
        <v>→ 고압진공 R159</v>
      </c>
      <c r="M687" s="84"/>
      <c r="N687" s="80">
        <v>159</v>
      </c>
      <c r="O687" s="80" t="s">
        <v>1757</v>
      </c>
      <c r="P687" s="79" t="s">
        <v>3519</v>
      </c>
    </row>
    <row r="688" spans="1:16" ht="30" customHeight="1" x14ac:dyDescent="0.3">
      <c r="A688" s="58" t="s">
        <v>3517</v>
      </c>
      <c r="B688" s="52" t="s">
        <v>340</v>
      </c>
      <c r="C688" s="52" t="s">
        <v>341</v>
      </c>
      <c r="D688" s="79" t="str">
        <f t="shared" ca="1" si="54"/>
        <v>원자재</v>
      </c>
      <c r="E688" s="79" t="str">
        <f t="shared" ca="1" si="55"/>
        <v>NR</v>
      </c>
      <c r="F688" s="52" t="s">
        <v>342</v>
      </c>
      <c r="G688" s="52"/>
      <c r="H688" s="79" t="str">
        <f t="shared" ca="1" si="56"/>
        <v>⚠ 원자재_부서보관</v>
      </c>
      <c r="I688" s="79" t="str">
        <f t="shared" ca="1" si="57"/>
        <v>6-NR</v>
      </c>
      <c r="J688" s="61" t="s">
        <v>342</v>
      </c>
      <c r="K688" s="65" t="s">
        <v>3520</v>
      </c>
      <c r="L688" s="83" t="str">
        <f t="shared" si="58"/>
        <v>→ 고압진공 R160</v>
      </c>
      <c r="M688" s="84"/>
      <c r="N688" s="80">
        <v>160</v>
      </c>
      <c r="O688" s="80" t="s">
        <v>1757</v>
      </c>
      <c r="P688" s="79" t="s">
        <v>3521</v>
      </c>
    </row>
    <row r="689" spans="1:16" ht="30" customHeight="1" x14ac:dyDescent="0.3">
      <c r="A689" s="58" t="s">
        <v>3517</v>
      </c>
      <c r="B689" s="52" t="s">
        <v>153</v>
      </c>
      <c r="C689" s="52" t="s">
        <v>343</v>
      </c>
      <c r="D689" s="79" t="str">
        <f t="shared" ca="1" si="54"/>
        <v>원자재</v>
      </c>
      <c r="E689" s="79" t="str">
        <f t="shared" ca="1" si="55"/>
        <v>NR</v>
      </c>
      <c r="F689" s="52" t="s">
        <v>344</v>
      </c>
      <c r="G689" s="52"/>
      <c r="H689" s="79" t="str">
        <f t="shared" ca="1" si="56"/>
        <v>⚠ 원자재_부서보관</v>
      </c>
      <c r="I689" s="79" t="str">
        <f t="shared" ca="1" si="57"/>
        <v>7-NR</v>
      </c>
      <c r="J689" s="61" t="s">
        <v>344</v>
      </c>
      <c r="K689" s="65" t="s">
        <v>3522</v>
      </c>
      <c r="L689" s="83" t="str">
        <f t="shared" si="58"/>
        <v>→ 고압진공 R161</v>
      </c>
      <c r="M689" s="84"/>
      <c r="N689" s="80">
        <v>161</v>
      </c>
      <c r="O689" s="80" t="s">
        <v>1757</v>
      </c>
      <c r="P689" s="79" t="s">
        <v>3523</v>
      </c>
    </row>
    <row r="690" spans="1:16" ht="30" customHeight="1" x14ac:dyDescent="0.3">
      <c r="A690" s="58" t="s">
        <v>3517</v>
      </c>
      <c r="B690" s="52" t="s">
        <v>340</v>
      </c>
      <c r="C690" s="52" t="s">
        <v>3524</v>
      </c>
      <c r="D690" s="79" t="str">
        <f t="shared" ca="1" si="54"/>
        <v>원자재</v>
      </c>
      <c r="E690" s="79" t="str">
        <f t="shared" ca="1" si="55"/>
        <v>NR</v>
      </c>
      <c r="F690" s="52" t="s">
        <v>346</v>
      </c>
      <c r="G690" s="52"/>
      <c r="H690" s="79" t="str">
        <f t="shared" ca="1" si="56"/>
        <v>⚠ 원자재_부서보관</v>
      </c>
      <c r="I690" s="79" t="str">
        <f t="shared" ca="1" si="57"/>
        <v>6-NR</v>
      </c>
      <c r="J690" s="61" t="s">
        <v>346</v>
      </c>
      <c r="K690" s="65" t="s">
        <v>3525</v>
      </c>
      <c r="L690" s="83" t="str">
        <f t="shared" si="58"/>
        <v>→ 고압진공 R162</v>
      </c>
      <c r="M690" s="84"/>
      <c r="N690" s="80">
        <v>162</v>
      </c>
      <c r="O690" s="80" t="s">
        <v>1757</v>
      </c>
      <c r="P690" s="79" t="s">
        <v>3526</v>
      </c>
    </row>
    <row r="691" spans="1:16" ht="30" customHeight="1" x14ac:dyDescent="0.3">
      <c r="A691" s="58" t="s">
        <v>3517</v>
      </c>
      <c r="B691" s="52" t="s">
        <v>337</v>
      </c>
      <c r="C691" s="52" t="s">
        <v>3527</v>
      </c>
      <c r="D691" s="79" t="str">
        <f t="shared" ca="1" si="54"/>
        <v>원자재</v>
      </c>
      <c r="E691" s="79" t="str">
        <f t="shared" ca="1" si="55"/>
        <v>NR</v>
      </c>
      <c r="F691" s="52" t="s">
        <v>348</v>
      </c>
      <c r="G691" s="52"/>
      <c r="H691" s="79" t="str">
        <f t="shared" ca="1" si="56"/>
        <v>⚠ 원자재_부서보관</v>
      </c>
      <c r="I691" s="79" t="str">
        <f t="shared" ca="1" si="57"/>
        <v>6-NR</v>
      </c>
      <c r="J691" s="61" t="s">
        <v>348</v>
      </c>
      <c r="K691" s="65" t="s">
        <v>3528</v>
      </c>
      <c r="L691" s="83" t="str">
        <f t="shared" si="58"/>
        <v>→ 고압진공 R163</v>
      </c>
      <c r="M691" s="84"/>
      <c r="N691" s="80">
        <v>163</v>
      </c>
      <c r="O691" s="80" t="s">
        <v>1757</v>
      </c>
      <c r="P691" s="79" t="s">
        <v>3529</v>
      </c>
    </row>
    <row r="692" spans="1:16" ht="30" customHeight="1" x14ac:dyDescent="0.3">
      <c r="A692" s="58" t="s">
        <v>3517</v>
      </c>
      <c r="B692" s="52" t="s">
        <v>337</v>
      </c>
      <c r="C692" s="52" t="s">
        <v>3530</v>
      </c>
      <c r="D692" s="79" t="str">
        <f t="shared" ca="1" si="54"/>
        <v>원자재</v>
      </c>
      <c r="E692" s="79" t="str">
        <f t="shared" ca="1" si="55"/>
        <v>NR</v>
      </c>
      <c r="F692" s="52" t="s">
        <v>350</v>
      </c>
      <c r="G692" s="52"/>
      <c r="H692" s="79" t="str">
        <f t="shared" ca="1" si="56"/>
        <v>⚠ 원자재_부서보관</v>
      </c>
      <c r="I692" s="79" t="str">
        <f t="shared" ca="1" si="57"/>
        <v>6-NR</v>
      </c>
      <c r="J692" s="61" t="s">
        <v>350</v>
      </c>
      <c r="K692" s="65" t="s">
        <v>3531</v>
      </c>
      <c r="L692" s="83" t="str">
        <f t="shared" si="58"/>
        <v>→ 고압진공 R164</v>
      </c>
      <c r="M692" s="84"/>
      <c r="N692" s="80">
        <v>164</v>
      </c>
      <c r="O692" s="80" t="s">
        <v>1757</v>
      </c>
      <c r="P692" s="79" t="s">
        <v>3532</v>
      </c>
    </row>
    <row r="693" spans="1:16" ht="30" customHeight="1" x14ac:dyDescent="0.3">
      <c r="A693" s="58" t="s">
        <v>3517</v>
      </c>
      <c r="B693" s="52" t="s">
        <v>351</v>
      </c>
      <c r="C693" s="52" t="s">
        <v>3533</v>
      </c>
      <c r="D693" s="79" t="str">
        <f t="shared" ca="1" si="54"/>
        <v>원자재</v>
      </c>
      <c r="E693" s="79" t="str">
        <f t="shared" ca="1" si="55"/>
        <v>NR</v>
      </c>
      <c r="F693" s="52" t="s">
        <v>353</v>
      </c>
      <c r="G693" s="52"/>
      <c r="H693" s="79" t="str">
        <f t="shared" ca="1" si="56"/>
        <v>⚠ 원자재_부서보관</v>
      </c>
      <c r="I693" s="79" t="str">
        <f t="shared" ca="1" si="57"/>
        <v>6-NR</v>
      </c>
      <c r="J693" s="61" t="s">
        <v>353</v>
      </c>
      <c r="K693" s="65" t="s">
        <v>3534</v>
      </c>
      <c r="L693" s="83" t="str">
        <f t="shared" si="58"/>
        <v>→ 고압진공 R165</v>
      </c>
      <c r="M693" s="84"/>
      <c r="N693" s="80">
        <v>165</v>
      </c>
      <c r="O693" s="80" t="s">
        <v>1757</v>
      </c>
      <c r="P693" s="79" t="s">
        <v>3535</v>
      </c>
    </row>
    <row r="694" spans="1:16" ht="30" customHeight="1" x14ac:dyDescent="0.3">
      <c r="A694" s="59" t="s">
        <v>55</v>
      </c>
      <c r="B694" s="52" t="s">
        <v>1300</v>
      </c>
      <c r="C694" s="52" t="s">
        <v>195</v>
      </c>
      <c r="D694" s="79" t="str">
        <f t="shared" ca="1" si="54"/>
        <v>완제품</v>
      </c>
      <c r="E694" s="79" t="str">
        <f t="shared" ca="1" si="55"/>
        <v>AF</v>
      </c>
      <c r="F694" s="52" t="s">
        <v>1301</v>
      </c>
      <c r="G694" s="52"/>
      <c r="H694" s="79" t="str">
        <f t="shared" ca="1" si="56"/>
        <v>완제품(창고없음)</v>
      </c>
      <c r="I694" s="79" t="str">
        <f t="shared" ca="1" si="57"/>
        <v>3-AF</v>
      </c>
      <c r="J694" s="61" t="s">
        <v>1301</v>
      </c>
      <c r="K694" s="61" t="s">
        <v>3536</v>
      </c>
      <c r="L694" s="83" t="str">
        <f t="shared" ref="L694:L735" si="59">HYPERLINK("#'"&amp;$O694&amp;"'!A"&amp;$N694,"→ 조립완제품 R"&amp;$N694)</f>
        <v>→ 조립완제품 R2</v>
      </c>
      <c r="M694" s="84"/>
      <c r="N694" s="80">
        <v>2</v>
      </c>
      <c r="O694" s="80" t="s">
        <v>3537</v>
      </c>
      <c r="P694" s="79" t="s">
        <v>3538</v>
      </c>
    </row>
    <row r="695" spans="1:16" ht="30" customHeight="1" x14ac:dyDescent="0.3">
      <c r="A695" s="59" t="s">
        <v>55</v>
      </c>
      <c r="B695" s="52" t="s">
        <v>1300</v>
      </c>
      <c r="C695" s="52" t="s">
        <v>195</v>
      </c>
      <c r="D695" s="79" t="str">
        <f t="shared" ca="1" si="54"/>
        <v>완제품</v>
      </c>
      <c r="E695" s="79" t="str">
        <f t="shared" ca="1" si="55"/>
        <v>AF</v>
      </c>
      <c r="F695" s="52" t="s">
        <v>1302</v>
      </c>
      <c r="G695" s="52"/>
      <c r="H695" s="79" t="str">
        <f t="shared" ca="1" si="56"/>
        <v>완제품(창고없음)</v>
      </c>
      <c r="I695" s="79" t="str">
        <f t="shared" ca="1" si="57"/>
        <v>3-AF</v>
      </c>
      <c r="J695" s="61" t="s">
        <v>1302</v>
      </c>
      <c r="K695" s="61" t="s">
        <v>3539</v>
      </c>
      <c r="L695" s="83" t="str">
        <f t="shared" si="59"/>
        <v>→ 조립완제품 R3</v>
      </c>
      <c r="M695" s="84"/>
      <c r="N695" s="80">
        <v>3</v>
      </c>
      <c r="O695" s="80" t="s">
        <v>3537</v>
      </c>
      <c r="P695" s="79" t="s">
        <v>3540</v>
      </c>
    </row>
    <row r="696" spans="1:16" ht="30" customHeight="1" x14ac:dyDescent="0.3">
      <c r="A696" s="59" t="s">
        <v>55</v>
      </c>
      <c r="B696" s="52" t="s">
        <v>1300</v>
      </c>
      <c r="C696" s="52" t="s">
        <v>195</v>
      </c>
      <c r="D696" s="79" t="str">
        <f t="shared" ca="1" si="54"/>
        <v>완제품</v>
      </c>
      <c r="E696" s="79" t="str">
        <f t="shared" ca="1" si="55"/>
        <v>AF</v>
      </c>
      <c r="F696" s="52" t="s">
        <v>1303</v>
      </c>
      <c r="G696" s="52"/>
      <c r="H696" s="79" t="str">
        <f t="shared" ca="1" si="56"/>
        <v>완제품(창고없음)</v>
      </c>
      <c r="I696" s="79" t="str">
        <f t="shared" ca="1" si="57"/>
        <v>3-AF</v>
      </c>
      <c r="J696" s="61" t="s">
        <v>1303</v>
      </c>
      <c r="K696" s="61" t="s">
        <v>3541</v>
      </c>
      <c r="L696" s="83" t="str">
        <f t="shared" si="59"/>
        <v>→ 조립완제품 R4</v>
      </c>
      <c r="M696" s="84"/>
      <c r="N696" s="80">
        <v>4</v>
      </c>
      <c r="O696" s="80" t="s">
        <v>3537</v>
      </c>
      <c r="P696" s="79" t="s">
        <v>3542</v>
      </c>
    </row>
    <row r="697" spans="1:16" ht="30" customHeight="1" x14ac:dyDescent="0.3">
      <c r="A697" s="59" t="s">
        <v>55</v>
      </c>
      <c r="B697" s="52" t="s">
        <v>1300</v>
      </c>
      <c r="C697" s="52" t="s">
        <v>195</v>
      </c>
      <c r="D697" s="79" t="str">
        <f t="shared" ca="1" si="54"/>
        <v>완제품</v>
      </c>
      <c r="E697" s="79" t="str">
        <f t="shared" ca="1" si="55"/>
        <v>AF</v>
      </c>
      <c r="F697" s="52" t="s">
        <v>1304</v>
      </c>
      <c r="G697" s="52"/>
      <c r="H697" s="79" t="str">
        <f t="shared" ca="1" si="56"/>
        <v>완제품(창고없음)</v>
      </c>
      <c r="I697" s="79" t="str">
        <f t="shared" ca="1" si="57"/>
        <v>3-AF</v>
      </c>
      <c r="J697" s="61" t="s">
        <v>1304</v>
      </c>
      <c r="K697" s="61" t="s">
        <v>3543</v>
      </c>
      <c r="L697" s="83" t="str">
        <f t="shared" si="59"/>
        <v>→ 조립완제품 R5</v>
      </c>
      <c r="M697" s="84"/>
      <c r="N697" s="80">
        <v>5</v>
      </c>
      <c r="O697" s="80" t="s">
        <v>3537</v>
      </c>
      <c r="P697" s="79" t="s">
        <v>3544</v>
      </c>
    </row>
    <row r="698" spans="1:16" ht="30" customHeight="1" x14ac:dyDescent="0.3">
      <c r="A698" s="59" t="s">
        <v>55</v>
      </c>
      <c r="B698" s="52" t="s">
        <v>1300</v>
      </c>
      <c r="C698" s="52" t="s">
        <v>195</v>
      </c>
      <c r="D698" s="79" t="str">
        <f t="shared" ca="1" si="54"/>
        <v>완제품</v>
      </c>
      <c r="E698" s="79" t="str">
        <f t="shared" ca="1" si="55"/>
        <v>AF</v>
      </c>
      <c r="F698" s="52" t="s">
        <v>1305</v>
      </c>
      <c r="G698" s="52"/>
      <c r="H698" s="79" t="str">
        <f t="shared" ca="1" si="56"/>
        <v>완제품(창고없음)</v>
      </c>
      <c r="I698" s="79" t="str">
        <f t="shared" ca="1" si="57"/>
        <v>3-AF</v>
      </c>
      <c r="J698" s="61" t="s">
        <v>1305</v>
      </c>
      <c r="K698" s="61" t="s">
        <v>3545</v>
      </c>
      <c r="L698" s="83" t="str">
        <f t="shared" si="59"/>
        <v>→ 조립완제품 R6</v>
      </c>
      <c r="M698" s="84"/>
      <c r="N698" s="80">
        <v>6</v>
      </c>
      <c r="O698" s="80" t="s">
        <v>3537</v>
      </c>
      <c r="P698" s="79" t="s">
        <v>3546</v>
      </c>
    </row>
    <row r="699" spans="1:16" ht="30" customHeight="1" x14ac:dyDescent="0.3">
      <c r="A699" s="59" t="s">
        <v>55</v>
      </c>
      <c r="B699" s="52" t="s">
        <v>1300</v>
      </c>
      <c r="C699" s="52" t="s">
        <v>195</v>
      </c>
      <c r="D699" s="79" t="str">
        <f t="shared" ca="1" si="54"/>
        <v>완제품</v>
      </c>
      <c r="E699" s="79" t="str">
        <f t="shared" ca="1" si="55"/>
        <v>AF</v>
      </c>
      <c r="F699" s="52" t="s">
        <v>1306</v>
      </c>
      <c r="G699" s="52"/>
      <c r="H699" s="79" t="str">
        <f t="shared" ca="1" si="56"/>
        <v>완제품(창고없음)</v>
      </c>
      <c r="I699" s="79" t="str">
        <f t="shared" ca="1" si="57"/>
        <v>3-AF</v>
      </c>
      <c r="J699" s="61" t="s">
        <v>1306</v>
      </c>
      <c r="K699" s="61" t="s">
        <v>3547</v>
      </c>
      <c r="L699" s="83" t="str">
        <f t="shared" si="59"/>
        <v>→ 조립완제품 R7</v>
      </c>
      <c r="M699" s="84"/>
      <c r="N699" s="80">
        <v>7</v>
      </c>
      <c r="O699" s="80" t="s">
        <v>3537</v>
      </c>
      <c r="P699" s="79" t="s">
        <v>3548</v>
      </c>
    </row>
    <row r="700" spans="1:16" ht="30" customHeight="1" x14ac:dyDescent="0.3">
      <c r="A700" s="59" t="s">
        <v>55</v>
      </c>
      <c r="B700" s="52" t="s">
        <v>1300</v>
      </c>
      <c r="C700" s="52" t="s">
        <v>195</v>
      </c>
      <c r="D700" s="79" t="str">
        <f t="shared" ca="1" si="54"/>
        <v>완제품</v>
      </c>
      <c r="E700" s="79" t="str">
        <f t="shared" ca="1" si="55"/>
        <v>AF</v>
      </c>
      <c r="F700" s="52" t="s">
        <v>1307</v>
      </c>
      <c r="G700" s="52"/>
      <c r="H700" s="79" t="str">
        <f t="shared" ca="1" si="56"/>
        <v>완제품(창고없음)</v>
      </c>
      <c r="I700" s="79" t="str">
        <f t="shared" ca="1" si="57"/>
        <v>3-AF</v>
      </c>
      <c r="J700" s="61" t="s">
        <v>1307</v>
      </c>
      <c r="K700" s="61" t="s">
        <v>3549</v>
      </c>
      <c r="L700" s="83" t="str">
        <f t="shared" si="59"/>
        <v>→ 조립완제품 R8</v>
      </c>
      <c r="M700" s="84"/>
      <c r="N700" s="80">
        <v>8</v>
      </c>
      <c r="O700" s="80" t="s">
        <v>3537</v>
      </c>
      <c r="P700" s="79" t="s">
        <v>3550</v>
      </c>
    </row>
    <row r="701" spans="1:16" ht="30" customHeight="1" x14ac:dyDescent="0.3">
      <c r="A701" s="59" t="s">
        <v>55</v>
      </c>
      <c r="B701" s="52" t="s">
        <v>1300</v>
      </c>
      <c r="C701" s="52" t="s">
        <v>195</v>
      </c>
      <c r="D701" s="79" t="str">
        <f t="shared" ca="1" si="54"/>
        <v>완제품</v>
      </c>
      <c r="E701" s="79" t="str">
        <f t="shared" ca="1" si="55"/>
        <v>AF</v>
      </c>
      <c r="F701" s="52" t="s">
        <v>1308</v>
      </c>
      <c r="G701" s="52"/>
      <c r="H701" s="79" t="str">
        <f t="shared" ca="1" si="56"/>
        <v>완제품(창고없음)</v>
      </c>
      <c r="I701" s="79" t="str">
        <f t="shared" ca="1" si="57"/>
        <v>3-AF</v>
      </c>
      <c r="J701" s="61" t="s">
        <v>1308</v>
      </c>
      <c r="K701" s="61" t="s">
        <v>3551</v>
      </c>
      <c r="L701" s="83" t="str">
        <f t="shared" si="59"/>
        <v>→ 조립완제품 R9</v>
      </c>
      <c r="M701" s="84"/>
      <c r="N701" s="80">
        <v>9</v>
      </c>
      <c r="O701" s="80" t="s">
        <v>3537</v>
      </c>
      <c r="P701" s="79" t="s">
        <v>3552</v>
      </c>
    </row>
    <row r="702" spans="1:16" ht="30" customHeight="1" x14ac:dyDescent="0.3">
      <c r="A702" s="59" t="s">
        <v>55</v>
      </c>
      <c r="B702" s="52" t="s">
        <v>1300</v>
      </c>
      <c r="C702" s="52" t="s">
        <v>195</v>
      </c>
      <c r="D702" s="79" t="str">
        <f t="shared" ca="1" si="54"/>
        <v>완제품</v>
      </c>
      <c r="E702" s="79" t="str">
        <f t="shared" ca="1" si="55"/>
        <v>AF</v>
      </c>
      <c r="F702" s="52" t="s">
        <v>1309</v>
      </c>
      <c r="G702" s="52"/>
      <c r="H702" s="79" t="str">
        <f t="shared" ca="1" si="56"/>
        <v>완제품(창고없음)</v>
      </c>
      <c r="I702" s="79" t="str">
        <f t="shared" ca="1" si="57"/>
        <v>3-AF</v>
      </c>
      <c r="J702" s="61" t="s">
        <v>1309</v>
      </c>
      <c r="K702" s="61" t="s">
        <v>3553</v>
      </c>
      <c r="L702" s="83" t="str">
        <f t="shared" si="59"/>
        <v>→ 조립완제품 R10</v>
      </c>
      <c r="M702" s="84"/>
      <c r="N702" s="80">
        <v>10</v>
      </c>
      <c r="O702" s="80" t="s">
        <v>3537</v>
      </c>
      <c r="P702" s="79" t="s">
        <v>3554</v>
      </c>
    </row>
    <row r="703" spans="1:16" ht="30" customHeight="1" x14ac:dyDescent="0.3">
      <c r="A703" s="59" t="s">
        <v>55</v>
      </c>
      <c r="B703" s="52" t="s">
        <v>1300</v>
      </c>
      <c r="C703" s="52" t="s">
        <v>195</v>
      </c>
      <c r="D703" s="79" t="str">
        <f t="shared" ca="1" si="54"/>
        <v>완제품</v>
      </c>
      <c r="E703" s="79" t="str">
        <f t="shared" ca="1" si="55"/>
        <v>AF</v>
      </c>
      <c r="F703" s="52" t="s">
        <v>1310</v>
      </c>
      <c r="G703" s="52"/>
      <c r="H703" s="79" t="str">
        <f t="shared" ca="1" si="56"/>
        <v>완제품(창고없음)</v>
      </c>
      <c r="I703" s="79" t="str">
        <f t="shared" ca="1" si="57"/>
        <v>3-AF</v>
      </c>
      <c r="J703" s="61" t="s">
        <v>1310</v>
      </c>
      <c r="K703" s="61" t="s">
        <v>3555</v>
      </c>
      <c r="L703" s="83" t="str">
        <f t="shared" si="59"/>
        <v>→ 조립완제품 R11</v>
      </c>
      <c r="M703" s="84"/>
      <c r="N703" s="80">
        <v>11</v>
      </c>
      <c r="O703" s="80" t="s">
        <v>3537</v>
      </c>
      <c r="P703" s="79" t="s">
        <v>3556</v>
      </c>
    </row>
    <row r="704" spans="1:16" ht="30" customHeight="1" x14ac:dyDescent="0.3">
      <c r="A704" s="59" t="s">
        <v>55</v>
      </c>
      <c r="B704" s="52" t="s">
        <v>1300</v>
      </c>
      <c r="C704" s="52" t="s">
        <v>195</v>
      </c>
      <c r="D704" s="79" t="str">
        <f t="shared" ca="1" si="54"/>
        <v>완제품</v>
      </c>
      <c r="E704" s="79" t="str">
        <f t="shared" ca="1" si="55"/>
        <v>AF</v>
      </c>
      <c r="F704" s="52" t="s">
        <v>1311</v>
      </c>
      <c r="G704" s="52"/>
      <c r="H704" s="79" t="str">
        <f t="shared" ca="1" si="56"/>
        <v>완제품(창고없음)</v>
      </c>
      <c r="I704" s="79" t="str">
        <f t="shared" ca="1" si="57"/>
        <v>3-AF</v>
      </c>
      <c r="J704" s="61" t="s">
        <v>1311</v>
      </c>
      <c r="K704" s="61" t="s">
        <v>3557</v>
      </c>
      <c r="L704" s="83" t="str">
        <f t="shared" si="59"/>
        <v>→ 조립완제품 R12</v>
      </c>
      <c r="M704" s="84"/>
      <c r="N704" s="80">
        <v>12</v>
      </c>
      <c r="O704" s="80" t="s">
        <v>3537</v>
      </c>
      <c r="P704" s="79" t="s">
        <v>3558</v>
      </c>
    </row>
    <row r="705" spans="1:16" ht="30" customHeight="1" x14ac:dyDescent="0.3">
      <c r="A705" s="59" t="s">
        <v>55</v>
      </c>
      <c r="B705" s="52" t="s">
        <v>1300</v>
      </c>
      <c r="C705" s="52" t="s">
        <v>195</v>
      </c>
      <c r="D705" s="79" t="str">
        <f t="shared" ca="1" si="54"/>
        <v>완제품</v>
      </c>
      <c r="E705" s="79" t="str">
        <f t="shared" ca="1" si="55"/>
        <v>AF</v>
      </c>
      <c r="F705" s="52" t="s">
        <v>1312</v>
      </c>
      <c r="G705" s="52"/>
      <c r="H705" s="79" t="str">
        <f t="shared" ca="1" si="56"/>
        <v>완제품(창고없음)</v>
      </c>
      <c r="I705" s="79" t="str">
        <f t="shared" ca="1" si="57"/>
        <v>3-AF</v>
      </c>
      <c r="J705" s="61" t="s">
        <v>1312</v>
      </c>
      <c r="K705" s="61" t="s">
        <v>3559</v>
      </c>
      <c r="L705" s="83" t="str">
        <f t="shared" si="59"/>
        <v>→ 조립완제품 R13</v>
      </c>
      <c r="M705" s="84"/>
      <c r="N705" s="80">
        <v>13</v>
      </c>
      <c r="O705" s="80" t="s">
        <v>3537</v>
      </c>
      <c r="P705" s="79" t="s">
        <v>3560</v>
      </c>
    </row>
    <row r="706" spans="1:16" ht="30" customHeight="1" x14ac:dyDescent="0.3">
      <c r="A706" s="59" t="s">
        <v>55</v>
      </c>
      <c r="B706" s="52" t="s">
        <v>1300</v>
      </c>
      <c r="C706" s="52" t="s">
        <v>195</v>
      </c>
      <c r="D706" s="79" t="str">
        <f t="shared" ref="D706:D769" ca="1" si="60">IF(INDIRECT("'"&amp;$O706&amp;"'!F"&amp;$N706)="O","원자재",IF(INDIRECT("'"&amp;$O706&amp;"'!G"&amp;$N706)="O","반제품",IF(INDIRECT("'"&amp;$O706&amp;"'!H"&amp;$N706)="O","완제품","")))</f>
        <v>완제품</v>
      </c>
      <c r="E706" s="79" t="str">
        <f t="shared" ref="E706:E769" ca="1" si="61">IFERROR(IF(INDIRECT("'"&amp;$O706&amp;"'!I"&amp;$N706)=0,"",INDIRECT("'"&amp;$O706&amp;"'!I"&amp;$N706)),"")</f>
        <v>AF</v>
      </c>
      <c r="F706" s="52" t="s">
        <v>1313</v>
      </c>
      <c r="G706" s="52"/>
      <c r="H706" s="79" t="str">
        <f t="shared" ref="H706:H769" ca="1" si="62">IF(AND($F706="",$G706=""),"",IF($F706="","창고전용",IF($G706&lt;&gt;"","매칭완료",IF($D706="반제품","반제품(창고없음)",IF($D706="완제품","완제품(창고없음)",IF($D706="원자재","⚠ 원자재_부서보관","미분류"))))))</f>
        <v>완제품(창고없음)</v>
      </c>
      <c r="I706" s="79" t="str">
        <f t="shared" ref="I706:I769" ca="1" si="63">IFERROR(IF(INDIRECT("'"&amp;$O706&amp;"'!P"&amp;$N706)=0,"",INDIRECT("'"&amp;$O706&amp;"'!P"&amp;$N706)),"")</f>
        <v>3-AF</v>
      </c>
      <c r="J706" s="61" t="s">
        <v>1313</v>
      </c>
      <c r="K706" s="61" t="s">
        <v>3561</v>
      </c>
      <c r="L706" s="83" t="str">
        <f t="shared" si="59"/>
        <v>→ 조립완제품 R14</v>
      </c>
      <c r="M706" s="84"/>
      <c r="N706" s="80">
        <v>14</v>
      </c>
      <c r="O706" s="80" t="s">
        <v>3537</v>
      </c>
      <c r="P706" s="79" t="s">
        <v>3562</v>
      </c>
    </row>
    <row r="707" spans="1:16" ht="30" customHeight="1" x14ac:dyDescent="0.3">
      <c r="A707" s="59" t="s">
        <v>55</v>
      </c>
      <c r="B707" s="52" t="s">
        <v>1300</v>
      </c>
      <c r="C707" s="52" t="s">
        <v>195</v>
      </c>
      <c r="D707" s="79" t="str">
        <f t="shared" ca="1" si="60"/>
        <v>완제품</v>
      </c>
      <c r="E707" s="79" t="str">
        <f t="shared" ca="1" si="61"/>
        <v>AF</v>
      </c>
      <c r="F707" s="52" t="s">
        <v>1314</v>
      </c>
      <c r="G707" s="52"/>
      <c r="H707" s="79" t="str">
        <f t="shared" ca="1" si="62"/>
        <v>완제품(창고없음)</v>
      </c>
      <c r="I707" s="79" t="str">
        <f t="shared" ca="1" si="63"/>
        <v>3-AF</v>
      </c>
      <c r="J707" s="61" t="s">
        <v>1314</v>
      </c>
      <c r="K707" s="61" t="s">
        <v>3563</v>
      </c>
      <c r="L707" s="83" t="str">
        <f t="shared" si="59"/>
        <v>→ 조립완제품 R15</v>
      </c>
      <c r="M707" s="84"/>
      <c r="N707" s="80">
        <v>15</v>
      </c>
      <c r="O707" s="80" t="s">
        <v>3537</v>
      </c>
      <c r="P707" s="79" t="s">
        <v>3564</v>
      </c>
    </row>
    <row r="708" spans="1:16" ht="30" customHeight="1" x14ac:dyDescent="0.3">
      <c r="A708" s="59" t="s">
        <v>55</v>
      </c>
      <c r="B708" s="52" t="s">
        <v>1300</v>
      </c>
      <c r="C708" s="52" t="s">
        <v>195</v>
      </c>
      <c r="D708" s="79" t="str">
        <f t="shared" ca="1" si="60"/>
        <v>완제품</v>
      </c>
      <c r="E708" s="79" t="str">
        <f t="shared" ca="1" si="61"/>
        <v>AF</v>
      </c>
      <c r="F708" s="52" t="s">
        <v>1315</v>
      </c>
      <c r="G708" s="52"/>
      <c r="H708" s="79" t="str">
        <f t="shared" ca="1" si="62"/>
        <v>완제품(창고없음)</v>
      </c>
      <c r="I708" s="79" t="str">
        <f t="shared" ca="1" si="63"/>
        <v>3-AF</v>
      </c>
      <c r="J708" s="61" t="s">
        <v>1315</v>
      </c>
      <c r="K708" s="61" t="s">
        <v>3565</v>
      </c>
      <c r="L708" s="83" t="str">
        <f t="shared" si="59"/>
        <v>→ 조립완제품 R16</v>
      </c>
      <c r="M708" s="84"/>
      <c r="N708" s="80">
        <v>16</v>
      </c>
      <c r="O708" s="80" t="s">
        <v>3537</v>
      </c>
      <c r="P708" s="79" t="s">
        <v>3566</v>
      </c>
    </row>
    <row r="709" spans="1:16" ht="30" customHeight="1" x14ac:dyDescent="0.3">
      <c r="A709" s="59" t="s">
        <v>55</v>
      </c>
      <c r="B709" s="52" t="s">
        <v>1300</v>
      </c>
      <c r="C709" s="52" t="s">
        <v>328</v>
      </c>
      <c r="D709" s="79" t="str">
        <f t="shared" ca="1" si="60"/>
        <v>완제품</v>
      </c>
      <c r="E709" s="79" t="str">
        <f t="shared" ca="1" si="61"/>
        <v>AF</v>
      </c>
      <c r="F709" s="52" t="s">
        <v>1316</v>
      </c>
      <c r="G709" s="52"/>
      <c r="H709" s="79" t="str">
        <f t="shared" ca="1" si="62"/>
        <v>완제품(창고없음)</v>
      </c>
      <c r="I709" s="79" t="str">
        <f t="shared" ca="1" si="63"/>
        <v>3-AF</v>
      </c>
      <c r="J709" s="61" t="s">
        <v>1316</v>
      </c>
      <c r="K709" s="61" t="s">
        <v>3567</v>
      </c>
      <c r="L709" s="83" t="str">
        <f t="shared" si="59"/>
        <v>→ 조립완제품 R17</v>
      </c>
      <c r="M709" s="84"/>
      <c r="N709" s="80">
        <v>17</v>
      </c>
      <c r="O709" s="80" t="s">
        <v>3537</v>
      </c>
      <c r="P709" s="79" t="s">
        <v>3568</v>
      </c>
    </row>
    <row r="710" spans="1:16" ht="30" customHeight="1" x14ac:dyDescent="0.3">
      <c r="A710" s="59" t="s">
        <v>55</v>
      </c>
      <c r="B710" s="52" t="s">
        <v>1300</v>
      </c>
      <c r="C710" s="52" t="s">
        <v>328</v>
      </c>
      <c r="D710" s="79" t="str">
        <f t="shared" ca="1" si="60"/>
        <v>완제품</v>
      </c>
      <c r="E710" s="79" t="str">
        <f t="shared" ca="1" si="61"/>
        <v>AF</v>
      </c>
      <c r="F710" s="52" t="s">
        <v>1317</v>
      </c>
      <c r="G710" s="52"/>
      <c r="H710" s="79" t="str">
        <f t="shared" ca="1" si="62"/>
        <v>완제품(창고없음)</v>
      </c>
      <c r="I710" s="79" t="str">
        <f t="shared" ca="1" si="63"/>
        <v>3-AF</v>
      </c>
      <c r="J710" s="61" t="s">
        <v>1317</v>
      </c>
      <c r="K710" s="61" t="s">
        <v>3569</v>
      </c>
      <c r="L710" s="83" t="str">
        <f t="shared" si="59"/>
        <v>→ 조립완제품 R18</v>
      </c>
      <c r="M710" s="84"/>
      <c r="N710" s="80">
        <v>18</v>
      </c>
      <c r="O710" s="80" t="s">
        <v>3537</v>
      </c>
      <c r="P710" s="79" t="s">
        <v>3570</v>
      </c>
    </row>
    <row r="711" spans="1:16" ht="30" customHeight="1" x14ac:dyDescent="0.3">
      <c r="A711" s="59" t="s">
        <v>55</v>
      </c>
      <c r="B711" s="52" t="s">
        <v>1300</v>
      </c>
      <c r="C711" s="52" t="s">
        <v>328</v>
      </c>
      <c r="D711" s="79" t="str">
        <f t="shared" ca="1" si="60"/>
        <v>완제품</v>
      </c>
      <c r="E711" s="79" t="str">
        <f t="shared" ca="1" si="61"/>
        <v>AF</v>
      </c>
      <c r="F711" s="52" t="s">
        <v>1318</v>
      </c>
      <c r="G711" s="52"/>
      <c r="H711" s="79" t="str">
        <f t="shared" ca="1" si="62"/>
        <v>완제품(창고없음)</v>
      </c>
      <c r="I711" s="79" t="str">
        <f t="shared" ca="1" si="63"/>
        <v>3-AF</v>
      </c>
      <c r="J711" s="61" t="s">
        <v>1318</v>
      </c>
      <c r="K711" s="61" t="s">
        <v>3571</v>
      </c>
      <c r="L711" s="83" t="str">
        <f t="shared" si="59"/>
        <v>→ 조립완제품 R19</v>
      </c>
      <c r="M711" s="84"/>
      <c r="N711" s="80">
        <v>19</v>
      </c>
      <c r="O711" s="80" t="s">
        <v>3537</v>
      </c>
      <c r="P711" s="79" t="s">
        <v>3572</v>
      </c>
    </row>
    <row r="712" spans="1:16" ht="30" customHeight="1" x14ac:dyDescent="0.3">
      <c r="A712" s="59" t="s">
        <v>55</v>
      </c>
      <c r="B712" s="52" t="s">
        <v>1300</v>
      </c>
      <c r="C712" s="52" t="s">
        <v>328</v>
      </c>
      <c r="D712" s="79" t="str">
        <f t="shared" ca="1" si="60"/>
        <v>완제품</v>
      </c>
      <c r="E712" s="79" t="str">
        <f t="shared" ca="1" si="61"/>
        <v>AF</v>
      </c>
      <c r="F712" s="52" t="s">
        <v>1319</v>
      </c>
      <c r="G712" s="52"/>
      <c r="H712" s="79" t="str">
        <f t="shared" ca="1" si="62"/>
        <v>완제품(창고없음)</v>
      </c>
      <c r="I712" s="79" t="str">
        <f t="shared" ca="1" si="63"/>
        <v>3-AF</v>
      </c>
      <c r="J712" s="61" t="s">
        <v>1319</v>
      </c>
      <c r="K712" s="61" t="s">
        <v>3573</v>
      </c>
      <c r="L712" s="83" t="str">
        <f t="shared" si="59"/>
        <v>→ 조립완제품 R20</v>
      </c>
      <c r="M712" s="84"/>
      <c r="N712" s="80">
        <v>20</v>
      </c>
      <c r="O712" s="80" t="s">
        <v>3537</v>
      </c>
      <c r="P712" s="79" t="s">
        <v>3574</v>
      </c>
    </row>
    <row r="713" spans="1:16" ht="30" customHeight="1" x14ac:dyDescent="0.3">
      <c r="A713" s="59" t="s">
        <v>55</v>
      </c>
      <c r="B713" s="52" t="s">
        <v>1300</v>
      </c>
      <c r="C713" s="52" t="s">
        <v>198</v>
      </c>
      <c r="D713" s="79" t="str">
        <f t="shared" ca="1" si="60"/>
        <v>완제품</v>
      </c>
      <c r="E713" s="79" t="str">
        <f t="shared" ca="1" si="61"/>
        <v>AF</v>
      </c>
      <c r="F713" s="52" t="s">
        <v>1320</v>
      </c>
      <c r="G713" s="52"/>
      <c r="H713" s="79" t="str">
        <f t="shared" ca="1" si="62"/>
        <v>완제품(창고없음)</v>
      </c>
      <c r="I713" s="79" t="str">
        <f t="shared" ca="1" si="63"/>
        <v>4-AF</v>
      </c>
      <c r="J713" s="61" t="s">
        <v>1320</v>
      </c>
      <c r="K713" s="61" t="s">
        <v>3575</v>
      </c>
      <c r="L713" s="83" t="str">
        <f t="shared" si="59"/>
        <v>→ 조립완제품 R21</v>
      </c>
      <c r="M713" s="84"/>
      <c r="N713" s="80">
        <v>21</v>
      </c>
      <c r="O713" s="80" t="s">
        <v>3537</v>
      </c>
      <c r="P713" s="79" t="s">
        <v>3576</v>
      </c>
    </row>
    <row r="714" spans="1:16" ht="30" customHeight="1" x14ac:dyDescent="0.3">
      <c r="A714" s="59" t="s">
        <v>55</v>
      </c>
      <c r="B714" s="52" t="s">
        <v>1300</v>
      </c>
      <c r="C714" s="52" t="s">
        <v>198</v>
      </c>
      <c r="D714" s="79" t="str">
        <f t="shared" ca="1" si="60"/>
        <v>완제품</v>
      </c>
      <c r="E714" s="79" t="str">
        <f t="shared" ca="1" si="61"/>
        <v>AF</v>
      </c>
      <c r="F714" s="52" t="s">
        <v>1321</v>
      </c>
      <c r="G714" s="52"/>
      <c r="H714" s="79" t="str">
        <f t="shared" ca="1" si="62"/>
        <v>완제품(창고없음)</v>
      </c>
      <c r="I714" s="79" t="str">
        <f t="shared" ca="1" si="63"/>
        <v>4-AF</v>
      </c>
      <c r="J714" s="61" t="s">
        <v>1321</v>
      </c>
      <c r="K714" s="61" t="s">
        <v>3577</v>
      </c>
      <c r="L714" s="83" t="str">
        <f t="shared" si="59"/>
        <v>→ 조립완제품 R22</v>
      </c>
      <c r="M714" s="84"/>
      <c r="N714" s="80">
        <v>22</v>
      </c>
      <c r="O714" s="80" t="s">
        <v>3537</v>
      </c>
      <c r="P714" s="79" t="s">
        <v>3578</v>
      </c>
    </row>
    <row r="715" spans="1:16" ht="30" customHeight="1" x14ac:dyDescent="0.3">
      <c r="A715" s="59" t="s">
        <v>55</v>
      </c>
      <c r="B715" s="52" t="s">
        <v>1300</v>
      </c>
      <c r="C715" s="52" t="s">
        <v>198</v>
      </c>
      <c r="D715" s="79" t="str">
        <f t="shared" ca="1" si="60"/>
        <v>완제품</v>
      </c>
      <c r="E715" s="79" t="str">
        <f t="shared" ca="1" si="61"/>
        <v>AF</v>
      </c>
      <c r="F715" s="52" t="s">
        <v>1322</v>
      </c>
      <c r="G715" s="52"/>
      <c r="H715" s="79" t="str">
        <f t="shared" ca="1" si="62"/>
        <v>완제품(창고없음)</v>
      </c>
      <c r="I715" s="79" t="str">
        <f t="shared" ca="1" si="63"/>
        <v>4-AF</v>
      </c>
      <c r="J715" s="61" t="s">
        <v>1322</v>
      </c>
      <c r="K715" s="61" t="s">
        <v>3579</v>
      </c>
      <c r="L715" s="83" t="str">
        <f t="shared" si="59"/>
        <v>→ 조립완제품 R23</v>
      </c>
      <c r="M715" s="84"/>
      <c r="N715" s="80">
        <v>23</v>
      </c>
      <c r="O715" s="80" t="s">
        <v>3537</v>
      </c>
      <c r="P715" s="79" t="s">
        <v>3580</v>
      </c>
    </row>
    <row r="716" spans="1:16" ht="30" customHeight="1" x14ac:dyDescent="0.3">
      <c r="A716" s="59" t="s">
        <v>55</v>
      </c>
      <c r="B716" s="52" t="s">
        <v>1300</v>
      </c>
      <c r="C716" s="52" t="s">
        <v>198</v>
      </c>
      <c r="D716" s="79" t="str">
        <f t="shared" ca="1" si="60"/>
        <v>완제품</v>
      </c>
      <c r="E716" s="79" t="str">
        <f t="shared" ca="1" si="61"/>
        <v>AF</v>
      </c>
      <c r="F716" s="52" t="s">
        <v>1323</v>
      </c>
      <c r="G716" s="52"/>
      <c r="H716" s="79" t="str">
        <f t="shared" ca="1" si="62"/>
        <v>완제품(창고없음)</v>
      </c>
      <c r="I716" s="79" t="str">
        <f t="shared" ca="1" si="63"/>
        <v>4-AF</v>
      </c>
      <c r="J716" s="61" t="s">
        <v>1323</v>
      </c>
      <c r="K716" s="61" t="s">
        <v>3581</v>
      </c>
      <c r="L716" s="83" t="str">
        <f t="shared" si="59"/>
        <v>→ 조립완제품 R24</v>
      </c>
      <c r="M716" s="84"/>
      <c r="N716" s="80">
        <v>24</v>
      </c>
      <c r="O716" s="80" t="s">
        <v>3537</v>
      </c>
      <c r="P716" s="79" t="s">
        <v>3582</v>
      </c>
    </row>
    <row r="717" spans="1:16" ht="30" customHeight="1" x14ac:dyDescent="0.3">
      <c r="A717" s="59" t="s">
        <v>55</v>
      </c>
      <c r="B717" s="52" t="s">
        <v>1300</v>
      </c>
      <c r="C717" s="52" t="s">
        <v>117</v>
      </c>
      <c r="D717" s="79" t="str">
        <f t="shared" ca="1" si="60"/>
        <v>완제품</v>
      </c>
      <c r="E717" s="79" t="str">
        <f t="shared" ca="1" si="61"/>
        <v>AF</v>
      </c>
      <c r="F717" s="52" t="s">
        <v>1324</v>
      </c>
      <c r="G717" s="52"/>
      <c r="H717" s="79" t="str">
        <f t="shared" ca="1" si="62"/>
        <v>완제품(창고없음)</v>
      </c>
      <c r="I717" s="79" t="str">
        <f t="shared" ca="1" si="63"/>
        <v>6-AF</v>
      </c>
      <c r="J717" s="61" t="s">
        <v>1324</v>
      </c>
      <c r="K717" s="61" t="s">
        <v>3583</v>
      </c>
      <c r="L717" s="83" t="str">
        <f t="shared" si="59"/>
        <v>→ 조립완제품 R25</v>
      </c>
      <c r="M717" s="84"/>
      <c r="N717" s="80">
        <v>25</v>
      </c>
      <c r="O717" s="80" t="s">
        <v>3537</v>
      </c>
      <c r="P717" s="79" t="s">
        <v>3584</v>
      </c>
    </row>
    <row r="718" spans="1:16" ht="30" customHeight="1" x14ac:dyDescent="0.3">
      <c r="A718" s="59" t="s">
        <v>55</v>
      </c>
      <c r="B718" s="52" t="s">
        <v>1300</v>
      </c>
      <c r="C718" s="52" t="s">
        <v>117</v>
      </c>
      <c r="D718" s="79" t="str">
        <f t="shared" ca="1" si="60"/>
        <v>완제품</v>
      </c>
      <c r="E718" s="79" t="str">
        <f t="shared" ca="1" si="61"/>
        <v>AF</v>
      </c>
      <c r="F718" s="52" t="s">
        <v>1325</v>
      </c>
      <c r="G718" s="52"/>
      <c r="H718" s="79" t="str">
        <f t="shared" ca="1" si="62"/>
        <v>완제품(창고없음)</v>
      </c>
      <c r="I718" s="79" t="str">
        <f t="shared" ca="1" si="63"/>
        <v>6-AF</v>
      </c>
      <c r="J718" s="61" t="s">
        <v>1325</v>
      </c>
      <c r="K718" s="61" t="s">
        <v>3585</v>
      </c>
      <c r="L718" s="83" t="str">
        <f t="shared" si="59"/>
        <v>→ 조립완제품 R26</v>
      </c>
      <c r="M718" s="84"/>
      <c r="N718" s="80">
        <v>26</v>
      </c>
      <c r="O718" s="80" t="s">
        <v>3537</v>
      </c>
      <c r="P718" s="79" t="s">
        <v>3586</v>
      </c>
    </row>
    <row r="719" spans="1:16" ht="30" customHeight="1" x14ac:dyDescent="0.3">
      <c r="A719" s="59" t="s">
        <v>55</v>
      </c>
      <c r="B719" s="52" t="s">
        <v>1300</v>
      </c>
      <c r="C719" s="52" t="s">
        <v>117</v>
      </c>
      <c r="D719" s="79" t="str">
        <f t="shared" ca="1" si="60"/>
        <v>완제품</v>
      </c>
      <c r="E719" s="79" t="str">
        <f t="shared" ca="1" si="61"/>
        <v>AF</v>
      </c>
      <c r="F719" s="52" t="s">
        <v>1326</v>
      </c>
      <c r="G719" s="52"/>
      <c r="H719" s="79" t="str">
        <f t="shared" ca="1" si="62"/>
        <v>완제품(창고없음)</v>
      </c>
      <c r="I719" s="79" t="str">
        <f t="shared" ca="1" si="63"/>
        <v>6-AF</v>
      </c>
      <c r="J719" s="61" t="s">
        <v>1326</v>
      </c>
      <c r="K719" s="61" t="s">
        <v>3587</v>
      </c>
      <c r="L719" s="83" t="str">
        <f t="shared" si="59"/>
        <v>→ 조립완제품 R27</v>
      </c>
      <c r="M719" s="84"/>
      <c r="N719" s="80">
        <v>27</v>
      </c>
      <c r="O719" s="80" t="s">
        <v>3537</v>
      </c>
      <c r="P719" s="79" t="s">
        <v>3588</v>
      </c>
    </row>
    <row r="720" spans="1:16" ht="30" customHeight="1" x14ac:dyDescent="0.3">
      <c r="A720" s="59" t="s">
        <v>55</v>
      </c>
      <c r="B720" s="52" t="s">
        <v>1300</v>
      </c>
      <c r="C720" s="52" t="s">
        <v>153</v>
      </c>
      <c r="D720" s="79" t="str">
        <f t="shared" ca="1" si="60"/>
        <v>완제품</v>
      </c>
      <c r="E720" s="79" t="str">
        <f t="shared" ca="1" si="61"/>
        <v>AF</v>
      </c>
      <c r="F720" s="52" t="s">
        <v>1327</v>
      </c>
      <c r="G720" s="52"/>
      <c r="H720" s="79" t="str">
        <f t="shared" ca="1" si="62"/>
        <v>완제품(창고없음)</v>
      </c>
      <c r="I720" s="79" t="str">
        <f t="shared" ca="1" si="63"/>
        <v>7-AF</v>
      </c>
      <c r="J720" s="61" t="s">
        <v>1327</v>
      </c>
      <c r="K720" s="61" t="s">
        <v>3589</v>
      </c>
      <c r="L720" s="83" t="str">
        <f t="shared" si="59"/>
        <v>→ 조립완제품 R28</v>
      </c>
      <c r="M720" s="84"/>
      <c r="N720" s="80">
        <v>28</v>
      </c>
      <c r="O720" s="80" t="s">
        <v>3537</v>
      </c>
      <c r="P720" s="79" t="s">
        <v>3590</v>
      </c>
    </row>
    <row r="721" spans="1:16" ht="30" customHeight="1" x14ac:dyDescent="0.3">
      <c r="A721" s="59" t="s">
        <v>55</v>
      </c>
      <c r="B721" s="52" t="s">
        <v>1300</v>
      </c>
      <c r="C721" s="52" t="s">
        <v>153</v>
      </c>
      <c r="D721" s="79" t="str">
        <f t="shared" ca="1" si="60"/>
        <v>완제품</v>
      </c>
      <c r="E721" s="79" t="str">
        <f t="shared" ca="1" si="61"/>
        <v>AF</v>
      </c>
      <c r="F721" s="52" t="s">
        <v>1328</v>
      </c>
      <c r="G721" s="52"/>
      <c r="H721" s="79" t="str">
        <f t="shared" ca="1" si="62"/>
        <v>완제품(창고없음)</v>
      </c>
      <c r="I721" s="79" t="str">
        <f t="shared" ca="1" si="63"/>
        <v>7-AF</v>
      </c>
      <c r="J721" s="61" t="s">
        <v>1328</v>
      </c>
      <c r="K721" s="61" t="s">
        <v>3591</v>
      </c>
      <c r="L721" s="83" t="str">
        <f t="shared" si="59"/>
        <v>→ 조립완제품 R29</v>
      </c>
      <c r="M721" s="84"/>
      <c r="N721" s="80">
        <v>29</v>
      </c>
      <c r="O721" s="80" t="s">
        <v>3537</v>
      </c>
      <c r="P721" s="79" t="s">
        <v>3592</v>
      </c>
    </row>
    <row r="722" spans="1:16" ht="30" customHeight="1" x14ac:dyDescent="0.3">
      <c r="A722" s="59" t="s">
        <v>55</v>
      </c>
      <c r="B722" s="52" t="s">
        <v>1300</v>
      </c>
      <c r="C722" s="52" t="s">
        <v>153</v>
      </c>
      <c r="D722" s="79" t="str">
        <f t="shared" ca="1" si="60"/>
        <v>완제품</v>
      </c>
      <c r="E722" s="79" t="str">
        <f t="shared" ca="1" si="61"/>
        <v>AF</v>
      </c>
      <c r="F722" s="52" t="s">
        <v>1329</v>
      </c>
      <c r="G722" s="52"/>
      <c r="H722" s="79" t="str">
        <f t="shared" ca="1" si="62"/>
        <v>완제품(창고없음)</v>
      </c>
      <c r="I722" s="79" t="str">
        <f t="shared" ca="1" si="63"/>
        <v>7-AF</v>
      </c>
      <c r="J722" s="61" t="s">
        <v>1329</v>
      </c>
      <c r="K722" s="61" t="s">
        <v>3593</v>
      </c>
      <c r="L722" s="83" t="str">
        <f t="shared" si="59"/>
        <v>→ 조립완제품 R30</v>
      </c>
      <c r="M722" s="84"/>
      <c r="N722" s="80">
        <v>30</v>
      </c>
      <c r="O722" s="80" t="s">
        <v>3537</v>
      </c>
      <c r="P722" s="79" t="s">
        <v>3594</v>
      </c>
    </row>
    <row r="723" spans="1:16" ht="30" customHeight="1" x14ac:dyDescent="0.3">
      <c r="A723" s="59" t="s">
        <v>55</v>
      </c>
      <c r="B723" s="52" t="s">
        <v>1300</v>
      </c>
      <c r="C723" s="52" t="s">
        <v>153</v>
      </c>
      <c r="D723" s="79" t="str">
        <f t="shared" ca="1" si="60"/>
        <v>완제품</v>
      </c>
      <c r="E723" s="79" t="str">
        <f t="shared" ca="1" si="61"/>
        <v>AF</v>
      </c>
      <c r="F723" s="52" t="s">
        <v>1330</v>
      </c>
      <c r="G723" s="52"/>
      <c r="H723" s="79" t="str">
        <f t="shared" ca="1" si="62"/>
        <v>완제품(창고없음)</v>
      </c>
      <c r="I723" s="79" t="str">
        <f t="shared" ca="1" si="63"/>
        <v>7-AF</v>
      </c>
      <c r="J723" s="61" t="s">
        <v>1330</v>
      </c>
      <c r="K723" s="61" t="s">
        <v>3595</v>
      </c>
      <c r="L723" s="83" t="str">
        <f t="shared" si="59"/>
        <v>→ 조립완제품 R31</v>
      </c>
      <c r="M723" s="84"/>
      <c r="N723" s="80">
        <v>31</v>
      </c>
      <c r="O723" s="80" t="s">
        <v>3537</v>
      </c>
      <c r="P723" s="79" t="s">
        <v>3596</v>
      </c>
    </row>
    <row r="724" spans="1:16" ht="30" customHeight="1" x14ac:dyDescent="0.3">
      <c r="A724" s="59" t="s">
        <v>55</v>
      </c>
      <c r="B724" s="52" t="s">
        <v>1300</v>
      </c>
      <c r="C724" s="52" t="s">
        <v>153</v>
      </c>
      <c r="D724" s="79" t="str">
        <f t="shared" ca="1" si="60"/>
        <v>완제품</v>
      </c>
      <c r="E724" s="79" t="str">
        <f t="shared" ca="1" si="61"/>
        <v>AF</v>
      </c>
      <c r="F724" s="52" t="s">
        <v>1331</v>
      </c>
      <c r="G724" s="52"/>
      <c r="H724" s="79" t="str">
        <f t="shared" ca="1" si="62"/>
        <v>완제품(창고없음)</v>
      </c>
      <c r="I724" s="79" t="str">
        <f t="shared" ca="1" si="63"/>
        <v>7-AF</v>
      </c>
      <c r="J724" s="61" t="s">
        <v>1331</v>
      </c>
      <c r="K724" s="61" t="s">
        <v>3597</v>
      </c>
      <c r="L724" s="83" t="str">
        <f t="shared" si="59"/>
        <v>→ 조립완제품 R32</v>
      </c>
      <c r="M724" s="84"/>
      <c r="N724" s="80">
        <v>32</v>
      </c>
      <c r="O724" s="80" t="s">
        <v>3537</v>
      </c>
      <c r="P724" s="79" t="s">
        <v>3598</v>
      </c>
    </row>
    <row r="725" spans="1:16" ht="30" customHeight="1" x14ac:dyDescent="0.3">
      <c r="A725" s="59" t="s">
        <v>55</v>
      </c>
      <c r="B725" s="52" t="s">
        <v>1300</v>
      </c>
      <c r="C725" s="52" t="s">
        <v>153</v>
      </c>
      <c r="D725" s="79" t="str">
        <f t="shared" ca="1" si="60"/>
        <v>완제품</v>
      </c>
      <c r="E725" s="79" t="str">
        <f t="shared" ca="1" si="61"/>
        <v>AF</v>
      </c>
      <c r="F725" s="52" t="s">
        <v>1332</v>
      </c>
      <c r="G725" s="52"/>
      <c r="H725" s="79" t="str">
        <f t="shared" ca="1" si="62"/>
        <v>완제품(창고없음)</v>
      </c>
      <c r="I725" s="79" t="str">
        <f t="shared" ca="1" si="63"/>
        <v>7-AF</v>
      </c>
      <c r="J725" s="61" t="s">
        <v>1332</v>
      </c>
      <c r="K725" s="61" t="s">
        <v>3599</v>
      </c>
      <c r="L725" s="83" t="str">
        <f t="shared" si="59"/>
        <v>→ 조립완제품 R33</v>
      </c>
      <c r="M725" s="84"/>
      <c r="N725" s="80">
        <v>33</v>
      </c>
      <c r="O725" s="80" t="s">
        <v>3537</v>
      </c>
      <c r="P725" s="79" t="s">
        <v>3600</v>
      </c>
    </row>
    <row r="726" spans="1:16" ht="30" customHeight="1" x14ac:dyDescent="0.3">
      <c r="A726" s="59" t="s">
        <v>55</v>
      </c>
      <c r="B726" s="52" t="s">
        <v>1300</v>
      </c>
      <c r="C726" s="52" t="s">
        <v>153</v>
      </c>
      <c r="D726" s="79" t="str">
        <f t="shared" ca="1" si="60"/>
        <v>완제품</v>
      </c>
      <c r="E726" s="79" t="str">
        <f t="shared" ca="1" si="61"/>
        <v>AF</v>
      </c>
      <c r="F726" s="52" t="s">
        <v>1333</v>
      </c>
      <c r="G726" s="52"/>
      <c r="H726" s="79" t="str">
        <f t="shared" ca="1" si="62"/>
        <v>완제품(창고없음)</v>
      </c>
      <c r="I726" s="79" t="str">
        <f t="shared" ca="1" si="63"/>
        <v>7-AF</v>
      </c>
      <c r="J726" s="61" t="s">
        <v>1333</v>
      </c>
      <c r="K726" s="61" t="s">
        <v>3601</v>
      </c>
      <c r="L726" s="83" t="str">
        <f t="shared" si="59"/>
        <v>→ 조립완제품 R34</v>
      </c>
      <c r="M726" s="84"/>
      <c r="N726" s="80">
        <v>34</v>
      </c>
      <c r="O726" s="80" t="s">
        <v>3537</v>
      </c>
      <c r="P726" s="79" t="s">
        <v>3602</v>
      </c>
    </row>
    <row r="727" spans="1:16" ht="30" customHeight="1" x14ac:dyDescent="0.3">
      <c r="A727" s="59" t="s">
        <v>55</v>
      </c>
      <c r="B727" s="52" t="s">
        <v>1300</v>
      </c>
      <c r="C727" s="52" t="s">
        <v>153</v>
      </c>
      <c r="D727" s="79" t="str">
        <f t="shared" ca="1" si="60"/>
        <v>완제품</v>
      </c>
      <c r="E727" s="79" t="str">
        <f t="shared" ca="1" si="61"/>
        <v>AF</v>
      </c>
      <c r="F727" s="52" t="s">
        <v>1334</v>
      </c>
      <c r="G727" s="52"/>
      <c r="H727" s="79" t="str">
        <f t="shared" ca="1" si="62"/>
        <v>완제품(창고없음)</v>
      </c>
      <c r="I727" s="79" t="str">
        <f t="shared" ca="1" si="63"/>
        <v>7-AF</v>
      </c>
      <c r="J727" s="61" t="s">
        <v>1334</v>
      </c>
      <c r="K727" s="61" t="s">
        <v>3603</v>
      </c>
      <c r="L727" s="83" t="str">
        <f t="shared" si="59"/>
        <v>→ 조립완제품 R35</v>
      </c>
      <c r="M727" s="84"/>
      <c r="N727" s="80">
        <v>35</v>
      </c>
      <c r="O727" s="80" t="s">
        <v>3537</v>
      </c>
      <c r="P727" s="79" t="s">
        <v>3604</v>
      </c>
    </row>
    <row r="728" spans="1:16" ht="30" customHeight="1" x14ac:dyDescent="0.3">
      <c r="A728" s="59" t="s">
        <v>55</v>
      </c>
      <c r="B728" s="52" t="s">
        <v>1300</v>
      </c>
      <c r="C728" s="52" t="s">
        <v>153</v>
      </c>
      <c r="D728" s="79" t="str">
        <f t="shared" ca="1" si="60"/>
        <v>완제품</v>
      </c>
      <c r="E728" s="79" t="str">
        <f t="shared" ca="1" si="61"/>
        <v>AF</v>
      </c>
      <c r="F728" s="52" t="s">
        <v>1335</v>
      </c>
      <c r="G728" s="52"/>
      <c r="H728" s="79" t="str">
        <f t="shared" ca="1" si="62"/>
        <v>완제품(창고없음)</v>
      </c>
      <c r="I728" s="79" t="str">
        <f t="shared" ca="1" si="63"/>
        <v>7-AF</v>
      </c>
      <c r="J728" s="61" t="s">
        <v>1335</v>
      </c>
      <c r="K728" s="61" t="s">
        <v>3605</v>
      </c>
      <c r="L728" s="83" t="str">
        <f t="shared" si="59"/>
        <v>→ 조립완제품 R36</v>
      </c>
      <c r="M728" s="84"/>
      <c r="N728" s="80">
        <v>36</v>
      </c>
      <c r="O728" s="80" t="s">
        <v>3537</v>
      </c>
      <c r="P728" s="79" t="s">
        <v>3606</v>
      </c>
    </row>
    <row r="729" spans="1:16" ht="30" customHeight="1" x14ac:dyDescent="0.3">
      <c r="A729" s="59" t="s">
        <v>55</v>
      </c>
      <c r="B729" s="52" t="s">
        <v>1300</v>
      </c>
      <c r="C729" s="52" t="s">
        <v>153</v>
      </c>
      <c r="D729" s="79" t="str">
        <f t="shared" ca="1" si="60"/>
        <v>완제품</v>
      </c>
      <c r="E729" s="79" t="str">
        <f t="shared" ca="1" si="61"/>
        <v>AF</v>
      </c>
      <c r="F729" s="52" t="s">
        <v>1336</v>
      </c>
      <c r="G729" s="52"/>
      <c r="H729" s="79" t="str">
        <f t="shared" ca="1" si="62"/>
        <v>완제품(창고없음)</v>
      </c>
      <c r="I729" s="79" t="str">
        <f t="shared" ca="1" si="63"/>
        <v>7-AF</v>
      </c>
      <c r="J729" s="61" t="s">
        <v>1336</v>
      </c>
      <c r="K729" s="61" t="s">
        <v>3607</v>
      </c>
      <c r="L729" s="83" t="str">
        <f t="shared" si="59"/>
        <v>→ 조립완제품 R37</v>
      </c>
      <c r="M729" s="84"/>
      <c r="N729" s="80">
        <v>37</v>
      </c>
      <c r="O729" s="80" t="s">
        <v>3537</v>
      </c>
      <c r="P729" s="79" t="s">
        <v>3608</v>
      </c>
    </row>
    <row r="730" spans="1:16" ht="30" customHeight="1" x14ac:dyDescent="0.3">
      <c r="A730" s="59" t="s">
        <v>55</v>
      </c>
      <c r="B730" s="52" t="s">
        <v>1300</v>
      </c>
      <c r="C730" s="52" t="s">
        <v>153</v>
      </c>
      <c r="D730" s="79" t="str">
        <f t="shared" ca="1" si="60"/>
        <v>완제품</v>
      </c>
      <c r="E730" s="79" t="str">
        <f t="shared" ca="1" si="61"/>
        <v>AF</v>
      </c>
      <c r="F730" s="52" t="s">
        <v>1337</v>
      </c>
      <c r="G730" s="52"/>
      <c r="H730" s="79" t="str">
        <f t="shared" ca="1" si="62"/>
        <v>완제품(창고없음)</v>
      </c>
      <c r="I730" s="79" t="str">
        <f t="shared" ca="1" si="63"/>
        <v>7-AF</v>
      </c>
      <c r="J730" s="61" t="s">
        <v>1337</v>
      </c>
      <c r="K730" s="65" t="s">
        <v>3609</v>
      </c>
      <c r="L730" s="83" t="str">
        <f t="shared" si="59"/>
        <v>→ 조립완제품 R38</v>
      </c>
      <c r="M730" s="84"/>
      <c r="N730" s="80">
        <v>38</v>
      </c>
      <c r="O730" s="80" t="s">
        <v>3537</v>
      </c>
      <c r="P730" s="79" t="s">
        <v>3610</v>
      </c>
    </row>
    <row r="731" spans="1:16" ht="30" customHeight="1" x14ac:dyDescent="0.3">
      <c r="A731" s="59" t="s">
        <v>55</v>
      </c>
      <c r="B731" s="52" t="s">
        <v>1300</v>
      </c>
      <c r="C731" s="52" t="s">
        <v>153</v>
      </c>
      <c r="D731" s="79" t="str">
        <f t="shared" ca="1" si="60"/>
        <v>완제품</v>
      </c>
      <c r="E731" s="79" t="str">
        <f t="shared" ca="1" si="61"/>
        <v>AF</v>
      </c>
      <c r="F731" s="52" t="s">
        <v>1338</v>
      </c>
      <c r="G731" s="52"/>
      <c r="H731" s="79" t="str">
        <f t="shared" ca="1" si="62"/>
        <v>완제품(창고없음)</v>
      </c>
      <c r="I731" s="79" t="str">
        <f t="shared" ca="1" si="63"/>
        <v>7-AF</v>
      </c>
      <c r="J731" s="61" t="s">
        <v>1338</v>
      </c>
      <c r="K731" s="61" t="s">
        <v>3611</v>
      </c>
      <c r="L731" s="83" t="str">
        <f t="shared" si="59"/>
        <v>→ 조립완제품 R39</v>
      </c>
      <c r="M731" s="84"/>
      <c r="N731" s="80">
        <v>39</v>
      </c>
      <c r="O731" s="80" t="s">
        <v>3537</v>
      </c>
      <c r="P731" s="79" t="s">
        <v>3612</v>
      </c>
    </row>
    <row r="732" spans="1:16" ht="30" customHeight="1" x14ac:dyDescent="0.3">
      <c r="A732" s="59" t="s">
        <v>55</v>
      </c>
      <c r="B732" s="52" t="s">
        <v>1300</v>
      </c>
      <c r="C732" s="52" t="s">
        <v>153</v>
      </c>
      <c r="D732" s="79" t="str">
        <f t="shared" ca="1" si="60"/>
        <v>완제품</v>
      </c>
      <c r="E732" s="79" t="str">
        <f t="shared" ca="1" si="61"/>
        <v>AF</v>
      </c>
      <c r="F732" s="52" t="s">
        <v>1339</v>
      </c>
      <c r="G732" s="52"/>
      <c r="H732" s="79" t="str">
        <f t="shared" ca="1" si="62"/>
        <v>완제품(창고없음)</v>
      </c>
      <c r="I732" s="79" t="str">
        <f t="shared" ca="1" si="63"/>
        <v>7-AF</v>
      </c>
      <c r="J732" s="61" t="s">
        <v>1339</v>
      </c>
      <c r="K732" s="61" t="s">
        <v>3613</v>
      </c>
      <c r="L732" s="83" t="str">
        <f t="shared" si="59"/>
        <v>→ 조립완제품 R40</v>
      </c>
      <c r="M732" s="84"/>
      <c r="N732" s="80">
        <v>40</v>
      </c>
      <c r="O732" s="80" t="s">
        <v>3537</v>
      </c>
      <c r="P732" s="79" t="s">
        <v>3614</v>
      </c>
    </row>
    <row r="733" spans="1:16" ht="30" customHeight="1" x14ac:dyDescent="0.3">
      <c r="A733" s="59" t="s">
        <v>55</v>
      </c>
      <c r="B733" s="52" t="s">
        <v>1300</v>
      </c>
      <c r="C733" s="52" t="s">
        <v>153</v>
      </c>
      <c r="D733" s="79" t="str">
        <f t="shared" ca="1" si="60"/>
        <v>완제품</v>
      </c>
      <c r="E733" s="79" t="str">
        <f t="shared" ca="1" si="61"/>
        <v>AF</v>
      </c>
      <c r="F733" s="52" t="s">
        <v>1340</v>
      </c>
      <c r="G733" s="52"/>
      <c r="H733" s="79" t="str">
        <f t="shared" ca="1" si="62"/>
        <v>완제품(창고없음)</v>
      </c>
      <c r="I733" s="79" t="str">
        <f t="shared" ca="1" si="63"/>
        <v>7-AF</v>
      </c>
      <c r="J733" s="65" t="s">
        <v>1340</v>
      </c>
      <c r="K733" s="65" t="s">
        <v>3615</v>
      </c>
      <c r="L733" s="83" t="str">
        <f t="shared" si="59"/>
        <v>→ 조립완제품 R41</v>
      </c>
      <c r="M733" s="84"/>
      <c r="N733" s="80">
        <v>41</v>
      </c>
      <c r="O733" s="80" t="s">
        <v>3537</v>
      </c>
      <c r="P733" s="79" t="s">
        <v>3616</v>
      </c>
    </row>
    <row r="734" spans="1:16" ht="30" customHeight="1" x14ac:dyDescent="0.3">
      <c r="A734" s="59" t="s">
        <v>55</v>
      </c>
      <c r="B734" s="52" t="s">
        <v>1300</v>
      </c>
      <c r="C734" s="52" t="s">
        <v>182</v>
      </c>
      <c r="D734" s="79" t="str">
        <f t="shared" ca="1" si="60"/>
        <v>완제품</v>
      </c>
      <c r="E734" s="79" t="str">
        <f t="shared" ca="1" si="61"/>
        <v>AF</v>
      </c>
      <c r="F734" s="52" t="s">
        <v>1341</v>
      </c>
      <c r="G734" s="52"/>
      <c r="H734" s="79" t="str">
        <f t="shared" ca="1" si="62"/>
        <v>완제품(창고없음)</v>
      </c>
      <c r="I734" s="79" t="str">
        <f t="shared" ca="1" si="63"/>
        <v>8-AF</v>
      </c>
      <c r="J734" s="61" t="s">
        <v>1341</v>
      </c>
      <c r="K734" s="61" t="s">
        <v>3617</v>
      </c>
      <c r="L734" s="83" t="str">
        <f t="shared" si="59"/>
        <v>→ 조립완제품 R42</v>
      </c>
      <c r="M734" s="84"/>
      <c r="N734" s="80">
        <v>42</v>
      </c>
      <c r="O734" s="80" t="s">
        <v>3537</v>
      </c>
      <c r="P734" s="79" t="s">
        <v>3618</v>
      </c>
    </row>
    <row r="735" spans="1:16" ht="30" customHeight="1" x14ac:dyDescent="0.3">
      <c r="A735" s="59" t="s">
        <v>55</v>
      </c>
      <c r="B735" s="52" t="s">
        <v>1300</v>
      </c>
      <c r="C735" s="52" t="s">
        <v>182</v>
      </c>
      <c r="D735" s="79" t="str">
        <f t="shared" ca="1" si="60"/>
        <v>완제품</v>
      </c>
      <c r="E735" s="79" t="str">
        <f t="shared" ca="1" si="61"/>
        <v>AF</v>
      </c>
      <c r="F735" s="52" t="s">
        <v>1342</v>
      </c>
      <c r="G735" s="52"/>
      <c r="H735" s="79" t="str">
        <f t="shared" ca="1" si="62"/>
        <v>완제품(창고없음)</v>
      </c>
      <c r="I735" s="79" t="str">
        <f t="shared" ca="1" si="63"/>
        <v>8-AF</v>
      </c>
      <c r="J735" s="61" t="s">
        <v>1342</v>
      </c>
      <c r="K735" s="65" t="s">
        <v>3619</v>
      </c>
      <c r="L735" s="83" t="str">
        <f t="shared" si="59"/>
        <v>→ 조립완제품 R43</v>
      </c>
      <c r="M735" s="84"/>
      <c r="N735" s="80">
        <v>43</v>
      </c>
      <c r="O735" s="80" t="s">
        <v>3537</v>
      </c>
      <c r="P735" s="79" t="s">
        <v>3620</v>
      </c>
    </row>
    <row r="736" spans="1:16" ht="30" customHeight="1" x14ac:dyDescent="0.3">
      <c r="A736" s="53" t="s">
        <v>3621</v>
      </c>
      <c r="B736" s="52" t="s">
        <v>1415</v>
      </c>
      <c r="C736" s="52" t="s">
        <v>92</v>
      </c>
      <c r="D736" s="79" t="str">
        <f t="shared" ca="1" si="60"/>
        <v>원자재</v>
      </c>
      <c r="E736" s="79" t="str">
        <f t="shared" ca="1" si="61"/>
        <v>TR</v>
      </c>
      <c r="F736" s="52"/>
      <c r="G736" s="52" t="s">
        <v>3622</v>
      </c>
      <c r="H736" s="79" t="str">
        <f t="shared" si="62"/>
        <v>창고전용</v>
      </c>
      <c r="I736" s="79" t="str">
        <f t="shared" ca="1" si="63"/>
        <v>?-TR</v>
      </c>
      <c r="J736" s="61" t="s">
        <v>3622</v>
      </c>
      <c r="K736" s="65" t="s">
        <v>3622</v>
      </c>
      <c r="L736" s="104" t="str">
        <f t="shared" ref="L736:L767" si="64">HYPERLINK("#'"&amp;$O736&amp;"'!A"&amp;$N736,"→ 창고 R"&amp;$N736)</f>
        <v>→ 창고 R155</v>
      </c>
      <c r="M736" s="84"/>
      <c r="N736" s="105">
        <v>155</v>
      </c>
      <c r="O736" s="105" t="s">
        <v>3623</v>
      </c>
      <c r="P736" s="79" t="s">
        <v>3624</v>
      </c>
    </row>
    <row r="737" spans="1:16" ht="30" customHeight="1" x14ac:dyDescent="0.3">
      <c r="A737" s="53" t="s">
        <v>3621</v>
      </c>
      <c r="B737" s="52" t="s">
        <v>1375</v>
      </c>
      <c r="C737" s="52" t="s">
        <v>1423</v>
      </c>
      <c r="D737" s="79" t="str">
        <f t="shared" ca="1" si="60"/>
        <v>원자재</v>
      </c>
      <c r="E737" s="79" t="str">
        <f t="shared" ca="1" si="61"/>
        <v>HR</v>
      </c>
      <c r="F737" s="52"/>
      <c r="G737" s="52" t="s">
        <v>3625</v>
      </c>
      <c r="H737" s="79" t="str">
        <f t="shared" si="62"/>
        <v>창고전용</v>
      </c>
      <c r="I737" s="79" t="str">
        <f t="shared" ca="1" si="63"/>
        <v>67-HR</v>
      </c>
      <c r="J737" s="65" t="s">
        <v>3625</v>
      </c>
      <c r="K737" s="65" t="s">
        <v>3625</v>
      </c>
      <c r="L737" s="104" t="str">
        <f t="shared" si="64"/>
        <v>→ 창고 R172</v>
      </c>
      <c r="M737" s="84"/>
      <c r="N737" s="105">
        <v>172</v>
      </c>
      <c r="O737" s="105" t="s">
        <v>3623</v>
      </c>
      <c r="P737" s="79" t="s">
        <v>3626</v>
      </c>
    </row>
    <row r="738" spans="1:16" ht="30" customHeight="1" x14ac:dyDescent="0.3">
      <c r="A738" s="53" t="s">
        <v>3621</v>
      </c>
      <c r="B738" s="52" t="s">
        <v>1359</v>
      </c>
      <c r="C738" s="52" t="s">
        <v>182</v>
      </c>
      <c r="D738" s="79" t="str">
        <f t="shared" ca="1" si="60"/>
        <v>원자재</v>
      </c>
      <c r="E738" s="79" t="str">
        <f t="shared" ca="1" si="61"/>
        <v>HR</v>
      </c>
      <c r="F738" s="52"/>
      <c r="G738" s="52" t="s">
        <v>3627</v>
      </c>
      <c r="H738" s="79" t="str">
        <f t="shared" si="62"/>
        <v>창고전용</v>
      </c>
      <c r="I738" s="79" t="str">
        <f t="shared" ca="1" si="63"/>
        <v>8-HR</v>
      </c>
      <c r="J738" s="65" t="s">
        <v>3627</v>
      </c>
      <c r="K738" s="65" t="s">
        <v>3627</v>
      </c>
      <c r="L738" s="104" t="str">
        <f t="shared" si="64"/>
        <v>→ 창고 R178</v>
      </c>
      <c r="M738" s="84"/>
      <c r="N738" s="105">
        <v>178</v>
      </c>
      <c r="O738" s="105" t="s">
        <v>3623</v>
      </c>
      <c r="P738" s="79" t="s">
        <v>3628</v>
      </c>
    </row>
    <row r="739" spans="1:16" ht="30" customHeight="1" x14ac:dyDescent="0.3">
      <c r="A739" s="53" t="s">
        <v>3621</v>
      </c>
      <c r="B739" s="52" t="s">
        <v>1351</v>
      </c>
      <c r="C739" s="52" t="s">
        <v>195</v>
      </c>
      <c r="D739" s="79" t="str">
        <f t="shared" ca="1" si="60"/>
        <v>원자재</v>
      </c>
      <c r="E739" s="79" t="str">
        <f t="shared" ca="1" si="61"/>
        <v>AR</v>
      </c>
      <c r="F739" s="52"/>
      <c r="G739" s="52" t="s">
        <v>3629</v>
      </c>
      <c r="H739" s="79" t="str">
        <f t="shared" si="62"/>
        <v>창고전용</v>
      </c>
      <c r="I739" s="79" t="str">
        <f t="shared" ca="1" si="63"/>
        <v>3-AR</v>
      </c>
      <c r="J739" s="61" t="s">
        <v>3629</v>
      </c>
      <c r="K739" s="65" t="s">
        <v>3630</v>
      </c>
      <c r="L739" s="104" t="str">
        <f t="shared" si="64"/>
        <v>→ 창고 R200</v>
      </c>
      <c r="M739" s="84"/>
      <c r="N739" s="105">
        <v>200</v>
      </c>
      <c r="O739" s="105" t="s">
        <v>3623</v>
      </c>
      <c r="P739" s="79" t="s">
        <v>3631</v>
      </c>
    </row>
    <row r="740" spans="1:16" ht="30" customHeight="1" x14ac:dyDescent="0.3">
      <c r="A740" s="53" t="s">
        <v>3621</v>
      </c>
      <c r="B740" s="52" t="s">
        <v>1351</v>
      </c>
      <c r="C740" s="52" t="s">
        <v>195</v>
      </c>
      <c r="D740" s="79" t="str">
        <f t="shared" ca="1" si="60"/>
        <v>원자재</v>
      </c>
      <c r="E740" s="79" t="str">
        <f t="shared" ca="1" si="61"/>
        <v>AR</v>
      </c>
      <c r="F740" s="52"/>
      <c r="G740" s="52" t="s">
        <v>3632</v>
      </c>
      <c r="H740" s="79" t="str">
        <f t="shared" si="62"/>
        <v>창고전용</v>
      </c>
      <c r="I740" s="79" t="str">
        <f t="shared" ca="1" si="63"/>
        <v>3-AR</v>
      </c>
      <c r="J740" s="61" t="s">
        <v>3632</v>
      </c>
      <c r="K740" s="65" t="s">
        <v>3633</v>
      </c>
      <c r="L740" s="104" t="str">
        <f t="shared" si="64"/>
        <v>→ 창고 R201</v>
      </c>
      <c r="M740" s="84"/>
      <c r="N740" s="105">
        <v>201</v>
      </c>
      <c r="O740" s="105" t="s">
        <v>3623</v>
      </c>
      <c r="P740" s="79" t="s">
        <v>3634</v>
      </c>
    </row>
    <row r="741" spans="1:16" ht="30" customHeight="1" x14ac:dyDescent="0.3">
      <c r="A741" s="53" t="s">
        <v>3621</v>
      </c>
      <c r="B741" s="52" t="s">
        <v>1359</v>
      </c>
      <c r="C741" s="52" t="s">
        <v>195</v>
      </c>
      <c r="D741" s="79" t="str">
        <f t="shared" ca="1" si="60"/>
        <v>원자재</v>
      </c>
      <c r="E741" s="79" t="str">
        <f t="shared" ca="1" si="61"/>
        <v>AR</v>
      </c>
      <c r="F741" s="52"/>
      <c r="G741" s="52" t="s">
        <v>3635</v>
      </c>
      <c r="H741" s="79" t="str">
        <f t="shared" si="62"/>
        <v>창고전용</v>
      </c>
      <c r="I741" s="79" t="str">
        <f t="shared" ca="1" si="63"/>
        <v>3-AR</v>
      </c>
      <c r="J741" s="61" t="s">
        <v>3635</v>
      </c>
      <c r="K741" s="65" t="s">
        <v>3636</v>
      </c>
      <c r="L741" s="104" t="str">
        <f t="shared" si="64"/>
        <v>→ 창고 R202</v>
      </c>
      <c r="M741" s="84"/>
      <c r="N741" s="105">
        <v>202</v>
      </c>
      <c r="O741" s="105" t="s">
        <v>3623</v>
      </c>
      <c r="P741" s="79" t="s">
        <v>3637</v>
      </c>
    </row>
    <row r="742" spans="1:16" ht="30" customHeight="1" x14ac:dyDescent="0.3">
      <c r="A742" s="53" t="s">
        <v>3621</v>
      </c>
      <c r="B742" s="52" t="s">
        <v>1359</v>
      </c>
      <c r="C742" s="52" t="s">
        <v>195</v>
      </c>
      <c r="D742" s="79" t="str">
        <f t="shared" ca="1" si="60"/>
        <v>원자재</v>
      </c>
      <c r="E742" s="79" t="str">
        <f t="shared" ca="1" si="61"/>
        <v>AR</v>
      </c>
      <c r="F742" s="52"/>
      <c r="G742" s="52" t="s">
        <v>3638</v>
      </c>
      <c r="H742" s="79" t="str">
        <f t="shared" si="62"/>
        <v>창고전용</v>
      </c>
      <c r="I742" s="79" t="str">
        <f t="shared" ca="1" si="63"/>
        <v>3-AR</v>
      </c>
      <c r="J742" s="61" t="s">
        <v>3638</v>
      </c>
      <c r="K742" s="65" t="s">
        <v>3639</v>
      </c>
      <c r="L742" s="104" t="str">
        <f t="shared" si="64"/>
        <v>→ 창고 R203</v>
      </c>
      <c r="M742" s="84"/>
      <c r="N742" s="105">
        <v>203</v>
      </c>
      <c r="O742" s="105" t="s">
        <v>3623</v>
      </c>
      <c r="P742" s="79" t="s">
        <v>3640</v>
      </c>
    </row>
    <row r="743" spans="1:16" ht="30" customHeight="1" x14ac:dyDescent="0.3">
      <c r="A743" s="53" t="s">
        <v>3621</v>
      </c>
      <c r="B743" s="52" t="s">
        <v>1368</v>
      </c>
      <c r="C743" s="52" t="s">
        <v>195</v>
      </c>
      <c r="D743" s="79" t="str">
        <f t="shared" ca="1" si="60"/>
        <v>원자재</v>
      </c>
      <c r="E743" s="79" t="str">
        <f t="shared" ca="1" si="61"/>
        <v>AR</v>
      </c>
      <c r="F743" s="52"/>
      <c r="G743" s="52" t="s">
        <v>3641</v>
      </c>
      <c r="H743" s="79" t="str">
        <f t="shared" si="62"/>
        <v>창고전용</v>
      </c>
      <c r="I743" s="79" t="str">
        <f t="shared" ca="1" si="63"/>
        <v>3-AR</v>
      </c>
      <c r="J743" s="61" t="s">
        <v>3641</v>
      </c>
      <c r="K743" s="65" t="s">
        <v>3642</v>
      </c>
      <c r="L743" s="104" t="str">
        <f t="shared" si="64"/>
        <v>→ 창고 R204</v>
      </c>
      <c r="M743" s="84"/>
      <c r="N743" s="105">
        <v>204</v>
      </c>
      <c r="O743" s="105" t="s">
        <v>3623</v>
      </c>
      <c r="P743" s="79" t="s">
        <v>3643</v>
      </c>
    </row>
    <row r="744" spans="1:16" ht="30" customHeight="1" x14ac:dyDescent="0.3">
      <c r="A744" s="53" t="s">
        <v>3621</v>
      </c>
      <c r="B744" s="52" t="s">
        <v>1368</v>
      </c>
      <c r="C744" s="52" t="s">
        <v>195</v>
      </c>
      <c r="D744" s="79" t="str">
        <f t="shared" ca="1" si="60"/>
        <v>원자재</v>
      </c>
      <c r="E744" s="79" t="str">
        <f t="shared" ca="1" si="61"/>
        <v>AR</v>
      </c>
      <c r="F744" s="52"/>
      <c r="G744" s="52" t="s">
        <v>3644</v>
      </c>
      <c r="H744" s="79" t="str">
        <f t="shared" si="62"/>
        <v>창고전용</v>
      </c>
      <c r="I744" s="79" t="str">
        <f t="shared" ca="1" si="63"/>
        <v>3-AR</v>
      </c>
      <c r="J744" s="61" t="s">
        <v>3644</v>
      </c>
      <c r="K744" s="65" t="s">
        <v>3645</v>
      </c>
      <c r="L744" s="104" t="str">
        <f t="shared" si="64"/>
        <v>→ 창고 R205</v>
      </c>
      <c r="M744" s="84"/>
      <c r="N744" s="105">
        <v>205</v>
      </c>
      <c r="O744" s="105" t="s">
        <v>3623</v>
      </c>
      <c r="P744" s="79" t="s">
        <v>3646</v>
      </c>
    </row>
    <row r="745" spans="1:16" ht="30" customHeight="1" x14ac:dyDescent="0.3">
      <c r="A745" s="53" t="s">
        <v>3621</v>
      </c>
      <c r="B745" s="52" t="s">
        <v>1368</v>
      </c>
      <c r="C745" s="52" t="s">
        <v>195</v>
      </c>
      <c r="D745" s="79" t="str">
        <f t="shared" ca="1" si="60"/>
        <v>원자재</v>
      </c>
      <c r="E745" s="79" t="str">
        <f t="shared" ca="1" si="61"/>
        <v>AR</v>
      </c>
      <c r="F745" s="52"/>
      <c r="G745" s="52" t="s">
        <v>3647</v>
      </c>
      <c r="H745" s="79" t="str">
        <f t="shared" si="62"/>
        <v>창고전용</v>
      </c>
      <c r="I745" s="79" t="str">
        <f t="shared" ca="1" si="63"/>
        <v>34-AR</v>
      </c>
      <c r="J745" s="61" t="s">
        <v>3647</v>
      </c>
      <c r="K745" s="65" t="s">
        <v>3648</v>
      </c>
      <c r="L745" s="104" t="str">
        <f t="shared" si="64"/>
        <v>→ 창고 R206</v>
      </c>
      <c r="M745" s="84"/>
      <c r="N745" s="105">
        <v>206</v>
      </c>
      <c r="O745" s="105" t="s">
        <v>3623</v>
      </c>
      <c r="P745" s="79" t="s">
        <v>3649</v>
      </c>
    </row>
    <row r="746" spans="1:16" ht="30" customHeight="1" x14ac:dyDescent="0.3">
      <c r="A746" s="53" t="s">
        <v>3621</v>
      </c>
      <c r="B746" s="52" t="s">
        <v>1368</v>
      </c>
      <c r="C746" s="52" t="s">
        <v>195</v>
      </c>
      <c r="D746" s="79" t="str">
        <f t="shared" ca="1" si="60"/>
        <v>원자재</v>
      </c>
      <c r="E746" s="79" t="str">
        <f t="shared" ca="1" si="61"/>
        <v>AR</v>
      </c>
      <c r="F746" s="52"/>
      <c r="G746" s="52" t="s">
        <v>3650</v>
      </c>
      <c r="H746" s="79" t="str">
        <f t="shared" si="62"/>
        <v>창고전용</v>
      </c>
      <c r="I746" s="79" t="str">
        <f t="shared" ca="1" si="63"/>
        <v>34-AR</v>
      </c>
      <c r="J746" s="61" t="s">
        <v>3650</v>
      </c>
      <c r="K746" s="65" t="s">
        <v>3651</v>
      </c>
      <c r="L746" s="104" t="str">
        <f t="shared" si="64"/>
        <v>→ 창고 R207</v>
      </c>
      <c r="M746" s="84"/>
      <c r="N746" s="105">
        <v>207</v>
      </c>
      <c r="O746" s="105" t="s">
        <v>3623</v>
      </c>
      <c r="P746" s="79" t="s">
        <v>3652</v>
      </c>
    </row>
    <row r="747" spans="1:16" ht="30" customHeight="1" x14ac:dyDescent="0.3">
      <c r="A747" s="53" t="s">
        <v>3621</v>
      </c>
      <c r="B747" s="52" t="s">
        <v>1368</v>
      </c>
      <c r="C747" s="52" t="s">
        <v>195</v>
      </c>
      <c r="D747" s="79" t="str">
        <f t="shared" ca="1" si="60"/>
        <v>원자재</v>
      </c>
      <c r="E747" s="79" t="str">
        <f t="shared" ca="1" si="61"/>
        <v>AR</v>
      </c>
      <c r="F747" s="52"/>
      <c r="G747" s="52" t="s">
        <v>3653</v>
      </c>
      <c r="H747" s="79" t="str">
        <f t="shared" si="62"/>
        <v>창고전용</v>
      </c>
      <c r="I747" s="79" t="str">
        <f t="shared" ca="1" si="63"/>
        <v>3-AR</v>
      </c>
      <c r="J747" s="61" t="s">
        <v>3653</v>
      </c>
      <c r="K747" s="65" t="s">
        <v>3654</v>
      </c>
      <c r="L747" s="104" t="str">
        <f t="shared" si="64"/>
        <v>→ 창고 R208</v>
      </c>
      <c r="M747" s="84"/>
      <c r="N747" s="105">
        <v>208</v>
      </c>
      <c r="O747" s="105" t="s">
        <v>3623</v>
      </c>
      <c r="P747" s="79" t="s">
        <v>3655</v>
      </c>
    </row>
    <row r="748" spans="1:16" ht="30" customHeight="1" x14ac:dyDescent="0.3">
      <c r="A748" s="53" t="s">
        <v>3621</v>
      </c>
      <c r="B748" s="52" t="s">
        <v>1351</v>
      </c>
      <c r="C748" s="52" t="s">
        <v>153</v>
      </c>
      <c r="D748" s="79" t="str">
        <f t="shared" ca="1" si="60"/>
        <v>원자재</v>
      </c>
      <c r="E748" s="79" t="str">
        <f t="shared" ca="1" si="61"/>
        <v>VR</v>
      </c>
      <c r="F748" s="52"/>
      <c r="G748" s="52" t="s">
        <v>3656</v>
      </c>
      <c r="H748" s="79" t="str">
        <f t="shared" si="62"/>
        <v>창고전용</v>
      </c>
      <c r="I748" s="79" t="str">
        <f t="shared" ca="1" si="63"/>
        <v>7-VR</v>
      </c>
      <c r="J748" s="61" t="s">
        <v>3656</v>
      </c>
      <c r="K748" s="65" t="s">
        <v>3657</v>
      </c>
      <c r="L748" s="104" t="str">
        <f t="shared" si="64"/>
        <v>→ 창고 R210</v>
      </c>
      <c r="M748" s="84"/>
      <c r="N748" s="105">
        <v>210</v>
      </c>
      <c r="O748" s="105" t="s">
        <v>3623</v>
      </c>
      <c r="P748" s="79" t="s">
        <v>3658</v>
      </c>
    </row>
    <row r="749" spans="1:16" ht="30" customHeight="1" x14ac:dyDescent="0.3">
      <c r="A749" s="53" t="s">
        <v>3621</v>
      </c>
      <c r="B749" s="52" t="s">
        <v>1351</v>
      </c>
      <c r="C749" s="52" t="s">
        <v>153</v>
      </c>
      <c r="D749" s="79" t="str">
        <f t="shared" ca="1" si="60"/>
        <v>원자재</v>
      </c>
      <c r="E749" s="79" t="str">
        <f t="shared" ca="1" si="61"/>
        <v>AR</v>
      </c>
      <c r="F749" s="52"/>
      <c r="G749" s="52" t="s">
        <v>3659</v>
      </c>
      <c r="H749" s="79" t="str">
        <f t="shared" si="62"/>
        <v>창고전용</v>
      </c>
      <c r="I749" s="79" t="str">
        <f t="shared" ca="1" si="63"/>
        <v>7-AR</v>
      </c>
      <c r="J749" s="61" t="s">
        <v>3659</v>
      </c>
      <c r="K749" s="65" t="s">
        <v>3660</v>
      </c>
      <c r="L749" s="104" t="str">
        <f t="shared" si="64"/>
        <v>→ 창고 R216</v>
      </c>
      <c r="M749" s="84"/>
      <c r="N749" s="105">
        <v>216</v>
      </c>
      <c r="O749" s="105" t="s">
        <v>3623</v>
      </c>
      <c r="P749" s="79" t="s">
        <v>3661</v>
      </c>
    </row>
    <row r="750" spans="1:16" ht="30" customHeight="1" x14ac:dyDescent="0.3">
      <c r="A750" s="53" t="s">
        <v>3621</v>
      </c>
      <c r="B750" s="52" t="s">
        <v>1368</v>
      </c>
      <c r="C750" s="52" t="s">
        <v>153</v>
      </c>
      <c r="D750" s="79" t="str">
        <f t="shared" ca="1" si="60"/>
        <v>원자재</v>
      </c>
      <c r="E750" s="79" t="str">
        <f t="shared" ca="1" si="61"/>
        <v>AR</v>
      </c>
      <c r="F750" s="52"/>
      <c r="G750" s="52" t="s">
        <v>3662</v>
      </c>
      <c r="H750" s="79" t="str">
        <f t="shared" si="62"/>
        <v>창고전용</v>
      </c>
      <c r="I750" s="79" t="str">
        <f t="shared" ca="1" si="63"/>
        <v>7-AR</v>
      </c>
      <c r="J750" s="61" t="s">
        <v>3662</v>
      </c>
      <c r="K750" s="65" t="s">
        <v>3663</v>
      </c>
      <c r="L750" s="104" t="str">
        <f t="shared" si="64"/>
        <v>→ 창고 R273</v>
      </c>
      <c r="M750" s="84"/>
      <c r="N750" s="105">
        <v>273</v>
      </c>
      <c r="O750" s="105" t="s">
        <v>3623</v>
      </c>
      <c r="P750" s="79" t="s">
        <v>3664</v>
      </c>
    </row>
    <row r="751" spans="1:16" ht="30" customHeight="1" x14ac:dyDescent="0.3">
      <c r="A751" s="53" t="s">
        <v>3621</v>
      </c>
      <c r="B751" s="52" t="s">
        <v>1368</v>
      </c>
      <c r="C751" s="52" t="s">
        <v>182</v>
      </c>
      <c r="D751" s="79" t="str">
        <f t="shared" ca="1" si="60"/>
        <v>원자재</v>
      </c>
      <c r="E751" s="79" t="str">
        <f t="shared" ca="1" si="61"/>
        <v>AR</v>
      </c>
      <c r="F751" s="52"/>
      <c r="G751" s="52" t="s">
        <v>3665</v>
      </c>
      <c r="H751" s="79" t="str">
        <f t="shared" si="62"/>
        <v>창고전용</v>
      </c>
      <c r="I751" s="79" t="str">
        <f t="shared" ca="1" si="63"/>
        <v>8-AR</v>
      </c>
      <c r="J751" s="61" t="s">
        <v>3665</v>
      </c>
      <c r="K751" s="65" t="s">
        <v>3666</v>
      </c>
      <c r="L751" s="104" t="str">
        <f t="shared" si="64"/>
        <v>→ 창고 R295</v>
      </c>
      <c r="M751" s="84"/>
      <c r="N751" s="105">
        <v>295</v>
      </c>
      <c r="O751" s="105" t="s">
        <v>3623</v>
      </c>
      <c r="P751" s="79" t="s">
        <v>3667</v>
      </c>
    </row>
    <row r="752" spans="1:16" ht="30" customHeight="1" x14ac:dyDescent="0.3">
      <c r="A752" s="53" t="s">
        <v>3621</v>
      </c>
      <c r="B752" s="52" t="s">
        <v>1368</v>
      </c>
      <c r="C752" s="52" t="s">
        <v>198</v>
      </c>
      <c r="D752" s="79" t="str">
        <f t="shared" ca="1" si="60"/>
        <v>원자재</v>
      </c>
      <c r="E752" s="79" t="str">
        <f t="shared" ca="1" si="61"/>
        <v>AR</v>
      </c>
      <c r="F752" s="52"/>
      <c r="G752" s="52" t="s">
        <v>3668</v>
      </c>
      <c r="H752" s="79" t="str">
        <f t="shared" si="62"/>
        <v>창고전용</v>
      </c>
      <c r="I752" s="79" t="str">
        <f t="shared" ca="1" si="63"/>
        <v>4-AR</v>
      </c>
      <c r="J752" s="61" t="s">
        <v>3668</v>
      </c>
      <c r="K752" s="65" t="s">
        <v>3669</v>
      </c>
      <c r="L752" s="104" t="str">
        <f t="shared" si="64"/>
        <v>→ 창고 R316</v>
      </c>
      <c r="M752" s="84"/>
      <c r="N752" s="105">
        <v>316</v>
      </c>
      <c r="O752" s="105" t="s">
        <v>3623</v>
      </c>
      <c r="P752" s="79" t="s">
        <v>3670</v>
      </c>
    </row>
    <row r="753" spans="1:16" ht="30" customHeight="1" x14ac:dyDescent="0.3">
      <c r="A753" s="53" t="s">
        <v>3621</v>
      </c>
      <c r="B753" s="52" t="s">
        <v>1368</v>
      </c>
      <c r="C753" s="52" t="s">
        <v>198</v>
      </c>
      <c r="D753" s="79" t="str">
        <f t="shared" ca="1" si="60"/>
        <v>원자재</v>
      </c>
      <c r="E753" s="79" t="str">
        <f t="shared" ca="1" si="61"/>
        <v>AR</v>
      </c>
      <c r="F753" s="52"/>
      <c r="G753" s="52" t="s">
        <v>3671</v>
      </c>
      <c r="H753" s="79" t="str">
        <f t="shared" si="62"/>
        <v>창고전용</v>
      </c>
      <c r="I753" s="79" t="str">
        <f t="shared" ca="1" si="63"/>
        <v>4-AR</v>
      </c>
      <c r="J753" s="61" t="s">
        <v>3671</v>
      </c>
      <c r="K753" s="65" t="s">
        <v>3672</v>
      </c>
      <c r="L753" s="104" t="str">
        <f t="shared" si="64"/>
        <v>→ 창고 R317</v>
      </c>
      <c r="M753" s="84"/>
      <c r="N753" s="105">
        <v>317</v>
      </c>
      <c r="O753" s="105" t="s">
        <v>3623</v>
      </c>
      <c r="P753" s="79" t="s">
        <v>3673</v>
      </c>
    </row>
    <row r="754" spans="1:16" ht="30" customHeight="1" x14ac:dyDescent="0.3">
      <c r="A754" s="53" t="s">
        <v>3621</v>
      </c>
      <c r="B754" s="52" t="s">
        <v>1368</v>
      </c>
      <c r="C754" s="52" t="s">
        <v>198</v>
      </c>
      <c r="D754" s="79" t="str">
        <f t="shared" ca="1" si="60"/>
        <v>원자재</v>
      </c>
      <c r="E754" s="79" t="str">
        <f t="shared" ca="1" si="61"/>
        <v>AR</v>
      </c>
      <c r="F754" s="52"/>
      <c r="G754" s="52" t="s">
        <v>3674</v>
      </c>
      <c r="H754" s="79" t="str">
        <f t="shared" si="62"/>
        <v>창고전용</v>
      </c>
      <c r="I754" s="79" t="str">
        <f t="shared" ca="1" si="63"/>
        <v>4-AR</v>
      </c>
      <c r="J754" s="61" t="s">
        <v>3674</v>
      </c>
      <c r="K754" s="65" t="s">
        <v>3675</v>
      </c>
      <c r="L754" s="104" t="str">
        <f t="shared" si="64"/>
        <v>→ 창고 R318</v>
      </c>
      <c r="M754" s="84"/>
      <c r="N754" s="105">
        <v>318</v>
      </c>
      <c r="O754" s="105" t="s">
        <v>3623</v>
      </c>
      <c r="P754" s="79" t="s">
        <v>3676</v>
      </c>
    </row>
    <row r="755" spans="1:16" ht="30" customHeight="1" x14ac:dyDescent="0.3">
      <c r="A755" s="53" t="s">
        <v>3621</v>
      </c>
      <c r="B755" s="52" t="s">
        <v>1368</v>
      </c>
      <c r="C755" s="52" t="s">
        <v>198</v>
      </c>
      <c r="D755" s="79" t="str">
        <f t="shared" ca="1" si="60"/>
        <v>원자재</v>
      </c>
      <c r="E755" s="79" t="str">
        <f t="shared" ca="1" si="61"/>
        <v>AR</v>
      </c>
      <c r="F755" s="52"/>
      <c r="G755" s="52" t="s">
        <v>3677</v>
      </c>
      <c r="H755" s="79" t="str">
        <f t="shared" si="62"/>
        <v>창고전용</v>
      </c>
      <c r="I755" s="79" t="str">
        <f t="shared" ca="1" si="63"/>
        <v>4-AR</v>
      </c>
      <c r="J755" s="61" t="s">
        <v>3677</v>
      </c>
      <c r="K755" s="65" t="s">
        <v>3678</v>
      </c>
      <c r="L755" s="104" t="str">
        <f t="shared" si="64"/>
        <v>→ 창고 R319</v>
      </c>
      <c r="M755" s="84"/>
      <c r="N755" s="105">
        <v>319</v>
      </c>
      <c r="O755" s="105" t="s">
        <v>3623</v>
      </c>
      <c r="P755" s="79" t="s">
        <v>3679</v>
      </c>
    </row>
    <row r="756" spans="1:16" ht="30" customHeight="1" x14ac:dyDescent="0.3">
      <c r="A756" s="53" t="s">
        <v>3621</v>
      </c>
      <c r="B756" s="52" t="s">
        <v>1368</v>
      </c>
      <c r="C756" s="52" t="s">
        <v>198</v>
      </c>
      <c r="D756" s="79" t="str">
        <f t="shared" ca="1" si="60"/>
        <v>원자재</v>
      </c>
      <c r="E756" s="79" t="str">
        <f t="shared" ca="1" si="61"/>
        <v>AR</v>
      </c>
      <c r="F756" s="52"/>
      <c r="G756" s="52" t="s">
        <v>3680</v>
      </c>
      <c r="H756" s="79" t="str">
        <f t="shared" si="62"/>
        <v>창고전용</v>
      </c>
      <c r="I756" s="79" t="str">
        <f t="shared" ca="1" si="63"/>
        <v>4-AR</v>
      </c>
      <c r="J756" s="61" t="s">
        <v>3680</v>
      </c>
      <c r="K756" s="65" t="s">
        <v>3681</v>
      </c>
      <c r="L756" s="104" t="str">
        <f t="shared" si="64"/>
        <v>→ 창고 R320</v>
      </c>
      <c r="M756" s="84"/>
      <c r="N756" s="105">
        <v>320</v>
      </c>
      <c r="O756" s="105" t="s">
        <v>3623</v>
      </c>
      <c r="P756" s="79" t="s">
        <v>3682</v>
      </c>
    </row>
    <row r="757" spans="1:16" ht="30" customHeight="1" x14ac:dyDescent="0.3">
      <c r="A757" s="53" t="s">
        <v>3621</v>
      </c>
      <c r="B757" s="52" t="s">
        <v>1476</v>
      </c>
      <c r="C757" s="52" t="s">
        <v>198</v>
      </c>
      <c r="D757" s="79" t="str">
        <f t="shared" ca="1" si="60"/>
        <v>원자재</v>
      </c>
      <c r="E757" s="79" t="str">
        <f t="shared" ca="1" si="61"/>
        <v>AR</v>
      </c>
      <c r="F757" s="52"/>
      <c r="G757" s="52" t="s">
        <v>3683</v>
      </c>
      <c r="H757" s="79" t="str">
        <f t="shared" si="62"/>
        <v>창고전용</v>
      </c>
      <c r="I757" s="79" t="str">
        <f t="shared" ca="1" si="63"/>
        <v>4-AR</v>
      </c>
      <c r="J757" s="61" t="s">
        <v>3683</v>
      </c>
      <c r="K757" s="65" t="s">
        <v>3684</v>
      </c>
      <c r="L757" s="104" t="str">
        <f t="shared" si="64"/>
        <v>→ 창고 R321</v>
      </c>
      <c r="M757" s="84"/>
      <c r="N757" s="105">
        <v>321</v>
      </c>
      <c r="O757" s="105" t="s">
        <v>3623</v>
      </c>
      <c r="P757" s="79" t="s">
        <v>3685</v>
      </c>
    </row>
    <row r="758" spans="1:16" ht="30" customHeight="1" x14ac:dyDescent="0.3">
      <c r="A758" s="53" t="s">
        <v>3621</v>
      </c>
      <c r="B758" s="52" t="s">
        <v>1476</v>
      </c>
      <c r="C758" s="52" t="s">
        <v>198</v>
      </c>
      <c r="D758" s="79" t="str">
        <f t="shared" ca="1" si="60"/>
        <v>원자재</v>
      </c>
      <c r="E758" s="79" t="str">
        <f t="shared" ca="1" si="61"/>
        <v>AR</v>
      </c>
      <c r="F758" s="52"/>
      <c r="G758" s="52" t="s">
        <v>3686</v>
      </c>
      <c r="H758" s="79" t="str">
        <f t="shared" si="62"/>
        <v>창고전용</v>
      </c>
      <c r="I758" s="79" t="str">
        <f t="shared" ca="1" si="63"/>
        <v>4-AR</v>
      </c>
      <c r="J758" s="61" t="s">
        <v>3686</v>
      </c>
      <c r="K758" s="65" t="s">
        <v>3687</v>
      </c>
      <c r="L758" s="104" t="str">
        <f t="shared" si="64"/>
        <v>→ 창고 R322</v>
      </c>
      <c r="M758" s="84"/>
      <c r="N758" s="105">
        <v>322</v>
      </c>
      <c r="O758" s="105" t="s">
        <v>3623</v>
      </c>
      <c r="P758" s="79" t="s">
        <v>3688</v>
      </c>
    </row>
    <row r="759" spans="1:16" ht="30" customHeight="1" x14ac:dyDescent="0.3">
      <c r="A759" s="53" t="s">
        <v>3621</v>
      </c>
      <c r="B759" s="52" t="s">
        <v>1395</v>
      </c>
      <c r="C759" s="52" t="s">
        <v>198</v>
      </c>
      <c r="D759" s="79" t="str">
        <f t="shared" ca="1" si="60"/>
        <v>원자재</v>
      </c>
      <c r="E759" s="79" t="str">
        <f t="shared" ca="1" si="61"/>
        <v>AR</v>
      </c>
      <c r="F759" s="52"/>
      <c r="G759" s="52" t="s">
        <v>3689</v>
      </c>
      <c r="H759" s="79" t="str">
        <f t="shared" si="62"/>
        <v>창고전용</v>
      </c>
      <c r="I759" s="79" t="str">
        <f t="shared" ca="1" si="63"/>
        <v>4-AR</v>
      </c>
      <c r="J759" s="61" t="s">
        <v>3689</v>
      </c>
      <c r="K759" s="65" t="s">
        <v>3690</v>
      </c>
      <c r="L759" s="104" t="str">
        <f t="shared" si="64"/>
        <v>→ 창고 R323</v>
      </c>
      <c r="M759" s="84"/>
      <c r="N759" s="105">
        <v>323</v>
      </c>
      <c r="O759" s="105" t="s">
        <v>3623</v>
      </c>
      <c r="P759" s="79" t="s">
        <v>3691</v>
      </c>
    </row>
    <row r="760" spans="1:16" ht="30" customHeight="1" x14ac:dyDescent="0.3">
      <c r="A760" s="53" t="s">
        <v>3621</v>
      </c>
      <c r="B760" s="52" t="s">
        <v>1456</v>
      </c>
      <c r="C760" s="52" t="s">
        <v>117</v>
      </c>
      <c r="D760" s="79" t="str">
        <f t="shared" ca="1" si="60"/>
        <v>원자재</v>
      </c>
      <c r="E760" s="79" t="str">
        <f t="shared" ca="1" si="61"/>
        <v>AR</v>
      </c>
      <c r="F760" s="52"/>
      <c r="G760" s="52" t="s">
        <v>3692</v>
      </c>
      <c r="H760" s="79" t="str">
        <f t="shared" si="62"/>
        <v>창고전용</v>
      </c>
      <c r="I760" s="79" t="str">
        <f t="shared" ca="1" si="63"/>
        <v>6-AR</v>
      </c>
      <c r="J760" s="61" t="s">
        <v>3692</v>
      </c>
      <c r="K760" s="65" t="s">
        <v>3693</v>
      </c>
      <c r="L760" s="104" t="str">
        <f t="shared" si="64"/>
        <v>→ 창고 R375</v>
      </c>
      <c r="M760" s="84"/>
      <c r="N760" s="105">
        <v>375</v>
      </c>
      <c r="O760" s="105" t="s">
        <v>3623</v>
      </c>
      <c r="P760" s="79" t="s">
        <v>3694</v>
      </c>
    </row>
    <row r="761" spans="1:16" ht="30" customHeight="1" x14ac:dyDescent="0.3">
      <c r="A761" s="53" t="s">
        <v>3621</v>
      </c>
      <c r="B761" s="52" t="s">
        <v>985</v>
      </c>
      <c r="C761" s="52" t="s">
        <v>195</v>
      </c>
      <c r="D761" s="79" t="str">
        <f t="shared" ca="1" si="60"/>
        <v>원자재</v>
      </c>
      <c r="E761" s="79" t="str">
        <f t="shared" ca="1" si="61"/>
        <v>PR</v>
      </c>
      <c r="F761" s="52"/>
      <c r="G761" s="52" t="s">
        <v>3695</v>
      </c>
      <c r="H761" s="79" t="str">
        <f t="shared" si="62"/>
        <v>창고전용</v>
      </c>
      <c r="I761" s="79" t="str">
        <f t="shared" ca="1" si="63"/>
        <v>3-PR</v>
      </c>
      <c r="J761" s="61" t="s">
        <v>3695</v>
      </c>
      <c r="K761" s="65" t="s">
        <v>3696</v>
      </c>
      <c r="L761" s="104" t="str">
        <f t="shared" si="64"/>
        <v>→ 창고 R392</v>
      </c>
      <c r="M761" s="84"/>
      <c r="N761" s="105">
        <v>392</v>
      </c>
      <c r="O761" s="105" t="s">
        <v>3623</v>
      </c>
      <c r="P761" s="79" t="s">
        <v>3697</v>
      </c>
    </row>
    <row r="762" spans="1:16" ht="30" customHeight="1" x14ac:dyDescent="0.3">
      <c r="A762" s="53" t="s">
        <v>3621</v>
      </c>
      <c r="B762" s="52" t="s">
        <v>985</v>
      </c>
      <c r="C762" s="52" t="s">
        <v>153</v>
      </c>
      <c r="D762" s="79" t="str">
        <f t="shared" ca="1" si="60"/>
        <v>원자재</v>
      </c>
      <c r="E762" s="79" t="str">
        <f t="shared" ca="1" si="61"/>
        <v>PR</v>
      </c>
      <c r="F762" s="52"/>
      <c r="G762" s="52" t="s">
        <v>3698</v>
      </c>
      <c r="H762" s="79" t="str">
        <f t="shared" si="62"/>
        <v>창고전용</v>
      </c>
      <c r="I762" s="79" t="str">
        <f t="shared" ca="1" si="63"/>
        <v>37-PR</v>
      </c>
      <c r="J762" s="61" t="s">
        <v>3698</v>
      </c>
      <c r="K762" s="65" t="s">
        <v>3699</v>
      </c>
      <c r="L762" s="104" t="str">
        <f t="shared" si="64"/>
        <v>→ 창고 R396</v>
      </c>
      <c r="M762" s="84"/>
      <c r="N762" s="105">
        <v>396</v>
      </c>
      <c r="O762" s="105" t="s">
        <v>3623</v>
      </c>
      <c r="P762" s="79" t="s">
        <v>3700</v>
      </c>
    </row>
    <row r="763" spans="1:16" ht="30" customHeight="1" x14ac:dyDescent="0.3">
      <c r="A763" s="53" t="s">
        <v>3621</v>
      </c>
      <c r="B763" s="52" t="s">
        <v>985</v>
      </c>
      <c r="C763" s="52" t="s">
        <v>117</v>
      </c>
      <c r="D763" s="79" t="str">
        <f t="shared" ca="1" si="60"/>
        <v>원자재</v>
      </c>
      <c r="E763" s="79" t="str">
        <f t="shared" ca="1" si="61"/>
        <v>PR</v>
      </c>
      <c r="F763" s="52"/>
      <c r="G763" s="52" t="s">
        <v>3701</v>
      </c>
      <c r="H763" s="79" t="str">
        <f t="shared" si="62"/>
        <v>창고전용</v>
      </c>
      <c r="I763" s="79" t="str">
        <f t="shared" ca="1" si="63"/>
        <v>6-PR</v>
      </c>
      <c r="J763" s="61" t="s">
        <v>3701</v>
      </c>
      <c r="K763" s="65" t="s">
        <v>3702</v>
      </c>
      <c r="L763" s="104" t="str">
        <f t="shared" si="64"/>
        <v>→ 창고 R398</v>
      </c>
      <c r="M763" s="84"/>
      <c r="N763" s="105">
        <v>398</v>
      </c>
      <c r="O763" s="105" t="s">
        <v>3623</v>
      </c>
      <c r="P763" s="79" t="s">
        <v>3703</v>
      </c>
    </row>
    <row r="764" spans="1:16" ht="30" customHeight="1" x14ac:dyDescent="0.3">
      <c r="A764" s="53" t="s">
        <v>3621</v>
      </c>
      <c r="B764" s="52" t="s">
        <v>1497</v>
      </c>
      <c r="C764" s="52" t="s">
        <v>117</v>
      </c>
      <c r="D764" s="79" t="str">
        <f t="shared" ca="1" si="60"/>
        <v>원자재</v>
      </c>
      <c r="E764" s="79" t="str">
        <f t="shared" ca="1" si="61"/>
        <v>PR</v>
      </c>
      <c r="F764" s="52"/>
      <c r="G764" s="52" t="s">
        <v>3704</v>
      </c>
      <c r="H764" s="79" t="str">
        <f t="shared" si="62"/>
        <v>창고전용</v>
      </c>
      <c r="I764" s="79" t="str">
        <f t="shared" ca="1" si="63"/>
        <v>6-PR</v>
      </c>
      <c r="J764" s="61" t="s">
        <v>3704</v>
      </c>
      <c r="K764" s="65" t="s">
        <v>3705</v>
      </c>
      <c r="L764" s="104" t="str">
        <f t="shared" si="64"/>
        <v>→ 창고 R400</v>
      </c>
      <c r="M764" s="84"/>
      <c r="N764" s="105">
        <v>400</v>
      </c>
      <c r="O764" s="105" t="s">
        <v>3623</v>
      </c>
      <c r="P764" s="79" t="s">
        <v>3706</v>
      </c>
    </row>
    <row r="765" spans="1:16" ht="30" customHeight="1" x14ac:dyDescent="0.3">
      <c r="A765" s="53" t="s">
        <v>3621</v>
      </c>
      <c r="B765" s="52" t="s">
        <v>1497</v>
      </c>
      <c r="C765" s="52" t="s">
        <v>68</v>
      </c>
      <c r="D765" s="79" t="str">
        <f t="shared" ca="1" si="60"/>
        <v>원자재</v>
      </c>
      <c r="E765" s="79" t="str">
        <f t="shared" ca="1" si="61"/>
        <v>PR</v>
      </c>
      <c r="F765" s="52"/>
      <c r="G765" s="52" t="s">
        <v>3707</v>
      </c>
      <c r="H765" s="79" t="str">
        <f t="shared" si="62"/>
        <v>창고전용</v>
      </c>
      <c r="I765" s="79" t="str">
        <f t="shared" ca="1" si="63"/>
        <v>34678-PR</v>
      </c>
      <c r="J765" s="61" t="s">
        <v>3707</v>
      </c>
      <c r="K765" s="65" t="s">
        <v>3708</v>
      </c>
      <c r="L765" s="104" t="str">
        <f t="shared" si="64"/>
        <v>→ 창고 R401</v>
      </c>
      <c r="M765" s="84"/>
      <c r="N765" s="105">
        <v>401</v>
      </c>
      <c r="O765" s="105" t="s">
        <v>3623</v>
      </c>
      <c r="P765" s="79" t="s">
        <v>3709</v>
      </c>
    </row>
    <row r="766" spans="1:16" ht="30" customHeight="1" x14ac:dyDescent="0.3">
      <c r="A766" s="53" t="s">
        <v>3621</v>
      </c>
      <c r="B766" s="52" t="s">
        <v>1497</v>
      </c>
      <c r="C766" s="52" t="s">
        <v>68</v>
      </c>
      <c r="D766" s="79" t="str">
        <f t="shared" ca="1" si="60"/>
        <v>원자재</v>
      </c>
      <c r="E766" s="79" t="str">
        <f t="shared" ca="1" si="61"/>
        <v>PR</v>
      </c>
      <c r="F766" s="52"/>
      <c r="G766" s="52" t="s">
        <v>3710</v>
      </c>
      <c r="H766" s="79" t="str">
        <f t="shared" si="62"/>
        <v>창고전용</v>
      </c>
      <c r="I766" s="79" t="str">
        <f t="shared" ca="1" si="63"/>
        <v>34678-PR</v>
      </c>
      <c r="J766" s="61" t="s">
        <v>3710</v>
      </c>
      <c r="K766" s="65" t="s">
        <v>3711</v>
      </c>
      <c r="L766" s="104" t="str">
        <f t="shared" si="64"/>
        <v>→ 창고 R402</v>
      </c>
      <c r="M766" s="84"/>
      <c r="N766" s="105">
        <v>402</v>
      </c>
      <c r="O766" s="105" t="s">
        <v>3623</v>
      </c>
      <c r="P766" s="79" t="s">
        <v>3712</v>
      </c>
    </row>
    <row r="767" spans="1:16" ht="30" customHeight="1" x14ac:dyDescent="0.3">
      <c r="A767" s="53" t="s">
        <v>3621</v>
      </c>
      <c r="B767" s="52" t="s">
        <v>1359</v>
      </c>
      <c r="C767" s="52" t="s">
        <v>68</v>
      </c>
      <c r="D767" s="79" t="str">
        <f t="shared" ca="1" si="60"/>
        <v>원자재</v>
      </c>
      <c r="E767" s="79" t="str">
        <f t="shared" ca="1" si="61"/>
        <v>PR</v>
      </c>
      <c r="F767" s="52"/>
      <c r="G767" s="52" t="s">
        <v>3713</v>
      </c>
      <c r="H767" s="79" t="str">
        <f t="shared" si="62"/>
        <v>창고전용</v>
      </c>
      <c r="I767" s="79" t="str">
        <f t="shared" ca="1" si="63"/>
        <v>6-PR</v>
      </c>
      <c r="J767" s="61" t="s">
        <v>3713</v>
      </c>
      <c r="K767" s="65" t="s">
        <v>3714</v>
      </c>
      <c r="L767" s="104" t="str">
        <f t="shared" si="64"/>
        <v>→ 창고 R403</v>
      </c>
      <c r="M767" s="84"/>
      <c r="N767" s="105">
        <v>403</v>
      </c>
      <c r="O767" s="105" t="s">
        <v>3623</v>
      </c>
      <c r="P767" s="79" t="s">
        <v>3715</v>
      </c>
    </row>
    <row r="768" spans="1:16" ht="30" customHeight="1" x14ac:dyDescent="0.3">
      <c r="A768" s="53" t="s">
        <v>3621</v>
      </c>
      <c r="B768" s="52" t="s">
        <v>1359</v>
      </c>
      <c r="C768" s="52" t="s">
        <v>198</v>
      </c>
      <c r="D768" s="79" t="str">
        <f t="shared" ca="1" si="60"/>
        <v>원자재</v>
      </c>
      <c r="E768" s="79" t="str">
        <f t="shared" ca="1" si="61"/>
        <v>PR</v>
      </c>
      <c r="F768" s="52"/>
      <c r="G768" s="52" t="s">
        <v>3716</v>
      </c>
      <c r="H768" s="79" t="str">
        <f t="shared" si="62"/>
        <v>창고전용</v>
      </c>
      <c r="I768" s="79" t="str">
        <f t="shared" ca="1" si="63"/>
        <v>4-PR</v>
      </c>
      <c r="J768" s="61" t="s">
        <v>3716</v>
      </c>
      <c r="K768" s="65" t="s">
        <v>3717</v>
      </c>
      <c r="L768" s="104" t="str">
        <f t="shared" ref="L768:L799" si="65">HYPERLINK("#'"&amp;$O768&amp;"'!A"&amp;$N768,"→ 창고 R"&amp;$N768)</f>
        <v>→ 창고 R404</v>
      </c>
      <c r="M768" s="84"/>
      <c r="N768" s="105">
        <v>404</v>
      </c>
      <c r="O768" s="105" t="s">
        <v>3623</v>
      </c>
      <c r="P768" s="79" t="s">
        <v>3718</v>
      </c>
    </row>
    <row r="769" spans="1:16" ht="30" customHeight="1" x14ac:dyDescent="0.3">
      <c r="A769" s="53" t="s">
        <v>3621</v>
      </c>
      <c r="B769" s="52" t="s">
        <v>1359</v>
      </c>
      <c r="C769" s="52" t="s">
        <v>198</v>
      </c>
      <c r="D769" s="79" t="str">
        <f t="shared" ca="1" si="60"/>
        <v>원자재</v>
      </c>
      <c r="E769" s="79" t="str">
        <f t="shared" ca="1" si="61"/>
        <v>PR</v>
      </c>
      <c r="F769" s="52"/>
      <c r="G769" s="52" t="s">
        <v>3719</v>
      </c>
      <c r="H769" s="79" t="str">
        <f t="shared" si="62"/>
        <v>창고전용</v>
      </c>
      <c r="I769" s="79" t="str">
        <f t="shared" ca="1" si="63"/>
        <v>4-PR</v>
      </c>
      <c r="J769" s="61" t="s">
        <v>3719</v>
      </c>
      <c r="K769" s="65" t="s">
        <v>3720</v>
      </c>
      <c r="L769" s="104" t="str">
        <f t="shared" si="65"/>
        <v>→ 창고 R405</v>
      </c>
      <c r="M769" s="84"/>
      <c r="N769" s="105">
        <v>405</v>
      </c>
      <c r="O769" s="105" t="s">
        <v>3623</v>
      </c>
      <c r="P769" s="79" t="s">
        <v>3721</v>
      </c>
    </row>
    <row r="770" spans="1:16" ht="30" customHeight="1" x14ac:dyDescent="0.3">
      <c r="A770" s="53" t="s">
        <v>3621</v>
      </c>
      <c r="B770" s="52" t="s">
        <v>1351</v>
      </c>
      <c r="C770" s="52" t="s">
        <v>68</v>
      </c>
      <c r="D770" s="79" t="str">
        <f t="shared" ref="D770:D833" ca="1" si="66">IF(INDIRECT("'"&amp;$O770&amp;"'!F"&amp;$N770)="O","원자재",IF(INDIRECT("'"&amp;$O770&amp;"'!G"&amp;$N770)="O","반제품",IF(INDIRECT("'"&amp;$O770&amp;"'!H"&amp;$N770)="O","완제품","")))</f>
        <v>원자재</v>
      </c>
      <c r="E770" s="79" t="str">
        <f t="shared" ref="E770:E833" ca="1" si="67">IFERROR(IF(INDIRECT("'"&amp;$O770&amp;"'!I"&amp;$N770)=0,"",INDIRECT("'"&amp;$O770&amp;"'!I"&amp;$N770)),"")</f>
        <v>AR</v>
      </c>
      <c r="F770" s="52"/>
      <c r="G770" s="52" t="s">
        <v>3722</v>
      </c>
      <c r="H770" s="79" t="str">
        <f t="shared" ref="H770:H833" si="68">IF(AND($F770="",$G770=""),"",IF($F770="","창고전용",IF($G770&lt;&gt;"","매칭완료",IF($D770="반제품","반제품(창고없음)",IF($D770="완제품","완제품(창고없음)",IF($D770="원자재","⚠ 원자재_부서보관","미분류"))))))</f>
        <v>창고전용</v>
      </c>
      <c r="I770" s="79" t="str">
        <f t="shared" ref="I770:I833" ca="1" si="69">IFERROR(IF(INDIRECT("'"&amp;$O770&amp;"'!P"&amp;$N770)=0,"",INDIRECT("'"&amp;$O770&amp;"'!P"&amp;$N770)),"")</f>
        <v>3-AR</v>
      </c>
      <c r="J770" s="61" t="s">
        <v>3722</v>
      </c>
      <c r="K770" s="65" t="s">
        <v>3723</v>
      </c>
      <c r="L770" s="104" t="str">
        <f t="shared" si="65"/>
        <v>→ 창고 R407</v>
      </c>
      <c r="M770" s="84"/>
      <c r="N770" s="105">
        <v>407</v>
      </c>
      <c r="O770" s="105" t="s">
        <v>3623</v>
      </c>
      <c r="P770" s="79" t="s">
        <v>3724</v>
      </c>
    </row>
    <row r="771" spans="1:16" ht="30" customHeight="1" x14ac:dyDescent="0.3">
      <c r="A771" s="53" t="s">
        <v>3621</v>
      </c>
      <c r="B771" s="52" t="s">
        <v>1119</v>
      </c>
      <c r="C771" s="52" t="s">
        <v>117</v>
      </c>
      <c r="D771" s="79" t="str">
        <f t="shared" ca="1" si="66"/>
        <v>원자재</v>
      </c>
      <c r="E771" s="79" t="str">
        <f t="shared" ca="1" si="67"/>
        <v>PR</v>
      </c>
      <c r="F771" s="52"/>
      <c r="G771" s="52" t="s">
        <v>3725</v>
      </c>
      <c r="H771" s="79" t="str">
        <f t="shared" si="68"/>
        <v>창고전용</v>
      </c>
      <c r="I771" s="79" t="str">
        <f t="shared" ca="1" si="69"/>
        <v>6-PR</v>
      </c>
      <c r="J771" s="61" t="s">
        <v>3725</v>
      </c>
      <c r="K771" s="61" t="s">
        <v>3726</v>
      </c>
      <c r="L771" s="104" t="str">
        <f t="shared" si="65"/>
        <v>→ 창고 R415</v>
      </c>
      <c r="M771" s="84"/>
      <c r="N771" s="105">
        <v>415</v>
      </c>
      <c r="O771" s="105" t="s">
        <v>3623</v>
      </c>
      <c r="P771" s="79" t="s">
        <v>3727</v>
      </c>
    </row>
    <row r="772" spans="1:16" ht="30" customHeight="1" x14ac:dyDescent="0.3">
      <c r="A772" s="53" t="s">
        <v>3621</v>
      </c>
      <c r="B772" s="52" t="s">
        <v>1119</v>
      </c>
      <c r="C772" s="52" t="s">
        <v>117</v>
      </c>
      <c r="D772" s="79" t="str">
        <f t="shared" ca="1" si="66"/>
        <v>원자재</v>
      </c>
      <c r="E772" s="79" t="str">
        <f t="shared" ca="1" si="67"/>
        <v>PR</v>
      </c>
      <c r="F772" s="52"/>
      <c r="G772" s="52" t="s">
        <v>3728</v>
      </c>
      <c r="H772" s="79" t="str">
        <f t="shared" si="68"/>
        <v>창고전용</v>
      </c>
      <c r="I772" s="79" t="str">
        <f t="shared" ca="1" si="69"/>
        <v>34678-PR</v>
      </c>
      <c r="J772" s="61" t="s">
        <v>3728</v>
      </c>
      <c r="K772" s="61" t="s">
        <v>3729</v>
      </c>
      <c r="L772" s="104" t="str">
        <f t="shared" si="65"/>
        <v>→ 창고 R416</v>
      </c>
      <c r="M772" s="84"/>
      <c r="N772" s="105">
        <v>416</v>
      </c>
      <c r="O772" s="105" t="s">
        <v>3623</v>
      </c>
      <c r="P772" s="79" t="s">
        <v>3730</v>
      </c>
    </row>
    <row r="773" spans="1:16" ht="30" customHeight="1" x14ac:dyDescent="0.3">
      <c r="A773" s="53" t="s">
        <v>3621</v>
      </c>
      <c r="B773" s="52" t="s">
        <v>1401</v>
      </c>
      <c r="C773" s="52" t="s">
        <v>1361</v>
      </c>
      <c r="D773" s="79" t="str">
        <f t="shared" ca="1" si="66"/>
        <v>원자재</v>
      </c>
      <c r="E773" s="79" t="str">
        <f t="shared" ca="1" si="67"/>
        <v>PR</v>
      </c>
      <c r="F773" s="52"/>
      <c r="G773" s="52" t="s">
        <v>3731</v>
      </c>
      <c r="H773" s="79" t="str">
        <f t="shared" si="68"/>
        <v>창고전용</v>
      </c>
      <c r="I773" s="79" t="str">
        <f t="shared" ca="1" si="69"/>
        <v>34-PR</v>
      </c>
      <c r="J773" s="61" t="s">
        <v>3731</v>
      </c>
      <c r="K773" s="61" t="s">
        <v>3732</v>
      </c>
      <c r="L773" s="104" t="str">
        <f t="shared" si="65"/>
        <v>→ 창고 R417</v>
      </c>
      <c r="M773" s="84"/>
      <c r="N773" s="105">
        <v>417</v>
      </c>
      <c r="O773" s="105" t="s">
        <v>3623</v>
      </c>
      <c r="P773" s="79" t="s">
        <v>3733</v>
      </c>
    </row>
    <row r="774" spans="1:16" ht="30" customHeight="1" x14ac:dyDescent="0.3">
      <c r="A774" s="53" t="s">
        <v>3621</v>
      </c>
      <c r="B774" s="52" t="s">
        <v>1401</v>
      </c>
      <c r="C774" s="52" t="s">
        <v>1423</v>
      </c>
      <c r="D774" s="79" t="str">
        <f t="shared" ca="1" si="66"/>
        <v>원자재</v>
      </c>
      <c r="E774" s="79" t="str">
        <f t="shared" ca="1" si="67"/>
        <v>PR</v>
      </c>
      <c r="F774" s="52"/>
      <c r="G774" s="52" t="s">
        <v>3734</v>
      </c>
      <c r="H774" s="79" t="str">
        <f t="shared" si="68"/>
        <v>창고전용</v>
      </c>
      <c r="I774" s="79" t="str">
        <f t="shared" ca="1" si="69"/>
        <v>67-PR</v>
      </c>
      <c r="J774" s="61" t="s">
        <v>3734</v>
      </c>
      <c r="K774" s="61" t="s">
        <v>3735</v>
      </c>
      <c r="L774" s="104" t="str">
        <f t="shared" si="65"/>
        <v>→ 창고 R418</v>
      </c>
      <c r="M774" s="84"/>
      <c r="N774" s="105">
        <v>418</v>
      </c>
      <c r="O774" s="105" t="s">
        <v>3623</v>
      </c>
      <c r="P774" s="79" t="s">
        <v>3736</v>
      </c>
    </row>
    <row r="775" spans="1:16" ht="30" customHeight="1" x14ac:dyDescent="0.3">
      <c r="A775" s="53" t="s">
        <v>3621</v>
      </c>
      <c r="B775" s="52" t="s">
        <v>1401</v>
      </c>
      <c r="C775" s="52" t="s">
        <v>68</v>
      </c>
      <c r="D775" s="79" t="str">
        <f t="shared" ca="1" si="66"/>
        <v>원자재</v>
      </c>
      <c r="E775" s="79" t="str">
        <f t="shared" ca="1" si="67"/>
        <v>PR</v>
      </c>
      <c r="F775" s="52"/>
      <c r="G775" s="52" t="s">
        <v>3737</v>
      </c>
      <c r="H775" s="79" t="str">
        <f t="shared" si="68"/>
        <v>창고전용</v>
      </c>
      <c r="I775" s="79" t="str">
        <f t="shared" ca="1" si="69"/>
        <v>34678-PR</v>
      </c>
      <c r="J775" s="61" t="s">
        <v>3737</v>
      </c>
      <c r="K775" s="61" t="s">
        <v>3738</v>
      </c>
      <c r="L775" s="104" t="str">
        <f t="shared" si="65"/>
        <v>→ 창고 R429</v>
      </c>
      <c r="M775" s="84"/>
      <c r="N775" s="105">
        <v>429</v>
      </c>
      <c r="O775" s="105" t="s">
        <v>3623</v>
      </c>
      <c r="P775" s="79" t="s">
        <v>3739</v>
      </c>
    </row>
    <row r="776" spans="1:16" ht="30" customHeight="1" x14ac:dyDescent="0.3">
      <c r="A776" s="53" t="s">
        <v>3621</v>
      </c>
      <c r="B776" s="52" t="s">
        <v>1401</v>
      </c>
      <c r="C776" s="52" t="s">
        <v>68</v>
      </c>
      <c r="D776" s="79" t="str">
        <f t="shared" ca="1" si="66"/>
        <v>원자재</v>
      </c>
      <c r="E776" s="79" t="str">
        <f t="shared" ca="1" si="67"/>
        <v>PR</v>
      </c>
      <c r="F776" s="52"/>
      <c r="G776" s="52" t="s">
        <v>3740</v>
      </c>
      <c r="H776" s="79" t="str">
        <f t="shared" si="68"/>
        <v>창고전용</v>
      </c>
      <c r="I776" s="79" t="str">
        <f t="shared" ca="1" si="69"/>
        <v>34678-PR</v>
      </c>
      <c r="J776" s="61" t="s">
        <v>3740</v>
      </c>
      <c r="K776" s="61" t="s">
        <v>3741</v>
      </c>
      <c r="L776" s="104" t="str">
        <f t="shared" si="65"/>
        <v>→ 창고 R432</v>
      </c>
      <c r="M776" s="84"/>
      <c r="N776" s="105">
        <v>432</v>
      </c>
      <c r="O776" s="105" t="s">
        <v>3623</v>
      </c>
      <c r="P776" s="79" t="s">
        <v>3742</v>
      </c>
    </row>
    <row r="777" spans="1:16" ht="30" customHeight="1" x14ac:dyDescent="0.3">
      <c r="A777" s="53" t="s">
        <v>3621</v>
      </c>
      <c r="B777" s="52" t="s">
        <v>1401</v>
      </c>
      <c r="C777" s="52" t="s">
        <v>68</v>
      </c>
      <c r="D777" s="79" t="str">
        <f t="shared" ca="1" si="66"/>
        <v>원자재</v>
      </c>
      <c r="E777" s="79" t="str">
        <f t="shared" ca="1" si="67"/>
        <v>PR</v>
      </c>
      <c r="F777" s="52"/>
      <c r="G777" s="52" t="s">
        <v>3743</v>
      </c>
      <c r="H777" s="79" t="str">
        <f t="shared" si="68"/>
        <v>창고전용</v>
      </c>
      <c r="I777" s="79" t="str">
        <f t="shared" ca="1" si="69"/>
        <v>34678-PR</v>
      </c>
      <c r="J777" s="61" t="s">
        <v>3743</v>
      </c>
      <c r="K777" s="61" t="s">
        <v>3744</v>
      </c>
      <c r="L777" s="104" t="str">
        <f t="shared" si="65"/>
        <v>→ 창고 R433</v>
      </c>
      <c r="M777" s="84"/>
      <c r="N777" s="105">
        <v>433</v>
      </c>
      <c r="O777" s="105" t="s">
        <v>3623</v>
      </c>
      <c r="P777" s="79" t="s">
        <v>3745</v>
      </c>
    </row>
    <row r="778" spans="1:16" ht="30" customHeight="1" x14ac:dyDescent="0.3">
      <c r="A778" s="53" t="s">
        <v>3621</v>
      </c>
      <c r="B778" s="52" t="s">
        <v>1533</v>
      </c>
      <c r="C778" s="52" t="s">
        <v>117</v>
      </c>
      <c r="D778" s="79" t="str">
        <f t="shared" ca="1" si="66"/>
        <v>원자재</v>
      </c>
      <c r="E778" s="79" t="str">
        <f t="shared" ca="1" si="67"/>
        <v>PR</v>
      </c>
      <c r="F778" s="52"/>
      <c r="G778" s="52" t="s">
        <v>3746</v>
      </c>
      <c r="H778" s="79" t="str">
        <f t="shared" si="68"/>
        <v>창고전용</v>
      </c>
      <c r="I778" s="79" t="str">
        <f t="shared" ca="1" si="69"/>
        <v>6-PR</v>
      </c>
      <c r="J778" s="61" t="s">
        <v>3746</v>
      </c>
      <c r="K778" s="61" t="s">
        <v>3747</v>
      </c>
      <c r="L778" s="104" t="str">
        <f t="shared" si="65"/>
        <v>→ 창고 R442</v>
      </c>
      <c r="M778" s="84"/>
      <c r="N778" s="105">
        <v>442</v>
      </c>
      <c r="O778" s="105" t="s">
        <v>3623</v>
      </c>
      <c r="P778" s="79" t="s">
        <v>3748</v>
      </c>
    </row>
    <row r="779" spans="1:16" ht="30" customHeight="1" x14ac:dyDescent="0.3">
      <c r="A779" s="53" t="s">
        <v>3621</v>
      </c>
      <c r="B779" s="52" t="s">
        <v>1533</v>
      </c>
      <c r="C779" s="52" t="s">
        <v>68</v>
      </c>
      <c r="D779" s="79" t="str">
        <f t="shared" ca="1" si="66"/>
        <v>원자재</v>
      </c>
      <c r="E779" s="79" t="str">
        <f t="shared" ca="1" si="67"/>
        <v>PR</v>
      </c>
      <c r="F779" s="52"/>
      <c r="G779" s="52" t="s">
        <v>3749</v>
      </c>
      <c r="H779" s="79" t="str">
        <f t="shared" si="68"/>
        <v>창고전용</v>
      </c>
      <c r="I779" s="79" t="str">
        <f t="shared" ca="1" si="69"/>
        <v>3467-PR</v>
      </c>
      <c r="J779" s="61" t="s">
        <v>3749</v>
      </c>
      <c r="K779" s="61" t="s">
        <v>3750</v>
      </c>
      <c r="L779" s="104" t="str">
        <f t="shared" si="65"/>
        <v>→ 창고 R445</v>
      </c>
      <c r="M779" s="84"/>
      <c r="N779" s="105">
        <v>445</v>
      </c>
      <c r="O779" s="105" t="s">
        <v>3623</v>
      </c>
      <c r="P779" s="79" t="s">
        <v>3751</v>
      </c>
    </row>
    <row r="780" spans="1:16" ht="30" customHeight="1" x14ac:dyDescent="0.3">
      <c r="A780" s="53" t="s">
        <v>3621</v>
      </c>
      <c r="B780" s="52" t="s">
        <v>1533</v>
      </c>
      <c r="C780" s="52" t="s">
        <v>68</v>
      </c>
      <c r="D780" s="79" t="str">
        <f t="shared" ca="1" si="66"/>
        <v>원자재</v>
      </c>
      <c r="E780" s="79" t="str">
        <f t="shared" ca="1" si="67"/>
        <v>PR</v>
      </c>
      <c r="F780" s="52"/>
      <c r="G780" s="52" t="s">
        <v>3752</v>
      </c>
      <c r="H780" s="79" t="str">
        <f t="shared" si="68"/>
        <v>창고전용</v>
      </c>
      <c r="I780" s="79" t="str">
        <f t="shared" ca="1" si="69"/>
        <v>3-PR</v>
      </c>
      <c r="J780" s="61" t="s">
        <v>3752</v>
      </c>
      <c r="K780" s="61" t="s">
        <v>3753</v>
      </c>
      <c r="L780" s="104" t="str">
        <f t="shared" si="65"/>
        <v>→ 창고 R446</v>
      </c>
      <c r="M780" s="84"/>
      <c r="N780" s="105">
        <v>446</v>
      </c>
      <c r="O780" s="105" t="s">
        <v>3623</v>
      </c>
      <c r="P780" s="79" t="s">
        <v>3754</v>
      </c>
    </row>
    <row r="781" spans="1:16" ht="30" customHeight="1" x14ac:dyDescent="0.3">
      <c r="A781" s="53" t="s">
        <v>3621</v>
      </c>
      <c r="B781" s="52" t="s">
        <v>1533</v>
      </c>
      <c r="C781" s="52" t="s">
        <v>68</v>
      </c>
      <c r="D781" s="79" t="str">
        <f t="shared" ca="1" si="66"/>
        <v>원자재</v>
      </c>
      <c r="E781" s="79" t="str">
        <f t="shared" ca="1" si="67"/>
        <v>PR</v>
      </c>
      <c r="F781" s="52"/>
      <c r="G781" s="52" t="s">
        <v>3755</v>
      </c>
      <c r="H781" s="79" t="str">
        <f t="shared" si="68"/>
        <v>창고전용</v>
      </c>
      <c r="I781" s="79" t="str">
        <f t="shared" ca="1" si="69"/>
        <v>3-PR</v>
      </c>
      <c r="J781" s="61" t="s">
        <v>3755</v>
      </c>
      <c r="K781" s="61" t="s">
        <v>3756</v>
      </c>
      <c r="L781" s="104" t="str">
        <f t="shared" si="65"/>
        <v>→ 창고 R447</v>
      </c>
      <c r="M781" s="84"/>
      <c r="N781" s="105">
        <v>447</v>
      </c>
      <c r="O781" s="105" t="s">
        <v>3623</v>
      </c>
      <c r="P781" s="79" t="s">
        <v>3757</v>
      </c>
    </row>
    <row r="782" spans="1:16" ht="30" customHeight="1" x14ac:dyDescent="0.3">
      <c r="A782" s="53" t="s">
        <v>3621</v>
      </c>
      <c r="B782" s="52" t="s">
        <v>1533</v>
      </c>
      <c r="C782" s="52" t="s">
        <v>68</v>
      </c>
      <c r="D782" s="79" t="str">
        <f t="shared" ca="1" si="66"/>
        <v>원자재</v>
      </c>
      <c r="E782" s="79" t="str">
        <f t="shared" ca="1" si="67"/>
        <v>PR</v>
      </c>
      <c r="F782" s="52"/>
      <c r="G782" s="52" t="s">
        <v>3758</v>
      </c>
      <c r="H782" s="79" t="str">
        <f t="shared" si="68"/>
        <v>창고전용</v>
      </c>
      <c r="I782" s="79" t="str">
        <f t="shared" ca="1" si="69"/>
        <v>3-PR</v>
      </c>
      <c r="J782" s="61" t="s">
        <v>3758</v>
      </c>
      <c r="K782" s="61" t="s">
        <v>3759</v>
      </c>
      <c r="L782" s="104" t="str">
        <f t="shared" si="65"/>
        <v>→ 창고 R448</v>
      </c>
      <c r="M782" s="84"/>
      <c r="N782" s="105">
        <v>448</v>
      </c>
      <c r="O782" s="105" t="s">
        <v>3623</v>
      </c>
      <c r="P782" s="79" t="s">
        <v>3760</v>
      </c>
    </row>
    <row r="783" spans="1:16" ht="30" customHeight="1" x14ac:dyDescent="0.3">
      <c r="A783" s="53" t="s">
        <v>3621</v>
      </c>
      <c r="B783" s="52" t="s">
        <v>1533</v>
      </c>
      <c r="C783" s="52" t="s">
        <v>68</v>
      </c>
      <c r="D783" s="79" t="str">
        <f t="shared" ca="1" si="66"/>
        <v>원자재</v>
      </c>
      <c r="E783" s="79" t="str">
        <f t="shared" ca="1" si="67"/>
        <v>PR</v>
      </c>
      <c r="F783" s="52"/>
      <c r="G783" s="52" t="s">
        <v>3761</v>
      </c>
      <c r="H783" s="79" t="str">
        <f t="shared" si="68"/>
        <v>창고전용</v>
      </c>
      <c r="I783" s="79" t="str">
        <f t="shared" ca="1" si="69"/>
        <v>34678-PR</v>
      </c>
      <c r="J783" s="61" t="s">
        <v>3761</v>
      </c>
      <c r="K783" s="65" t="s">
        <v>3762</v>
      </c>
      <c r="L783" s="104" t="str">
        <f t="shared" si="65"/>
        <v>→ 창고 R451</v>
      </c>
      <c r="M783" s="84"/>
      <c r="N783" s="105">
        <v>451</v>
      </c>
      <c r="O783" s="105" t="s">
        <v>3623</v>
      </c>
      <c r="P783" s="79" t="s">
        <v>3763</v>
      </c>
    </row>
    <row r="784" spans="1:16" ht="30" customHeight="1" x14ac:dyDescent="0.3">
      <c r="A784" s="53" t="s">
        <v>3621</v>
      </c>
      <c r="B784" s="52" t="s">
        <v>1551</v>
      </c>
      <c r="C784" s="52" t="s">
        <v>117</v>
      </c>
      <c r="D784" s="79" t="str">
        <f t="shared" ca="1" si="66"/>
        <v>원자재</v>
      </c>
      <c r="E784" s="79" t="str">
        <f t="shared" ca="1" si="67"/>
        <v>PR</v>
      </c>
      <c r="F784" s="52"/>
      <c r="G784" s="52" t="s">
        <v>3764</v>
      </c>
      <c r="H784" s="79" t="str">
        <f t="shared" si="68"/>
        <v>창고전용</v>
      </c>
      <c r="I784" s="79" t="str">
        <f t="shared" ca="1" si="69"/>
        <v>6-PR</v>
      </c>
      <c r="J784" s="61" t="s">
        <v>3764</v>
      </c>
      <c r="K784" s="65" t="s">
        <v>3765</v>
      </c>
      <c r="L784" s="104" t="str">
        <f t="shared" si="65"/>
        <v>→ 창고 R455</v>
      </c>
      <c r="M784" s="84"/>
      <c r="N784" s="105">
        <v>455</v>
      </c>
      <c r="O784" s="105" t="s">
        <v>3623</v>
      </c>
      <c r="P784" s="79" t="s">
        <v>3766</v>
      </c>
    </row>
    <row r="785" spans="1:16" ht="30" customHeight="1" x14ac:dyDescent="0.3">
      <c r="A785" s="53" t="s">
        <v>3621</v>
      </c>
      <c r="B785" s="52" t="s">
        <v>1551</v>
      </c>
      <c r="C785" s="52" t="s">
        <v>117</v>
      </c>
      <c r="D785" s="79" t="str">
        <f t="shared" ca="1" si="66"/>
        <v>원자재</v>
      </c>
      <c r="E785" s="79" t="str">
        <f t="shared" ca="1" si="67"/>
        <v>PR</v>
      </c>
      <c r="F785" s="52"/>
      <c r="G785" s="52" t="s">
        <v>3767</v>
      </c>
      <c r="H785" s="79" t="str">
        <f t="shared" si="68"/>
        <v>창고전용</v>
      </c>
      <c r="I785" s="79" t="str">
        <f t="shared" ca="1" si="69"/>
        <v>6-PR</v>
      </c>
      <c r="J785" s="61" t="s">
        <v>3767</v>
      </c>
      <c r="K785" s="65" t="s">
        <v>3768</v>
      </c>
      <c r="L785" s="104" t="str">
        <f t="shared" si="65"/>
        <v>→ 창고 R456</v>
      </c>
      <c r="M785" s="84"/>
      <c r="N785" s="105">
        <v>456</v>
      </c>
      <c r="O785" s="105" t="s">
        <v>3623</v>
      </c>
      <c r="P785" s="79" t="s">
        <v>3769</v>
      </c>
    </row>
    <row r="786" spans="1:16" ht="30" customHeight="1" x14ac:dyDescent="0.3">
      <c r="A786" s="53" t="s">
        <v>3621</v>
      </c>
      <c r="B786" s="52" t="s">
        <v>1551</v>
      </c>
      <c r="C786" s="52" t="s">
        <v>117</v>
      </c>
      <c r="D786" s="79" t="str">
        <f t="shared" ca="1" si="66"/>
        <v>원자재</v>
      </c>
      <c r="E786" s="79" t="str">
        <f t="shared" ca="1" si="67"/>
        <v>PR</v>
      </c>
      <c r="F786" s="52"/>
      <c r="G786" s="52" t="s">
        <v>3770</v>
      </c>
      <c r="H786" s="79" t="str">
        <f t="shared" si="68"/>
        <v>창고전용</v>
      </c>
      <c r="I786" s="79" t="str">
        <f t="shared" ca="1" si="69"/>
        <v>6-PR</v>
      </c>
      <c r="J786" s="61" t="s">
        <v>3770</v>
      </c>
      <c r="K786" s="65" t="s">
        <v>3771</v>
      </c>
      <c r="L786" s="104" t="str">
        <f t="shared" si="65"/>
        <v>→ 창고 R459</v>
      </c>
      <c r="M786" s="84"/>
      <c r="N786" s="105">
        <v>459</v>
      </c>
      <c r="O786" s="105" t="s">
        <v>3623</v>
      </c>
      <c r="P786" s="79" t="s">
        <v>3772</v>
      </c>
    </row>
    <row r="787" spans="1:16" ht="30" customHeight="1" x14ac:dyDescent="0.3">
      <c r="A787" s="53" t="s">
        <v>3621</v>
      </c>
      <c r="B787" s="52" t="s">
        <v>1551</v>
      </c>
      <c r="C787" s="52" t="s">
        <v>68</v>
      </c>
      <c r="D787" s="79" t="str">
        <f t="shared" ca="1" si="66"/>
        <v>원자재</v>
      </c>
      <c r="E787" s="79" t="str">
        <f t="shared" ca="1" si="67"/>
        <v>PR</v>
      </c>
      <c r="F787" s="52"/>
      <c r="G787" s="52" t="s">
        <v>3773</v>
      </c>
      <c r="H787" s="79" t="str">
        <f t="shared" si="68"/>
        <v>창고전용</v>
      </c>
      <c r="I787" s="79" t="str">
        <f t="shared" ca="1" si="69"/>
        <v>34678-PR</v>
      </c>
      <c r="J787" s="61" t="s">
        <v>3773</v>
      </c>
      <c r="K787" s="65" t="s">
        <v>3774</v>
      </c>
      <c r="L787" s="104" t="str">
        <f t="shared" si="65"/>
        <v>→ 창고 R460</v>
      </c>
      <c r="M787" s="84"/>
      <c r="N787" s="105">
        <v>460</v>
      </c>
      <c r="O787" s="105" t="s">
        <v>3623</v>
      </c>
      <c r="P787" s="79" t="s">
        <v>3775</v>
      </c>
    </row>
    <row r="788" spans="1:16" ht="30" customHeight="1" x14ac:dyDescent="0.3">
      <c r="A788" s="53" t="s">
        <v>3621</v>
      </c>
      <c r="B788" s="52" t="s">
        <v>1549</v>
      </c>
      <c r="C788" s="52" t="s">
        <v>68</v>
      </c>
      <c r="D788" s="79" t="str">
        <f t="shared" ca="1" si="66"/>
        <v>원자재</v>
      </c>
      <c r="E788" s="79" t="str">
        <f t="shared" ca="1" si="67"/>
        <v>PR</v>
      </c>
      <c r="F788" s="52"/>
      <c r="G788" s="52" t="s">
        <v>3776</v>
      </c>
      <c r="H788" s="79" t="str">
        <f t="shared" si="68"/>
        <v>창고전용</v>
      </c>
      <c r="I788" s="79" t="str">
        <f t="shared" ca="1" si="69"/>
        <v>37-PR</v>
      </c>
      <c r="J788" s="61" t="s">
        <v>3776</v>
      </c>
      <c r="K788" s="65" t="s">
        <v>3777</v>
      </c>
      <c r="L788" s="104" t="str">
        <f t="shared" si="65"/>
        <v>→ 창고 R465</v>
      </c>
      <c r="M788" s="84"/>
      <c r="N788" s="105">
        <v>465</v>
      </c>
      <c r="O788" s="105" t="s">
        <v>3623</v>
      </c>
      <c r="P788" s="79" t="s">
        <v>3778</v>
      </c>
    </row>
    <row r="789" spans="1:16" ht="30" customHeight="1" x14ac:dyDescent="0.3">
      <c r="A789" s="53" t="s">
        <v>3621</v>
      </c>
      <c r="B789" s="52" t="s">
        <v>1549</v>
      </c>
      <c r="C789" s="52" t="s">
        <v>68</v>
      </c>
      <c r="D789" s="79" t="str">
        <f t="shared" ca="1" si="66"/>
        <v>원자재</v>
      </c>
      <c r="E789" s="79" t="str">
        <f t="shared" ca="1" si="67"/>
        <v>PR</v>
      </c>
      <c r="F789" s="52"/>
      <c r="G789" s="52" t="s">
        <v>3779</v>
      </c>
      <c r="H789" s="79" t="str">
        <f t="shared" si="68"/>
        <v>창고전용</v>
      </c>
      <c r="I789" s="79" t="str">
        <f t="shared" ca="1" si="69"/>
        <v>37-PR</v>
      </c>
      <c r="J789" s="61" t="s">
        <v>3779</v>
      </c>
      <c r="K789" s="65" t="s">
        <v>3780</v>
      </c>
      <c r="L789" s="104" t="str">
        <f t="shared" si="65"/>
        <v>→ 창고 R466</v>
      </c>
      <c r="M789" s="84"/>
      <c r="N789" s="105">
        <v>466</v>
      </c>
      <c r="O789" s="105" t="s">
        <v>3623</v>
      </c>
      <c r="P789" s="79" t="s">
        <v>3781</v>
      </c>
    </row>
    <row r="790" spans="1:16" ht="30" customHeight="1" x14ac:dyDescent="0.3">
      <c r="A790" s="53" t="s">
        <v>3621</v>
      </c>
      <c r="B790" s="52" t="s">
        <v>1565</v>
      </c>
      <c r="C790" s="52" t="s">
        <v>195</v>
      </c>
      <c r="D790" s="79" t="str">
        <f t="shared" ca="1" si="66"/>
        <v>원자재</v>
      </c>
      <c r="E790" s="79" t="str">
        <f t="shared" ca="1" si="67"/>
        <v>AR</v>
      </c>
      <c r="F790" s="52"/>
      <c r="G790" s="52" t="s">
        <v>3782</v>
      </c>
      <c r="H790" s="79" t="str">
        <f t="shared" si="68"/>
        <v>창고전용</v>
      </c>
      <c r="I790" s="79" t="str">
        <f t="shared" ca="1" si="69"/>
        <v>3-AR</v>
      </c>
      <c r="J790" s="61" t="s">
        <v>3782</v>
      </c>
      <c r="K790" s="65" t="s">
        <v>3783</v>
      </c>
      <c r="L790" s="104" t="str">
        <f t="shared" si="65"/>
        <v>→ 창고 R467</v>
      </c>
      <c r="M790" s="84"/>
      <c r="N790" s="105">
        <v>467</v>
      </c>
      <c r="O790" s="105" t="s">
        <v>3623</v>
      </c>
      <c r="P790" s="79" t="s">
        <v>3784</v>
      </c>
    </row>
    <row r="791" spans="1:16" ht="30" customHeight="1" x14ac:dyDescent="0.3">
      <c r="A791" s="53" t="s">
        <v>3621</v>
      </c>
      <c r="B791" s="52" t="s">
        <v>1559</v>
      </c>
      <c r="C791" s="52" t="s">
        <v>68</v>
      </c>
      <c r="D791" s="79" t="str">
        <f t="shared" ca="1" si="66"/>
        <v>원자재</v>
      </c>
      <c r="E791" s="79" t="str">
        <f t="shared" ca="1" si="67"/>
        <v>PR</v>
      </c>
      <c r="F791" s="52"/>
      <c r="G791" s="52" t="s">
        <v>3785</v>
      </c>
      <c r="H791" s="79" t="str">
        <f t="shared" si="68"/>
        <v>창고전용</v>
      </c>
      <c r="I791" s="79" t="str">
        <f t="shared" ca="1" si="69"/>
        <v>78-PR</v>
      </c>
      <c r="J791" s="61" t="s">
        <v>3785</v>
      </c>
      <c r="K791" s="65" t="s">
        <v>3786</v>
      </c>
      <c r="L791" s="104" t="str">
        <f t="shared" si="65"/>
        <v>→ 창고 R469</v>
      </c>
      <c r="M791" s="84"/>
      <c r="N791" s="105">
        <v>469</v>
      </c>
      <c r="O791" s="105" t="s">
        <v>3623</v>
      </c>
      <c r="P791" s="79" t="s">
        <v>3787</v>
      </c>
    </row>
    <row r="792" spans="1:16" ht="30" customHeight="1" x14ac:dyDescent="0.3">
      <c r="A792" s="53" t="s">
        <v>3621</v>
      </c>
      <c r="B792" s="52" t="s">
        <v>1559</v>
      </c>
      <c r="C792" s="52" t="s">
        <v>68</v>
      </c>
      <c r="D792" s="79" t="str">
        <f t="shared" ca="1" si="66"/>
        <v>원자재</v>
      </c>
      <c r="E792" s="79" t="str">
        <f t="shared" ca="1" si="67"/>
        <v>PR</v>
      </c>
      <c r="F792" s="52"/>
      <c r="G792" s="52" t="s">
        <v>3788</v>
      </c>
      <c r="H792" s="79" t="str">
        <f t="shared" si="68"/>
        <v>창고전용</v>
      </c>
      <c r="I792" s="79" t="str">
        <f t="shared" ca="1" si="69"/>
        <v>347-PR</v>
      </c>
      <c r="J792" s="61" t="s">
        <v>3788</v>
      </c>
      <c r="K792" s="65" t="s">
        <v>3789</v>
      </c>
      <c r="L792" s="104" t="str">
        <f t="shared" si="65"/>
        <v>→ 창고 R471</v>
      </c>
      <c r="M792" s="84"/>
      <c r="N792" s="105">
        <v>471</v>
      </c>
      <c r="O792" s="105" t="s">
        <v>3623</v>
      </c>
      <c r="P792" s="79" t="s">
        <v>3790</v>
      </c>
    </row>
    <row r="793" spans="1:16" ht="30" customHeight="1" x14ac:dyDescent="0.3">
      <c r="A793" s="53" t="s">
        <v>3621</v>
      </c>
      <c r="B793" s="52" t="s">
        <v>1559</v>
      </c>
      <c r="C793" s="52" t="s">
        <v>117</v>
      </c>
      <c r="D793" s="79" t="str">
        <f t="shared" ca="1" si="66"/>
        <v>원자재</v>
      </c>
      <c r="E793" s="79" t="str">
        <f t="shared" ca="1" si="67"/>
        <v>PR</v>
      </c>
      <c r="F793" s="52"/>
      <c r="G793" s="52" t="s">
        <v>3791</v>
      </c>
      <c r="H793" s="79" t="str">
        <f t="shared" si="68"/>
        <v>창고전용</v>
      </c>
      <c r="I793" s="79" t="str">
        <f t="shared" ca="1" si="69"/>
        <v>6-PR</v>
      </c>
      <c r="J793" s="61" t="s">
        <v>3791</v>
      </c>
      <c r="K793" s="65" t="s">
        <v>3792</v>
      </c>
      <c r="L793" s="104" t="str">
        <f t="shared" si="65"/>
        <v>→ 창고 R476</v>
      </c>
      <c r="M793" s="84"/>
      <c r="N793" s="105">
        <v>476</v>
      </c>
      <c r="O793" s="105" t="s">
        <v>3623</v>
      </c>
      <c r="P793" s="79" t="s">
        <v>3793</v>
      </c>
    </row>
    <row r="794" spans="1:16" ht="30" customHeight="1" x14ac:dyDescent="0.3">
      <c r="A794" s="53" t="s">
        <v>3621</v>
      </c>
      <c r="B794" s="52" t="s">
        <v>1559</v>
      </c>
      <c r="C794" s="52" t="s">
        <v>117</v>
      </c>
      <c r="D794" s="79" t="str">
        <f t="shared" ca="1" si="66"/>
        <v>원자재</v>
      </c>
      <c r="E794" s="79" t="str">
        <f t="shared" ca="1" si="67"/>
        <v>PR</v>
      </c>
      <c r="F794" s="52"/>
      <c r="G794" s="52" t="s">
        <v>3794</v>
      </c>
      <c r="H794" s="79" t="str">
        <f t="shared" si="68"/>
        <v>창고전용</v>
      </c>
      <c r="I794" s="79" t="str">
        <f t="shared" ca="1" si="69"/>
        <v>6-PR</v>
      </c>
      <c r="J794" s="61" t="s">
        <v>3794</v>
      </c>
      <c r="K794" s="65" t="s">
        <v>3795</v>
      </c>
      <c r="L794" s="104" t="str">
        <f t="shared" si="65"/>
        <v>→ 창고 R477</v>
      </c>
      <c r="M794" s="84"/>
      <c r="N794" s="105">
        <v>477</v>
      </c>
      <c r="O794" s="105" t="s">
        <v>3623</v>
      </c>
      <c r="P794" s="79" t="s">
        <v>3796</v>
      </c>
    </row>
    <row r="795" spans="1:16" ht="30" customHeight="1" x14ac:dyDescent="0.3">
      <c r="A795" s="53" t="s">
        <v>3621</v>
      </c>
      <c r="B795" s="52" t="s">
        <v>1405</v>
      </c>
      <c r="C795" s="52" t="s">
        <v>117</v>
      </c>
      <c r="D795" s="79" t="str">
        <f t="shared" ca="1" si="66"/>
        <v>원자재</v>
      </c>
      <c r="E795" s="79" t="str">
        <f t="shared" ca="1" si="67"/>
        <v>PR</v>
      </c>
      <c r="F795" s="52"/>
      <c r="G795" s="52" t="s">
        <v>3797</v>
      </c>
      <c r="H795" s="79" t="str">
        <f t="shared" si="68"/>
        <v>창고전용</v>
      </c>
      <c r="I795" s="79" t="str">
        <f t="shared" ca="1" si="69"/>
        <v>6-PR</v>
      </c>
      <c r="J795" s="61" t="s">
        <v>3797</v>
      </c>
      <c r="K795" s="65" t="s">
        <v>3798</v>
      </c>
      <c r="L795" s="104" t="str">
        <f t="shared" si="65"/>
        <v>→ 창고 R481</v>
      </c>
      <c r="M795" s="84"/>
      <c r="N795" s="105">
        <v>481</v>
      </c>
      <c r="O795" s="105" t="s">
        <v>3623</v>
      </c>
      <c r="P795" s="79" t="s">
        <v>3799</v>
      </c>
    </row>
    <row r="796" spans="1:16" ht="30" customHeight="1" x14ac:dyDescent="0.3">
      <c r="A796" s="53" t="s">
        <v>3621</v>
      </c>
      <c r="B796" s="52" t="s">
        <v>1405</v>
      </c>
      <c r="C796" s="52" t="s">
        <v>117</v>
      </c>
      <c r="D796" s="79" t="str">
        <f t="shared" ca="1" si="66"/>
        <v>원자재</v>
      </c>
      <c r="E796" s="79" t="str">
        <f t="shared" ca="1" si="67"/>
        <v>PR</v>
      </c>
      <c r="F796" s="52"/>
      <c r="G796" s="52" t="s">
        <v>3800</v>
      </c>
      <c r="H796" s="79" t="str">
        <f t="shared" si="68"/>
        <v>창고전용</v>
      </c>
      <c r="I796" s="79" t="str">
        <f t="shared" ca="1" si="69"/>
        <v>34678-PR</v>
      </c>
      <c r="J796" s="61" t="s">
        <v>3800</v>
      </c>
      <c r="K796" s="65" t="s">
        <v>3801</v>
      </c>
      <c r="L796" s="104" t="str">
        <f t="shared" si="65"/>
        <v>→ 창고 R482</v>
      </c>
      <c r="M796" s="84"/>
      <c r="N796" s="105">
        <v>482</v>
      </c>
      <c r="O796" s="105" t="s">
        <v>3623</v>
      </c>
      <c r="P796" s="79" t="s">
        <v>3802</v>
      </c>
    </row>
    <row r="797" spans="1:16" ht="30" customHeight="1" x14ac:dyDescent="0.3">
      <c r="A797" s="53" t="s">
        <v>3621</v>
      </c>
      <c r="B797" s="52" t="s">
        <v>1405</v>
      </c>
      <c r="C797" s="52" t="s">
        <v>117</v>
      </c>
      <c r="D797" s="79" t="str">
        <f t="shared" ca="1" si="66"/>
        <v>원자재</v>
      </c>
      <c r="E797" s="79" t="str">
        <f t="shared" ca="1" si="67"/>
        <v>PR</v>
      </c>
      <c r="F797" s="52"/>
      <c r="G797" s="52" t="s">
        <v>3803</v>
      </c>
      <c r="H797" s="79" t="str">
        <f t="shared" si="68"/>
        <v>창고전용</v>
      </c>
      <c r="I797" s="79" t="str">
        <f t="shared" ca="1" si="69"/>
        <v>6-PR</v>
      </c>
      <c r="J797" s="61" t="s">
        <v>3803</v>
      </c>
      <c r="K797" s="65" t="s">
        <v>3804</v>
      </c>
      <c r="L797" s="104" t="str">
        <f t="shared" si="65"/>
        <v>→ 창고 R483</v>
      </c>
      <c r="M797" s="84"/>
      <c r="N797" s="105">
        <v>483</v>
      </c>
      <c r="O797" s="105" t="s">
        <v>3623</v>
      </c>
      <c r="P797" s="79" t="s">
        <v>3805</v>
      </c>
    </row>
    <row r="798" spans="1:16" ht="30" customHeight="1" x14ac:dyDescent="0.3">
      <c r="A798" s="53" t="s">
        <v>3621</v>
      </c>
      <c r="B798" s="52" t="s">
        <v>1575</v>
      </c>
      <c r="C798" s="52" t="s">
        <v>333</v>
      </c>
      <c r="D798" s="79" t="str">
        <f t="shared" ca="1" si="66"/>
        <v>원자재</v>
      </c>
      <c r="E798" s="79" t="str">
        <f t="shared" ca="1" si="67"/>
        <v>PR</v>
      </c>
      <c r="F798" s="52"/>
      <c r="G798" s="52" t="s">
        <v>3806</v>
      </c>
      <c r="H798" s="79" t="str">
        <f t="shared" si="68"/>
        <v>창고전용</v>
      </c>
      <c r="I798" s="79" t="str">
        <f t="shared" ca="1" si="69"/>
        <v>6-PR</v>
      </c>
      <c r="J798" s="61" t="s">
        <v>3806</v>
      </c>
      <c r="K798" s="65" t="s">
        <v>3807</v>
      </c>
      <c r="L798" s="104" t="str">
        <f t="shared" si="65"/>
        <v>→ 창고 R484</v>
      </c>
      <c r="M798" s="84"/>
      <c r="N798" s="105">
        <v>484</v>
      </c>
      <c r="O798" s="105" t="s">
        <v>3623</v>
      </c>
      <c r="P798" s="79" t="s">
        <v>3808</v>
      </c>
    </row>
    <row r="799" spans="1:16" ht="30" customHeight="1" x14ac:dyDescent="0.3">
      <c r="A799" s="53" t="s">
        <v>3621</v>
      </c>
      <c r="B799" s="52" t="s">
        <v>1578</v>
      </c>
      <c r="C799" s="52" t="s">
        <v>68</v>
      </c>
      <c r="D799" s="79" t="str">
        <f t="shared" ca="1" si="66"/>
        <v>원자재</v>
      </c>
      <c r="E799" s="79" t="str">
        <f t="shared" ca="1" si="67"/>
        <v>PR</v>
      </c>
      <c r="F799" s="52"/>
      <c r="G799" s="52" t="s">
        <v>3809</v>
      </c>
      <c r="H799" s="79" t="str">
        <f t="shared" si="68"/>
        <v>창고전용</v>
      </c>
      <c r="I799" s="79" t="str">
        <f t="shared" ca="1" si="69"/>
        <v>3-PR</v>
      </c>
      <c r="J799" s="61" t="s">
        <v>3809</v>
      </c>
      <c r="K799" s="65" t="s">
        <v>3810</v>
      </c>
      <c r="L799" s="104" t="str">
        <f t="shared" si="65"/>
        <v>→ 창고 R485</v>
      </c>
      <c r="M799" s="84"/>
      <c r="N799" s="105">
        <v>485</v>
      </c>
      <c r="O799" s="105" t="s">
        <v>3623</v>
      </c>
      <c r="P799" s="79" t="s">
        <v>3811</v>
      </c>
    </row>
    <row r="800" spans="1:16" ht="30" customHeight="1" x14ac:dyDescent="0.3">
      <c r="A800" s="53" t="s">
        <v>3621</v>
      </c>
      <c r="B800" s="52" t="s">
        <v>1582</v>
      </c>
      <c r="C800" s="52" t="s">
        <v>68</v>
      </c>
      <c r="D800" s="79" t="str">
        <f t="shared" ca="1" si="66"/>
        <v>원자재</v>
      </c>
      <c r="E800" s="79" t="str">
        <f t="shared" ca="1" si="67"/>
        <v>PR</v>
      </c>
      <c r="F800" s="52"/>
      <c r="G800" s="52" t="s">
        <v>3812</v>
      </c>
      <c r="H800" s="79" t="str">
        <f t="shared" si="68"/>
        <v>창고전용</v>
      </c>
      <c r="I800" s="79" t="str">
        <f t="shared" ca="1" si="69"/>
        <v>34678-PR</v>
      </c>
      <c r="J800" s="61" t="s">
        <v>3812</v>
      </c>
      <c r="K800" s="65" t="s">
        <v>3813</v>
      </c>
      <c r="L800" s="104" t="str">
        <f t="shared" ref="L800:L831" si="70">HYPERLINK("#'"&amp;$O800&amp;"'!A"&amp;$N800,"→ 창고 R"&amp;$N800)</f>
        <v>→ 창고 R487</v>
      </c>
      <c r="M800" s="84"/>
      <c r="N800" s="105">
        <v>487</v>
      </c>
      <c r="O800" s="105" t="s">
        <v>3623</v>
      </c>
      <c r="P800" s="79" t="s">
        <v>3814</v>
      </c>
    </row>
    <row r="801" spans="1:16" ht="30" customHeight="1" x14ac:dyDescent="0.3">
      <c r="A801" s="53" t="s">
        <v>3621</v>
      </c>
      <c r="B801" s="52" t="s">
        <v>1096</v>
      </c>
      <c r="C801" s="52" t="s">
        <v>68</v>
      </c>
      <c r="D801" s="79" t="str">
        <f t="shared" ca="1" si="66"/>
        <v>원자재</v>
      </c>
      <c r="E801" s="79" t="str">
        <f t="shared" ca="1" si="67"/>
        <v>PR</v>
      </c>
      <c r="F801" s="52"/>
      <c r="G801" s="52" t="s">
        <v>3815</v>
      </c>
      <c r="H801" s="79" t="str">
        <f t="shared" si="68"/>
        <v>창고전용</v>
      </c>
      <c r="I801" s="79" t="str">
        <f t="shared" ca="1" si="69"/>
        <v>34678-PR</v>
      </c>
      <c r="J801" s="61" t="s">
        <v>3815</v>
      </c>
      <c r="K801" s="65" t="s">
        <v>3816</v>
      </c>
      <c r="L801" s="104" t="str">
        <f t="shared" si="70"/>
        <v>→ 창고 R488</v>
      </c>
      <c r="M801" s="84"/>
      <c r="N801" s="105">
        <v>488</v>
      </c>
      <c r="O801" s="105" t="s">
        <v>3623</v>
      </c>
      <c r="P801" s="79" t="s">
        <v>3817</v>
      </c>
    </row>
    <row r="802" spans="1:16" ht="30" customHeight="1" x14ac:dyDescent="0.3">
      <c r="A802" s="53" t="s">
        <v>3621</v>
      </c>
      <c r="B802" s="52" t="s">
        <v>1096</v>
      </c>
      <c r="C802" s="52" t="s">
        <v>68</v>
      </c>
      <c r="D802" s="79" t="str">
        <f t="shared" ca="1" si="66"/>
        <v>원자재</v>
      </c>
      <c r="E802" s="79" t="str">
        <f t="shared" ca="1" si="67"/>
        <v>PR</v>
      </c>
      <c r="F802" s="52"/>
      <c r="G802" s="52" t="s">
        <v>3818</v>
      </c>
      <c r="H802" s="79" t="str">
        <f t="shared" si="68"/>
        <v>창고전용</v>
      </c>
      <c r="I802" s="79" t="str">
        <f t="shared" ca="1" si="69"/>
        <v>34678-PR</v>
      </c>
      <c r="J802" s="61" t="s">
        <v>3818</v>
      </c>
      <c r="K802" s="65" t="s">
        <v>3819</v>
      </c>
      <c r="L802" s="104" t="str">
        <f t="shared" si="70"/>
        <v>→ 창고 R490</v>
      </c>
      <c r="M802" s="84"/>
      <c r="N802" s="105">
        <v>490</v>
      </c>
      <c r="O802" s="105" t="s">
        <v>3623</v>
      </c>
      <c r="P802" s="79" t="s">
        <v>3820</v>
      </c>
    </row>
    <row r="803" spans="1:16" ht="30" customHeight="1" x14ac:dyDescent="0.3">
      <c r="A803" s="53" t="s">
        <v>3621</v>
      </c>
      <c r="B803" s="52" t="s">
        <v>1096</v>
      </c>
      <c r="C803" s="52" t="s">
        <v>68</v>
      </c>
      <c r="D803" s="79" t="str">
        <f t="shared" ca="1" si="66"/>
        <v>원자재</v>
      </c>
      <c r="E803" s="79" t="str">
        <f t="shared" ca="1" si="67"/>
        <v>PR</v>
      </c>
      <c r="F803" s="52"/>
      <c r="G803" s="52" t="s">
        <v>3821</v>
      </c>
      <c r="H803" s="79" t="str">
        <f t="shared" si="68"/>
        <v>창고전용</v>
      </c>
      <c r="I803" s="79" t="str">
        <f t="shared" ca="1" si="69"/>
        <v>34678-PR</v>
      </c>
      <c r="J803" s="61" t="s">
        <v>3821</v>
      </c>
      <c r="K803" s="65" t="s">
        <v>3822</v>
      </c>
      <c r="L803" s="104" t="str">
        <f t="shared" si="70"/>
        <v>→ 창고 R491</v>
      </c>
      <c r="M803" s="84"/>
      <c r="N803" s="105">
        <v>491</v>
      </c>
      <c r="O803" s="105" t="s">
        <v>3623</v>
      </c>
      <c r="P803" s="79" t="s">
        <v>3823</v>
      </c>
    </row>
    <row r="804" spans="1:16" ht="30" customHeight="1" x14ac:dyDescent="0.3">
      <c r="A804" s="53" t="s">
        <v>3621</v>
      </c>
      <c r="B804" s="52" t="s">
        <v>1458</v>
      </c>
      <c r="C804" s="52" t="s">
        <v>1361</v>
      </c>
      <c r="D804" s="79" t="str">
        <f t="shared" ca="1" si="66"/>
        <v>원자재</v>
      </c>
      <c r="E804" s="79" t="str">
        <f t="shared" ca="1" si="67"/>
        <v>PR</v>
      </c>
      <c r="F804" s="52"/>
      <c r="G804" s="52" t="s">
        <v>3824</v>
      </c>
      <c r="H804" s="79" t="str">
        <f t="shared" si="68"/>
        <v>창고전용</v>
      </c>
      <c r="I804" s="79" t="str">
        <f t="shared" ca="1" si="69"/>
        <v>348-PR</v>
      </c>
      <c r="J804" s="61" t="s">
        <v>3824</v>
      </c>
      <c r="K804" s="65" t="s">
        <v>3825</v>
      </c>
      <c r="L804" s="104" t="str">
        <f t="shared" si="70"/>
        <v>→ 창고 R501</v>
      </c>
      <c r="M804" s="84"/>
      <c r="N804" s="105">
        <v>501</v>
      </c>
      <c r="O804" s="105" t="s">
        <v>3623</v>
      </c>
      <c r="P804" s="79" t="s">
        <v>3826</v>
      </c>
    </row>
    <row r="805" spans="1:16" ht="30" customHeight="1" x14ac:dyDescent="0.3">
      <c r="A805" s="53" t="s">
        <v>3621</v>
      </c>
      <c r="B805" s="52" t="s">
        <v>1591</v>
      </c>
      <c r="C805" s="52" t="s">
        <v>68</v>
      </c>
      <c r="D805" s="79" t="str">
        <f t="shared" ca="1" si="66"/>
        <v>원자재</v>
      </c>
      <c r="E805" s="79" t="str">
        <f t="shared" ca="1" si="67"/>
        <v>PR</v>
      </c>
      <c r="F805" s="52"/>
      <c r="G805" s="52" t="s">
        <v>3827</v>
      </c>
      <c r="H805" s="79" t="str">
        <f t="shared" si="68"/>
        <v>창고전용</v>
      </c>
      <c r="I805" s="79" t="str">
        <f t="shared" ca="1" si="69"/>
        <v>6-PR</v>
      </c>
      <c r="J805" s="61" t="s">
        <v>3827</v>
      </c>
      <c r="K805" s="65" t="s">
        <v>3828</v>
      </c>
      <c r="L805" s="104" t="str">
        <f t="shared" si="70"/>
        <v>→ 창고 R502</v>
      </c>
      <c r="M805" s="84"/>
      <c r="N805" s="105">
        <v>502</v>
      </c>
      <c r="O805" s="105" t="s">
        <v>3623</v>
      </c>
      <c r="P805" s="79" t="s">
        <v>3829</v>
      </c>
    </row>
    <row r="806" spans="1:16" ht="30" customHeight="1" x14ac:dyDescent="0.3">
      <c r="A806" s="53" t="s">
        <v>3621</v>
      </c>
      <c r="B806" s="52" t="s">
        <v>1368</v>
      </c>
      <c r="C806" s="52" t="s">
        <v>117</v>
      </c>
      <c r="D806" s="79" t="str">
        <f t="shared" ca="1" si="66"/>
        <v>원자재</v>
      </c>
      <c r="E806" s="79" t="str">
        <f t="shared" ca="1" si="67"/>
        <v>PR</v>
      </c>
      <c r="F806" s="52"/>
      <c r="G806" s="52" t="s">
        <v>3830</v>
      </c>
      <c r="H806" s="79" t="str">
        <f t="shared" si="68"/>
        <v>창고전용</v>
      </c>
      <c r="I806" s="79" t="str">
        <f t="shared" ca="1" si="69"/>
        <v>6-PR</v>
      </c>
      <c r="J806" s="61" t="s">
        <v>3830</v>
      </c>
      <c r="K806" s="65" t="s">
        <v>3831</v>
      </c>
      <c r="L806" s="104" t="str">
        <f t="shared" si="70"/>
        <v>→ 창고 R515</v>
      </c>
      <c r="M806" s="84"/>
      <c r="N806" s="105">
        <v>515</v>
      </c>
      <c r="O806" s="105" t="s">
        <v>3623</v>
      </c>
      <c r="P806" s="79" t="s">
        <v>3832</v>
      </c>
    </row>
    <row r="807" spans="1:16" ht="30" customHeight="1" x14ac:dyDescent="0.3">
      <c r="A807" s="53" t="s">
        <v>3621</v>
      </c>
      <c r="B807" s="52" t="s">
        <v>1597</v>
      </c>
      <c r="C807" s="52" t="s">
        <v>68</v>
      </c>
      <c r="D807" s="79" t="str">
        <f t="shared" ca="1" si="66"/>
        <v>원자재</v>
      </c>
      <c r="E807" s="79" t="str">
        <f t="shared" ca="1" si="67"/>
        <v>PR</v>
      </c>
      <c r="F807" s="52"/>
      <c r="G807" s="52" t="s">
        <v>3833</v>
      </c>
      <c r="H807" s="79" t="str">
        <f t="shared" si="68"/>
        <v>창고전용</v>
      </c>
      <c r="I807" s="79" t="str">
        <f t="shared" ca="1" si="69"/>
        <v>3468-PR</v>
      </c>
      <c r="J807" s="61" t="s">
        <v>3833</v>
      </c>
      <c r="K807" s="65" t="s">
        <v>3834</v>
      </c>
      <c r="L807" s="104" t="str">
        <f t="shared" si="70"/>
        <v>→ 창고 R525</v>
      </c>
      <c r="M807" s="84"/>
      <c r="N807" s="105">
        <v>525</v>
      </c>
      <c r="O807" s="105" t="s">
        <v>3623</v>
      </c>
      <c r="P807" s="79" t="s">
        <v>3835</v>
      </c>
    </row>
    <row r="808" spans="1:16" ht="30" customHeight="1" x14ac:dyDescent="0.3">
      <c r="A808" s="53" t="s">
        <v>3621</v>
      </c>
      <c r="B808" s="52" t="s">
        <v>1599</v>
      </c>
      <c r="C808" s="52" t="s">
        <v>68</v>
      </c>
      <c r="D808" s="79" t="str">
        <f t="shared" ca="1" si="66"/>
        <v>원자재</v>
      </c>
      <c r="E808" s="79" t="str">
        <f t="shared" ca="1" si="67"/>
        <v>PR</v>
      </c>
      <c r="F808" s="52"/>
      <c r="G808" s="52" t="s">
        <v>3836</v>
      </c>
      <c r="H808" s="79" t="str">
        <f t="shared" si="68"/>
        <v>창고전용</v>
      </c>
      <c r="I808" s="79" t="str">
        <f t="shared" ca="1" si="69"/>
        <v>3468-PR</v>
      </c>
      <c r="J808" s="61" t="s">
        <v>3836</v>
      </c>
      <c r="K808" s="65" t="s">
        <v>3837</v>
      </c>
      <c r="L808" s="104" t="str">
        <f t="shared" si="70"/>
        <v>→ 창고 R527</v>
      </c>
      <c r="M808" s="84"/>
      <c r="N808" s="105">
        <v>527</v>
      </c>
      <c r="O808" s="105" t="s">
        <v>3623</v>
      </c>
      <c r="P808" s="79" t="s">
        <v>3838</v>
      </c>
    </row>
    <row r="809" spans="1:16" ht="30" customHeight="1" x14ac:dyDescent="0.3">
      <c r="A809" s="53" t="s">
        <v>3621</v>
      </c>
      <c r="B809" s="52" t="s">
        <v>1368</v>
      </c>
      <c r="C809" s="52" t="s">
        <v>195</v>
      </c>
      <c r="D809" s="79" t="str">
        <f t="shared" ca="1" si="66"/>
        <v>원자재</v>
      </c>
      <c r="E809" s="79" t="str">
        <f t="shared" ca="1" si="67"/>
        <v>PR</v>
      </c>
      <c r="F809" s="52"/>
      <c r="G809" s="52" t="s">
        <v>3839</v>
      </c>
      <c r="H809" s="79" t="str">
        <f t="shared" si="68"/>
        <v>창고전용</v>
      </c>
      <c r="I809" s="79" t="str">
        <f t="shared" ca="1" si="69"/>
        <v>348-PR</v>
      </c>
      <c r="J809" s="61" t="s">
        <v>3839</v>
      </c>
      <c r="K809" s="65" t="s">
        <v>3840</v>
      </c>
      <c r="L809" s="104" t="str">
        <f t="shared" si="70"/>
        <v>→ 창고 R529</v>
      </c>
      <c r="M809" s="84"/>
      <c r="N809" s="105">
        <v>529</v>
      </c>
      <c r="O809" s="105" t="s">
        <v>3623</v>
      </c>
      <c r="P809" s="79" t="s">
        <v>3841</v>
      </c>
    </row>
    <row r="810" spans="1:16" ht="30" customHeight="1" x14ac:dyDescent="0.3">
      <c r="A810" s="53" t="s">
        <v>3621</v>
      </c>
      <c r="B810" s="52" t="s">
        <v>1368</v>
      </c>
      <c r="C810" s="52" t="s">
        <v>195</v>
      </c>
      <c r="D810" s="79" t="str">
        <f t="shared" ca="1" si="66"/>
        <v>원자재</v>
      </c>
      <c r="E810" s="79" t="str">
        <f t="shared" ca="1" si="67"/>
        <v>PR</v>
      </c>
      <c r="F810" s="52"/>
      <c r="G810" s="52" t="s">
        <v>3842</v>
      </c>
      <c r="H810" s="79" t="str">
        <f t="shared" si="68"/>
        <v>창고전용</v>
      </c>
      <c r="I810" s="79" t="str">
        <f t="shared" ca="1" si="69"/>
        <v>348-PR</v>
      </c>
      <c r="J810" s="61" t="s">
        <v>3842</v>
      </c>
      <c r="K810" s="65" t="s">
        <v>3843</v>
      </c>
      <c r="L810" s="104" t="str">
        <f t="shared" si="70"/>
        <v>→ 창고 R530</v>
      </c>
      <c r="M810" s="84"/>
      <c r="N810" s="105">
        <v>530</v>
      </c>
      <c r="O810" s="105" t="s">
        <v>3623</v>
      </c>
      <c r="P810" s="79" t="s">
        <v>3844</v>
      </c>
    </row>
    <row r="811" spans="1:16" ht="30" customHeight="1" x14ac:dyDescent="0.3">
      <c r="A811" s="53" t="s">
        <v>3621</v>
      </c>
      <c r="B811" s="52" t="s">
        <v>1458</v>
      </c>
      <c r="C811" s="52" t="s">
        <v>68</v>
      </c>
      <c r="D811" s="79" t="str">
        <f t="shared" ca="1" si="66"/>
        <v>원자재</v>
      </c>
      <c r="E811" s="79" t="str">
        <f t="shared" ca="1" si="67"/>
        <v>PR</v>
      </c>
      <c r="F811" s="52"/>
      <c r="G811" s="52" t="s">
        <v>3845</v>
      </c>
      <c r="H811" s="79" t="str">
        <f t="shared" si="68"/>
        <v>창고전용</v>
      </c>
      <c r="I811" s="79" t="str">
        <f t="shared" ca="1" si="69"/>
        <v>348-PR</v>
      </c>
      <c r="J811" s="61" t="s">
        <v>3845</v>
      </c>
      <c r="K811" s="65" t="s">
        <v>3846</v>
      </c>
      <c r="L811" s="104" t="str">
        <f t="shared" si="70"/>
        <v>→ 창고 R531</v>
      </c>
      <c r="M811" s="84"/>
      <c r="N811" s="105">
        <v>531</v>
      </c>
      <c r="O811" s="105" t="s">
        <v>3623</v>
      </c>
      <c r="P811" s="79" t="s">
        <v>3847</v>
      </c>
    </row>
    <row r="812" spans="1:16" ht="30" customHeight="1" x14ac:dyDescent="0.3">
      <c r="A812" s="53" t="s">
        <v>3621</v>
      </c>
      <c r="B812" s="52" t="s">
        <v>1348</v>
      </c>
      <c r="C812" s="52" t="s">
        <v>117</v>
      </c>
      <c r="D812" s="79" t="str">
        <f t="shared" ca="1" si="66"/>
        <v>원자재</v>
      </c>
      <c r="E812" s="79" t="str">
        <f t="shared" ca="1" si="67"/>
        <v>HR</v>
      </c>
      <c r="F812" s="52"/>
      <c r="G812" s="52" t="s">
        <v>3848</v>
      </c>
      <c r="H812" s="79" t="str">
        <f t="shared" si="68"/>
        <v>창고전용</v>
      </c>
      <c r="I812" s="79" t="str">
        <f t="shared" ca="1" si="69"/>
        <v>6-HR</v>
      </c>
      <c r="J812" s="61" t="s">
        <v>3848</v>
      </c>
      <c r="K812" s="65" t="s">
        <v>3849</v>
      </c>
      <c r="L812" s="104" t="str">
        <f t="shared" si="70"/>
        <v>→ 창고 R532</v>
      </c>
      <c r="M812" s="84"/>
      <c r="N812" s="105">
        <v>532</v>
      </c>
      <c r="O812" s="105" t="s">
        <v>3623</v>
      </c>
      <c r="P812" s="79" t="s">
        <v>3850</v>
      </c>
    </row>
    <row r="813" spans="1:16" ht="30" customHeight="1" x14ac:dyDescent="0.3">
      <c r="A813" s="53" t="s">
        <v>3621</v>
      </c>
      <c r="B813" s="52" t="s">
        <v>1372</v>
      </c>
      <c r="C813" s="52" t="s">
        <v>182</v>
      </c>
      <c r="D813" s="79" t="str">
        <f t="shared" ca="1" si="66"/>
        <v>원자재</v>
      </c>
      <c r="E813" s="79" t="str">
        <f t="shared" ca="1" si="67"/>
        <v>HR</v>
      </c>
      <c r="F813" s="52"/>
      <c r="G813" s="52" t="s">
        <v>3851</v>
      </c>
      <c r="H813" s="79" t="str">
        <f t="shared" si="68"/>
        <v>창고전용</v>
      </c>
      <c r="I813" s="79" t="str">
        <f t="shared" ca="1" si="69"/>
        <v>8-HR</v>
      </c>
      <c r="J813" s="61" t="s">
        <v>3851</v>
      </c>
      <c r="K813" s="65" t="s">
        <v>3852</v>
      </c>
      <c r="L813" s="104" t="str">
        <f t="shared" si="70"/>
        <v>→ 창고 R534</v>
      </c>
      <c r="M813" s="84"/>
      <c r="N813" s="105">
        <v>534</v>
      </c>
      <c r="O813" s="105" t="s">
        <v>3623</v>
      </c>
      <c r="P813" s="79" t="s">
        <v>3853</v>
      </c>
    </row>
    <row r="814" spans="1:16" ht="30" customHeight="1" x14ac:dyDescent="0.3">
      <c r="A814" s="53" t="s">
        <v>3621</v>
      </c>
      <c r="B814" s="52" t="s">
        <v>1375</v>
      </c>
      <c r="C814" s="52" t="s">
        <v>182</v>
      </c>
      <c r="D814" s="79" t="str">
        <f t="shared" ca="1" si="66"/>
        <v>원자재</v>
      </c>
      <c r="E814" s="79" t="str">
        <f t="shared" ca="1" si="67"/>
        <v>HR</v>
      </c>
      <c r="F814" s="52"/>
      <c r="G814" s="52" t="s">
        <v>3854</v>
      </c>
      <c r="H814" s="79" t="str">
        <f t="shared" si="68"/>
        <v>창고전용</v>
      </c>
      <c r="I814" s="79" t="str">
        <f t="shared" ca="1" si="69"/>
        <v>8-HR</v>
      </c>
      <c r="J814" s="61" t="s">
        <v>3854</v>
      </c>
      <c r="K814" s="65" t="s">
        <v>3855</v>
      </c>
      <c r="L814" s="104" t="str">
        <f t="shared" si="70"/>
        <v>→ 창고 R535</v>
      </c>
      <c r="M814" s="84"/>
      <c r="N814" s="105">
        <v>535</v>
      </c>
      <c r="O814" s="105" t="s">
        <v>3623</v>
      </c>
      <c r="P814" s="79" t="s">
        <v>3856</v>
      </c>
    </row>
    <row r="815" spans="1:16" ht="30" customHeight="1" x14ac:dyDescent="0.3">
      <c r="A815" s="53" t="s">
        <v>3621</v>
      </c>
      <c r="B815" s="52" t="s">
        <v>1422</v>
      </c>
      <c r="C815" s="52" t="s">
        <v>182</v>
      </c>
      <c r="D815" s="79" t="str">
        <f t="shared" ca="1" si="66"/>
        <v>원자재</v>
      </c>
      <c r="E815" s="79" t="str">
        <f t="shared" ca="1" si="67"/>
        <v>VR</v>
      </c>
      <c r="F815" s="52"/>
      <c r="G815" s="52" t="s">
        <v>3857</v>
      </c>
      <c r="H815" s="79" t="str">
        <f t="shared" si="68"/>
        <v>창고전용</v>
      </c>
      <c r="I815" s="79" t="str">
        <f t="shared" ca="1" si="69"/>
        <v>8-VR</v>
      </c>
      <c r="J815" s="61" t="s">
        <v>3857</v>
      </c>
      <c r="K815" s="65" t="s">
        <v>3858</v>
      </c>
      <c r="L815" s="104" t="str">
        <f t="shared" si="70"/>
        <v>→ 창고 R537</v>
      </c>
      <c r="M815" s="84"/>
      <c r="N815" s="105">
        <v>537</v>
      </c>
      <c r="O815" s="105" t="s">
        <v>3623</v>
      </c>
      <c r="P815" s="79" t="s">
        <v>3859</v>
      </c>
    </row>
    <row r="816" spans="1:16" ht="30" customHeight="1" x14ac:dyDescent="0.3">
      <c r="A816" s="53" t="s">
        <v>3621</v>
      </c>
      <c r="B816" s="52" t="s">
        <v>1422</v>
      </c>
      <c r="C816" s="52" t="s">
        <v>182</v>
      </c>
      <c r="D816" s="79" t="str">
        <f t="shared" ca="1" si="66"/>
        <v>원자재</v>
      </c>
      <c r="E816" s="79" t="str">
        <f t="shared" ca="1" si="67"/>
        <v>VR</v>
      </c>
      <c r="F816" s="52"/>
      <c r="G816" s="52" t="s">
        <v>3860</v>
      </c>
      <c r="H816" s="79" t="str">
        <f t="shared" si="68"/>
        <v>창고전용</v>
      </c>
      <c r="I816" s="79" t="str">
        <f t="shared" ca="1" si="69"/>
        <v>8-VR</v>
      </c>
      <c r="J816" s="61" t="s">
        <v>3860</v>
      </c>
      <c r="K816" s="65" t="s">
        <v>3861</v>
      </c>
      <c r="L816" s="104" t="str">
        <f t="shared" si="70"/>
        <v>→ 창고 R538</v>
      </c>
      <c r="M816" s="84"/>
      <c r="N816" s="105">
        <v>538</v>
      </c>
      <c r="O816" s="105" t="s">
        <v>3623</v>
      </c>
      <c r="P816" s="79" t="s">
        <v>3862</v>
      </c>
    </row>
    <row r="817" spans="1:16" ht="30" customHeight="1" x14ac:dyDescent="0.3">
      <c r="A817" s="53" t="s">
        <v>3621</v>
      </c>
      <c r="B817" s="52" t="s">
        <v>1383</v>
      </c>
      <c r="C817" s="52" t="s">
        <v>182</v>
      </c>
      <c r="D817" s="79" t="str">
        <f t="shared" ca="1" si="66"/>
        <v>원자재</v>
      </c>
      <c r="E817" s="79" t="str">
        <f t="shared" ca="1" si="67"/>
        <v>AR</v>
      </c>
      <c r="F817" s="52"/>
      <c r="G817" s="52" t="s">
        <v>3863</v>
      </c>
      <c r="H817" s="79" t="str">
        <f t="shared" si="68"/>
        <v>창고전용</v>
      </c>
      <c r="I817" s="79" t="str">
        <f t="shared" ca="1" si="69"/>
        <v>8-AR</v>
      </c>
      <c r="J817" s="61" t="s">
        <v>3863</v>
      </c>
      <c r="K817" s="65" t="s">
        <v>3864</v>
      </c>
      <c r="L817" s="104" t="str">
        <f t="shared" si="70"/>
        <v>→ 창고 R539</v>
      </c>
      <c r="M817" s="84"/>
      <c r="N817" s="105">
        <v>539</v>
      </c>
      <c r="O817" s="105" t="s">
        <v>3623</v>
      </c>
      <c r="P817" s="79" t="s">
        <v>3865</v>
      </c>
    </row>
    <row r="818" spans="1:16" ht="30" customHeight="1" x14ac:dyDescent="0.3">
      <c r="A818" s="53" t="s">
        <v>3621</v>
      </c>
      <c r="B818" s="52" t="s">
        <v>1351</v>
      </c>
      <c r="C818" s="52" t="s">
        <v>153</v>
      </c>
      <c r="D818" s="79" t="str">
        <f t="shared" ca="1" si="66"/>
        <v>원자재</v>
      </c>
      <c r="E818" s="79" t="str">
        <f t="shared" ca="1" si="67"/>
        <v>NR</v>
      </c>
      <c r="F818" s="52"/>
      <c r="G818" s="52" t="s">
        <v>3866</v>
      </c>
      <c r="H818" s="79" t="str">
        <f t="shared" si="68"/>
        <v>창고전용</v>
      </c>
      <c r="I818" s="79" t="str">
        <f t="shared" ca="1" si="69"/>
        <v>7-NR</v>
      </c>
      <c r="J818" s="61" t="s">
        <v>3866</v>
      </c>
      <c r="K818" s="65" t="s">
        <v>3867</v>
      </c>
      <c r="L818" s="104" t="str">
        <f t="shared" si="70"/>
        <v>→ 창고 R540</v>
      </c>
      <c r="M818" s="84"/>
      <c r="N818" s="105">
        <v>540</v>
      </c>
      <c r="O818" s="105" t="s">
        <v>3623</v>
      </c>
      <c r="P818" s="79" t="s">
        <v>3868</v>
      </c>
    </row>
    <row r="819" spans="1:16" ht="30" customHeight="1" x14ac:dyDescent="0.3">
      <c r="A819" s="53" t="s">
        <v>3621</v>
      </c>
      <c r="B819" s="52" t="s">
        <v>1357</v>
      </c>
      <c r="C819" s="52" t="s">
        <v>195</v>
      </c>
      <c r="D819" s="79" t="str">
        <f t="shared" ca="1" si="66"/>
        <v>원자재</v>
      </c>
      <c r="E819" s="79" t="str">
        <f t="shared" ca="1" si="67"/>
        <v>AR</v>
      </c>
      <c r="F819" s="52"/>
      <c r="G819" s="52" t="s">
        <v>3869</v>
      </c>
      <c r="H819" s="79" t="str">
        <f t="shared" si="68"/>
        <v>창고전용</v>
      </c>
      <c r="I819" s="79" t="str">
        <f t="shared" ca="1" si="69"/>
        <v>3-AR</v>
      </c>
      <c r="J819" s="61" t="s">
        <v>3869</v>
      </c>
      <c r="K819" s="65" t="s">
        <v>3870</v>
      </c>
      <c r="L819" s="104" t="str">
        <f t="shared" si="70"/>
        <v>→ 창고 R541</v>
      </c>
      <c r="M819" s="84"/>
      <c r="N819" s="105">
        <v>541</v>
      </c>
      <c r="O819" s="105" t="s">
        <v>3623</v>
      </c>
      <c r="P819" s="79" t="s">
        <v>3871</v>
      </c>
    </row>
    <row r="820" spans="1:16" ht="30" customHeight="1" x14ac:dyDescent="0.3">
      <c r="A820" s="53" t="s">
        <v>3621</v>
      </c>
      <c r="B820" s="52" t="s">
        <v>1368</v>
      </c>
      <c r="C820" s="52" t="s">
        <v>195</v>
      </c>
      <c r="D820" s="79" t="str">
        <f t="shared" ca="1" si="66"/>
        <v>원자재</v>
      </c>
      <c r="E820" s="79" t="str">
        <f t="shared" ca="1" si="67"/>
        <v>AR</v>
      </c>
      <c r="F820" s="52"/>
      <c r="G820" s="52" t="s">
        <v>3872</v>
      </c>
      <c r="H820" s="79" t="str">
        <f t="shared" si="68"/>
        <v>창고전용</v>
      </c>
      <c r="I820" s="79" t="str">
        <f t="shared" ca="1" si="69"/>
        <v>3-AR</v>
      </c>
      <c r="J820" s="61" t="s">
        <v>3872</v>
      </c>
      <c r="K820" s="65" t="s">
        <v>3873</v>
      </c>
      <c r="L820" s="104" t="str">
        <f t="shared" si="70"/>
        <v>→ 창고 R542</v>
      </c>
      <c r="M820" s="84"/>
      <c r="N820" s="105">
        <v>542</v>
      </c>
      <c r="O820" s="105" t="s">
        <v>3623</v>
      </c>
      <c r="P820" s="79" t="s">
        <v>3874</v>
      </c>
    </row>
    <row r="821" spans="1:16" ht="30" customHeight="1" x14ac:dyDescent="0.3">
      <c r="A821" s="53" t="s">
        <v>3621</v>
      </c>
      <c r="B821" s="52" t="s">
        <v>1359</v>
      </c>
      <c r="C821" s="52" t="s">
        <v>195</v>
      </c>
      <c r="D821" s="79" t="str">
        <f t="shared" ca="1" si="66"/>
        <v>원자재</v>
      </c>
      <c r="E821" s="79" t="str">
        <f t="shared" ca="1" si="67"/>
        <v>AR</v>
      </c>
      <c r="F821" s="52"/>
      <c r="G821" s="52" t="s">
        <v>3875</v>
      </c>
      <c r="H821" s="79" t="str">
        <f t="shared" si="68"/>
        <v>창고전용</v>
      </c>
      <c r="I821" s="79" t="str">
        <f t="shared" ca="1" si="69"/>
        <v>3-AR</v>
      </c>
      <c r="J821" s="61" t="s">
        <v>3875</v>
      </c>
      <c r="K821" s="65" t="s">
        <v>3876</v>
      </c>
      <c r="L821" s="104" t="str">
        <f t="shared" si="70"/>
        <v>→ 창고 R543</v>
      </c>
      <c r="M821" s="84"/>
      <c r="N821" s="105">
        <v>543</v>
      </c>
      <c r="O821" s="105" t="s">
        <v>3623</v>
      </c>
      <c r="P821" s="79" t="s">
        <v>3877</v>
      </c>
    </row>
    <row r="822" spans="1:16" ht="30" customHeight="1" x14ac:dyDescent="0.3">
      <c r="A822" s="53" t="s">
        <v>3621</v>
      </c>
      <c r="B822" s="52" t="s">
        <v>1359</v>
      </c>
      <c r="C822" s="52" t="s">
        <v>153</v>
      </c>
      <c r="D822" s="79" t="str">
        <f t="shared" ca="1" si="66"/>
        <v>원자재</v>
      </c>
      <c r="E822" s="79" t="str">
        <f t="shared" ca="1" si="67"/>
        <v>AR</v>
      </c>
      <c r="F822" s="52"/>
      <c r="G822" s="52" t="s">
        <v>3878</v>
      </c>
      <c r="H822" s="79" t="str">
        <f t="shared" si="68"/>
        <v>창고전용</v>
      </c>
      <c r="I822" s="79" t="str">
        <f t="shared" ca="1" si="69"/>
        <v>7-AR</v>
      </c>
      <c r="J822" s="65" t="s">
        <v>3878</v>
      </c>
      <c r="K822" s="65" t="s">
        <v>3879</v>
      </c>
      <c r="L822" s="104" t="str">
        <f t="shared" si="70"/>
        <v>→ 창고 R544</v>
      </c>
      <c r="M822" s="84"/>
      <c r="N822" s="105">
        <v>544</v>
      </c>
      <c r="O822" s="105" t="s">
        <v>3623</v>
      </c>
      <c r="P822" s="79" t="s">
        <v>3880</v>
      </c>
    </row>
    <row r="823" spans="1:16" ht="30" customHeight="1" x14ac:dyDescent="0.3">
      <c r="A823" s="53" t="s">
        <v>3621</v>
      </c>
      <c r="B823" s="52" t="s">
        <v>1359</v>
      </c>
      <c r="C823" s="52" t="s">
        <v>153</v>
      </c>
      <c r="D823" s="79" t="str">
        <f t="shared" ca="1" si="66"/>
        <v>원자재</v>
      </c>
      <c r="E823" s="79" t="str">
        <f t="shared" ca="1" si="67"/>
        <v>AR</v>
      </c>
      <c r="F823" s="52"/>
      <c r="G823" s="52" t="s">
        <v>3881</v>
      </c>
      <c r="H823" s="79" t="str">
        <f t="shared" si="68"/>
        <v>창고전용</v>
      </c>
      <c r="I823" s="79" t="str">
        <f t="shared" ca="1" si="69"/>
        <v>7-AR</v>
      </c>
      <c r="J823" s="61" t="s">
        <v>3881</v>
      </c>
      <c r="K823" s="65" t="s">
        <v>3882</v>
      </c>
      <c r="L823" s="104" t="str">
        <f t="shared" si="70"/>
        <v>→ 창고 R545</v>
      </c>
      <c r="M823" s="84"/>
      <c r="N823" s="105">
        <v>545</v>
      </c>
      <c r="O823" s="105" t="s">
        <v>3623</v>
      </c>
      <c r="P823" s="79" t="s">
        <v>3883</v>
      </c>
    </row>
    <row r="824" spans="1:16" ht="30" customHeight="1" x14ac:dyDescent="0.3">
      <c r="A824" s="53" t="s">
        <v>3621</v>
      </c>
      <c r="B824" s="52" t="s">
        <v>1359</v>
      </c>
      <c r="C824" s="52" t="s">
        <v>153</v>
      </c>
      <c r="D824" s="79" t="str">
        <f t="shared" ca="1" si="66"/>
        <v>원자재</v>
      </c>
      <c r="E824" s="79" t="str">
        <f t="shared" ca="1" si="67"/>
        <v>AR</v>
      </c>
      <c r="F824" s="52"/>
      <c r="G824" s="52" t="s">
        <v>3884</v>
      </c>
      <c r="H824" s="79" t="str">
        <f t="shared" si="68"/>
        <v>창고전용</v>
      </c>
      <c r="I824" s="79" t="str">
        <f t="shared" ca="1" si="69"/>
        <v>7-AR</v>
      </c>
      <c r="J824" s="61" t="s">
        <v>3884</v>
      </c>
      <c r="K824" s="65" t="s">
        <v>3885</v>
      </c>
      <c r="L824" s="104" t="str">
        <f t="shared" si="70"/>
        <v>→ 창고 R546</v>
      </c>
      <c r="M824" s="84"/>
      <c r="N824" s="105">
        <v>546</v>
      </c>
      <c r="O824" s="105" t="s">
        <v>3623</v>
      </c>
      <c r="P824" s="79" t="s">
        <v>3886</v>
      </c>
    </row>
    <row r="825" spans="1:16" ht="30" customHeight="1" x14ac:dyDescent="0.3">
      <c r="A825" s="53" t="s">
        <v>3621</v>
      </c>
      <c r="B825" s="52" t="s">
        <v>1351</v>
      </c>
      <c r="C825" s="52" t="s">
        <v>333</v>
      </c>
      <c r="D825" s="79" t="str">
        <f t="shared" ca="1" si="66"/>
        <v>원자재</v>
      </c>
      <c r="E825" s="79" t="str">
        <f t="shared" ca="1" si="67"/>
        <v>AR</v>
      </c>
      <c r="F825" s="52"/>
      <c r="G825" s="52" t="s">
        <v>3887</v>
      </c>
      <c r="H825" s="79" t="str">
        <f t="shared" si="68"/>
        <v>창고전용</v>
      </c>
      <c r="I825" s="79" t="str">
        <f t="shared" ca="1" si="69"/>
        <v>6-AR</v>
      </c>
      <c r="J825" s="61" t="s">
        <v>3887</v>
      </c>
      <c r="K825" s="65" t="s">
        <v>3888</v>
      </c>
      <c r="L825" s="104" t="str">
        <f t="shared" si="70"/>
        <v>→ 창고 R553</v>
      </c>
      <c r="M825" s="84"/>
      <c r="N825" s="105">
        <v>553</v>
      </c>
      <c r="O825" s="105" t="s">
        <v>3623</v>
      </c>
      <c r="P825" s="79" t="s">
        <v>3889</v>
      </c>
    </row>
    <row r="826" spans="1:16" ht="30" customHeight="1" x14ac:dyDescent="0.3">
      <c r="A826" s="53" t="s">
        <v>3621</v>
      </c>
      <c r="B826" s="52" t="s">
        <v>1351</v>
      </c>
      <c r="C826" s="52" t="s">
        <v>333</v>
      </c>
      <c r="D826" s="79" t="str">
        <f t="shared" ca="1" si="66"/>
        <v>원자재</v>
      </c>
      <c r="E826" s="79" t="str">
        <f t="shared" ca="1" si="67"/>
        <v>AR</v>
      </c>
      <c r="F826" s="52"/>
      <c r="G826" s="52" t="s">
        <v>3890</v>
      </c>
      <c r="H826" s="79" t="str">
        <f t="shared" si="68"/>
        <v>창고전용</v>
      </c>
      <c r="I826" s="79" t="str">
        <f t="shared" ca="1" si="69"/>
        <v>6-AR</v>
      </c>
      <c r="J826" s="61" t="s">
        <v>3890</v>
      </c>
      <c r="K826" s="65" t="s">
        <v>3891</v>
      </c>
      <c r="L826" s="104" t="str">
        <f t="shared" si="70"/>
        <v>→ 창고 R554</v>
      </c>
      <c r="M826" s="84"/>
      <c r="N826" s="105">
        <v>554</v>
      </c>
      <c r="O826" s="105" t="s">
        <v>3623</v>
      </c>
      <c r="P826" s="79" t="s">
        <v>3892</v>
      </c>
    </row>
    <row r="827" spans="1:16" ht="30" customHeight="1" x14ac:dyDescent="0.3">
      <c r="A827" s="53" t="s">
        <v>3621</v>
      </c>
      <c r="B827" s="52" t="s">
        <v>1351</v>
      </c>
      <c r="C827" s="52" t="s">
        <v>117</v>
      </c>
      <c r="D827" s="79" t="str">
        <f t="shared" ca="1" si="66"/>
        <v>원자재</v>
      </c>
      <c r="E827" s="79" t="str">
        <f t="shared" ca="1" si="67"/>
        <v>AR</v>
      </c>
      <c r="F827" s="52"/>
      <c r="G827" s="52" t="s">
        <v>3893</v>
      </c>
      <c r="H827" s="79" t="str">
        <f t="shared" si="68"/>
        <v>창고전용</v>
      </c>
      <c r="I827" s="79" t="str">
        <f t="shared" ca="1" si="69"/>
        <v>6-AR</v>
      </c>
      <c r="J827" s="61" t="s">
        <v>3893</v>
      </c>
      <c r="K827" s="65" t="s">
        <v>3894</v>
      </c>
      <c r="L827" s="104" t="str">
        <f t="shared" si="70"/>
        <v>→ 창고 R556</v>
      </c>
      <c r="M827" s="84"/>
      <c r="N827" s="105">
        <v>556</v>
      </c>
      <c r="O827" s="105" t="s">
        <v>3623</v>
      </c>
      <c r="P827" s="79" t="s">
        <v>3895</v>
      </c>
    </row>
    <row r="828" spans="1:16" ht="30" customHeight="1" x14ac:dyDescent="0.3">
      <c r="A828" s="53" t="s">
        <v>3621</v>
      </c>
      <c r="B828" s="52" t="s">
        <v>1351</v>
      </c>
      <c r="C828" s="52" t="s">
        <v>117</v>
      </c>
      <c r="D828" s="79" t="str">
        <f t="shared" ca="1" si="66"/>
        <v>원자재</v>
      </c>
      <c r="E828" s="79" t="str">
        <f t="shared" ca="1" si="67"/>
        <v>AR</v>
      </c>
      <c r="F828" s="52"/>
      <c r="G828" s="52" t="s">
        <v>3896</v>
      </c>
      <c r="H828" s="79" t="str">
        <f t="shared" si="68"/>
        <v>창고전용</v>
      </c>
      <c r="I828" s="79" t="str">
        <f t="shared" ca="1" si="69"/>
        <v>6-AR</v>
      </c>
      <c r="J828" s="61" t="s">
        <v>3896</v>
      </c>
      <c r="K828" s="65" t="s">
        <v>3897</v>
      </c>
      <c r="L828" s="104" t="str">
        <f t="shared" si="70"/>
        <v>→ 창고 R557</v>
      </c>
      <c r="M828" s="84"/>
      <c r="N828" s="105">
        <v>557</v>
      </c>
      <c r="O828" s="105" t="s">
        <v>3623</v>
      </c>
      <c r="P828" s="79" t="s">
        <v>3898</v>
      </c>
    </row>
    <row r="829" spans="1:16" ht="30" customHeight="1" x14ac:dyDescent="0.3">
      <c r="A829" s="53" t="s">
        <v>3621</v>
      </c>
      <c r="B829" s="52" t="s">
        <v>1351</v>
      </c>
      <c r="C829" s="52" t="s">
        <v>117</v>
      </c>
      <c r="D829" s="79" t="str">
        <f t="shared" ca="1" si="66"/>
        <v>원자재</v>
      </c>
      <c r="E829" s="79" t="str">
        <f t="shared" ca="1" si="67"/>
        <v>AR</v>
      </c>
      <c r="F829" s="52"/>
      <c r="G829" s="52" t="s">
        <v>3899</v>
      </c>
      <c r="H829" s="79" t="str">
        <f t="shared" si="68"/>
        <v>창고전용</v>
      </c>
      <c r="I829" s="79" t="str">
        <f t="shared" ca="1" si="69"/>
        <v>6-AR</v>
      </c>
      <c r="J829" s="61" t="s">
        <v>3899</v>
      </c>
      <c r="K829" s="65" t="s">
        <v>3900</v>
      </c>
      <c r="L829" s="104" t="str">
        <f t="shared" si="70"/>
        <v>→ 창고 R558</v>
      </c>
      <c r="M829" s="84"/>
      <c r="N829" s="105">
        <v>558</v>
      </c>
      <c r="O829" s="105" t="s">
        <v>3623</v>
      </c>
      <c r="P829" s="79" t="s">
        <v>3901</v>
      </c>
    </row>
    <row r="830" spans="1:16" ht="30" customHeight="1" x14ac:dyDescent="0.3">
      <c r="A830" s="53" t="s">
        <v>3621</v>
      </c>
      <c r="B830" s="52" t="s">
        <v>1351</v>
      </c>
      <c r="C830" s="52" t="s">
        <v>117</v>
      </c>
      <c r="D830" s="79" t="str">
        <f t="shared" ca="1" si="66"/>
        <v>원자재</v>
      </c>
      <c r="E830" s="79" t="str">
        <f t="shared" ca="1" si="67"/>
        <v>PR</v>
      </c>
      <c r="F830" s="52"/>
      <c r="G830" s="52" t="s">
        <v>3902</v>
      </c>
      <c r="H830" s="79" t="str">
        <f t="shared" si="68"/>
        <v>창고전용</v>
      </c>
      <c r="I830" s="79" t="str">
        <f t="shared" ca="1" si="69"/>
        <v>34678-PR</v>
      </c>
      <c r="J830" s="65" t="s">
        <v>3902</v>
      </c>
      <c r="K830" s="65" t="s">
        <v>3903</v>
      </c>
      <c r="L830" s="104" t="str">
        <f t="shared" si="70"/>
        <v>→ 창고 R559</v>
      </c>
      <c r="M830" s="84"/>
      <c r="N830" s="105">
        <v>559</v>
      </c>
      <c r="O830" s="105" t="s">
        <v>3623</v>
      </c>
      <c r="P830" s="79" t="s">
        <v>3904</v>
      </c>
    </row>
    <row r="831" spans="1:16" ht="30" customHeight="1" x14ac:dyDescent="0.3">
      <c r="A831" s="53" t="s">
        <v>3621</v>
      </c>
      <c r="B831" s="52" t="s">
        <v>1351</v>
      </c>
      <c r="C831" s="52" t="s">
        <v>117</v>
      </c>
      <c r="D831" s="79" t="str">
        <f t="shared" ca="1" si="66"/>
        <v>원자재</v>
      </c>
      <c r="E831" s="79" t="str">
        <f t="shared" ca="1" si="67"/>
        <v>PR</v>
      </c>
      <c r="F831" s="52"/>
      <c r="G831" s="52" t="s">
        <v>3905</v>
      </c>
      <c r="H831" s="79" t="str">
        <f t="shared" si="68"/>
        <v>창고전용</v>
      </c>
      <c r="I831" s="79" t="str">
        <f t="shared" ca="1" si="69"/>
        <v>34678-PR</v>
      </c>
      <c r="J831" s="65" t="s">
        <v>3905</v>
      </c>
      <c r="K831" s="65" t="s">
        <v>3906</v>
      </c>
      <c r="L831" s="104" t="str">
        <f t="shared" si="70"/>
        <v>→ 창고 R560</v>
      </c>
      <c r="M831" s="84"/>
      <c r="N831" s="105">
        <v>560</v>
      </c>
      <c r="O831" s="105" t="s">
        <v>3623</v>
      </c>
      <c r="P831" s="79" t="s">
        <v>3907</v>
      </c>
    </row>
    <row r="832" spans="1:16" ht="30" customHeight="1" x14ac:dyDescent="0.3">
      <c r="A832" s="53" t="s">
        <v>3621</v>
      </c>
      <c r="B832" s="52" t="s">
        <v>1359</v>
      </c>
      <c r="C832" s="52" t="s">
        <v>117</v>
      </c>
      <c r="D832" s="79" t="str">
        <f t="shared" ca="1" si="66"/>
        <v>원자재</v>
      </c>
      <c r="E832" s="79" t="str">
        <f t="shared" ca="1" si="67"/>
        <v>AR</v>
      </c>
      <c r="F832" s="52"/>
      <c r="G832" s="52" t="s">
        <v>3908</v>
      </c>
      <c r="H832" s="79" t="str">
        <f t="shared" si="68"/>
        <v>창고전용</v>
      </c>
      <c r="I832" s="79" t="str">
        <f t="shared" ca="1" si="69"/>
        <v>6-AR</v>
      </c>
      <c r="J832" s="61" t="s">
        <v>3908</v>
      </c>
      <c r="K832" s="65" t="s">
        <v>3909</v>
      </c>
      <c r="L832" s="104" t="str">
        <f t="shared" ref="L832:L847" si="71">HYPERLINK("#'"&amp;$O832&amp;"'!A"&amp;$N832,"→ 창고 R"&amp;$N832)</f>
        <v>→ 창고 R562</v>
      </c>
      <c r="M832" s="84"/>
      <c r="N832" s="105">
        <v>562</v>
      </c>
      <c r="O832" s="105" t="s">
        <v>3623</v>
      </c>
      <c r="P832" s="79" t="s">
        <v>3910</v>
      </c>
    </row>
    <row r="833" spans="1:16" ht="30" customHeight="1" x14ac:dyDescent="0.3">
      <c r="A833" s="53" t="s">
        <v>3621</v>
      </c>
      <c r="B833" s="52" t="s">
        <v>1359</v>
      </c>
      <c r="C833" s="52" t="s">
        <v>117</v>
      </c>
      <c r="D833" s="79" t="str">
        <f t="shared" ca="1" si="66"/>
        <v>원자재</v>
      </c>
      <c r="E833" s="79" t="str">
        <f t="shared" ca="1" si="67"/>
        <v>AR</v>
      </c>
      <c r="F833" s="52"/>
      <c r="G833" s="52" t="s">
        <v>3911</v>
      </c>
      <c r="H833" s="79" t="str">
        <f t="shared" si="68"/>
        <v>창고전용</v>
      </c>
      <c r="I833" s="79" t="str">
        <f t="shared" ca="1" si="69"/>
        <v>6-AR</v>
      </c>
      <c r="J833" s="61" t="s">
        <v>3911</v>
      </c>
      <c r="K833" s="65" t="s">
        <v>3912</v>
      </c>
      <c r="L833" s="104" t="str">
        <f t="shared" si="71"/>
        <v>→ 창고 R564</v>
      </c>
      <c r="M833" s="84"/>
      <c r="N833" s="105">
        <v>564</v>
      </c>
      <c r="O833" s="105" t="s">
        <v>3623</v>
      </c>
      <c r="P833" s="79" t="s">
        <v>3913</v>
      </c>
    </row>
    <row r="834" spans="1:16" ht="30" customHeight="1" x14ac:dyDescent="0.3">
      <c r="A834" s="53" t="s">
        <v>3621</v>
      </c>
      <c r="B834" s="52" t="s">
        <v>1359</v>
      </c>
      <c r="C834" s="52" t="s">
        <v>117</v>
      </c>
      <c r="D834" s="79" t="str">
        <f t="shared" ref="D834:D897" ca="1" si="72">IF(INDIRECT("'"&amp;$O834&amp;"'!F"&amp;$N834)="O","원자재",IF(INDIRECT("'"&amp;$O834&amp;"'!G"&amp;$N834)="O","반제품",IF(INDIRECT("'"&amp;$O834&amp;"'!H"&amp;$N834)="O","완제품","")))</f>
        <v>원자재</v>
      </c>
      <c r="E834" s="79" t="str">
        <f t="shared" ref="E834:E897" ca="1" si="73">IFERROR(IF(INDIRECT("'"&amp;$O834&amp;"'!I"&amp;$N834)=0,"",INDIRECT("'"&amp;$O834&amp;"'!I"&amp;$N834)),"")</f>
        <v>AR</v>
      </c>
      <c r="F834" s="52"/>
      <c r="G834" s="52" t="s">
        <v>3914</v>
      </c>
      <c r="H834" s="79" t="str">
        <f t="shared" ref="H834:H897" si="74">IF(AND($F834="",$G834=""),"",IF($F834="","창고전용",IF($G834&lt;&gt;"","매칭완료",IF($D834="반제품","반제품(창고없음)",IF($D834="완제품","완제품(창고없음)",IF($D834="원자재","⚠ 원자재_부서보관","미분류"))))))</f>
        <v>창고전용</v>
      </c>
      <c r="I834" s="79" t="str">
        <f t="shared" ref="I834:I897" ca="1" si="75">IFERROR(IF(INDIRECT("'"&amp;$O834&amp;"'!P"&amp;$N834)=0,"",INDIRECT("'"&amp;$O834&amp;"'!P"&amp;$N834)),"")</f>
        <v>6-AR</v>
      </c>
      <c r="J834" s="61" t="s">
        <v>3914</v>
      </c>
      <c r="K834" s="65" t="s">
        <v>3915</v>
      </c>
      <c r="L834" s="104" t="str">
        <f t="shared" si="71"/>
        <v>→ 창고 R565</v>
      </c>
      <c r="M834" s="84"/>
      <c r="N834" s="105">
        <v>565</v>
      </c>
      <c r="O834" s="105" t="s">
        <v>3623</v>
      </c>
      <c r="P834" s="79" t="s">
        <v>3916</v>
      </c>
    </row>
    <row r="835" spans="1:16" ht="30" customHeight="1" x14ac:dyDescent="0.3">
      <c r="A835" s="53" t="s">
        <v>3621</v>
      </c>
      <c r="B835" s="52" t="s">
        <v>1368</v>
      </c>
      <c r="C835" s="52" t="s">
        <v>117</v>
      </c>
      <c r="D835" s="79" t="str">
        <f t="shared" ca="1" si="72"/>
        <v>원자재</v>
      </c>
      <c r="E835" s="79" t="str">
        <f t="shared" ca="1" si="73"/>
        <v>AR</v>
      </c>
      <c r="F835" s="52"/>
      <c r="G835" s="52" t="s">
        <v>3917</v>
      </c>
      <c r="H835" s="79" t="str">
        <f t="shared" si="74"/>
        <v>창고전용</v>
      </c>
      <c r="I835" s="79" t="str">
        <f t="shared" ca="1" si="75"/>
        <v>6-AR</v>
      </c>
      <c r="J835" s="61" t="s">
        <v>3917</v>
      </c>
      <c r="K835" s="65" t="s">
        <v>3918</v>
      </c>
      <c r="L835" s="104" t="str">
        <f t="shared" si="71"/>
        <v>→ 창고 R571</v>
      </c>
      <c r="M835" s="84"/>
      <c r="N835" s="105">
        <v>571</v>
      </c>
      <c r="O835" s="105" t="s">
        <v>3623</v>
      </c>
      <c r="P835" s="79" t="s">
        <v>3919</v>
      </c>
    </row>
    <row r="836" spans="1:16" ht="28.5" customHeight="1" x14ac:dyDescent="0.3">
      <c r="A836" s="53" t="s">
        <v>3621</v>
      </c>
      <c r="B836" s="52" t="s">
        <v>1634</v>
      </c>
      <c r="C836" s="52" t="s">
        <v>117</v>
      </c>
      <c r="D836" s="79" t="str">
        <f t="shared" ca="1" si="72"/>
        <v>원자재</v>
      </c>
      <c r="E836" s="79" t="str">
        <f t="shared" ca="1" si="73"/>
        <v>PR</v>
      </c>
      <c r="F836" s="52"/>
      <c r="G836" s="52" t="s">
        <v>3920</v>
      </c>
      <c r="H836" s="79" t="str">
        <f t="shared" si="74"/>
        <v>창고전용</v>
      </c>
      <c r="I836" s="79" t="str">
        <f t="shared" ca="1" si="75"/>
        <v>6-PR</v>
      </c>
      <c r="J836" s="61" t="s">
        <v>3920</v>
      </c>
      <c r="K836" s="65" t="s">
        <v>3921</v>
      </c>
      <c r="L836" s="104" t="str">
        <f t="shared" si="71"/>
        <v>→ 창고 R577</v>
      </c>
      <c r="M836" s="84"/>
      <c r="N836" s="105">
        <v>577</v>
      </c>
      <c r="O836" s="105" t="s">
        <v>3623</v>
      </c>
      <c r="P836" s="79" t="s">
        <v>3922</v>
      </c>
    </row>
    <row r="837" spans="1:16" ht="30" customHeight="1" x14ac:dyDescent="0.3">
      <c r="A837" s="53" t="s">
        <v>3621</v>
      </c>
      <c r="B837" s="52" t="s">
        <v>1634</v>
      </c>
      <c r="C837" s="52" t="s">
        <v>117</v>
      </c>
      <c r="D837" s="79" t="str">
        <f t="shared" ca="1" si="72"/>
        <v>원자재</v>
      </c>
      <c r="E837" s="79" t="str">
        <f t="shared" ca="1" si="73"/>
        <v>PR</v>
      </c>
      <c r="F837" s="52"/>
      <c r="G837" s="52" t="s">
        <v>3923</v>
      </c>
      <c r="H837" s="79" t="str">
        <f t="shared" si="74"/>
        <v>창고전용</v>
      </c>
      <c r="I837" s="79" t="str">
        <f t="shared" ca="1" si="75"/>
        <v>6-PR</v>
      </c>
      <c r="J837" s="61" t="s">
        <v>3923</v>
      </c>
      <c r="K837" s="65" t="s">
        <v>3924</v>
      </c>
      <c r="L837" s="104" t="str">
        <f t="shared" si="71"/>
        <v>→ 창고 R578</v>
      </c>
      <c r="M837" s="84"/>
      <c r="N837" s="105">
        <v>578</v>
      </c>
      <c r="O837" s="105" t="s">
        <v>3623</v>
      </c>
      <c r="P837" s="79" t="s">
        <v>3925</v>
      </c>
    </row>
    <row r="838" spans="1:16" ht="30" customHeight="1" x14ac:dyDescent="0.3">
      <c r="A838" s="53" t="s">
        <v>3621</v>
      </c>
      <c r="B838" s="52" t="s">
        <v>1634</v>
      </c>
      <c r="C838" s="52" t="s">
        <v>117</v>
      </c>
      <c r="D838" s="79" t="str">
        <f t="shared" ca="1" si="72"/>
        <v>원자재</v>
      </c>
      <c r="E838" s="79" t="str">
        <f t="shared" ca="1" si="73"/>
        <v>PR</v>
      </c>
      <c r="F838" s="52"/>
      <c r="G838" s="52" t="s">
        <v>3926</v>
      </c>
      <c r="H838" s="79" t="str">
        <f t="shared" si="74"/>
        <v>창고전용</v>
      </c>
      <c r="I838" s="79" t="str">
        <f t="shared" ca="1" si="75"/>
        <v>6-PR</v>
      </c>
      <c r="J838" s="61" t="s">
        <v>3926</v>
      </c>
      <c r="K838" s="65" t="s">
        <v>3927</v>
      </c>
      <c r="L838" s="104" t="str">
        <f t="shared" si="71"/>
        <v>→ 창고 R579</v>
      </c>
      <c r="M838" s="84"/>
      <c r="N838" s="105">
        <v>579</v>
      </c>
      <c r="O838" s="105" t="s">
        <v>3623</v>
      </c>
      <c r="P838" s="79" t="s">
        <v>3928</v>
      </c>
    </row>
    <row r="839" spans="1:16" ht="30" customHeight="1" x14ac:dyDescent="0.3">
      <c r="A839" s="53" t="s">
        <v>3621</v>
      </c>
      <c r="B839" s="52" t="s">
        <v>1383</v>
      </c>
      <c r="C839" s="52" t="s">
        <v>117</v>
      </c>
      <c r="D839" s="79" t="str">
        <f t="shared" ca="1" si="72"/>
        <v>원자재</v>
      </c>
      <c r="E839" s="79" t="str">
        <f t="shared" ca="1" si="73"/>
        <v>AR</v>
      </c>
      <c r="F839" s="52"/>
      <c r="G839" s="52" t="s">
        <v>3929</v>
      </c>
      <c r="H839" s="79" t="str">
        <f t="shared" si="74"/>
        <v>창고전용</v>
      </c>
      <c r="I839" s="79" t="str">
        <f t="shared" ca="1" si="75"/>
        <v>6-AR</v>
      </c>
      <c r="J839" s="61" t="s">
        <v>3929</v>
      </c>
      <c r="K839" s="65" t="s">
        <v>3930</v>
      </c>
      <c r="L839" s="104" t="str">
        <f t="shared" si="71"/>
        <v>→ 창고 R581</v>
      </c>
      <c r="M839" s="84"/>
      <c r="N839" s="105">
        <v>581</v>
      </c>
      <c r="O839" s="105" t="s">
        <v>3623</v>
      </c>
      <c r="P839" s="79" t="s">
        <v>3931</v>
      </c>
    </row>
    <row r="840" spans="1:16" ht="30" customHeight="1" x14ac:dyDescent="0.3">
      <c r="A840" s="53" t="s">
        <v>3621</v>
      </c>
      <c r="B840" s="52" t="s">
        <v>1456</v>
      </c>
      <c r="C840" s="52" t="s">
        <v>117</v>
      </c>
      <c r="D840" s="79" t="str">
        <f t="shared" ca="1" si="72"/>
        <v>원자재</v>
      </c>
      <c r="E840" s="79" t="str">
        <f t="shared" ca="1" si="73"/>
        <v>AR</v>
      </c>
      <c r="F840" s="52"/>
      <c r="G840" s="52" t="s">
        <v>3932</v>
      </c>
      <c r="H840" s="79" t="str">
        <f t="shared" si="74"/>
        <v>창고전용</v>
      </c>
      <c r="I840" s="79" t="str">
        <f t="shared" ca="1" si="75"/>
        <v>6-AR</v>
      </c>
      <c r="J840" s="61" t="s">
        <v>3932</v>
      </c>
      <c r="K840" s="65" t="s">
        <v>3933</v>
      </c>
      <c r="L840" s="104" t="str">
        <f t="shared" si="71"/>
        <v>→ 창고 R583</v>
      </c>
      <c r="M840" s="84"/>
      <c r="N840" s="105">
        <v>583</v>
      </c>
      <c r="O840" s="105" t="s">
        <v>3623</v>
      </c>
      <c r="P840" s="79" t="s">
        <v>3934</v>
      </c>
    </row>
    <row r="841" spans="1:16" ht="30" customHeight="1" x14ac:dyDescent="0.3">
      <c r="A841" s="53" t="s">
        <v>3621</v>
      </c>
      <c r="B841" s="52" t="s">
        <v>1456</v>
      </c>
      <c r="C841" s="52" t="s">
        <v>117</v>
      </c>
      <c r="D841" s="79" t="str">
        <f t="shared" ca="1" si="72"/>
        <v>원자재</v>
      </c>
      <c r="E841" s="79" t="str">
        <f t="shared" ca="1" si="73"/>
        <v>AR</v>
      </c>
      <c r="F841" s="52"/>
      <c r="G841" s="52" t="s">
        <v>3935</v>
      </c>
      <c r="H841" s="79" t="str">
        <f t="shared" si="74"/>
        <v>창고전용</v>
      </c>
      <c r="I841" s="79" t="str">
        <f t="shared" ca="1" si="75"/>
        <v>6-AR</v>
      </c>
      <c r="J841" s="61" t="s">
        <v>3935</v>
      </c>
      <c r="K841" s="65" t="s">
        <v>3936</v>
      </c>
      <c r="L841" s="104" t="str">
        <f t="shared" si="71"/>
        <v>→ 창고 R584</v>
      </c>
      <c r="M841" s="84"/>
      <c r="N841" s="105">
        <v>584</v>
      </c>
      <c r="O841" s="105" t="s">
        <v>3623</v>
      </c>
      <c r="P841" s="79" t="s">
        <v>3937</v>
      </c>
    </row>
    <row r="842" spans="1:16" ht="30" customHeight="1" x14ac:dyDescent="0.3">
      <c r="A842" s="53" t="s">
        <v>3621</v>
      </c>
      <c r="B842" s="52" t="s">
        <v>1493</v>
      </c>
      <c r="C842" s="52" t="s">
        <v>333</v>
      </c>
      <c r="D842" s="79" t="str">
        <f t="shared" ca="1" si="72"/>
        <v>원자재</v>
      </c>
      <c r="E842" s="79" t="str">
        <f t="shared" ca="1" si="73"/>
        <v>AR</v>
      </c>
      <c r="F842" s="52"/>
      <c r="G842" s="52" t="s">
        <v>3938</v>
      </c>
      <c r="H842" s="79" t="str">
        <f t="shared" si="74"/>
        <v>창고전용</v>
      </c>
      <c r="I842" s="79" t="str">
        <f t="shared" ca="1" si="75"/>
        <v>6-AR</v>
      </c>
      <c r="J842" s="61" t="s">
        <v>3938</v>
      </c>
      <c r="K842" s="65" t="s">
        <v>3939</v>
      </c>
      <c r="L842" s="104" t="str">
        <f t="shared" si="71"/>
        <v>→ 창고 R586</v>
      </c>
      <c r="M842" s="84"/>
      <c r="N842" s="105">
        <v>586</v>
      </c>
      <c r="O842" s="105" t="s">
        <v>3623</v>
      </c>
      <c r="P842" s="79" t="s">
        <v>3940</v>
      </c>
    </row>
    <row r="843" spans="1:16" ht="30" customHeight="1" x14ac:dyDescent="0.3">
      <c r="A843" s="53" t="s">
        <v>3621</v>
      </c>
      <c r="B843" s="52" t="s">
        <v>1395</v>
      </c>
      <c r="C843" s="52" t="s">
        <v>117</v>
      </c>
      <c r="D843" s="79" t="str">
        <f t="shared" ca="1" si="72"/>
        <v>원자재</v>
      </c>
      <c r="E843" s="79" t="str">
        <f t="shared" ca="1" si="73"/>
        <v>AR</v>
      </c>
      <c r="F843" s="52"/>
      <c r="G843" s="52" t="s">
        <v>3941</v>
      </c>
      <c r="H843" s="79" t="str">
        <f t="shared" si="74"/>
        <v>창고전용</v>
      </c>
      <c r="I843" s="79" t="str">
        <f t="shared" ca="1" si="75"/>
        <v>6-AR</v>
      </c>
      <c r="J843" s="61" t="s">
        <v>3941</v>
      </c>
      <c r="K843" s="65" t="s">
        <v>3942</v>
      </c>
      <c r="L843" s="104" t="str">
        <f t="shared" si="71"/>
        <v>→ 창고 R589</v>
      </c>
      <c r="M843" s="84"/>
      <c r="N843" s="105">
        <v>589</v>
      </c>
      <c r="O843" s="105" t="s">
        <v>3623</v>
      </c>
      <c r="P843" s="79" t="s">
        <v>3943</v>
      </c>
    </row>
    <row r="844" spans="1:16" ht="30" customHeight="1" x14ac:dyDescent="0.3">
      <c r="A844" s="53" t="s">
        <v>3621</v>
      </c>
      <c r="B844" s="52" t="s">
        <v>1368</v>
      </c>
      <c r="C844" s="52" t="s">
        <v>117</v>
      </c>
      <c r="D844" s="79" t="str">
        <f t="shared" ca="1" si="72"/>
        <v>원자재</v>
      </c>
      <c r="E844" s="79" t="str">
        <f t="shared" ca="1" si="73"/>
        <v>AR</v>
      </c>
      <c r="F844" s="52"/>
      <c r="G844" s="52" t="s">
        <v>3944</v>
      </c>
      <c r="H844" s="79" t="str">
        <f t="shared" si="74"/>
        <v>창고전용</v>
      </c>
      <c r="I844" s="79" t="str">
        <f t="shared" ca="1" si="75"/>
        <v>6-AR</v>
      </c>
      <c r="J844" s="65" t="s">
        <v>3944</v>
      </c>
      <c r="K844" s="65" t="s">
        <v>3945</v>
      </c>
      <c r="L844" s="104" t="str">
        <f t="shared" si="71"/>
        <v>→ 창고 R590</v>
      </c>
      <c r="M844" s="84"/>
      <c r="N844" s="105">
        <v>590</v>
      </c>
      <c r="O844" s="105" t="s">
        <v>3623</v>
      </c>
      <c r="P844" s="79" t="s">
        <v>3946</v>
      </c>
    </row>
    <row r="845" spans="1:16" ht="30" customHeight="1" x14ac:dyDescent="0.3">
      <c r="A845" s="53" t="s">
        <v>3621</v>
      </c>
      <c r="B845" s="52" t="s">
        <v>1368</v>
      </c>
      <c r="C845" s="52" t="s">
        <v>117</v>
      </c>
      <c r="D845" s="79" t="str">
        <f t="shared" ca="1" si="72"/>
        <v>원자재</v>
      </c>
      <c r="E845" s="79" t="str">
        <f t="shared" ca="1" si="73"/>
        <v>AR</v>
      </c>
      <c r="F845" s="52"/>
      <c r="G845" s="52" t="s">
        <v>3947</v>
      </c>
      <c r="H845" s="79" t="str">
        <f t="shared" si="74"/>
        <v>창고전용</v>
      </c>
      <c r="I845" s="79" t="str">
        <f t="shared" ca="1" si="75"/>
        <v>6-AR</v>
      </c>
      <c r="J845" s="65" t="s">
        <v>3947</v>
      </c>
      <c r="K845" s="65" t="s">
        <v>3948</v>
      </c>
      <c r="L845" s="104" t="str">
        <f t="shared" si="71"/>
        <v>→ 창고 R591</v>
      </c>
      <c r="M845" s="84"/>
      <c r="N845" s="105">
        <v>591</v>
      </c>
      <c r="O845" s="105" t="s">
        <v>3623</v>
      </c>
      <c r="P845" s="79" t="s">
        <v>3949</v>
      </c>
    </row>
    <row r="846" spans="1:16" ht="30" customHeight="1" x14ac:dyDescent="0.3">
      <c r="A846" s="53" t="s">
        <v>3621</v>
      </c>
      <c r="B846" s="52" t="s">
        <v>1646</v>
      </c>
      <c r="C846" s="52" t="s">
        <v>333</v>
      </c>
      <c r="D846" s="79" t="str">
        <f t="shared" ca="1" si="72"/>
        <v>반제품</v>
      </c>
      <c r="E846" s="79" t="str">
        <f t="shared" ca="1" si="73"/>
        <v>AA</v>
      </c>
      <c r="F846" s="52"/>
      <c r="G846" s="52" t="s">
        <v>3950</v>
      </c>
      <c r="H846" s="79" t="str">
        <f t="shared" si="74"/>
        <v>창고전용</v>
      </c>
      <c r="I846" s="79" t="str">
        <f t="shared" ca="1" si="75"/>
        <v>6-AA</v>
      </c>
      <c r="J846" s="65" t="s">
        <v>3950</v>
      </c>
      <c r="K846" s="65" t="s">
        <v>3951</v>
      </c>
      <c r="L846" s="104" t="str">
        <f t="shared" si="71"/>
        <v>→ 창고 R592</v>
      </c>
      <c r="M846" s="84"/>
      <c r="N846" s="105">
        <v>592</v>
      </c>
      <c r="O846" s="105" t="s">
        <v>3623</v>
      </c>
      <c r="P846" s="79" t="s">
        <v>3952</v>
      </c>
    </row>
    <row r="847" spans="1:16" ht="30" customHeight="1" x14ac:dyDescent="0.3">
      <c r="A847" s="53" t="s">
        <v>3621</v>
      </c>
      <c r="B847" s="52" t="s">
        <v>1646</v>
      </c>
      <c r="C847" s="52" t="s">
        <v>333</v>
      </c>
      <c r="D847" s="79" t="str">
        <f t="shared" ca="1" si="72"/>
        <v>반제품</v>
      </c>
      <c r="E847" s="79" t="str">
        <f t="shared" ca="1" si="73"/>
        <v>AA</v>
      </c>
      <c r="F847" s="52"/>
      <c r="G847" s="52" t="s">
        <v>3953</v>
      </c>
      <c r="H847" s="79" t="str">
        <f t="shared" si="74"/>
        <v>창고전용</v>
      </c>
      <c r="I847" s="79" t="str">
        <f t="shared" ca="1" si="75"/>
        <v>6-AA</v>
      </c>
      <c r="J847" s="65" t="s">
        <v>3953</v>
      </c>
      <c r="K847" s="65" t="s">
        <v>3954</v>
      </c>
      <c r="L847" s="104" t="str">
        <f t="shared" si="71"/>
        <v>→ 창고 R593</v>
      </c>
      <c r="M847" s="84"/>
      <c r="N847" s="105">
        <v>593</v>
      </c>
      <c r="O847" s="105" t="s">
        <v>3623</v>
      </c>
      <c r="P847" s="79" t="s">
        <v>3955</v>
      </c>
    </row>
    <row r="848" spans="1:16" ht="30" customHeight="1" x14ac:dyDescent="0.3">
      <c r="A848" s="171" t="s">
        <v>771</v>
      </c>
      <c r="B848" s="168" t="s">
        <v>1650</v>
      </c>
      <c r="C848" s="168" t="s">
        <v>195</v>
      </c>
      <c r="D848" s="172" t="str">
        <f t="shared" ca="1" si="72"/>
        <v>반제품</v>
      </c>
      <c r="E848" s="172" t="str">
        <f t="shared" ca="1" si="73"/>
        <v>PA</v>
      </c>
      <c r="F848" s="168" t="s">
        <v>1651</v>
      </c>
      <c r="G848" s="168" t="s">
        <v>1651</v>
      </c>
      <c r="H848" s="172" t="str">
        <f t="shared" si="74"/>
        <v>매칭완료</v>
      </c>
      <c r="I848" s="172" t="str">
        <f t="shared" ca="1" si="75"/>
        <v>3-PA</v>
      </c>
      <c r="J848" s="173" t="s">
        <v>1651</v>
      </c>
      <c r="K848" s="173" t="s">
        <v>1651</v>
      </c>
      <c r="L848" s="108" t="str">
        <f t="shared" ref="L848:L879" si="76">HYPERLINK("#'"&amp;$O848&amp;"'!A"&amp;$N848,"→ 출하 R"&amp;$N848)</f>
        <v>→ 출하 R2</v>
      </c>
      <c r="M848" s="174"/>
      <c r="N848" s="109">
        <v>2</v>
      </c>
      <c r="O848" s="109" t="s">
        <v>3956</v>
      </c>
      <c r="P848" s="172" t="s">
        <v>3957</v>
      </c>
    </row>
    <row r="849" spans="1:16" ht="30" customHeight="1" x14ac:dyDescent="0.3">
      <c r="A849" s="171" t="s">
        <v>771</v>
      </c>
      <c r="B849" s="168" t="s">
        <v>1650</v>
      </c>
      <c r="C849" s="168" t="s">
        <v>195</v>
      </c>
      <c r="D849" s="172" t="str">
        <f t="shared" ca="1" si="72"/>
        <v>반제품</v>
      </c>
      <c r="E849" s="172" t="str">
        <f t="shared" ca="1" si="73"/>
        <v>PA</v>
      </c>
      <c r="F849" s="168" t="s">
        <v>1652</v>
      </c>
      <c r="G849" s="168" t="s">
        <v>1652</v>
      </c>
      <c r="H849" s="172" t="str">
        <f t="shared" si="74"/>
        <v>매칭완료</v>
      </c>
      <c r="I849" s="172" t="str">
        <f t="shared" ca="1" si="75"/>
        <v>3-PA</v>
      </c>
      <c r="J849" s="173" t="s">
        <v>1652</v>
      </c>
      <c r="K849" s="173" t="s">
        <v>1652</v>
      </c>
      <c r="L849" s="108" t="str">
        <f t="shared" si="76"/>
        <v>→ 출하 R3</v>
      </c>
      <c r="M849" s="174"/>
      <c r="N849" s="109">
        <v>3</v>
      </c>
      <c r="O849" s="109" t="s">
        <v>3956</v>
      </c>
      <c r="P849" s="172" t="s">
        <v>3958</v>
      </c>
    </row>
    <row r="850" spans="1:16" ht="30" customHeight="1" x14ac:dyDescent="0.3">
      <c r="A850" s="171" t="s">
        <v>771</v>
      </c>
      <c r="B850" s="168" t="s">
        <v>1650</v>
      </c>
      <c r="C850" s="168" t="s">
        <v>195</v>
      </c>
      <c r="D850" s="172" t="str">
        <f t="shared" ca="1" si="72"/>
        <v>반제품</v>
      </c>
      <c r="E850" s="172" t="str">
        <f t="shared" ca="1" si="73"/>
        <v>PA</v>
      </c>
      <c r="F850" s="168" t="s">
        <v>1653</v>
      </c>
      <c r="G850" s="168" t="s">
        <v>1653</v>
      </c>
      <c r="H850" s="172" t="str">
        <f t="shared" si="74"/>
        <v>매칭완료</v>
      </c>
      <c r="I850" s="172" t="str">
        <f t="shared" ca="1" si="75"/>
        <v>3-PA</v>
      </c>
      <c r="J850" s="173" t="s">
        <v>1653</v>
      </c>
      <c r="K850" s="173" t="s">
        <v>1653</v>
      </c>
      <c r="L850" s="108" t="str">
        <f t="shared" si="76"/>
        <v>→ 출하 R4</v>
      </c>
      <c r="M850" s="174"/>
      <c r="N850" s="109">
        <v>4</v>
      </c>
      <c r="O850" s="109" t="s">
        <v>3956</v>
      </c>
      <c r="P850" s="172" t="s">
        <v>3959</v>
      </c>
    </row>
    <row r="851" spans="1:16" ht="30" customHeight="1" x14ac:dyDescent="0.3">
      <c r="A851" s="171" t="s">
        <v>771</v>
      </c>
      <c r="B851" s="168" t="s">
        <v>1650</v>
      </c>
      <c r="C851" s="168" t="s">
        <v>328</v>
      </c>
      <c r="D851" s="172" t="str">
        <f t="shared" ca="1" si="72"/>
        <v>반제품</v>
      </c>
      <c r="E851" s="172" t="str">
        <f t="shared" ca="1" si="73"/>
        <v>PA</v>
      </c>
      <c r="F851" s="168" t="s">
        <v>1654</v>
      </c>
      <c r="G851" s="168" t="s">
        <v>1654</v>
      </c>
      <c r="H851" s="172" t="str">
        <f t="shared" si="74"/>
        <v>매칭완료</v>
      </c>
      <c r="I851" s="172" t="str">
        <f t="shared" ca="1" si="75"/>
        <v>3-PA</v>
      </c>
      <c r="J851" s="173" t="s">
        <v>1654</v>
      </c>
      <c r="K851" s="173" t="s">
        <v>1654</v>
      </c>
      <c r="L851" s="108" t="str">
        <f t="shared" si="76"/>
        <v>→ 출하 R5</v>
      </c>
      <c r="M851" s="174"/>
      <c r="N851" s="109">
        <v>5</v>
      </c>
      <c r="O851" s="109" t="s">
        <v>3956</v>
      </c>
      <c r="P851" s="172" t="s">
        <v>3960</v>
      </c>
    </row>
    <row r="852" spans="1:16" ht="30" customHeight="1" x14ac:dyDescent="0.3">
      <c r="A852" s="171" t="s">
        <v>771</v>
      </c>
      <c r="B852" s="168" t="s">
        <v>1650</v>
      </c>
      <c r="C852" s="168" t="s">
        <v>328</v>
      </c>
      <c r="D852" s="172" t="str">
        <f t="shared" ca="1" si="72"/>
        <v>반제품</v>
      </c>
      <c r="E852" s="172" t="str">
        <f t="shared" ca="1" si="73"/>
        <v>PA</v>
      </c>
      <c r="F852" s="168" t="s">
        <v>1655</v>
      </c>
      <c r="G852" s="168" t="s">
        <v>1655</v>
      </c>
      <c r="H852" s="172" t="str">
        <f t="shared" si="74"/>
        <v>매칭완료</v>
      </c>
      <c r="I852" s="172" t="str">
        <f t="shared" ca="1" si="75"/>
        <v>3-PA</v>
      </c>
      <c r="J852" s="173" t="s">
        <v>1655</v>
      </c>
      <c r="K852" s="173" t="s">
        <v>1655</v>
      </c>
      <c r="L852" s="108" t="str">
        <f t="shared" si="76"/>
        <v>→ 출하 R6</v>
      </c>
      <c r="M852" s="174"/>
      <c r="N852" s="109">
        <v>6</v>
      </c>
      <c r="O852" s="109" t="s">
        <v>3956</v>
      </c>
      <c r="P852" s="172" t="s">
        <v>3961</v>
      </c>
    </row>
    <row r="853" spans="1:16" ht="30" customHeight="1" x14ac:dyDescent="0.3">
      <c r="A853" s="171" t="s">
        <v>771</v>
      </c>
      <c r="B853" s="168" t="s">
        <v>1650</v>
      </c>
      <c r="C853" s="168" t="s">
        <v>328</v>
      </c>
      <c r="D853" s="172" t="str">
        <f t="shared" ca="1" si="72"/>
        <v>반제품</v>
      </c>
      <c r="E853" s="172" t="str">
        <f t="shared" ca="1" si="73"/>
        <v>PA</v>
      </c>
      <c r="F853" s="168" t="s">
        <v>1656</v>
      </c>
      <c r="G853" s="168" t="s">
        <v>1656</v>
      </c>
      <c r="H853" s="172" t="str">
        <f t="shared" si="74"/>
        <v>매칭완료</v>
      </c>
      <c r="I853" s="172" t="str">
        <f t="shared" ca="1" si="75"/>
        <v>3-PA</v>
      </c>
      <c r="J853" s="173" t="s">
        <v>1656</v>
      </c>
      <c r="K853" s="173" t="s">
        <v>1656</v>
      </c>
      <c r="L853" s="108" t="str">
        <f t="shared" si="76"/>
        <v>→ 출하 R7</v>
      </c>
      <c r="M853" s="174"/>
      <c r="N853" s="109">
        <v>7</v>
      </c>
      <c r="O853" s="109" t="s">
        <v>3956</v>
      </c>
      <c r="P853" s="172" t="s">
        <v>3962</v>
      </c>
    </row>
    <row r="854" spans="1:16" ht="30" customHeight="1" x14ac:dyDescent="0.3">
      <c r="A854" s="171" t="s">
        <v>771</v>
      </c>
      <c r="B854" s="168" t="s">
        <v>1650</v>
      </c>
      <c r="C854" s="168" t="s">
        <v>328</v>
      </c>
      <c r="D854" s="172" t="str">
        <f t="shared" ca="1" si="72"/>
        <v>반제품</v>
      </c>
      <c r="E854" s="172" t="str">
        <f t="shared" ca="1" si="73"/>
        <v>PA</v>
      </c>
      <c r="F854" s="168" t="s">
        <v>1657</v>
      </c>
      <c r="G854" s="168" t="s">
        <v>1657</v>
      </c>
      <c r="H854" s="172" t="str">
        <f t="shared" si="74"/>
        <v>매칭완료</v>
      </c>
      <c r="I854" s="172" t="str">
        <f t="shared" ca="1" si="75"/>
        <v>3-PA</v>
      </c>
      <c r="J854" s="173" t="s">
        <v>1657</v>
      </c>
      <c r="K854" s="173" t="s">
        <v>1657</v>
      </c>
      <c r="L854" s="108" t="str">
        <f t="shared" si="76"/>
        <v>→ 출하 R8</v>
      </c>
      <c r="M854" s="174"/>
      <c r="N854" s="109">
        <v>8</v>
      </c>
      <c r="O854" s="109" t="s">
        <v>3956</v>
      </c>
      <c r="P854" s="172" t="s">
        <v>3963</v>
      </c>
    </row>
    <row r="855" spans="1:16" ht="30" customHeight="1" x14ac:dyDescent="0.3">
      <c r="A855" s="171" t="s">
        <v>771</v>
      </c>
      <c r="B855" s="168" t="s">
        <v>1658</v>
      </c>
      <c r="C855" s="168" t="s">
        <v>195</v>
      </c>
      <c r="D855" s="172" t="str">
        <f t="shared" ca="1" si="72"/>
        <v>완제품</v>
      </c>
      <c r="E855" s="172" t="str">
        <f t="shared" ca="1" si="73"/>
        <v>PF</v>
      </c>
      <c r="F855" s="168" t="s">
        <v>1659</v>
      </c>
      <c r="G855" s="168" t="s">
        <v>1659</v>
      </c>
      <c r="H855" s="172" t="str">
        <f t="shared" si="74"/>
        <v>매칭완료</v>
      </c>
      <c r="I855" s="172" t="str">
        <f t="shared" ca="1" si="75"/>
        <v>3-PF</v>
      </c>
      <c r="J855" s="173" t="s">
        <v>1659</v>
      </c>
      <c r="K855" s="173" t="s">
        <v>1659</v>
      </c>
      <c r="L855" s="108" t="str">
        <f t="shared" si="76"/>
        <v>→ 출하 R9</v>
      </c>
      <c r="M855" s="174"/>
      <c r="N855" s="109">
        <v>9</v>
      </c>
      <c r="O855" s="109" t="s">
        <v>3956</v>
      </c>
      <c r="P855" s="172" t="s">
        <v>3964</v>
      </c>
    </row>
    <row r="856" spans="1:16" ht="30" customHeight="1" x14ac:dyDescent="0.3">
      <c r="A856" s="171" t="s">
        <v>771</v>
      </c>
      <c r="B856" s="168" t="s">
        <v>1658</v>
      </c>
      <c r="C856" s="168" t="s">
        <v>195</v>
      </c>
      <c r="D856" s="172" t="str">
        <f t="shared" ca="1" si="72"/>
        <v>완제품</v>
      </c>
      <c r="E856" s="172" t="str">
        <f t="shared" ca="1" si="73"/>
        <v>PF</v>
      </c>
      <c r="F856" s="168" t="s">
        <v>1660</v>
      </c>
      <c r="G856" s="168" t="s">
        <v>1660</v>
      </c>
      <c r="H856" s="172" t="str">
        <f t="shared" si="74"/>
        <v>매칭완료</v>
      </c>
      <c r="I856" s="172" t="str">
        <f t="shared" ca="1" si="75"/>
        <v>3-PF</v>
      </c>
      <c r="J856" s="173" t="s">
        <v>1660</v>
      </c>
      <c r="K856" s="173" t="s">
        <v>1660</v>
      </c>
      <c r="L856" s="108" t="str">
        <f t="shared" si="76"/>
        <v>→ 출하 R10</v>
      </c>
      <c r="M856" s="174"/>
      <c r="N856" s="109">
        <v>10</v>
      </c>
      <c r="O856" s="109" t="s">
        <v>3956</v>
      </c>
      <c r="P856" s="172" t="s">
        <v>3965</v>
      </c>
    </row>
    <row r="857" spans="1:16" ht="30" customHeight="1" x14ac:dyDescent="0.3">
      <c r="A857" s="171" t="s">
        <v>771</v>
      </c>
      <c r="B857" s="168" t="s">
        <v>1658</v>
      </c>
      <c r="C857" s="168" t="s">
        <v>195</v>
      </c>
      <c r="D857" s="172" t="str">
        <f t="shared" ca="1" si="72"/>
        <v>완제품</v>
      </c>
      <c r="E857" s="172" t="str">
        <f t="shared" ca="1" si="73"/>
        <v>PF</v>
      </c>
      <c r="F857" s="168" t="s">
        <v>1661</v>
      </c>
      <c r="G857" s="168" t="s">
        <v>1661</v>
      </c>
      <c r="H857" s="172" t="str">
        <f t="shared" si="74"/>
        <v>매칭완료</v>
      </c>
      <c r="I857" s="172" t="str">
        <f t="shared" ca="1" si="75"/>
        <v>3-PF</v>
      </c>
      <c r="J857" s="173" t="s">
        <v>1661</v>
      </c>
      <c r="K857" s="173" t="s">
        <v>1661</v>
      </c>
      <c r="L857" s="108" t="str">
        <f t="shared" si="76"/>
        <v>→ 출하 R11</v>
      </c>
      <c r="M857" s="174"/>
      <c r="N857" s="109">
        <v>11</v>
      </c>
      <c r="O857" s="109" t="s">
        <v>3956</v>
      </c>
      <c r="P857" s="172" t="s">
        <v>3966</v>
      </c>
    </row>
    <row r="858" spans="1:16" ht="30" customHeight="1" x14ac:dyDescent="0.3">
      <c r="A858" s="171" t="s">
        <v>771</v>
      </c>
      <c r="B858" s="168" t="s">
        <v>1658</v>
      </c>
      <c r="C858" s="168" t="s">
        <v>328</v>
      </c>
      <c r="D858" s="172" t="str">
        <f t="shared" ca="1" si="72"/>
        <v>완제품</v>
      </c>
      <c r="E858" s="172" t="str">
        <f t="shared" ca="1" si="73"/>
        <v>PF</v>
      </c>
      <c r="F858" s="168" t="s">
        <v>1662</v>
      </c>
      <c r="G858" s="168" t="s">
        <v>1662</v>
      </c>
      <c r="H858" s="172" t="str">
        <f t="shared" si="74"/>
        <v>매칭완료</v>
      </c>
      <c r="I858" s="172" t="str">
        <f t="shared" ca="1" si="75"/>
        <v>3-PF</v>
      </c>
      <c r="J858" s="173" t="s">
        <v>1662</v>
      </c>
      <c r="K858" s="173" t="s">
        <v>1662</v>
      </c>
      <c r="L858" s="108" t="str">
        <f t="shared" si="76"/>
        <v>→ 출하 R12</v>
      </c>
      <c r="M858" s="174"/>
      <c r="N858" s="109">
        <v>12</v>
      </c>
      <c r="O858" s="109" t="s">
        <v>3956</v>
      </c>
      <c r="P858" s="172" t="s">
        <v>3967</v>
      </c>
    </row>
    <row r="859" spans="1:16" ht="30" customHeight="1" x14ac:dyDescent="0.3">
      <c r="A859" s="171" t="s">
        <v>771</v>
      </c>
      <c r="B859" s="168" t="s">
        <v>1658</v>
      </c>
      <c r="C859" s="168" t="s">
        <v>328</v>
      </c>
      <c r="D859" s="172" t="str">
        <f t="shared" ca="1" si="72"/>
        <v>완제품</v>
      </c>
      <c r="E859" s="172" t="str">
        <f t="shared" ca="1" si="73"/>
        <v>PF</v>
      </c>
      <c r="F859" s="168" t="s">
        <v>1663</v>
      </c>
      <c r="G859" s="168" t="s">
        <v>1663</v>
      </c>
      <c r="H859" s="172" t="str">
        <f t="shared" si="74"/>
        <v>매칭완료</v>
      </c>
      <c r="I859" s="172" t="str">
        <f t="shared" ca="1" si="75"/>
        <v>3-PF</v>
      </c>
      <c r="J859" s="173" t="s">
        <v>1663</v>
      </c>
      <c r="K859" s="173" t="s">
        <v>1663</v>
      </c>
      <c r="L859" s="108" t="str">
        <f t="shared" si="76"/>
        <v>→ 출하 R13</v>
      </c>
      <c r="M859" s="174"/>
      <c r="N859" s="109">
        <v>13</v>
      </c>
      <c r="O859" s="109" t="s">
        <v>3956</v>
      </c>
      <c r="P859" s="172" t="s">
        <v>3968</v>
      </c>
    </row>
    <row r="860" spans="1:16" ht="30" customHeight="1" x14ac:dyDescent="0.3">
      <c r="A860" s="171" t="s">
        <v>771</v>
      </c>
      <c r="B860" s="168" t="s">
        <v>1658</v>
      </c>
      <c r="C860" s="168" t="s">
        <v>328</v>
      </c>
      <c r="D860" s="172" t="str">
        <f t="shared" ca="1" si="72"/>
        <v>완제품</v>
      </c>
      <c r="E860" s="172" t="str">
        <f t="shared" ca="1" si="73"/>
        <v>PF</v>
      </c>
      <c r="F860" s="168" t="s">
        <v>1664</v>
      </c>
      <c r="G860" s="168" t="s">
        <v>1664</v>
      </c>
      <c r="H860" s="172" t="str">
        <f t="shared" si="74"/>
        <v>매칭완료</v>
      </c>
      <c r="I860" s="172" t="str">
        <f t="shared" ca="1" si="75"/>
        <v>3-PF</v>
      </c>
      <c r="J860" s="173" t="s">
        <v>1664</v>
      </c>
      <c r="K860" s="173" t="s">
        <v>1664</v>
      </c>
      <c r="L860" s="108" t="str">
        <f t="shared" si="76"/>
        <v>→ 출하 R14</v>
      </c>
      <c r="M860" s="174"/>
      <c r="N860" s="109">
        <v>14</v>
      </c>
      <c r="O860" s="109" t="s">
        <v>3956</v>
      </c>
      <c r="P860" s="172" t="s">
        <v>3969</v>
      </c>
    </row>
    <row r="861" spans="1:16" ht="30" customHeight="1" x14ac:dyDescent="0.3">
      <c r="A861" s="171" t="s">
        <v>771</v>
      </c>
      <c r="B861" s="168" t="s">
        <v>1658</v>
      </c>
      <c r="C861" s="168" t="s">
        <v>328</v>
      </c>
      <c r="D861" s="172" t="str">
        <f t="shared" ca="1" si="72"/>
        <v>완제품</v>
      </c>
      <c r="E861" s="172" t="str">
        <f t="shared" ca="1" si="73"/>
        <v>PF</v>
      </c>
      <c r="F861" s="168" t="s">
        <v>1665</v>
      </c>
      <c r="G861" s="168" t="s">
        <v>1665</v>
      </c>
      <c r="H861" s="172" t="str">
        <f t="shared" si="74"/>
        <v>매칭완료</v>
      </c>
      <c r="I861" s="172" t="str">
        <f t="shared" ca="1" si="75"/>
        <v>3-PF</v>
      </c>
      <c r="J861" s="173" t="s">
        <v>1665</v>
      </c>
      <c r="K861" s="173" t="s">
        <v>1665</v>
      </c>
      <c r="L861" s="108" t="str">
        <f t="shared" si="76"/>
        <v>→ 출하 R15</v>
      </c>
      <c r="M861" s="174"/>
      <c r="N861" s="109">
        <v>15</v>
      </c>
      <c r="O861" s="109" t="s">
        <v>3956</v>
      </c>
      <c r="P861" s="172" t="s">
        <v>3970</v>
      </c>
    </row>
    <row r="862" spans="1:16" ht="30" customHeight="1" x14ac:dyDescent="0.3">
      <c r="A862" s="171" t="s">
        <v>771</v>
      </c>
      <c r="B862" s="168" t="s">
        <v>1650</v>
      </c>
      <c r="C862" s="168" t="s">
        <v>198</v>
      </c>
      <c r="D862" s="172" t="str">
        <f t="shared" ca="1" si="72"/>
        <v>반제품</v>
      </c>
      <c r="E862" s="172" t="str">
        <f t="shared" ca="1" si="73"/>
        <v>PA</v>
      </c>
      <c r="F862" s="168" t="s">
        <v>1666</v>
      </c>
      <c r="G862" s="168" t="s">
        <v>1666</v>
      </c>
      <c r="H862" s="172" t="str">
        <f t="shared" si="74"/>
        <v>매칭완료</v>
      </c>
      <c r="I862" s="172" t="str">
        <f t="shared" ca="1" si="75"/>
        <v>4-PA</v>
      </c>
      <c r="J862" s="173" t="s">
        <v>1666</v>
      </c>
      <c r="K862" s="173" t="s">
        <v>1666</v>
      </c>
      <c r="L862" s="108" t="str">
        <f t="shared" si="76"/>
        <v>→ 출하 R16</v>
      </c>
      <c r="M862" s="174"/>
      <c r="N862" s="109">
        <v>16</v>
      </c>
      <c r="O862" s="109" t="s">
        <v>3956</v>
      </c>
      <c r="P862" s="172" t="s">
        <v>3971</v>
      </c>
    </row>
    <row r="863" spans="1:16" ht="30" customHeight="1" x14ac:dyDescent="0.3">
      <c r="A863" s="171" t="s">
        <v>771</v>
      </c>
      <c r="B863" s="168" t="s">
        <v>1650</v>
      </c>
      <c r="C863" s="168" t="s">
        <v>198</v>
      </c>
      <c r="D863" s="172" t="str">
        <f t="shared" ca="1" si="72"/>
        <v>반제품</v>
      </c>
      <c r="E863" s="172" t="str">
        <f t="shared" ca="1" si="73"/>
        <v>PA</v>
      </c>
      <c r="F863" s="168" t="s">
        <v>1667</v>
      </c>
      <c r="G863" s="168" t="s">
        <v>1667</v>
      </c>
      <c r="H863" s="172" t="str">
        <f t="shared" si="74"/>
        <v>매칭완료</v>
      </c>
      <c r="I863" s="172" t="str">
        <f t="shared" ca="1" si="75"/>
        <v>4-PA</v>
      </c>
      <c r="J863" s="173" t="s">
        <v>1667</v>
      </c>
      <c r="K863" s="173" t="s">
        <v>1667</v>
      </c>
      <c r="L863" s="108" t="str">
        <f t="shared" si="76"/>
        <v>→ 출하 R17</v>
      </c>
      <c r="M863" s="174"/>
      <c r="N863" s="109">
        <v>17</v>
      </c>
      <c r="O863" s="109" t="s">
        <v>3956</v>
      </c>
      <c r="P863" s="172" t="s">
        <v>3972</v>
      </c>
    </row>
    <row r="864" spans="1:16" ht="30" customHeight="1" x14ac:dyDescent="0.3">
      <c r="A864" s="171" t="s">
        <v>771</v>
      </c>
      <c r="B864" s="168" t="s">
        <v>1650</v>
      </c>
      <c r="C864" s="168" t="s">
        <v>198</v>
      </c>
      <c r="D864" s="172" t="str">
        <f t="shared" ca="1" si="72"/>
        <v>반제품</v>
      </c>
      <c r="E864" s="172" t="str">
        <f t="shared" ca="1" si="73"/>
        <v>PA</v>
      </c>
      <c r="F864" s="168" t="s">
        <v>1668</v>
      </c>
      <c r="G864" s="168" t="s">
        <v>1668</v>
      </c>
      <c r="H864" s="172" t="str">
        <f t="shared" si="74"/>
        <v>매칭완료</v>
      </c>
      <c r="I864" s="172" t="str">
        <f t="shared" ca="1" si="75"/>
        <v>4-PA</v>
      </c>
      <c r="J864" s="173" t="s">
        <v>1668</v>
      </c>
      <c r="K864" s="173" t="s">
        <v>1668</v>
      </c>
      <c r="L864" s="108" t="str">
        <f t="shared" si="76"/>
        <v>→ 출하 R18</v>
      </c>
      <c r="M864" s="174"/>
      <c r="N864" s="109">
        <v>18</v>
      </c>
      <c r="O864" s="109" t="s">
        <v>3956</v>
      </c>
      <c r="P864" s="172" t="s">
        <v>3973</v>
      </c>
    </row>
    <row r="865" spans="1:16" ht="30" customHeight="1" x14ac:dyDescent="0.3">
      <c r="A865" s="171" t="s">
        <v>771</v>
      </c>
      <c r="B865" s="168" t="s">
        <v>1658</v>
      </c>
      <c r="C865" s="168" t="s">
        <v>198</v>
      </c>
      <c r="D865" s="172" t="str">
        <f t="shared" ca="1" si="72"/>
        <v>완제품</v>
      </c>
      <c r="E865" s="172" t="str">
        <f t="shared" ca="1" si="73"/>
        <v>PF</v>
      </c>
      <c r="F865" s="168" t="s">
        <v>1669</v>
      </c>
      <c r="G865" s="168" t="s">
        <v>1669</v>
      </c>
      <c r="H865" s="172" t="str">
        <f t="shared" si="74"/>
        <v>매칭완료</v>
      </c>
      <c r="I865" s="172" t="str">
        <f t="shared" ca="1" si="75"/>
        <v>4-PF</v>
      </c>
      <c r="J865" s="173" t="s">
        <v>1669</v>
      </c>
      <c r="K865" s="173" t="s">
        <v>1669</v>
      </c>
      <c r="L865" s="108" t="str">
        <f t="shared" si="76"/>
        <v>→ 출하 R19</v>
      </c>
      <c r="M865" s="174"/>
      <c r="N865" s="109">
        <v>19</v>
      </c>
      <c r="O865" s="109" t="s">
        <v>3956</v>
      </c>
      <c r="P865" s="172" t="s">
        <v>3974</v>
      </c>
    </row>
    <row r="866" spans="1:16" ht="30" customHeight="1" x14ac:dyDescent="0.3">
      <c r="A866" s="171" t="s">
        <v>771</v>
      </c>
      <c r="B866" s="168" t="s">
        <v>1658</v>
      </c>
      <c r="C866" s="168" t="s">
        <v>198</v>
      </c>
      <c r="D866" s="172" t="str">
        <f t="shared" ca="1" si="72"/>
        <v>완제품</v>
      </c>
      <c r="E866" s="172" t="str">
        <f t="shared" ca="1" si="73"/>
        <v>PF</v>
      </c>
      <c r="F866" s="168" t="s">
        <v>1670</v>
      </c>
      <c r="G866" s="168" t="s">
        <v>1670</v>
      </c>
      <c r="H866" s="172" t="str">
        <f t="shared" si="74"/>
        <v>매칭완료</v>
      </c>
      <c r="I866" s="172" t="str">
        <f t="shared" ca="1" si="75"/>
        <v>4-PF</v>
      </c>
      <c r="J866" s="173" t="s">
        <v>1670</v>
      </c>
      <c r="K866" s="173" t="s">
        <v>1670</v>
      </c>
      <c r="L866" s="108" t="str">
        <f t="shared" si="76"/>
        <v>→ 출하 R20</v>
      </c>
      <c r="M866" s="174"/>
      <c r="N866" s="109">
        <v>20</v>
      </c>
      <c r="O866" s="109" t="s">
        <v>3956</v>
      </c>
      <c r="P866" s="172" t="s">
        <v>3975</v>
      </c>
    </row>
    <row r="867" spans="1:16" ht="30" customHeight="1" x14ac:dyDescent="0.3">
      <c r="A867" s="171" t="s">
        <v>771</v>
      </c>
      <c r="B867" s="168" t="s">
        <v>1658</v>
      </c>
      <c r="C867" s="168" t="s">
        <v>198</v>
      </c>
      <c r="D867" s="172" t="str">
        <f t="shared" ca="1" si="72"/>
        <v>완제품</v>
      </c>
      <c r="E867" s="172" t="str">
        <f t="shared" ca="1" si="73"/>
        <v>PF</v>
      </c>
      <c r="F867" s="168" t="s">
        <v>1671</v>
      </c>
      <c r="G867" s="168" t="s">
        <v>1671</v>
      </c>
      <c r="H867" s="172" t="str">
        <f t="shared" si="74"/>
        <v>매칭완료</v>
      </c>
      <c r="I867" s="172" t="str">
        <f t="shared" ca="1" si="75"/>
        <v>4-PF</v>
      </c>
      <c r="J867" s="173" t="s">
        <v>1671</v>
      </c>
      <c r="K867" s="173" t="s">
        <v>1671</v>
      </c>
      <c r="L867" s="108" t="str">
        <f t="shared" si="76"/>
        <v>→ 출하 R21</v>
      </c>
      <c r="M867" s="174"/>
      <c r="N867" s="109">
        <v>21</v>
      </c>
      <c r="O867" s="109" t="s">
        <v>3956</v>
      </c>
      <c r="P867" s="172" t="s">
        <v>3976</v>
      </c>
    </row>
    <row r="868" spans="1:16" ht="30" customHeight="1" x14ac:dyDescent="0.3">
      <c r="A868" s="171" t="s">
        <v>771</v>
      </c>
      <c r="B868" s="168" t="s">
        <v>1650</v>
      </c>
      <c r="C868" s="168" t="s">
        <v>684</v>
      </c>
      <c r="D868" s="172" t="str">
        <f t="shared" ca="1" si="72"/>
        <v>반제품</v>
      </c>
      <c r="E868" s="172" t="str">
        <f t="shared" ca="1" si="73"/>
        <v>PA</v>
      </c>
      <c r="F868" s="168" t="s">
        <v>1672</v>
      </c>
      <c r="G868" s="168" t="s">
        <v>1672</v>
      </c>
      <c r="H868" s="172" t="str">
        <f t="shared" si="74"/>
        <v>매칭완료</v>
      </c>
      <c r="I868" s="172" t="str">
        <f t="shared" ca="1" si="75"/>
        <v>6-PA</v>
      </c>
      <c r="J868" s="173" t="s">
        <v>1672</v>
      </c>
      <c r="K868" s="173" t="s">
        <v>1672</v>
      </c>
      <c r="L868" s="108" t="str">
        <f t="shared" si="76"/>
        <v>→ 출하 R22</v>
      </c>
      <c r="M868" s="174"/>
      <c r="N868" s="109">
        <v>22</v>
      </c>
      <c r="O868" s="109" t="s">
        <v>3956</v>
      </c>
      <c r="P868" s="172" t="s">
        <v>3977</v>
      </c>
    </row>
    <row r="869" spans="1:16" ht="30" customHeight="1" x14ac:dyDescent="0.3">
      <c r="A869" s="171" t="s">
        <v>771</v>
      </c>
      <c r="B869" s="168" t="s">
        <v>1650</v>
      </c>
      <c r="C869" s="168" t="s">
        <v>684</v>
      </c>
      <c r="D869" s="172" t="str">
        <f t="shared" ca="1" si="72"/>
        <v>반제품</v>
      </c>
      <c r="E869" s="172" t="str">
        <f t="shared" ca="1" si="73"/>
        <v>PA</v>
      </c>
      <c r="F869" s="168" t="s">
        <v>1673</v>
      </c>
      <c r="G869" s="168" t="s">
        <v>1673</v>
      </c>
      <c r="H869" s="172" t="str">
        <f t="shared" si="74"/>
        <v>매칭완료</v>
      </c>
      <c r="I869" s="172" t="str">
        <f t="shared" ca="1" si="75"/>
        <v>6-PA</v>
      </c>
      <c r="J869" s="173" t="s">
        <v>1673</v>
      </c>
      <c r="K869" s="173" t="s">
        <v>1673</v>
      </c>
      <c r="L869" s="108" t="str">
        <f t="shared" si="76"/>
        <v>→ 출하 R23</v>
      </c>
      <c r="M869" s="174"/>
      <c r="N869" s="109">
        <v>23</v>
      </c>
      <c r="O869" s="109" t="s">
        <v>3956</v>
      </c>
      <c r="P869" s="172" t="s">
        <v>3978</v>
      </c>
    </row>
    <row r="870" spans="1:16" ht="30" customHeight="1" x14ac:dyDescent="0.3">
      <c r="A870" s="171" t="s">
        <v>771</v>
      </c>
      <c r="B870" s="168" t="s">
        <v>1650</v>
      </c>
      <c r="C870" s="168" t="s">
        <v>684</v>
      </c>
      <c r="D870" s="172" t="str">
        <f t="shared" ca="1" si="72"/>
        <v>반제품</v>
      </c>
      <c r="E870" s="172" t="str">
        <f t="shared" ca="1" si="73"/>
        <v>PA</v>
      </c>
      <c r="F870" s="168" t="s">
        <v>1674</v>
      </c>
      <c r="G870" s="168" t="s">
        <v>1674</v>
      </c>
      <c r="H870" s="172" t="str">
        <f t="shared" si="74"/>
        <v>매칭완료</v>
      </c>
      <c r="I870" s="172" t="str">
        <f t="shared" ca="1" si="75"/>
        <v>6-PA</v>
      </c>
      <c r="J870" s="173" t="s">
        <v>1674</v>
      </c>
      <c r="K870" s="173" t="s">
        <v>1674</v>
      </c>
      <c r="L870" s="108" t="str">
        <f t="shared" si="76"/>
        <v>→ 출하 R24</v>
      </c>
      <c r="M870" s="174"/>
      <c r="N870" s="109">
        <v>24</v>
      </c>
      <c r="O870" s="109" t="s">
        <v>3956</v>
      </c>
      <c r="P870" s="172" t="s">
        <v>3979</v>
      </c>
    </row>
    <row r="871" spans="1:16" ht="30" customHeight="1" x14ac:dyDescent="0.3">
      <c r="A871" s="171" t="s">
        <v>771</v>
      </c>
      <c r="B871" s="168" t="s">
        <v>1650</v>
      </c>
      <c r="C871" s="168" t="s">
        <v>684</v>
      </c>
      <c r="D871" s="172" t="str">
        <f t="shared" ca="1" si="72"/>
        <v>반제품</v>
      </c>
      <c r="E871" s="172" t="str">
        <f t="shared" ca="1" si="73"/>
        <v>PA</v>
      </c>
      <c r="F871" s="168" t="s">
        <v>1675</v>
      </c>
      <c r="G871" s="168" t="s">
        <v>1675</v>
      </c>
      <c r="H871" s="172" t="str">
        <f t="shared" si="74"/>
        <v>매칭완료</v>
      </c>
      <c r="I871" s="172" t="str">
        <f t="shared" ca="1" si="75"/>
        <v>6-PA</v>
      </c>
      <c r="J871" s="173" t="s">
        <v>1675</v>
      </c>
      <c r="K871" s="173" t="s">
        <v>1675</v>
      </c>
      <c r="L871" s="108" t="str">
        <f t="shared" si="76"/>
        <v>→ 출하 R25</v>
      </c>
      <c r="M871" s="174"/>
      <c r="N871" s="109">
        <v>25</v>
      </c>
      <c r="O871" s="109" t="s">
        <v>3956</v>
      </c>
      <c r="P871" s="172" t="s">
        <v>3980</v>
      </c>
    </row>
    <row r="872" spans="1:16" ht="30" customHeight="1" x14ac:dyDescent="0.3">
      <c r="A872" s="171" t="s">
        <v>771</v>
      </c>
      <c r="B872" s="168" t="s">
        <v>1650</v>
      </c>
      <c r="C872" s="168" t="s">
        <v>684</v>
      </c>
      <c r="D872" s="172" t="str">
        <f t="shared" ca="1" si="72"/>
        <v>반제품</v>
      </c>
      <c r="E872" s="172" t="str">
        <f t="shared" ca="1" si="73"/>
        <v>PA</v>
      </c>
      <c r="F872" s="168" t="s">
        <v>1676</v>
      </c>
      <c r="G872" s="168" t="s">
        <v>1676</v>
      </c>
      <c r="H872" s="172" t="str">
        <f t="shared" si="74"/>
        <v>매칭완료</v>
      </c>
      <c r="I872" s="172" t="str">
        <f t="shared" ca="1" si="75"/>
        <v>6-PA</v>
      </c>
      <c r="J872" s="173" t="s">
        <v>1676</v>
      </c>
      <c r="K872" s="173" t="s">
        <v>1676</v>
      </c>
      <c r="L872" s="108" t="str">
        <f t="shared" si="76"/>
        <v>→ 출하 R26</v>
      </c>
      <c r="M872" s="174"/>
      <c r="N872" s="109">
        <v>26</v>
      </c>
      <c r="O872" s="109" t="s">
        <v>3956</v>
      </c>
      <c r="P872" s="172" t="s">
        <v>3981</v>
      </c>
    </row>
    <row r="873" spans="1:16" ht="30" customHeight="1" x14ac:dyDescent="0.3">
      <c r="A873" s="171" t="s">
        <v>771</v>
      </c>
      <c r="B873" s="168" t="s">
        <v>1650</v>
      </c>
      <c r="C873" s="168" t="s">
        <v>684</v>
      </c>
      <c r="D873" s="172" t="str">
        <f t="shared" ca="1" si="72"/>
        <v>반제품</v>
      </c>
      <c r="E873" s="172" t="str">
        <f t="shared" ca="1" si="73"/>
        <v>PA</v>
      </c>
      <c r="F873" s="168" t="s">
        <v>1677</v>
      </c>
      <c r="G873" s="168" t="s">
        <v>1677</v>
      </c>
      <c r="H873" s="172" t="str">
        <f t="shared" si="74"/>
        <v>매칭완료</v>
      </c>
      <c r="I873" s="172" t="str">
        <f t="shared" ca="1" si="75"/>
        <v>6-PA</v>
      </c>
      <c r="J873" s="173" t="s">
        <v>1677</v>
      </c>
      <c r="K873" s="173" t="s">
        <v>1677</v>
      </c>
      <c r="L873" s="108" t="str">
        <f t="shared" si="76"/>
        <v>→ 출하 R27</v>
      </c>
      <c r="M873" s="174"/>
      <c r="N873" s="109">
        <v>27</v>
      </c>
      <c r="O873" s="109" t="s">
        <v>3956</v>
      </c>
      <c r="P873" s="172" t="s">
        <v>3982</v>
      </c>
    </row>
    <row r="874" spans="1:16" ht="30" customHeight="1" x14ac:dyDescent="0.3">
      <c r="A874" s="171" t="s">
        <v>771</v>
      </c>
      <c r="B874" s="168" t="s">
        <v>1650</v>
      </c>
      <c r="C874" s="168" t="s">
        <v>1678</v>
      </c>
      <c r="D874" s="172" t="str">
        <f t="shared" ca="1" si="72"/>
        <v>반제품</v>
      </c>
      <c r="E874" s="172" t="str">
        <f t="shared" ca="1" si="73"/>
        <v>PA</v>
      </c>
      <c r="F874" s="168" t="s">
        <v>1679</v>
      </c>
      <c r="G874" s="168" t="s">
        <v>1679</v>
      </c>
      <c r="H874" s="172" t="str">
        <f t="shared" si="74"/>
        <v>매칭완료</v>
      </c>
      <c r="I874" s="172" t="str">
        <f t="shared" ca="1" si="75"/>
        <v>6-PA</v>
      </c>
      <c r="J874" s="173" t="s">
        <v>1679</v>
      </c>
      <c r="K874" s="173" t="s">
        <v>1679</v>
      </c>
      <c r="L874" s="108" t="str">
        <f t="shared" si="76"/>
        <v>→ 출하 R28</v>
      </c>
      <c r="M874" s="174"/>
      <c r="N874" s="109">
        <v>28</v>
      </c>
      <c r="O874" s="109" t="s">
        <v>3956</v>
      </c>
      <c r="P874" s="172" t="s">
        <v>3983</v>
      </c>
    </row>
    <row r="875" spans="1:16" ht="30" customHeight="1" x14ac:dyDescent="0.3">
      <c r="A875" s="171" t="s">
        <v>771</v>
      </c>
      <c r="B875" s="168" t="s">
        <v>1658</v>
      </c>
      <c r="C875" s="168" t="s">
        <v>684</v>
      </c>
      <c r="D875" s="172" t="str">
        <f t="shared" ca="1" si="72"/>
        <v>완제품</v>
      </c>
      <c r="E875" s="172" t="str">
        <f t="shared" ca="1" si="73"/>
        <v>PF</v>
      </c>
      <c r="F875" s="168" t="s">
        <v>1680</v>
      </c>
      <c r="G875" s="168" t="s">
        <v>1680</v>
      </c>
      <c r="H875" s="172" t="str">
        <f t="shared" si="74"/>
        <v>매칭완료</v>
      </c>
      <c r="I875" s="172" t="str">
        <f t="shared" ca="1" si="75"/>
        <v>6-PF</v>
      </c>
      <c r="J875" s="173" t="s">
        <v>1680</v>
      </c>
      <c r="K875" s="173" t="s">
        <v>1680</v>
      </c>
      <c r="L875" s="108" t="str">
        <f t="shared" si="76"/>
        <v>→ 출하 R29</v>
      </c>
      <c r="M875" s="174"/>
      <c r="N875" s="109">
        <v>29</v>
      </c>
      <c r="O875" s="109" t="s">
        <v>3956</v>
      </c>
      <c r="P875" s="172" t="s">
        <v>3984</v>
      </c>
    </row>
    <row r="876" spans="1:16" ht="30" customHeight="1" x14ac:dyDescent="0.3">
      <c r="A876" s="171" t="s">
        <v>771</v>
      </c>
      <c r="B876" s="168" t="s">
        <v>1658</v>
      </c>
      <c r="C876" s="168" t="s">
        <v>684</v>
      </c>
      <c r="D876" s="172" t="str">
        <f t="shared" ca="1" si="72"/>
        <v>완제품</v>
      </c>
      <c r="E876" s="172" t="str">
        <f t="shared" ca="1" si="73"/>
        <v>PF</v>
      </c>
      <c r="F876" s="168" t="s">
        <v>1681</v>
      </c>
      <c r="G876" s="168" t="s">
        <v>1681</v>
      </c>
      <c r="H876" s="172" t="str">
        <f t="shared" si="74"/>
        <v>매칭완료</v>
      </c>
      <c r="I876" s="172" t="str">
        <f t="shared" ca="1" si="75"/>
        <v>6-PF</v>
      </c>
      <c r="J876" s="173" t="s">
        <v>1681</v>
      </c>
      <c r="K876" s="173" t="s">
        <v>1681</v>
      </c>
      <c r="L876" s="108" t="str">
        <f t="shared" si="76"/>
        <v>→ 출하 R30</v>
      </c>
      <c r="M876" s="174"/>
      <c r="N876" s="109">
        <v>30</v>
      </c>
      <c r="O876" s="109" t="s">
        <v>3956</v>
      </c>
      <c r="P876" s="172" t="s">
        <v>3985</v>
      </c>
    </row>
    <row r="877" spans="1:16" ht="30" customHeight="1" x14ac:dyDescent="0.3">
      <c r="A877" s="171" t="s">
        <v>771</v>
      </c>
      <c r="B877" s="168" t="s">
        <v>1658</v>
      </c>
      <c r="C877" s="168" t="s">
        <v>684</v>
      </c>
      <c r="D877" s="172" t="str">
        <f t="shared" ca="1" si="72"/>
        <v>완제품</v>
      </c>
      <c r="E877" s="172" t="str">
        <f t="shared" ca="1" si="73"/>
        <v>PF</v>
      </c>
      <c r="F877" s="168" t="s">
        <v>1682</v>
      </c>
      <c r="G877" s="168" t="s">
        <v>1682</v>
      </c>
      <c r="H877" s="172" t="str">
        <f t="shared" si="74"/>
        <v>매칭완료</v>
      </c>
      <c r="I877" s="172" t="str">
        <f t="shared" ca="1" si="75"/>
        <v>6-PF</v>
      </c>
      <c r="J877" s="173" t="s">
        <v>1682</v>
      </c>
      <c r="K877" s="173" t="s">
        <v>1682</v>
      </c>
      <c r="L877" s="108" t="str">
        <f t="shared" si="76"/>
        <v>→ 출하 R31</v>
      </c>
      <c r="M877" s="174"/>
      <c r="N877" s="109">
        <v>31</v>
      </c>
      <c r="O877" s="109" t="s">
        <v>3956</v>
      </c>
      <c r="P877" s="172" t="s">
        <v>3986</v>
      </c>
    </row>
    <row r="878" spans="1:16" ht="30" customHeight="1" x14ac:dyDescent="0.3">
      <c r="A878" s="171" t="s">
        <v>771</v>
      </c>
      <c r="B878" s="168" t="s">
        <v>1658</v>
      </c>
      <c r="C878" s="168" t="s">
        <v>684</v>
      </c>
      <c r="D878" s="172" t="str">
        <f t="shared" ca="1" si="72"/>
        <v>완제품</v>
      </c>
      <c r="E878" s="172" t="str">
        <f t="shared" ca="1" si="73"/>
        <v>PF</v>
      </c>
      <c r="F878" s="168" t="s">
        <v>1683</v>
      </c>
      <c r="G878" s="168" t="s">
        <v>1683</v>
      </c>
      <c r="H878" s="172" t="str">
        <f t="shared" si="74"/>
        <v>매칭완료</v>
      </c>
      <c r="I878" s="172" t="str">
        <f t="shared" ca="1" si="75"/>
        <v>6-PF</v>
      </c>
      <c r="J878" s="173" t="s">
        <v>1683</v>
      </c>
      <c r="K878" s="173" t="s">
        <v>1683</v>
      </c>
      <c r="L878" s="108" t="str">
        <f t="shared" si="76"/>
        <v>→ 출하 R32</v>
      </c>
      <c r="M878" s="174"/>
      <c r="N878" s="109">
        <v>32</v>
      </c>
      <c r="O878" s="109" t="s">
        <v>3956</v>
      </c>
      <c r="P878" s="172" t="s">
        <v>3987</v>
      </c>
    </row>
    <row r="879" spans="1:16" ht="30" customHeight="1" x14ac:dyDescent="0.3">
      <c r="A879" s="171" t="s">
        <v>771</v>
      </c>
      <c r="B879" s="168" t="s">
        <v>1658</v>
      </c>
      <c r="C879" s="168" t="s">
        <v>684</v>
      </c>
      <c r="D879" s="172" t="str">
        <f t="shared" ca="1" si="72"/>
        <v>완제품</v>
      </c>
      <c r="E879" s="172" t="str">
        <f t="shared" ca="1" si="73"/>
        <v>PF</v>
      </c>
      <c r="F879" s="168" t="s">
        <v>1684</v>
      </c>
      <c r="G879" s="168" t="s">
        <v>1684</v>
      </c>
      <c r="H879" s="172" t="str">
        <f t="shared" si="74"/>
        <v>매칭완료</v>
      </c>
      <c r="I879" s="172" t="str">
        <f t="shared" ca="1" si="75"/>
        <v>6-PF</v>
      </c>
      <c r="J879" s="173" t="s">
        <v>1684</v>
      </c>
      <c r="K879" s="173" t="s">
        <v>1684</v>
      </c>
      <c r="L879" s="108" t="str">
        <f t="shared" si="76"/>
        <v>→ 출하 R33</v>
      </c>
      <c r="M879" s="174"/>
      <c r="N879" s="109">
        <v>33</v>
      </c>
      <c r="O879" s="109" t="s">
        <v>3956</v>
      </c>
      <c r="P879" s="172" t="s">
        <v>3988</v>
      </c>
    </row>
    <row r="880" spans="1:16" ht="30" customHeight="1" x14ac:dyDescent="0.3">
      <c r="A880" s="171" t="s">
        <v>771</v>
      </c>
      <c r="B880" s="168" t="s">
        <v>1658</v>
      </c>
      <c r="C880" s="168" t="s">
        <v>684</v>
      </c>
      <c r="D880" s="172" t="str">
        <f t="shared" ca="1" si="72"/>
        <v>완제품</v>
      </c>
      <c r="E880" s="172" t="str">
        <f t="shared" ca="1" si="73"/>
        <v>PF</v>
      </c>
      <c r="F880" s="168" t="s">
        <v>1685</v>
      </c>
      <c r="G880" s="168" t="s">
        <v>1685</v>
      </c>
      <c r="H880" s="172" t="str">
        <f t="shared" si="74"/>
        <v>매칭완료</v>
      </c>
      <c r="I880" s="172" t="str">
        <f t="shared" ca="1" si="75"/>
        <v>6-PF</v>
      </c>
      <c r="J880" s="173" t="s">
        <v>1685</v>
      </c>
      <c r="K880" s="173" t="s">
        <v>1685</v>
      </c>
      <c r="L880" s="108" t="str">
        <f t="shared" ref="L880:L897" si="77">HYPERLINK("#'"&amp;$O880&amp;"'!A"&amp;$N880,"→ 출하 R"&amp;$N880)</f>
        <v>→ 출하 R34</v>
      </c>
      <c r="M880" s="174"/>
      <c r="N880" s="109">
        <v>34</v>
      </c>
      <c r="O880" s="109" t="s">
        <v>3956</v>
      </c>
      <c r="P880" s="172" t="s">
        <v>3989</v>
      </c>
    </row>
    <row r="881" spans="1:16" ht="30" customHeight="1" x14ac:dyDescent="0.3">
      <c r="A881" s="171" t="s">
        <v>771</v>
      </c>
      <c r="B881" s="168" t="s">
        <v>1658</v>
      </c>
      <c r="C881" s="168" t="s">
        <v>1678</v>
      </c>
      <c r="D881" s="172" t="str">
        <f t="shared" ca="1" si="72"/>
        <v>완제품</v>
      </c>
      <c r="E881" s="172" t="str">
        <f t="shared" ca="1" si="73"/>
        <v>PF</v>
      </c>
      <c r="F881" s="168" t="s">
        <v>1686</v>
      </c>
      <c r="G881" s="168" t="s">
        <v>1686</v>
      </c>
      <c r="H881" s="172" t="str">
        <f t="shared" si="74"/>
        <v>매칭완료</v>
      </c>
      <c r="I881" s="172" t="str">
        <f t="shared" ca="1" si="75"/>
        <v>6-PF</v>
      </c>
      <c r="J881" s="173" t="s">
        <v>1686</v>
      </c>
      <c r="K881" s="173" t="s">
        <v>1686</v>
      </c>
      <c r="L881" s="108" t="str">
        <f t="shared" si="77"/>
        <v>→ 출하 R35</v>
      </c>
      <c r="M881" s="174"/>
      <c r="N881" s="109">
        <v>35</v>
      </c>
      <c r="O881" s="109" t="s">
        <v>3956</v>
      </c>
      <c r="P881" s="172" t="s">
        <v>3990</v>
      </c>
    </row>
    <row r="882" spans="1:16" ht="30" customHeight="1" x14ac:dyDescent="0.3">
      <c r="A882" s="171" t="s">
        <v>771</v>
      </c>
      <c r="B882" s="168" t="s">
        <v>1650</v>
      </c>
      <c r="C882" s="168" t="s">
        <v>1687</v>
      </c>
      <c r="D882" s="172" t="str">
        <f t="shared" ca="1" si="72"/>
        <v>반제품</v>
      </c>
      <c r="E882" s="172" t="str">
        <f t="shared" ca="1" si="73"/>
        <v>PA</v>
      </c>
      <c r="F882" s="168" t="s">
        <v>1688</v>
      </c>
      <c r="G882" s="168" t="s">
        <v>1688</v>
      </c>
      <c r="H882" s="172" t="str">
        <f t="shared" si="74"/>
        <v>매칭완료</v>
      </c>
      <c r="I882" s="172" t="str">
        <f t="shared" ca="1" si="75"/>
        <v>7-PA</v>
      </c>
      <c r="J882" s="173" t="s">
        <v>1688</v>
      </c>
      <c r="K882" s="173" t="s">
        <v>1688</v>
      </c>
      <c r="L882" s="108" t="str">
        <f t="shared" si="77"/>
        <v>→ 출하 R36</v>
      </c>
      <c r="M882" s="174"/>
      <c r="N882" s="109">
        <v>36</v>
      </c>
      <c r="O882" s="109" t="s">
        <v>3956</v>
      </c>
      <c r="P882" s="172" t="s">
        <v>3991</v>
      </c>
    </row>
    <row r="883" spans="1:16" ht="30" customHeight="1" x14ac:dyDescent="0.3">
      <c r="A883" s="171" t="s">
        <v>771</v>
      </c>
      <c r="B883" s="168" t="s">
        <v>1650</v>
      </c>
      <c r="C883" s="168" t="s">
        <v>1687</v>
      </c>
      <c r="D883" s="172" t="str">
        <f t="shared" ca="1" si="72"/>
        <v>반제품</v>
      </c>
      <c r="E883" s="172" t="str">
        <f t="shared" ca="1" si="73"/>
        <v>PA</v>
      </c>
      <c r="F883" s="168" t="s">
        <v>1689</v>
      </c>
      <c r="G883" s="168" t="s">
        <v>1689</v>
      </c>
      <c r="H883" s="172" t="str">
        <f t="shared" si="74"/>
        <v>매칭완료</v>
      </c>
      <c r="I883" s="172" t="str">
        <f t="shared" ca="1" si="75"/>
        <v>7-PA</v>
      </c>
      <c r="J883" s="173" t="s">
        <v>1689</v>
      </c>
      <c r="K883" s="173" t="s">
        <v>1689</v>
      </c>
      <c r="L883" s="108" t="str">
        <f t="shared" si="77"/>
        <v>→ 출하 R37</v>
      </c>
      <c r="M883" s="174"/>
      <c r="N883" s="109">
        <v>37</v>
      </c>
      <c r="O883" s="109" t="s">
        <v>3956</v>
      </c>
      <c r="P883" s="172" t="s">
        <v>3992</v>
      </c>
    </row>
    <row r="884" spans="1:16" ht="30" customHeight="1" x14ac:dyDescent="0.3">
      <c r="A884" s="171" t="s">
        <v>771</v>
      </c>
      <c r="B884" s="168" t="s">
        <v>1650</v>
      </c>
      <c r="C884" s="168" t="s">
        <v>1690</v>
      </c>
      <c r="D884" s="172" t="str">
        <f t="shared" ca="1" si="72"/>
        <v>반제품</v>
      </c>
      <c r="E884" s="172" t="str">
        <f t="shared" ca="1" si="73"/>
        <v>PA</v>
      </c>
      <c r="F884" s="168" t="s">
        <v>1691</v>
      </c>
      <c r="G884" s="168" t="s">
        <v>1691</v>
      </c>
      <c r="H884" s="172" t="str">
        <f t="shared" si="74"/>
        <v>매칭완료</v>
      </c>
      <c r="I884" s="172" t="str">
        <f t="shared" ca="1" si="75"/>
        <v>7-PA</v>
      </c>
      <c r="J884" s="173" t="s">
        <v>1691</v>
      </c>
      <c r="K884" s="173" t="s">
        <v>1691</v>
      </c>
      <c r="L884" s="108" t="str">
        <f t="shared" si="77"/>
        <v>→ 출하 R38</v>
      </c>
      <c r="M884" s="174"/>
      <c r="N884" s="109">
        <v>38</v>
      </c>
      <c r="O884" s="109" t="s">
        <v>3956</v>
      </c>
      <c r="P884" s="172" t="s">
        <v>3993</v>
      </c>
    </row>
    <row r="885" spans="1:16" ht="30" customHeight="1" x14ac:dyDescent="0.3">
      <c r="A885" s="171" t="s">
        <v>771</v>
      </c>
      <c r="B885" s="168" t="s">
        <v>1650</v>
      </c>
      <c r="C885" s="168" t="s">
        <v>1690</v>
      </c>
      <c r="D885" s="172" t="str">
        <f t="shared" ca="1" si="72"/>
        <v>반제품</v>
      </c>
      <c r="E885" s="172" t="str">
        <f t="shared" ca="1" si="73"/>
        <v>PA</v>
      </c>
      <c r="F885" s="168" t="s">
        <v>1692</v>
      </c>
      <c r="G885" s="168" t="s">
        <v>1692</v>
      </c>
      <c r="H885" s="172" t="str">
        <f t="shared" si="74"/>
        <v>매칭완료</v>
      </c>
      <c r="I885" s="172" t="str">
        <f t="shared" ca="1" si="75"/>
        <v>7-PA</v>
      </c>
      <c r="J885" s="173" t="s">
        <v>1692</v>
      </c>
      <c r="K885" s="173" t="s">
        <v>1692</v>
      </c>
      <c r="L885" s="108" t="str">
        <f t="shared" si="77"/>
        <v>→ 출하 R39</v>
      </c>
      <c r="M885" s="174"/>
      <c r="N885" s="109">
        <v>39</v>
      </c>
      <c r="O885" s="109" t="s">
        <v>3956</v>
      </c>
      <c r="P885" s="172" t="s">
        <v>3994</v>
      </c>
    </row>
    <row r="886" spans="1:16" ht="30" customHeight="1" x14ac:dyDescent="0.3">
      <c r="A886" s="171" t="s">
        <v>771</v>
      </c>
      <c r="B886" s="168" t="s">
        <v>1650</v>
      </c>
      <c r="C886" s="168" t="s">
        <v>1690</v>
      </c>
      <c r="D886" s="172" t="str">
        <f t="shared" ca="1" si="72"/>
        <v>반제품</v>
      </c>
      <c r="E886" s="172" t="str">
        <f t="shared" ca="1" si="73"/>
        <v>PA</v>
      </c>
      <c r="F886" s="168" t="s">
        <v>1693</v>
      </c>
      <c r="G886" s="168" t="s">
        <v>1693</v>
      </c>
      <c r="H886" s="172" t="str">
        <f t="shared" si="74"/>
        <v>매칭완료</v>
      </c>
      <c r="I886" s="172" t="str">
        <f t="shared" ca="1" si="75"/>
        <v>7-PA</v>
      </c>
      <c r="J886" s="173" t="s">
        <v>1693</v>
      </c>
      <c r="K886" s="173" t="s">
        <v>1693</v>
      </c>
      <c r="L886" s="108" t="str">
        <f t="shared" si="77"/>
        <v>→ 출하 R40</v>
      </c>
      <c r="M886" s="174"/>
      <c r="N886" s="109">
        <v>40</v>
      </c>
      <c r="O886" s="109" t="s">
        <v>3956</v>
      </c>
      <c r="P886" s="172" t="s">
        <v>3995</v>
      </c>
    </row>
    <row r="887" spans="1:16" ht="30" customHeight="1" x14ac:dyDescent="0.3">
      <c r="A887" s="171" t="s">
        <v>771</v>
      </c>
      <c r="B887" s="168" t="s">
        <v>1658</v>
      </c>
      <c r="C887" s="168" t="s">
        <v>1687</v>
      </c>
      <c r="D887" s="172" t="str">
        <f t="shared" ca="1" si="72"/>
        <v>완제품</v>
      </c>
      <c r="E887" s="172" t="str">
        <f t="shared" ca="1" si="73"/>
        <v>PF</v>
      </c>
      <c r="F887" s="168" t="s">
        <v>1694</v>
      </c>
      <c r="G887" s="168" t="s">
        <v>1694</v>
      </c>
      <c r="H887" s="172" t="str">
        <f t="shared" si="74"/>
        <v>매칭완료</v>
      </c>
      <c r="I887" s="172" t="str">
        <f t="shared" ca="1" si="75"/>
        <v>7-PF</v>
      </c>
      <c r="J887" s="173" t="s">
        <v>1694</v>
      </c>
      <c r="K887" s="173" t="s">
        <v>1694</v>
      </c>
      <c r="L887" s="108" t="str">
        <f t="shared" si="77"/>
        <v>→ 출하 R41</v>
      </c>
      <c r="M887" s="174"/>
      <c r="N887" s="109">
        <v>41</v>
      </c>
      <c r="O887" s="109" t="s">
        <v>3956</v>
      </c>
      <c r="P887" s="172" t="s">
        <v>3996</v>
      </c>
    </row>
    <row r="888" spans="1:16" ht="30" customHeight="1" x14ac:dyDescent="0.3">
      <c r="A888" s="171" t="s">
        <v>771</v>
      </c>
      <c r="B888" s="168" t="s">
        <v>1658</v>
      </c>
      <c r="C888" s="168" t="s">
        <v>1687</v>
      </c>
      <c r="D888" s="172" t="str">
        <f t="shared" ca="1" si="72"/>
        <v>완제품</v>
      </c>
      <c r="E888" s="172" t="str">
        <f t="shared" ca="1" si="73"/>
        <v>PF</v>
      </c>
      <c r="F888" s="168" t="s">
        <v>1695</v>
      </c>
      <c r="G888" s="168" t="s">
        <v>1695</v>
      </c>
      <c r="H888" s="172" t="str">
        <f t="shared" si="74"/>
        <v>매칭완료</v>
      </c>
      <c r="I888" s="172" t="str">
        <f t="shared" ca="1" si="75"/>
        <v>7-PF</v>
      </c>
      <c r="J888" s="173" t="s">
        <v>1695</v>
      </c>
      <c r="K888" s="173" t="s">
        <v>1695</v>
      </c>
      <c r="L888" s="108" t="str">
        <f t="shared" si="77"/>
        <v>→ 출하 R42</v>
      </c>
      <c r="M888" s="174"/>
      <c r="N888" s="109">
        <v>42</v>
      </c>
      <c r="O888" s="109" t="s">
        <v>3956</v>
      </c>
      <c r="P888" s="172" t="s">
        <v>3997</v>
      </c>
    </row>
    <row r="889" spans="1:16" ht="30" customHeight="1" x14ac:dyDescent="0.3">
      <c r="A889" s="171" t="s">
        <v>771</v>
      </c>
      <c r="B889" s="168" t="s">
        <v>1658</v>
      </c>
      <c r="C889" s="168" t="s">
        <v>1690</v>
      </c>
      <c r="D889" s="172" t="str">
        <f t="shared" ca="1" si="72"/>
        <v>완제품</v>
      </c>
      <c r="E889" s="172" t="str">
        <f t="shared" ca="1" si="73"/>
        <v>PF</v>
      </c>
      <c r="F889" s="168" t="s">
        <v>1696</v>
      </c>
      <c r="G889" s="168" t="s">
        <v>1696</v>
      </c>
      <c r="H889" s="172" t="str">
        <f t="shared" si="74"/>
        <v>매칭완료</v>
      </c>
      <c r="I889" s="172" t="str">
        <f t="shared" ca="1" si="75"/>
        <v>7-PF</v>
      </c>
      <c r="J889" s="173" t="s">
        <v>1696</v>
      </c>
      <c r="K889" s="173" t="s">
        <v>1696</v>
      </c>
      <c r="L889" s="108" t="str">
        <f t="shared" si="77"/>
        <v>→ 출하 R43</v>
      </c>
      <c r="M889" s="174"/>
      <c r="N889" s="109">
        <v>43</v>
      </c>
      <c r="O889" s="109" t="s">
        <v>3956</v>
      </c>
      <c r="P889" s="172" t="s">
        <v>3998</v>
      </c>
    </row>
    <row r="890" spans="1:16" ht="30" customHeight="1" x14ac:dyDescent="0.3">
      <c r="A890" s="171" t="s">
        <v>771</v>
      </c>
      <c r="B890" s="168" t="s">
        <v>1658</v>
      </c>
      <c r="C890" s="168" t="s">
        <v>1690</v>
      </c>
      <c r="D890" s="172" t="str">
        <f t="shared" ca="1" si="72"/>
        <v>완제품</v>
      </c>
      <c r="E890" s="172" t="str">
        <f t="shared" ca="1" si="73"/>
        <v>PF</v>
      </c>
      <c r="F890" s="168" t="s">
        <v>1697</v>
      </c>
      <c r="G890" s="168" t="s">
        <v>1697</v>
      </c>
      <c r="H890" s="172" t="str">
        <f t="shared" si="74"/>
        <v>매칭완료</v>
      </c>
      <c r="I890" s="172" t="str">
        <f t="shared" ca="1" si="75"/>
        <v>7-PF</v>
      </c>
      <c r="J890" s="173" t="s">
        <v>1697</v>
      </c>
      <c r="K890" s="173" t="s">
        <v>1697</v>
      </c>
      <c r="L890" s="108" t="str">
        <f t="shared" si="77"/>
        <v>→ 출하 R44</v>
      </c>
      <c r="M890" s="174"/>
      <c r="N890" s="109">
        <v>44</v>
      </c>
      <c r="O890" s="109" t="s">
        <v>3956</v>
      </c>
      <c r="P890" s="172" t="s">
        <v>3999</v>
      </c>
    </row>
    <row r="891" spans="1:16" ht="30" customHeight="1" x14ac:dyDescent="0.3">
      <c r="A891" s="171" t="s">
        <v>771</v>
      </c>
      <c r="B891" s="168" t="s">
        <v>1658</v>
      </c>
      <c r="C891" s="168" t="s">
        <v>1690</v>
      </c>
      <c r="D891" s="172" t="str">
        <f t="shared" ca="1" si="72"/>
        <v>완제품</v>
      </c>
      <c r="E891" s="172" t="str">
        <f t="shared" ca="1" si="73"/>
        <v>PF</v>
      </c>
      <c r="F891" s="168" t="s">
        <v>1698</v>
      </c>
      <c r="G891" s="168" t="s">
        <v>1698</v>
      </c>
      <c r="H891" s="172" t="str">
        <f t="shared" si="74"/>
        <v>매칭완료</v>
      </c>
      <c r="I891" s="172" t="str">
        <f t="shared" ca="1" si="75"/>
        <v>7-PF</v>
      </c>
      <c r="J891" s="173" t="s">
        <v>1698</v>
      </c>
      <c r="K891" s="173" t="s">
        <v>1698</v>
      </c>
      <c r="L891" s="108" t="str">
        <f t="shared" si="77"/>
        <v>→ 출하 R45</v>
      </c>
      <c r="M891" s="174"/>
      <c r="N891" s="109">
        <v>45</v>
      </c>
      <c r="O891" s="109" t="s">
        <v>3956</v>
      </c>
      <c r="P891" s="172" t="s">
        <v>4000</v>
      </c>
    </row>
    <row r="892" spans="1:16" ht="30" customHeight="1" x14ac:dyDescent="0.3">
      <c r="A892" s="171" t="s">
        <v>771</v>
      </c>
      <c r="B892" s="168" t="s">
        <v>1650</v>
      </c>
      <c r="C892" s="168" t="s">
        <v>1699</v>
      </c>
      <c r="D892" s="172" t="str">
        <f t="shared" ca="1" si="72"/>
        <v>반제품</v>
      </c>
      <c r="E892" s="172" t="str">
        <f t="shared" ca="1" si="73"/>
        <v>PA</v>
      </c>
      <c r="F892" s="168" t="s">
        <v>1700</v>
      </c>
      <c r="G892" s="168" t="s">
        <v>1700</v>
      </c>
      <c r="H892" s="172" t="str">
        <f t="shared" si="74"/>
        <v>매칭완료</v>
      </c>
      <c r="I892" s="172" t="str">
        <f t="shared" ca="1" si="75"/>
        <v>8-PA</v>
      </c>
      <c r="J892" s="173" t="s">
        <v>1700</v>
      </c>
      <c r="K892" s="173" t="s">
        <v>1700</v>
      </c>
      <c r="L892" s="108" t="str">
        <f t="shared" si="77"/>
        <v>→ 출하 R46</v>
      </c>
      <c r="M892" s="174"/>
      <c r="N892" s="109">
        <v>46</v>
      </c>
      <c r="O892" s="109" t="s">
        <v>3956</v>
      </c>
      <c r="P892" s="172" t="s">
        <v>4001</v>
      </c>
    </row>
    <row r="893" spans="1:16" ht="30" customHeight="1" x14ac:dyDescent="0.3">
      <c r="A893" s="171" t="s">
        <v>771</v>
      </c>
      <c r="B893" s="168" t="s">
        <v>1650</v>
      </c>
      <c r="C893" s="168" t="s">
        <v>1699</v>
      </c>
      <c r="D893" s="172" t="str">
        <f t="shared" ca="1" si="72"/>
        <v>반제품</v>
      </c>
      <c r="E893" s="172" t="str">
        <f t="shared" ca="1" si="73"/>
        <v>PA</v>
      </c>
      <c r="F893" s="168" t="s">
        <v>1701</v>
      </c>
      <c r="G893" s="168" t="s">
        <v>1701</v>
      </c>
      <c r="H893" s="172" t="str">
        <f t="shared" si="74"/>
        <v>매칭완료</v>
      </c>
      <c r="I893" s="172" t="str">
        <f t="shared" ca="1" si="75"/>
        <v>8-PA</v>
      </c>
      <c r="J893" s="173" t="s">
        <v>1701</v>
      </c>
      <c r="K893" s="173" t="s">
        <v>1701</v>
      </c>
      <c r="L893" s="108" t="str">
        <f t="shared" si="77"/>
        <v>→ 출하 R47</v>
      </c>
      <c r="M893" s="174"/>
      <c r="N893" s="109">
        <v>47</v>
      </c>
      <c r="O893" s="109" t="s">
        <v>3956</v>
      </c>
      <c r="P893" s="172" t="s">
        <v>4002</v>
      </c>
    </row>
    <row r="894" spans="1:16" ht="30" customHeight="1" x14ac:dyDescent="0.3">
      <c r="A894" s="171" t="s">
        <v>771</v>
      </c>
      <c r="B894" s="168" t="s">
        <v>1650</v>
      </c>
      <c r="C894" s="168" t="s">
        <v>1699</v>
      </c>
      <c r="D894" s="172" t="str">
        <f t="shared" ca="1" si="72"/>
        <v>반제품</v>
      </c>
      <c r="E894" s="172" t="str">
        <f t="shared" ca="1" si="73"/>
        <v>PA</v>
      </c>
      <c r="F894" s="168" t="s">
        <v>1702</v>
      </c>
      <c r="G894" s="168" t="s">
        <v>1702</v>
      </c>
      <c r="H894" s="172" t="str">
        <f t="shared" si="74"/>
        <v>매칭완료</v>
      </c>
      <c r="I894" s="172" t="str">
        <f t="shared" ca="1" si="75"/>
        <v>8-PA</v>
      </c>
      <c r="J894" s="173" t="s">
        <v>1702</v>
      </c>
      <c r="K894" s="173" t="s">
        <v>1702</v>
      </c>
      <c r="L894" s="108" t="str">
        <f t="shared" si="77"/>
        <v>→ 출하 R48</v>
      </c>
      <c r="M894" s="174"/>
      <c r="N894" s="109">
        <v>48</v>
      </c>
      <c r="O894" s="109" t="s">
        <v>3956</v>
      </c>
      <c r="P894" s="172" t="s">
        <v>4003</v>
      </c>
    </row>
    <row r="895" spans="1:16" ht="30" customHeight="1" x14ac:dyDescent="0.3">
      <c r="A895" s="171" t="s">
        <v>771</v>
      </c>
      <c r="B895" s="168" t="s">
        <v>1658</v>
      </c>
      <c r="C895" s="168" t="s">
        <v>1699</v>
      </c>
      <c r="D895" s="172" t="str">
        <f t="shared" ca="1" si="72"/>
        <v>완제품</v>
      </c>
      <c r="E895" s="172" t="str">
        <f t="shared" ca="1" si="73"/>
        <v>PF</v>
      </c>
      <c r="F895" s="168" t="s">
        <v>1703</v>
      </c>
      <c r="G895" s="168" t="s">
        <v>1703</v>
      </c>
      <c r="H895" s="172" t="str">
        <f t="shared" si="74"/>
        <v>매칭완료</v>
      </c>
      <c r="I895" s="172" t="str">
        <f t="shared" ca="1" si="75"/>
        <v>8-PF</v>
      </c>
      <c r="J895" s="173" t="s">
        <v>1703</v>
      </c>
      <c r="K895" s="173" t="s">
        <v>1703</v>
      </c>
      <c r="L895" s="108" t="str">
        <f t="shared" si="77"/>
        <v>→ 출하 R49</v>
      </c>
      <c r="M895" s="174"/>
      <c r="N895" s="109">
        <v>49</v>
      </c>
      <c r="O895" s="109" t="s">
        <v>3956</v>
      </c>
      <c r="P895" s="172" t="s">
        <v>4004</v>
      </c>
    </row>
    <row r="896" spans="1:16" ht="30" customHeight="1" x14ac:dyDescent="0.3">
      <c r="A896" s="171" t="s">
        <v>771</v>
      </c>
      <c r="B896" s="168" t="s">
        <v>1658</v>
      </c>
      <c r="C896" s="168" t="s">
        <v>1699</v>
      </c>
      <c r="D896" s="172" t="str">
        <f t="shared" ca="1" si="72"/>
        <v>완제품</v>
      </c>
      <c r="E896" s="172" t="str">
        <f t="shared" ca="1" si="73"/>
        <v>PF</v>
      </c>
      <c r="F896" s="168" t="s">
        <v>1704</v>
      </c>
      <c r="G896" s="168" t="s">
        <v>1704</v>
      </c>
      <c r="H896" s="172" t="str">
        <f t="shared" si="74"/>
        <v>매칭완료</v>
      </c>
      <c r="I896" s="172" t="str">
        <f t="shared" ca="1" si="75"/>
        <v>8-PF</v>
      </c>
      <c r="J896" s="173" t="s">
        <v>1704</v>
      </c>
      <c r="K896" s="173" t="s">
        <v>1704</v>
      </c>
      <c r="L896" s="108" t="str">
        <f t="shared" si="77"/>
        <v>→ 출하 R50</v>
      </c>
      <c r="M896" s="174"/>
      <c r="N896" s="109">
        <v>50</v>
      </c>
      <c r="O896" s="109" t="s">
        <v>3956</v>
      </c>
      <c r="P896" s="172" t="s">
        <v>4005</v>
      </c>
    </row>
    <row r="897" spans="1:16" ht="30" customHeight="1" x14ac:dyDescent="0.3">
      <c r="A897" s="171" t="s">
        <v>771</v>
      </c>
      <c r="B897" s="168" t="s">
        <v>1658</v>
      </c>
      <c r="C897" s="168" t="s">
        <v>1699</v>
      </c>
      <c r="D897" s="172" t="str">
        <f t="shared" ca="1" si="72"/>
        <v>완제품</v>
      </c>
      <c r="E897" s="172" t="str">
        <f t="shared" ca="1" si="73"/>
        <v>PF</v>
      </c>
      <c r="F897" s="168" t="s">
        <v>1705</v>
      </c>
      <c r="G897" s="168" t="s">
        <v>1705</v>
      </c>
      <c r="H897" s="172" t="str">
        <f t="shared" si="74"/>
        <v>매칭완료</v>
      </c>
      <c r="I897" s="172" t="str">
        <f t="shared" ca="1" si="75"/>
        <v>8-PF</v>
      </c>
      <c r="J897" s="173" t="s">
        <v>1705</v>
      </c>
      <c r="K897" s="173" t="s">
        <v>1705</v>
      </c>
      <c r="L897" s="108" t="str">
        <f t="shared" si="77"/>
        <v>→ 출하 R51</v>
      </c>
      <c r="M897" s="174"/>
      <c r="N897" s="109">
        <v>51</v>
      </c>
      <c r="O897" s="109" t="s">
        <v>3956</v>
      </c>
      <c r="P897" s="172" t="s">
        <v>4006</v>
      </c>
    </row>
    <row r="898" spans="1:16" ht="30" customHeight="1" x14ac:dyDescent="0.3">
      <c r="A898" s="171" t="s">
        <v>354</v>
      </c>
      <c r="B898" s="168"/>
      <c r="C898" s="168" t="s">
        <v>117</v>
      </c>
      <c r="D898" s="172" t="str">
        <f t="shared" ref="D898:D916" ca="1" si="78">IF(INDIRECT("'"&amp;$O898&amp;"'!F"&amp;$N898)="O","원자재",IF(INDIRECT("'"&amp;$O898&amp;"'!G"&amp;$N898)="O","반제품",IF(INDIRECT("'"&amp;$O898&amp;"'!H"&amp;$N898)="O","완제품","")))</f>
        <v>원자재</v>
      </c>
      <c r="E898" s="172" t="str">
        <f t="shared" ref="E898:E916" ca="1" si="79">IFERROR(IF(INDIRECT("'"&amp;$O898&amp;"'!I"&amp;$N898)=0,"",INDIRECT("'"&amp;$O898&amp;"'!I"&amp;$N898)),"")</f>
        <v>AR</v>
      </c>
      <c r="F898" s="168" t="s">
        <v>1283</v>
      </c>
      <c r="G898" s="168" t="s">
        <v>1283</v>
      </c>
      <c r="H898" s="172" t="str">
        <f t="shared" ref="H898:H916" si="80">IF(AND($F898="",$G898=""),"",IF($F898="","창고전용",IF($G898&lt;&gt;"","매칭완료",IF($D898="반제품","반제품(창고없음)",IF($D898="완제품","완제품(창고없음)",IF($D898="원자재","⚠ 원자재_부서보관","미분류"))))))</f>
        <v>매칭완료</v>
      </c>
      <c r="I898" s="172" t="str">
        <f t="shared" ref="I898:I916" ca="1" si="81">IFERROR(IF(INDIRECT("'"&amp;$O898&amp;"'!P"&amp;$N898)=0,"",INDIRECT("'"&amp;$O898&amp;"'!P"&amp;$N898)),"")</f>
        <v>6-AR</v>
      </c>
      <c r="J898" s="173" t="s">
        <v>1283</v>
      </c>
      <c r="K898" s="173" t="s">
        <v>1283</v>
      </c>
      <c r="L898" s="108" t="str">
        <f t="shared" ref="L898:L907" si="82">HYPERLINK("#'"&amp;$O898&amp;"'!A"&amp;$N898,"→ 조립자재 R"&amp;$N898)</f>
        <v>→ 조립자재 R512</v>
      </c>
      <c r="M898" s="174"/>
      <c r="N898" s="109">
        <v>512</v>
      </c>
      <c r="O898" s="109" t="s">
        <v>2110</v>
      </c>
      <c r="P898" s="172" t="s">
        <v>4007</v>
      </c>
    </row>
    <row r="899" spans="1:16" ht="30" customHeight="1" x14ac:dyDescent="0.3">
      <c r="A899" s="171" t="s">
        <v>354</v>
      </c>
      <c r="B899" s="168"/>
      <c r="C899" s="168" t="s">
        <v>153</v>
      </c>
      <c r="D899" s="172" t="str">
        <f t="shared" ca="1" si="78"/>
        <v>원자재</v>
      </c>
      <c r="E899" s="172" t="str">
        <f t="shared" ca="1" si="79"/>
        <v>AR</v>
      </c>
      <c r="F899" s="168" t="s">
        <v>1284</v>
      </c>
      <c r="G899" s="168" t="s">
        <v>1284</v>
      </c>
      <c r="H899" s="172" t="str">
        <f t="shared" si="80"/>
        <v>매칭완료</v>
      </c>
      <c r="I899" s="172" t="str">
        <f t="shared" ca="1" si="81"/>
        <v>7-AR</v>
      </c>
      <c r="J899" s="173" t="s">
        <v>1284</v>
      </c>
      <c r="K899" s="173" t="s">
        <v>1284</v>
      </c>
      <c r="L899" s="108" t="str">
        <f t="shared" si="82"/>
        <v>→ 조립자재 R513</v>
      </c>
      <c r="M899" s="174"/>
      <c r="N899" s="109">
        <v>513</v>
      </c>
      <c r="O899" s="109" t="s">
        <v>2110</v>
      </c>
      <c r="P899" s="172" t="s">
        <v>4008</v>
      </c>
    </row>
    <row r="900" spans="1:16" ht="30" customHeight="1" x14ac:dyDescent="0.3">
      <c r="A900" s="171" t="s">
        <v>354</v>
      </c>
      <c r="B900" s="168"/>
      <c r="C900" s="168" t="s">
        <v>153</v>
      </c>
      <c r="D900" s="172" t="str">
        <f t="shared" ca="1" si="78"/>
        <v>원자재</v>
      </c>
      <c r="E900" s="172" t="str">
        <f t="shared" ca="1" si="79"/>
        <v>AR</v>
      </c>
      <c r="F900" s="168" t="s">
        <v>1285</v>
      </c>
      <c r="G900" s="168" t="s">
        <v>1285</v>
      </c>
      <c r="H900" s="172" t="str">
        <f t="shared" si="80"/>
        <v>매칭완료</v>
      </c>
      <c r="I900" s="172" t="str">
        <f t="shared" ca="1" si="81"/>
        <v>7-AR</v>
      </c>
      <c r="J900" s="173" t="s">
        <v>1285</v>
      </c>
      <c r="K900" s="173" t="s">
        <v>1285</v>
      </c>
      <c r="L900" s="108" t="str">
        <f t="shared" si="82"/>
        <v>→ 조립자재 R514</v>
      </c>
      <c r="M900" s="174"/>
      <c r="N900" s="109">
        <v>514</v>
      </c>
      <c r="O900" s="109" t="s">
        <v>2110</v>
      </c>
      <c r="P900" s="172" t="s">
        <v>4009</v>
      </c>
    </row>
    <row r="901" spans="1:16" ht="30" customHeight="1" x14ac:dyDescent="0.3">
      <c r="A901" s="171" t="s">
        <v>354</v>
      </c>
      <c r="B901" s="168"/>
      <c r="C901" s="168" t="s">
        <v>153</v>
      </c>
      <c r="D901" s="172" t="str">
        <f t="shared" ca="1" si="78"/>
        <v>원자재</v>
      </c>
      <c r="E901" s="172" t="str">
        <f t="shared" ca="1" si="79"/>
        <v>AR</v>
      </c>
      <c r="F901" s="168" t="s">
        <v>1286</v>
      </c>
      <c r="G901" s="168" t="s">
        <v>1286</v>
      </c>
      <c r="H901" s="172" t="str">
        <f t="shared" si="80"/>
        <v>매칭완료</v>
      </c>
      <c r="I901" s="172" t="str">
        <f t="shared" ca="1" si="81"/>
        <v>7-AR</v>
      </c>
      <c r="J901" s="173" t="s">
        <v>1286</v>
      </c>
      <c r="K901" s="173" t="s">
        <v>1286</v>
      </c>
      <c r="L901" s="108" t="str">
        <f t="shared" si="82"/>
        <v>→ 조립자재 R515</v>
      </c>
      <c r="M901" s="174"/>
      <c r="N901" s="109">
        <v>515</v>
      </c>
      <c r="O901" s="109" t="s">
        <v>2110</v>
      </c>
      <c r="P901" s="172" t="s">
        <v>4010</v>
      </c>
    </row>
    <row r="902" spans="1:16" ht="30" customHeight="1" x14ac:dyDescent="0.3">
      <c r="A902" s="171" t="s">
        <v>354</v>
      </c>
      <c r="B902" s="168"/>
      <c r="C902" s="168" t="s">
        <v>198</v>
      </c>
      <c r="D902" s="172" t="str">
        <f t="shared" ca="1" si="78"/>
        <v>원자재</v>
      </c>
      <c r="E902" s="172" t="str">
        <f t="shared" ca="1" si="79"/>
        <v>AR</v>
      </c>
      <c r="F902" s="168" t="s">
        <v>1287</v>
      </c>
      <c r="G902" s="168" t="s">
        <v>1287</v>
      </c>
      <c r="H902" s="172" t="str">
        <f t="shared" si="80"/>
        <v>매칭완료</v>
      </c>
      <c r="I902" s="172" t="str">
        <f t="shared" ca="1" si="81"/>
        <v>4-AR</v>
      </c>
      <c r="J902" s="173" t="s">
        <v>1287</v>
      </c>
      <c r="K902" s="173" t="s">
        <v>1287</v>
      </c>
      <c r="L902" s="108" t="str">
        <f t="shared" si="82"/>
        <v>→ 조립자재 R516</v>
      </c>
      <c r="M902" s="174"/>
      <c r="N902" s="109">
        <v>516</v>
      </c>
      <c r="O902" s="109" t="s">
        <v>2110</v>
      </c>
      <c r="P902" s="172" t="s">
        <v>4011</v>
      </c>
    </row>
    <row r="903" spans="1:16" ht="30" customHeight="1" x14ac:dyDescent="0.3">
      <c r="A903" s="171" t="s">
        <v>354</v>
      </c>
      <c r="B903" s="168"/>
      <c r="C903" s="168" t="s">
        <v>198</v>
      </c>
      <c r="D903" s="172" t="str">
        <f t="shared" ca="1" si="78"/>
        <v>원자재</v>
      </c>
      <c r="E903" s="172" t="str">
        <f t="shared" ca="1" si="79"/>
        <v>AR</v>
      </c>
      <c r="F903" s="168" t="s">
        <v>1288</v>
      </c>
      <c r="G903" s="168" t="s">
        <v>1288</v>
      </c>
      <c r="H903" s="172" t="str">
        <f t="shared" si="80"/>
        <v>매칭완료</v>
      </c>
      <c r="I903" s="172" t="str">
        <f t="shared" ca="1" si="81"/>
        <v>4-AR</v>
      </c>
      <c r="J903" s="173" t="s">
        <v>1288</v>
      </c>
      <c r="K903" s="173" t="s">
        <v>1288</v>
      </c>
      <c r="L903" s="108" t="str">
        <f t="shared" si="82"/>
        <v>→ 조립자재 R517</v>
      </c>
      <c r="M903" s="174"/>
      <c r="N903" s="109">
        <v>517</v>
      </c>
      <c r="O903" s="109" t="s">
        <v>2110</v>
      </c>
      <c r="P903" s="172" t="s">
        <v>4012</v>
      </c>
    </row>
    <row r="904" spans="1:16" ht="30" customHeight="1" x14ac:dyDescent="0.3">
      <c r="A904" s="171" t="s">
        <v>354</v>
      </c>
      <c r="B904" s="168"/>
      <c r="C904" s="168" t="s">
        <v>198</v>
      </c>
      <c r="D904" s="172" t="str">
        <f t="shared" ca="1" si="78"/>
        <v>원자재</v>
      </c>
      <c r="E904" s="172" t="str">
        <f t="shared" ca="1" si="79"/>
        <v>AR</v>
      </c>
      <c r="F904" s="168" t="s">
        <v>1289</v>
      </c>
      <c r="G904" s="168" t="s">
        <v>1289</v>
      </c>
      <c r="H904" s="172" t="str">
        <f t="shared" si="80"/>
        <v>매칭완료</v>
      </c>
      <c r="I904" s="172" t="str">
        <f t="shared" ca="1" si="81"/>
        <v>4-AR</v>
      </c>
      <c r="J904" s="173" t="s">
        <v>1289</v>
      </c>
      <c r="K904" s="173" t="s">
        <v>1289</v>
      </c>
      <c r="L904" s="108" t="str">
        <f t="shared" si="82"/>
        <v>→ 조립자재 R518</v>
      </c>
      <c r="M904" s="174"/>
      <c r="N904" s="109">
        <v>518</v>
      </c>
      <c r="O904" s="109" t="s">
        <v>2110</v>
      </c>
      <c r="P904" s="172" t="s">
        <v>4013</v>
      </c>
    </row>
    <row r="905" spans="1:16" ht="30" customHeight="1" x14ac:dyDescent="0.3">
      <c r="A905" s="171" t="s">
        <v>354</v>
      </c>
      <c r="B905" s="168"/>
      <c r="C905" s="168" t="s">
        <v>198</v>
      </c>
      <c r="D905" s="172" t="str">
        <f t="shared" ca="1" si="78"/>
        <v>원자재</v>
      </c>
      <c r="E905" s="172" t="str">
        <f t="shared" ca="1" si="79"/>
        <v>AR</v>
      </c>
      <c r="F905" s="168" t="s">
        <v>1290</v>
      </c>
      <c r="G905" s="168" t="s">
        <v>1290</v>
      </c>
      <c r="H905" s="172" t="str">
        <f t="shared" si="80"/>
        <v>매칭완료</v>
      </c>
      <c r="I905" s="172" t="str">
        <f t="shared" ca="1" si="81"/>
        <v>4-AR</v>
      </c>
      <c r="J905" s="173" t="s">
        <v>1290</v>
      </c>
      <c r="K905" s="173" t="s">
        <v>1290</v>
      </c>
      <c r="L905" s="108" t="str">
        <f t="shared" si="82"/>
        <v>→ 조립자재 R519</v>
      </c>
      <c r="M905" s="174"/>
      <c r="N905" s="109">
        <v>519</v>
      </c>
      <c r="O905" s="109" t="s">
        <v>2110</v>
      </c>
      <c r="P905" s="172" t="s">
        <v>4014</v>
      </c>
    </row>
    <row r="906" spans="1:16" ht="30" customHeight="1" x14ac:dyDescent="0.3">
      <c r="A906" s="171" t="s">
        <v>354</v>
      </c>
      <c r="B906" s="168"/>
      <c r="C906" s="168" t="s">
        <v>198</v>
      </c>
      <c r="D906" s="172" t="str">
        <f t="shared" ca="1" si="78"/>
        <v>반제품</v>
      </c>
      <c r="E906" s="172" t="str">
        <f t="shared" ca="1" si="79"/>
        <v>AA</v>
      </c>
      <c r="F906" s="168" t="s">
        <v>1291</v>
      </c>
      <c r="G906" s="168" t="s">
        <v>1291</v>
      </c>
      <c r="H906" s="172" t="str">
        <f t="shared" si="80"/>
        <v>매칭완료</v>
      </c>
      <c r="I906" s="172" t="str">
        <f t="shared" ca="1" si="81"/>
        <v>4-AA</v>
      </c>
      <c r="J906" s="173" t="s">
        <v>1291</v>
      </c>
      <c r="K906" s="173" t="s">
        <v>1291</v>
      </c>
      <c r="L906" s="108" t="str">
        <f t="shared" si="82"/>
        <v>→ 조립자재 R520</v>
      </c>
      <c r="M906" s="174"/>
      <c r="N906" s="109">
        <v>520</v>
      </c>
      <c r="O906" s="109" t="s">
        <v>2110</v>
      </c>
      <c r="P906" s="172" t="s">
        <v>4015</v>
      </c>
    </row>
    <row r="907" spans="1:16" ht="30" customHeight="1" x14ac:dyDescent="0.3">
      <c r="A907" s="171" t="s">
        <v>354</v>
      </c>
      <c r="B907" s="168"/>
      <c r="C907" s="168" t="s">
        <v>117</v>
      </c>
      <c r="D907" s="172" t="str">
        <f t="shared" ca="1" si="78"/>
        <v>반제품</v>
      </c>
      <c r="E907" s="172" t="str">
        <f t="shared" ca="1" si="79"/>
        <v>AA</v>
      </c>
      <c r="F907" s="168" t="s">
        <v>1292</v>
      </c>
      <c r="G907" s="168" t="s">
        <v>1292</v>
      </c>
      <c r="H907" s="172" t="str">
        <f t="shared" si="80"/>
        <v>매칭완료</v>
      </c>
      <c r="I907" s="172" t="str">
        <f t="shared" ca="1" si="81"/>
        <v>6-AA</v>
      </c>
      <c r="J907" s="173" t="s">
        <v>1292</v>
      </c>
      <c r="K907" s="173" t="s">
        <v>1292</v>
      </c>
      <c r="L907" s="108" t="str">
        <f t="shared" si="82"/>
        <v>→ 조립자재 R521</v>
      </c>
      <c r="M907" s="174"/>
      <c r="N907" s="109">
        <v>521</v>
      </c>
      <c r="O907" s="109" t="s">
        <v>2110</v>
      </c>
      <c r="P907" s="172" t="s">
        <v>4016</v>
      </c>
    </row>
    <row r="908" spans="1:16" ht="30" customHeight="1" x14ac:dyDescent="0.3">
      <c r="A908" s="171" t="s">
        <v>354</v>
      </c>
      <c r="B908" s="168"/>
      <c r="C908" s="168" t="s">
        <v>198</v>
      </c>
      <c r="D908" s="172" t="str">
        <f t="shared" ca="1" si="78"/>
        <v>완제품</v>
      </c>
      <c r="E908" s="172" t="str">
        <f t="shared" ca="1" si="79"/>
        <v>AF</v>
      </c>
      <c r="F908" s="168" t="s">
        <v>1343</v>
      </c>
      <c r="G908" s="168" t="s">
        <v>1343</v>
      </c>
      <c r="H908" s="172" t="str">
        <f t="shared" si="80"/>
        <v>매칭완료</v>
      </c>
      <c r="I908" s="172" t="str">
        <f t="shared" ca="1" si="81"/>
        <v>4-AF</v>
      </c>
      <c r="J908" s="173" t="s">
        <v>1343</v>
      </c>
      <c r="K908" s="173" t="s">
        <v>1343</v>
      </c>
      <c r="L908" s="108" t="str">
        <f>HYPERLINK("#'"&amp;$O908&amp;"'!A"&amp;$N908,"→ 조립완제품 R"&amp;$N908)</f>
        <v>→ 조립완제품 R521</v>
      </c>
      <c r="M908" s="174"/>
      <c r="N908" s="109">
        <v>521</v>
      </c>
      <c r="O908" s="109" t="s">
        <v>3537</v>
      </c>
      <c r="P908" s="172" t="s">
        <v>4017</v>
      </c>
    </row>
    <row r="909" spans="1:16" ht="30" customHeight="1" x14ac:dyDescent="0.3">
      <c r="A909" s="171" t="s">
        <v>354</v>
      </c>
      <c r="B909" s="168"/>
      <c r="C909" s="168" t="s">
        <v>182</v>
      </c>
      <c r="D909" s="172" t="str">
        <f t="shared" ca="1" si="78"/>
        <v>완제품</v>
      </c>
      <c r="E909" s="172" t="str">
        <f t="shared" ca="1" si="79"/>
        <v>AF</v>
      </c>
      <c r="F909" s="168" t="s">
        <v>1344</v>
      </c>
      <c r="G909" s="168" t="s">
        <v>1344</v>
      </c>
      <c r="H909" s="172" t="str">
        <f t="shared" si="80"/>
        <v>매칭완료</v>
      </c>
      <c r="I909" s="172" t="str">
        <f t="shared" ca="1" si="81"/>
        <v>8-AF</v>
      </c>
      <c r="J909" s="173" t="s">
        <v>1344</v>
      </c>
      <c r="K909" s="173" t="s">
        <v>1344</v>
      </c>
      <c r="L909" s="108" t="str">
        <f>HYPERLINK("#'"&amp;$O909&amp;"'!A"&amp;$N909,"→ 조립완제품 R"&amp;$N909)</f>
        <v>→ 조립완제품 R522</v>
      </c>
      <c r="M909" s="174"/>
      <c r="N909" s="109">
        <v>522</v>
      </c>
      <c r="O909" s="109" t="s">
        <v>3537</v>
      </c>
      <c r="P909" s="172" t="s">
        <v>4018</v>
      </c>
    </row>
    <row r="910" spans="1:16" ht="30" customHeight="1" x14ac:dyDescent="0.3">
      <c r="A910" s="171" t="s">
        <v>771</v>
      </c>
      <c r="B910" s="168"/>
      <c r="C910" s="168" t="s">
        <v>117</v>
      </c>
      <c r="D910" s="172" t="str">
        <f t="shared" ca="1" si="78"/>
        <v>원자재</v>
      </c>
      <c r="E910" s="172" t="str">
        <f t="shared" ca="1" si="79"/>
        <v>PR</v>
      </c>
      <c r="F910" s="168" t="s">
        <v>1293</v>
      </c>
      <c r="G910" s="168" t="s">
        <v>1293</v>
      </c>
      <c r="H910" s="172" t="str">
        <f t="shared" si="80"/>
        <v>매칭완료</v>
      </c>
      <c r="I910" s="172" t="str">
        <f t="shared" ca="1" si="81"/>
        <v>6-PR</v>
      </c>
      <c r="J910" s="173" t="s">
        <v>1293</v>
      </c>
      <c r="K910" s="173" t="s">
        <v>1293</v>
      </c>
      <c r="L910" s="108" t="str">
        <f t="shared" ref="L910:L916" si="83">HYPERLINK("#'"&amp;$O910&amp;"'!A"&amp;$N910,"→ 조립자재 R"&amp;$N910)</f>
        <v>→ 조립자재 R522</v>
      </c>
      <c r="M910" s="174"/>
      <c r="N910" s="109">
        <v>522</v>
      </c>
      <c r="O910" s="109" t="s">
        <v>2110</v>
      </c>
      <c r="P910" s="172" t="s">
        <v>4019</v>
      </c>
    </row>
    <row r="911" spans="1:16" ht="30" customHeight="1" x14ac:dyDescent="0.3">
      <c r="A911" s="171" t="s">
        <v>771</v>
      </c>
      <c r="B911" s="168"/>
      <c r="C911" s="168" t="s">
        <v>117</v>
      </c>
      <c r="D911" s="172" t="str">
        <f t="shared" ca="1" si="78"/>
        <v>원자재</v>
      </c>
      <c r="E911" s="172" t="str">
        <f t="shared" ca="1" si="79"/>
        <v>PR</v>
      </c>
      <c r="F911" s="168" t="s">
        <v>1294</v>
      </c>
      <c r="G911" s="168" t="s">
        <v>1294</v>
      </c>
      <c r="H911" s="172" t="str">
        <f t="shared" si="80"/>
        <v>매칭완료</v>
      </c>
      <c r="I911" s="172" t="str">
        <f t="shared" ca="1" si="81"/>
        <v>6-PR</v>
      </c>
      <c r="J911" s="173" t="s">
        <v>1294</v>
      </c>
      <c r="K911" s="173" t="s">
        <v>1294</v>
      </c>
      <c r="L911" s="108" t="str">
        <f t="shared" si="83"/>
        <v>→ 조립자재 R523</v>
      </c>
      <c r="M911" s="174"/>
      <c r="N911" s="109">
        <v>523</v>
      </c>
      <c r="O911" s="109" t="s">
        <v>2110</v>
      </c>
      <c r="P911" s="172" t="s">
        <v>4020</v>
      </c>
    </row>
    <row r="912" spans="1:16" ht="30" customHeight="1" x14ac:dyDescent="0.3">
      <c r="A912" s="171" t="s">
        <v>771</v>
      </c>
      <c r="B912" s="168"/>
      <c r="C912" s="168" t="s">
        <v>117</v>
      </c>
      <c r="D912" s="172" t="str">
        <f t="shared" ca="1" si="78"/>
        <v>원자재</v>
      </c>
      <c r="E912" s="172" t="str">
        <f t="shared" ca="1" si="79"/>
        <v>PR</v>
      </c>
      <c r="F912" s="168" t="s">
        <v>1295</v>
      </c>
      <c r="G912" s="168" t="s">
        <v>1295</v>
      </c>
      <c r="H912" s="172" t="str">
        <f t="shared" si="80"/>
        <v>매칭완료</v>
      </c>
      <c r="I912" s="172" t="str">
        <f t="shared" ca="1" si="81"/>
        <v>6-PR</v>
      </c>
      <c r="J912" s="173" t="s">
        <v>1295</v>
      </c>
      <c r="K912" s="173" t="s">
        <v>1295</v>
      </c>
      <c r="L912" s="108" t="str">
        <f t="shared" si="83"/>
        <v>→ 조립자재 R524</v>
      </c>
      <c r="M912" s="174"/>
      <c r="N912" s="109">
        <v>524</v>
      </c>
      <c r="O912" s="109" t="s">
        <v>2110</v>
      </c>
      <c r="P912" s="172" t="s">
        <v>4021</v>
      </c>
    </row>
    <row r="913" spans="1:16" ht="30" customHeight="1" x14ac:dyDescent="0.3">
      <c r="A913" s="171" t="s">
        <v>771</v>
      </c>
      <c r="B913" s="168"/>
      <c r="C913" s="168" t="s">
        <v>195</v>
      </c>
      <c r="D913" s="172" t="str">
        <f t="shared" ca="1" si="78"/>
        <v>반제품</v>
      </c>
      <c r="E913" s="172" t="str">
        <f t="shared" ca="1" si="79"/>
        <v>PA</v>
      </c>
      <c r="F913" s="168" t="s">
        <v>1296</v>
      </c>
      <c r="G913" s="168" t="s">
        <v>1296</v>
      </c>
      <c r="H913" s="172" t="str">
        <f t="shared" si="80"/>
        <v>매칭완료</v>
      </c>
      <c r="I913" s="172" t="str">
        <f t="shared" ca="1" si="81"/>
        <v>3-PA</v>
      </c>
      <c r="J913" s="173" t="s">
        <v>1296</v>
      </c>
      <c r="K913" s="173" t="s">
        <v>1296</v>
      </c>
      <c r="L913" s="108" t="str">
        <f t="shared" si="83"/>
        <v>→ 조립자재 R525</v>
      </c>
      <c r="M913" s="174"/>
      <c r="N913" s="109">
        <v>525</v>
      </c>
      <c r="O913" s="109" t="s">
        <v>2110</v>
      </c>
      <c r="P913" s="172" t="s">
        <v>4022</v>
      </c>
    </row>
    <row r="914" spans="1:16" ht="30" customHeight="1" x14ac:dyDescent="0.3">
      <c r="A914" s="171" t="s">
        <v>771</v>
      </c>
      <c r="B914" s="168"/>
      <c r="C914" s="168" t="s">
        <v>117</v>
      </c>
      <c r="D914" s="172" t="str">
        <f t="shared" ca="1" si="78"/>
        <v>반제품</v>
      </c>
      <c r="E914" s="172" t="str">
        <f t="shared" ca="1" si="79"/>
        <v>PA</v>
      </c>
      <c r="F914" s="168" t="s">
        <v>1297</v>
      </c>
      <c r="G914" s="168" t="s">
        <v>1297</v>
      </c>
      <c r="H914" s="172" t="str">
        <f t="shared" si="80"/>
        <v>매칭완료</v>
      </c>
      <c r="I914" s="172" t="str">
        <f t="shared" ca="1" si="81"/>
        <v>6-PA</v>
      </c>
      <c r="J914" s="173" t="s">
        <v>1297</v>
      </c>
      <c r="K914" s="173" t="s">
        <v>1297</v>
      </c>
      <c r="L914" s="108" t="str">
        <f t="shared" si="83"/>
        <v>→ 조립자재 R526</v>
      </c>
      <c r="M914" s="174"/>
      <c r="N914" s="109">
        <v>526</v>
      </c>
      <c r="O914" s="109" t="s">
        <v>2110</v>
      </c>
      <c r="P914" s="172" t="s">
        <v>4023</v>
      </c>
    </row>
    <row r="915" spans="1:16" ht="30" customHeight="1" x14ac:dyDescent="0.3">
      <c r="A915" s="171" t="s">
        <v>771</v>
      </c>
      <c r="B915" s="168"/>
      <c r="C915" s="168" t="s">
        <v>117</v>
      </c>
      <c r="D915" s="172" t="str">
        <f t="shared" ca="1" si="78"/>
        <v>반제품</v>
      </c>
      <c r="E915" s="172" t="str">
        <f t="shared" ca="1" si="79"/>
        <v>PA</v>
      </c>
      <c r="F915" s="168" t="s">
        <v>1298</v>
      </c>
      <c r="G915" s="168" t="s">
        <v>1298</v>
      </c>
      <c r="H915" s="172" t="str">
        <f t="shared" si="80"/>
        <v>매칭완료</v>
      </c>
      <c r="I915" s="172" t="str">
        <f t="shared" ca="1" si="81"/>
        <v>6-PA</v>
      </c>
      <c r="J915" s="173" t="s">
        <v>1298</v>
      </c>
      <c r="K915" s="173" t="s">
        <v>1298</v>
      </c>
      <c r="L915" s="108" t="str">
        <f t="shared" si="83"/>
        <v>→ 조립자재 R527</v>
      </c>
      <c r="M915" s="174"/>
      <c r="N915" s="109">
        <v>527</v>
      </c>
      <c r="O915" s="109" t="s">
        <v>2110</v>
      </c>
      <c r="P915" s="172" t="s">
        <v>4024</v>
      </c>
    </row>
    <row r="916" spans="1:16" ht="30" customHeight="1" x14ac:dyDescent="0.3">
      <c r="A916" s="171" t="s">
        <v>771</v>
      </c>
      <c r="B916" s="168"/>
      <c r="C916" s="168" t="s">
        <v>117</v>
      </c>
      <c r="D916" s="172" t="str">
        <f t="shared" ca="1" si="78"/>
        <v>반제품</v>
      </c>
      <c r="E916" s="172" t="str">
        <f t="shared" ca="1" si="79"/>
        <v>PA</v>
      </c>
      <c r="F916" s="168" t="s">
        <v>1299</v>
      </c>
      <c r="G916" s="168" t="s">
        <v>1299</v>
      </c>
      <c r="H916" s="172" t="str">
        <f t="shared" si="80"/>
        <v>매칭완료</v>
      </c>
      <c r="I916" s="172" t="str">
        <f t="shared" ca="1" si="81"/>
        <v>6-PA</v>
      </c>
      <c r="J916" s="173" t="s">
        <v>1299</v>
      </c>
      <c r="K916" s="173" t="s">
        <v>1299</v>
      </c>
      <c r="L916" s="108" t="str">
        <f t="shared" si="83"/>
        <v>→ 조립자재 R528</v>
      </c>
      <c r="M916" s="174"/>
      <c r="N916" s="109">
        <v>528</v>
      </c>
      <c r="O916" s="109" t="s">
        <v>2110</v>
      </c>
      <c r="P916" s="172" t="s">
        <v>4025</v>
      </c>
    </row>
  </sheetData>
  <autoFilter ref="A1:O916" xr:uid="{00000000-0009-0000-0000-000007000000}"/>
  <phoneticPr fontId="2" type="noConversion"/>
  <conditionalFormatting sqref="H2:H851">
    <cfRule type="cellIs" dxfId="4" priority="1" operator="equal">
      <formula>"매칭완료"</formula>
    </cfRule>
    <cfRule type="cellIs" dxfId="3" priority="2" operator="equal">
      <formula>"반제품(창고없음)"</formula>
    </cfRule>
    <cfRule type="cellIs" dxfId="2" priority="3" operator="equal">
      <formula>"완제품(창고없음)"</formula>
    </cfRule>
    <cfRule type="cellIs" dxfId="1" priority="4" operator="equal">
      <formula>"⚠ 원자재_부서보관"</formula>
    </cfRule>
    <cfRule type="cellIs" dxfId="0" priority="5" operator="equal">
      <formula>"창고전용"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매칭_작업안내</vt:lpstr>
      <vt:lpstr>튜브파트_재고현황</vt:lpstr>
      <vt:lpstr>고압진공_재고현황</vt:lpstr>
      <vt:lpstr>조립자재_재고현황</vt:lpstr>
      <vt:lpstr>조립완제품_재고현황</vt:lpstr>
      <vt:lpstr>창고_재고현황</vt:lpstr>
      <vt:lpstr>출하_재고현황</vt:lpstr>
      <vt:lpstr>마스터_품목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승범 유</cp:lastModifiedBy>
  <dcterms:created xsi:type="dcterms:W3CDTF">2026-04-24T01:58:39Z</dcterms:created>
  <dcterms:modified xsi:type="dcterms:W3CDTF">2026-05-18T01:20:01Z</dcterms:modified>
</cp:coreProperties>
</file>