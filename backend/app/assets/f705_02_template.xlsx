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.worktrees\f704-02-audit-ledger-impl\backend\app\assets\"/>
    </mc:Choice>
  </mc:AlternateContent>
  <xr:revisionPtr revIDLastSave="0" documentId="13_ncr:1_{C5A87E01-AD5C-4FF1-9D84-2904985D8023}" xr6:coauthVersionLast="47" xr6:coauthVersionMax="47" xr10:uidLastSave="{00000000-0000-0000-0000-000000000000}"/>
  <bookViews>
    <workbookView xWindow="-120" yWindow="-120" windowWidth="29040" windowHeight="15720" activeTab="11" xr2:uid="{CDF6112D-1DCA-4E4F-B66B-65C0E1A5B289}"/>
  </bookViews>
  <sheets>
    <sheet name="26.01" sheetId="1" r:id="rId1"/>
    <sheet name="26.02" sheetId="8" r:id="rId2"/>
    <sheet name="26.03" sheetId="9" r:id="rId3"/>
    <sheet name="26.04" sheetId="10" r:id="rId4"/>
    <sheet name="26.05" sheetId="11" r:id="rId5"/>
    <sheet name="26.06" sheetId="12" r:id="rId6"/>
    <sheet name="26.07" sheetId="13" r:id="rId7"/>
    <sheet name="26.08" sheetId="14" r:id="rId8"/>
    <sheet name="26.09" sheetId="15" r:id="rId9"/>
    <sheet name="26.10" sheetId="16" r:id="rId10"/>
    <sheet name="26.11" sheetId="17" r:id="rId11"/>
    <sheet name="26.12" sheetId="18" r:id="rId12"/>
  </sheets>
  <definedNames>
    <definedName name="_xlnm._FilterDatabase" localSheetId="0" hidden="1">'26.01'!#REF!</definedName>
    <definedName name="_xlnm._FilterDatabase" localSheetId="1" hidden="1">'26.02'!#REF!</definedName>
    <definedName name="_xlnm._FilterDatabase" localSheetId="2" hidden="1">'26.03'!#REF!</definedName>
    <definedName name="_xlnm._FilterDatabase" localSheetId="3" hidden="1">'26.04'!#REF!</definedName>
    <definedName name="_xlnm._FilterDatabase" localSheetId="4" hidden="1">'26.05'!#REF!</definedName>
    <definedName name="_xlnm._FilterDatabase" localSheetId="5" hidden="1">'26.06'!#REF!</definedName>
    <definedName name="_xlnm._FilterDatabase" localSheetId="6" hidden="1">'26.07'!#REF!</definedName>
    <definedName name="_xlnm._FilterDatabase" localSheetId="7" hidden="1">'26.08'!#REF!</definedName>
    <definedName name="_xlnm._FilterDatabase" localSheetId="8" hidden="1">'26.09'!#REF!</definedName>
    <definedName name="_xlnm._FilterDatabase" localSheetId="9" hidden="1">'26.10'!#REF!</definedName>
    <definedName name="_xlnm._FilterDatabase" localSheetId="10" hidden="1">'26.11'!#REF!</definedName>
    <definedName name="_xlnm._FilterDatabase" localSheetId="11" hidden="1">'26.12'!#REF!</definedName>
    <definedName name="_xlnm.Print_Titles" localSheetId="0">'26.01'!$2:$2</definedName>
    <definedName name="_xlnm.Print_Titles" localSheetId="1">'26.02'!$2:$2</definedName>
    <definedName name="_xlnm.Print_Titles" localSheetId="2">'26.03'!$2:$2</definedName>
    <definedName name="_xlnm.Print_Titles" localSheetId="3">'26.04'!$2:$2</definedName>
    <definedName name="_xlnm.Print_Titles" localSheetId="4">'26.05'!$2:$2</definedName>
    <definedName name="_xlnm.Print_Titles" localSheetId="5">'26.06'!$2:$2</definedName>
    <definedName name="_xlnm.Print_Titles" localSheetId="6">'26.07'!$2:$2</definedName>
    <definedName name="_xlnm.Print_Titles" localSheetId="7">'26.08'!$2:$2</definedName>
    <definedName name="_xlnm.Print_Titles" localSheetId="8">'26.09'!$2:$2</definedName>
    <definedName name="_xlnm.Print_Titles" localSheetId="9">'26.10'!$2:$2</definedName>
    <definedName name="_xlnm.Print_Titles" localSheetId="10">'26.11'!$2:$2</definedName>
    <definedName name="_xlnm.Print_Titles" localSheetId="11">'26.12'!$2:$2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32" i="18" l="1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AI31" i="18"/>
  <c r="AI30" i="18"/>
  <c r="AI29" i="18"/>
  <c r="AI28" i="18"/>
  <c r="AI27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AI25" i="18"/>
  <c r="AI24" i="18"/>
  <c r="AI23" i="18"/>
  <c r="AI22" i="18"/>
  <c r="AI21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AI19" i="18"/>
  <c r="AI18" i="18"/>
  <c r="AI17" i="18"/>
  <c r="AI16" i="18"/>
  <c r="AI15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AI13" i="18"/>
  <c r="AI12" i="18"/>
  <c r="AI11" i="18"/>
  <c r="AI10" i="18"/>
  <c r="AI9" i="18"/>
  <c r="AH8" i="18"/>
  <c r="AG8" i="18"/>
  <c r="AF8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AI7" i="18"/>
  <c r="AI6" i="18"/>
  <c r="AI5" i="18"/>
  <c r="AI4" i="18"/>
  <c r="AI3" i="18"/>
  <c r="D2" i="18"/>
  <c r="E2" i="18" s="1"/>
  <c r="F2" i="18" s="1"/>
  <c r="G2" i="18" s="1"/>
  <c r="H2" i="18" s="1"/>
  <c r="I2" i="18" s="1"/>
  <c r="J2" i="18" s="1"/>
  <c r="K2" i="18" s="1"/>
  <c r="L2" i="18" s="1"/>
  <c r="M2" i="18" s="1"/>
  <c r="N2" i="18" s="1"/>
  <c r="O2" i="18" s="1"/>
  <c r="P2" i="18" s="1"/>
  <c r="Q2" i="18" s="1"/>
  <c r="R2" i="18" s="1"/>
  <c r="S2" i="18" s="1"/>
  <c r="T2" i="18" s="1"/>
  <c r="U2" i="18" s="1"/>
  <c r="V2" i="18" s="1"/>
  <c r="W2" i="18" s="1"/>
  <c r="X2" i="18" s="1"/>
  <c r="Y2" i="18" s="1"/>
  <c r="Z2" i="18" s="1"/>
  <c r="AA2" i="18" s="1"/>
  <c r="AB2" i="18" s="1"/>
  <c r="AC2" i="18" s="1"/>
  <c r="AD2" i="18" s="1"/>
  <c r="AE2" i="18" s="1"/>
  <c r="AF2" i="18" s="1"/>
  <c r="AG2" i="18" s="1"/>
  <c r="AH2" i="18" s="1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AI31" i="17"/>
  <c r="AI30" i="17"/>
  <c r="AI29" i="17"/>
  <c r="AI28" i="17"/>
  <c r="AI27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AI25" i="17"/>
  <c r="AI24" i="17"/>
  <c r="AI23" i="17"/>
  <c r="AI22" i="17"/>
  <c r="AI21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AI19" i="17"/>
  <c r="AI18" i="17"/>
  <c r="AI17" i="17"/>
  <c r="AI16" i="17"/>
  <c r="AI15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AI13" i="17"/>
  <c r="AI12" i="17"/>
  <c r="AI11" i="17"/>
  <c r="AI10" i="17"/>
  <c r="AI9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AI7" i="17"/>
  <c r="AI6" i="17"/>
  <c r="AI5" i="17"/>
  <c r="AI4" i="17"/>
  <c r="AI3" i="17"/>
  <c r="D2" i="17"/>
  <c r="E2" i="17" s="1"/>
  <c r="F2" i="17" s="1"/>
  <c r="G2" i="17" s="1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AG2" i="17" s="1"/>
  <c r="AH2" i="17" s="1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AI31" i="16"/>
  <c r="AI30" i="16"/>
  <c r="AI29" i="16"/>
  <c r="AI28" i="16"/>
  <c r="AI27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AI25" i="16"/>
  <c r="AI24" i="16"/>
  <c r="AI23" i="16"/>
  <c r="AI22" i="16"/>
  <c r="AI21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AI19" i="16"/>
  <c r="AI18" i="16"/>
  <c r="AI17" i="16"/>
  <c r="AI16" i="16"/>
  <c r="AI15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AI13" i="16"/>
  <c r="AI12" i="16"/>
  <c r="AI11" i="16"/>
  <c r="AI10" i="16"/>
  <c r="AI9" i="16"/>
  <c r="AH8" i="16"/>
  <c r="AG8" i="16"/>
  <c r="AF8" i="16"/>
  <c r="AE8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AI7" i="16"/>
  <c r="AI6" i="16"/>
  <c r="AI5" i="16"/>
  <c r="AI4" i="16"/>
  <c r="AI3" i="16"/>
  <c r="D2" i="16"/>
  <c r="E2" i="16" s="1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AH2" i="16" s="1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AI31" i="15"/>
  <c r="AI30" i="15"/>
  <c r="AI29" i="15"/>
  <c r="AI28" i="15"/>
  <c r="AI27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AI25" i="15"/>
  <c r="AI24" i="15"/>
  <c r="AI23" i="15"/>
  <c r="AI22" i="15"/>
  <c r="AI21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AI19" i="15"/>
  <c r="AI18" i="15"/>
  <c r="AI17" i="15"/>
  <c r="AI16" i="15"/>
  <c r="AI15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AI13" i="15"/>
  <c r="AI12" i="15"/>
  <c r="AI11" i="15"/>
  <c r="AI10" i="15"/>
  <c r="AI9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AI7" i="15"/>
  <c r="AI6" i="15"/>
  <c r="AI5" i="15"/>
  <c r="AI4" i="15"/>
  <c r="AI3" i="15"/>
  <c r="D2" i="15"/>
  <c r="E2" i="15" s="1"/>
  <c r="F2" i="15" s="1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AG2" i="15" s="1"/>
  <c r="AH2" i="15" s="1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AI31" i="14"/>
  <c r="AI30" i="14"/>
  <c r="AI29" i="14"/>
  <c r="AI28" i="14"/>
  <c r="AI27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AI25" i="14"/>
  <c r="AI24" i="14"/>
  <c r="AI23" i="14"/>
  <c r="AI22" i="14"/>
  <c r="AI21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AI19" i="14"/>
  <c r="AI18" i="14"/>
  <c r="AI17" i="14"/>
  <c r="AI16" i="14"/>
  <c r="AI15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AI13" i="14"/>
  <c r="AI12" i="14"/>
  <c r="AI11" i="14"/>
  <c r="AI10" i="14"/>
  <c r="AI9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AI7" i="14"/>
  <c r="AI6" i="14"/>
  <c r="AI5" i="14"/>
  <c r="AI4" i="14"/>
  <c r="AI3" i="14"/>
  <c r="D2" i="14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AG2" i="14" s="1"/>
  <c r="AH2" i="14" s="1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AI32" i="13" s="1"/>
  <c r="AI31" i="13"/>
  <c r="AI30" i="13"/>
  <c r="AI29" i="13"/>
  <c r="AI28" i="13"/>
  <c r="AI27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AI26" i="13" s="1"/>
  <c r="AI25" i="13"/>
  <c r="AI24" i="13"/>
  <c r="AI23" i="13"/>
  <c r="AI22" i="13"/>
  <c r="AI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AI20" i="13" s="1"/>
  <c r="AI19" i="13"/>
  <c r="AI18" i="13"/>
  <c r="AI17" i="13"/>
  <c r="AI16" i="13"/>
  <c r="AI15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AI14" i="13" s="1"/>
  <c r="AI13" i="13"/>
  <c r="AI12" i="13"/>
  <c r="AI11" i="13"/>
  <c r="AI10" i="13"/>
  <c r="AI9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AI8" i="13" s="1"/>
  <c r="AI7" i="13"/>
  <c r="AI6" i="13"/>
  <c r="AI5" i="13"/>
  <c r="AI4" i="13"/>
  <c r="AI3" i="13"/>
  <c r="D2" i="13"/>
  <c r="E2" i="13" s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AI31" i="12"/>
  <c r="AI30" i="12"/>
  <c r="AI29" i="12"/>
  <c r="AI28" i="12"/>
  <c r="AI27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AI25" i="12"/>
  <c r="AI24" i="12"/>
  <c r="AI23" i="12"/>
  <c r="AI22" i="12"/>
  <c r="AI21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AI19" i="12"/>
  <c r="AI18" i="12"/>
  <c r="AI17" i="12"/>
  <c r="AI16" i="12"/>
  <c r="AI15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AI13" i="12"/>
  <c r="AI12" i="12"/>
  <c r="AI11" i="12"/>
  <c r="AI10" i="12"/>
  <c r="AI9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AI7" i="12"/>
  <c r="AI6" i="12"/>
  <c r="AI5" i="12"/>
  <c r="AI4" i="12"/>
  <c r="AI3" i="12"/>
  <c r="D2" i="12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AG2" i="12" s="1"/>
  <c r="AH2" i="12" s="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AI31" i="11"/>
  <c r="AI30" i="11"/>
  <c r="AI29" i="11"/>
  <c r="AI28" i="11"/>
  <c r="AI27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AI25" i="11"/>
  <c r="AI24" i="11"/>
  <c r="AI23" i="11"/>
  <c r="AI22" i="11"/>
  <c r="AI21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AI19" i="11"/>
  <c r="AI18" i="11"/>
  <c r="AI17" i="11"/>
  <c r="AI16" i="11"/>
  <c r="AI15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AI13" i="11"/>
  <c r="AI12" i="11"/>
  <c r="AI11" i="11"/>
  <c r="AI10" i="11"/>
  <c r="AI9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AI7" i="11"/>
  <c r="AI6" i="11"/>
  <c r="AI5" i="11"/>
  <c r="AI4" i="11"/>
  <c r="AI3" i="11"/>
  <c r="D2" i="1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AH2" i="11" s="1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AI31" i="10"/>
  <c r="AI30" i="10"/>
  <c r="AI29" i="10"/>
  <c r="AI28" i="10"/>
  <c r="AI27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AI25" i="10"/>
  <c r="AI24" i="10"/>
  <c r="AI23" i="10"/>
  <c r="AI22" i="10"/>
  <c r="AI21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AI19" i="10"/>
  <c r="AI18" i="10"/>
  <c r="AI17" i="10"/>
  <c r="AI16" i="10"/>
  <c r="AI15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AI13" i="10"/>
  <c r="AI12" i="10"/>
  <c r="AI11" i="10"/>
  <c r="AI10" i="10"/>
  <c r="AI9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AI7" i="10"/>
  <c r="AI6" i="10"/>
  <c r="AI5" i="10"/>
  <c r="AI4" i="10"/>
  <c r="AI3" i="10"/>
  <c r="D2" i="10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AI31" i="9"/>
  <c r="AI30" i="9"/>
  <c r="AI29" i="9"/>
  <c r="AI28" i="9"/>
  <c r="AI27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AI25" i="9"/>
  <c r="AI24" i="9"/>
  <c r="AI23" i="9"/>
  <c r="AI22" i="9"/>
  <c r="AI21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AI19" i="9"/>
  <c r="AI18" i="9"/>
  <c r="AI17" i="9"/>
  <c r="AI16" i="9"/>
  <c r="AI15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AI13" i="9"/>
  <c r="AI12" i="9"/>
  <c r="AI11" i="9"/>
  <c r="AI10" i="9"/>
  <c r="AI9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AI7" i="9"/>
  <c r="AI6" i="9"/>
  <c r="AI5" i="9"/>
  <c r="AI4" i="9"/>
  <c r="AI3" i="9"/>
  <c r="D2" i="9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AG2" i="9" s="1"/>
  <c r="AH2" i="9" s="1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AI31" i="8"/>
  <c r="AI30" i="8"/>
  <c r="AI29" i="8"/>
  <c r="AI28" i="8"/>
  <c r="AI27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AI25" i="8"/>
  <c r="AI24" i="8"/>
  <c r="AI23" i="8"/>
  <c r="AI22" i="8"/>
  <c r="AI21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AI19" i="8"/>
  <c r="AI18" i="8"/>
  <c r="AI17" i="8"/>
  <c r="AI16" i="8"/>
  <c r="AI15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AI13" i="8"/>
  <c r="AI12" i="8"/>
  <c r="AI11" i="8"/>
  <c r="AI10" i="8"/>
  <c r="AI9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AI7" i="8"/>
  <c r="AI6" i="8"/>
  <c r="AI5" i="8"/>
  <c r="AI4" i="8"/>
  <c r="AI3" i="8"/>
  <c r="D2" i="8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I31" i="1"/>
  <c r="AI30" i="1"/>
  <c r="AI29" i="1"/>
  <c r="AI28" i="1"/>
  <c r="AI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I25" i="1"/>
  <c r="AI24" i="1"/>
  <c r="AI23" i="1"/>
  <c r="AI22" i="1"/>
  <c r="AI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I19" i="1"/>
  <c r="AI18" i="1"/>
  <c r="AI17" i="1"/>
  <c r="AI16" i="1"/>
  <c r="AI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I13" i="1"/>
  <c r="AI12" i="1"/>
  <c r="AI11" i="1"/>
  <c r="AI10" i="1"/>
  <c r="AI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I7" i="1"/>
  <c r="AI6" i="1"/>
  <c r="AI5" i="1"/>
  <c r="AI4" i="1"/>
  <c r="AI3" i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0" i="14" l="1"/>
  <c r="AI8" i="15"/>
  <c r="AI14" i="16"/>
  <c r="AI20" i="16"/>
  <c r="AI8" i="17"/>
  <c r="AI14" i="17"/>
  <c r="AI20" i="17"/>
  <c r="AI26" i="17"/>
  <c r="AI32" i="17"/>
  <c r="AI26" i="15"/>
  <c r="AI8" i="16"/>
  <c r="AI26" i="16"/>
  <c r="AI32" i="16"/>
  <c r="AI8" i="18"/>
  <c r="AI14" i="18"/>
  <c r="AI20" i="18"/>
  <c r="AI26" i="18"/>
  <c r="AI32" i="18"/>
  <c r="AI14" i="14"/>
  <c r="AI20" i="15"/>
  <c r="AI8" i="8"/>
  <c r="AI14" i="8"/>
  <c r="AI20" i="8"/>
  <c r="AI26" i="8"/>
  <c r="AI32" i="8"/>
  <c r="AI32" i="14"/>
  <c r="AI32" i="15"/>
  <c r="AI8" i="9"/>
  <c r="AI14" i="9"/>
  <c r="AI20" i="9"/>
  <c r="AI26" i="9"/>
  <c r="AI32" i="9"/>
  <c r="AI8" i="10"/>
  <c r="AI14" i="10"/>
  <c r="AI20" i="10"/>
  <c r="AI26" i="10"/>
  <c r="AI32" i="10"/>
  <c r="AI26" i="14"/>
  <c r="AI14" i="15"/>
  <c r="AI8" i="11"/>
  <c r="AI14" i="11"/>
  <c r="AI20" i="11"/>
  <c r="AI26" i="11"/>
  <c r="AI32" i="11"/>
  <c r="AI8" i="14"/>
  <c r="AI8" i="12"/>
  <c r="AI14" i="12"/>
  <c r="AI20" i="12"/>
  <c r="AI26" i="12"/>
  <c r="AI32" i="12"/>
  <c r="AI26" i="1"/>
  <c r="AI32" i="1"/>
  <c r="AI20" i="1"/>
  <c r="AI8" i="1"/>
  <c r="AI14" i="1"/>
</calcChain>
</file>

<file path=xl/sharedStrings.xml><?xml version="1.0" encoding="utf-8"?>
<sst xmlns="http://schemas.openxmlformats.org/spreadsheetml/2006/main" count="468" uniqueCount="17">
  <si>
    <t>공정</t>
    <phoneticPr fontId="2" type="noConversion"/>
  </si>
  <si>
    <t>모델</t>
    <phoneticPr fontId="2" type="noConversion"/>
  </si>
  <si>
    <t>실적</t>
    <phoneticPr fontId="2" type="noConversion"/>
  </si>
  <si>
    <t>목표량</t>
    <phoneticPr fontId="2" type="noConversion"/>
  </si>
  <si>
    <t>고압보드
+하우징</t>
    <phoneticPr fontId="2" type="noConversion"/>
  </si>
  <si>
    <t>DX3000</t>
    <phoneticPr fontId="2" type="noConversion"/>
  </si>
  <si>
    <t>ADX4000W</t>
    <phoneticPr fontId="2" type="noConversion"/>
  </si>
  <si>
    <t>ADX6000 시리즈</t>
    <phoneticPr fontId="2" type="noConversion"/>
  </si>
  <si>
    <t>COCOON</t>
    <phoneticPr fontId="2" type="noConversion"/>
  </si>
  <si>
    <t>SOLO</t>
    <phoneticPr fontId="2" type="noConversion"/>
  </si>
  <si>
    <t>합 계</t>
    <phoneticPr fontId="2" type="noConversion"/>
  </si>
  <si>
    <t>차폐
+보드</t>
    <phoneticPr fontId="2" type="noConversion"/>
  </si>
  <si>
    <t>ADX6000FB</t>
    <phoneticPr fontId="2" type="noConversion"/>
  </si>
  <si>
    <t>튜닝</t>
    <phoneticPr fontId="2" type="noConversion"/>
  </si>
  <si>
    <t>합 계</t>
  </si>
  <si>
    <t>메인조립</t>
    <phoneticPr fontId="2" type="noConversion"/>
  </si>
  <si>
    <t>포장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</si>
</sst>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m&quot;월&quot;\ &quot;생&quot;&quot;산&quot;&quot;일&quot;&quot;지&quot;"/>
    <numFmt numFmtId="177" formatCode="dd\(aaa\)"/>
  </numFmts>
  <fonts count="19">
    <font>
      <sz val="11"/>
      <name val="돋움"/>
      <family val="3"/>
      <charset val="129"/>
    </font>
    <font>
      <b/>
      <sz val="1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9"/>
      <color indexed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HY나무B"/>
      <family val="1"/>
      <charset val="129"/>
    </font>
    <font>
      <b/>
      <sz val="12"/>
      <name val="HY나무B"/>
      <family val="1"/>
      <charset val="129"/>
    </font>
    <font>
      <b/>
      <sz val="10"/>
      <color theme="1"/>
      <name val="HY나무B"/>
      <family val="1"/>
      <charset val="129"/>
    </font>
    <font>
      <b/>
      <sz val="12"/>
      <color indexed="8"/>
      <name val="HY나무B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176" fontId="1" fillId="0" borderId="1" xfId="0" applyNumberFormat="1" applyFont="1" applyBorder="1" applyAlignment="1">
      <alignment vertical="center" wrapText="1"/>
    </xf>
    <xf numFmtId="176" fontId="1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7" fontId="6" fillId="2" borderId="5" xfId="0" applyNumberFormat="1" applyFont="1" applyFill="1" applyBorder="1" applyAlignment="1">
      <alignment horizontal="center" vertical="center" textRotation="180" shrinkToFit="1"/>
    </xf>
    <xf numFmtId="177" fontId="6" fillId="2" borderId="6" xfId="0" applyNumberFormat="1" applyFont="1" applyFill="1" applyBorder="1" applyAlignment="1">
      <alignment horizontal="center" vertical="center" textRotation="180" shrinkToFit="1"/>
    </xf>
    <xf numFmtId="177" fontId="6" fillId="0" borderId="6" xfId="0" applyNumberFormat="1" applyFont="1" applyBorder="1" applyAlignment="1">
      <alignment horizontal="center" vertical="center" textRotation="180" shrinkToFit="1"/>
    </xf>
    <xf numFmtId="0" fontId="7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13" fillId="4" borderId="19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</cellXfs>
  <cellStyles count="1">
    <cellStyle name="표준" xfId="0" builtinId="0"/>
  </cellStyles>
  <dxfs count="6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10491C7-4086-45E9-BC8E-494F3863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B8D746-18DD-480D-9FCC-8E4D8BC08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F2614C4-BD54-413E-AF49-9B57807B5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49DBB8D2-EBED-4508-B5D0-02A77EC3A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C78B33D-C915-4459-9A11-07935819D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3041DFE7-CE51-4086-A936-4BFEB86C5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E392147B-C945-44E3-8743-CF1F2D11C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50934E16-9163-44AF-969A-770CC80A4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943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128D7294-A2D3-409B-8858-C84001E62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943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CD2D6BE1-9E11-4C00-B68B-2ABBB795D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943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36729639-C240-49D5-BEEB-7AC99D4C7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DBC1C1DA-6A68-45A2-8607-6144EE413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3F90800C-7E32-4492-BE0F-65B27BDEB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58241B55-8706-4290-855D-F38D3B13A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1BDDB24F-7C8B-4817-9F82-7B8E5E276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4C03590D-117C-4D2E-A70B-FAFF3B7A2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10135600-9CAD-4C7A-A82E-8A8FCFC57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7A2DDA1-8366-4BC0-80F3-289DC1C4D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3932724D-7086-4F89-9133-D2A8F2F9F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AD01FAD-9EBA-45D9-BF41-FE07D11F6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7C0CFC45-E663-4476-8AA9-FB0AA59B4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F5530E1C-6234-4BFC-946A-F347F8783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F7B69133-9410-4408-A006-558FE990F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7FB619B6-D921-4291-B624-64E37D200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216B1D5F-730F-4B53-BA6D-256206146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0E626A67-D310-449C-91B5-799233E33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EE7AE119-B783-4547-AC4A-25805A9C4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B73DFA7B-965C-4D23-BC7C-5449A22EA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8CB718B5-B731-477B-B56C-8DA17FF59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922E0630-466B-49A6-8E54-D74869DFC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5A141A53-CF23-4CD9-BD24-6910C4812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FB6CF8C9-2444-4161-AC56-A4138929A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54B0271B-F782-4A2C-9CFA-BBE5B5143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899DBEBF-17EA-42F7-8C35-E3E07531B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2E011831-DA8F-4B27-A544-551A2BA0C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DB29BE6B-7757-468E-AB9C-BBA5BFD89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4EC286D2-E16E-4B1A-8265-AA0149654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E7D55EA8-291E-4BEA-9EF0-1FAC15F20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E7E4D06C-6058-4812-A4F0-F9BE448C6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EA859A11-550B-489E-A721-82830D126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897A6E1A-5BB4-475C-A267-45010A30A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753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6A4EED10-60CB-4837-8123-9F1C6039A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943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4" name="Picture 2">
          <a:extLst>
            <a:ext uri="{FF2B5EF4-FFF2-40B4-BE49-F238E27FC236}">
              <a16:creationId xmlns:a16="http://schemas.microsoft.com/office/drawing/2014/main" id="{1798834D-6FCF-4827-A9F5-A1EFBDB22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7134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5" name="Picture 2">
          <a:extLst>
            <a:ext uri="{FF2B5EF4-FFF2-40B4-BE49-F238E27FC236}">
              <a16:creationId xmlns:a16="http://schemas.microsoft.com/office/drawing/2014/main" id="{27E4AFF6-DE3F-4104-84F5-BDD223760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7134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7189874-D94E-4BED-8F9B-39684AA2A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0C8937-330F-411E-840E-26D2EAAED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EC2B340C-726A-4247-9B69-2CDB27121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3355A50-2778-4F8F-BB24-0351A5381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F314FCB5-195F-4320-89CE-9C90232BA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217728E-6023-466B-A86D-A6C9CD9D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B383C3FB-96E8-4CFF-B312-AF196715A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423B7F3D-6E0E-447D-958A-DB1396BF0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3FFC4EDE-A45F-4BC2-861B-8F94DA72A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5338590-4C80-4F3C-A7CA-BDBC8AA46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67D63037-B78F-445E-B893-357222236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1BC885D6-AD22-48BD-BD96-5DD403C0B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B5F22F44-552D-4E4F-9558-6507F757C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6236D87C-F74C-43BE-BB9E-E3ABEF3B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3B1E521-7F0B-4B97-B856-0273FA20F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57B2B937-3A62-410E-98B8-301DC7481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6E99EEF4-4C1A-429E-AD63-87544D2F8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4D95BA0B-0F31-4DCF-995A-B42F213DB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5CAD808B-633C-4AF4-9F7A-1E4BE46FE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2D005BBB-7AE1-4AD8-871C-307B79FDE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6F4CF0DA-06AA-4773-BA77-B94C397C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777EA3F2-3F8A-4123-A2CC-F9374E359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0F55F074-D97A-431E-94EA-A6882EA3E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6AAB8DBE-6835-4F38-8703-BD439A364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5FD9C60B-EF9B-412A-AEF4-D783F55BA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5DEBCDFF-DCDA-47D7-84C6-CA7A93C72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717D6910-4115-490A-8BA7-50E3831DA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93CED6C8-CECF-4EE9-8021-B5C853B85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86FA01BE-FBAB-4037-8FAC-E0120765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5A5A68A2-EB85-4135-A6FC-44A2304D0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B85D9233-E816-47BC-B686-96AA60442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AAB9B585-1D1A-4F5B-8C32-2E6B0F51D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092C6EB1-3F4D-4C3F-83B6-EC91C0E54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01C43B5A-3724-40DF-940B-C6B75F853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2ADEA3A2-080D-4D26-98F2-13E33B7B8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7F3C57F2-45EC-4688-936D-DB1A69B1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FFF5D37-EC24-4330-AEFD-01653028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FA123F4D-2DE5-4757-AD8D-D4512FC50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CAC52FA9-54BD-4B1D-AE71-7751A61CD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10A5CF57-AD51-404A-94A9-E7032B31D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67E36C1C-645F-47CD-B95B-30C17C83F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518AEF98-403C-4FED-9CCB-3FE627C44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4" name="Picture 2">
          <a:extLst>
            <a:ext uri="{FF2B5EF4-FFF2-40B4-BE49-F238E27FC236}">
              <a16:creationId xmlns:a16="http://schemas.microsoft.com/office/drawing/2014/main" id="{8BE5170D-8FD8-459B-929C-5C3F8317B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5" name="Picture 2">
          <a:extLst>
            <a:ext uri="{FF2B5EF4-FFF2-40B4-BE49-F238E27FC236}">
              <a16:creationId xmlns:a16="http://schemas.microsoft.com/office/drawing/2014/main" id="{68791B47-7B4A-49D0-A279-154C455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BF744A2-731F-45AC-934C-2778B0B60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C4D7F5-CDA1-42DC-9F6D-17001FC58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D1211EBE-F302-4F69-9FDD-DB080E73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620C409D-14F4-47C1-838C-9774C0D6D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F60F0BBE-21FE-4F11-89F3-5A755E06C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86B2BDF-2F83-4018-BC4C-17C170BE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89DA471F-3604-4712-9704-5028D22D6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EE579ADA-39CB-4B95-ABE7-F09920154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479DD5AB-A8A4-4E1A-A069-DB9B54A1A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671E4774-2BAE-4EEE-98AC-02A05EC0B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05D4ACAC-8D55-4C6B-8EE3-30F8C8BDE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A88EB106-F962-49A1-BEE0-CA76F4A23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19F69CFB-7503-434A-8C32-43F48460B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FD44E10F-DB60-462C-83EF-5668172B0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3ABAD777-44B1-4780-892A-04A709721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4BBCAEB-6E53-48CC-8DF4-E4C6303D5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166E807E-C0B7-422C-BB89-799C6FE42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C43136C4-E30F-4F51-A339-424E4F892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1B8E6F1E-7FFA-4668-BF9F-FAA278850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23A48FA5-9C2D-4C6A-89E8-DE9688432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9B2F8A74-8D8F-4484-86DA-5328B961C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97E9EFFF-F8B0-439C-B006-71FDD3F1E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4E514C28-9544-443D-B3FD-74DF4A018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E551E782-7731-4242-8A9D-929B3787C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A24A4BA8-DA33-4F3A-8B5C-026BC9507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EE5478E9-2705-41AC-8136-4112EFA3C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F1BD8BE0-B838-4AB4-9C75-A0F50F688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F3592B4B-6907-4903-B15C-47E2C30B0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8BD05635-92E0-46A5-8612-E30A8182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618DA1B9-A54E-4D69-8757-86B406ED8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998F77C6-95F9-4F08-924F-86EFD6A1B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CE0D99DE-E375-4375-9DD8-7405E2912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8C34A132-13FF-4554-A248-30AEEF920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990FA200-8393-4437-A964-663A6A9F3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D7530533-5F3F-4695-9F6F-8633C753D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46F4AB2D-3FAD-4C1A-AE36-3EA8D6AF3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A07D1E62-9D6C-4EB6-80B8-8AED09B42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8F22AF64-65C4-43CB-9DC2-621677F4D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AEDA689F-42EB-4C9E-BB45-446FE993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6A2578FA-9628-46F0-907E-3ACB8214A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F5E215D0-692E-4667-8C15-8D07683E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1DF84946-5E62-436A-966F-EEEF07DD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4" name="Picture 2">
          <a:extLst>
            <a:ext uri="{FF2B5EF4-FFF2-40B4-BE49-F238E27FC236}">
              <a16:creationId xmlns:a16="http://schemas.microsoft.com/office/drawing/2014/main" id="{C6ED9471-ABDC-4327-A7B8-79FB76B06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5" name="Picture 2">
          <a:extLst>
            <a:ext uri="{FF2B5EF4-FFF2-40B4-BE49-F238E27FC236}">
              <a16:creationId xmlns:a16="http://schemas.microsoft.com/office/drawing/2014/main" id="{6219FCCC-B7EB-4184-AAD2-94D0353F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38CAFE1-D300-4C00-AD1E-8F6ABE734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499F34-7682-41CA-8139-9F2C5A46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B8AC941-266E-4F5D-A445-14D6CED48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54B6C74F-0DD4-4C52-9615-E40809F8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1BB1D707-5BE7-46F5-9C75-F7B68B938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542B2EAC-0F1D-4B9D-89BB-0AB647E25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F6304911-1C64-4392-AF38-371723A3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A76992F1-4FC9-4E88-A5E7-ADA3AA32B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CF8C94D0-0CDD-4092-BD7A-8D2748815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72A6491E-495B-4126-A662-2963F6FF2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84BD02DF-42A4-415F-91CD-17BDD319D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1A6F0DEA-0319-4F98-9F05-07BA763A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265F95FF-6E6B-4360-B966-41D5F820B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CD433BBA-9EDC-4714-951A-9BDB76BF5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E03E1F3B-B888-45E7-9E2A-BA65DC835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8AECD878-BB4A-46AD-AC74-3324F4E53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634BC01D-6C85-4CFA-B2D4-EAE8A1F50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27BEFE13-3590-4B21-BB40-839AFE5EF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DD6576C4-E768-4A80-B821-85903E509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15D75ED4-FC7F-439E-9A7E-29F110BC9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E7847B34-B72F-43FF-B76E-D5436782F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4898CE0E-B671-4B7E-B543-A4E3B305D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8FF1CE8F-E091-4B4B-8E93-DDD3C7EA4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FF4AF2B7-8350-4BED-B30D-D67C7E8BA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AD07C974-24AC-42CA-BA23-6E230EE02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3CD635CA-ADA7-4770-926B-E379C1BA1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6DD18DAB-372C-4603-B83F-BA9784B4D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84B0711D-CF8D-4B6F-9698-C13F33D20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FAADE4F2-66E1-4EB0-966D-23520C766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2759EA6F-338E-4F7F-9BB1-5FD743425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26185ED2-7A54-402E-A60C-F26128890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72453F2E-CCDE-4363-993D-0D7834190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11C9C0AB-D3BD-4DA1-A742-53263D48B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7C1ECF40-30FD-4605-AAF6-7F4237C4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1E7538DF-C34D-456B-9C07-AB65AD9B9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ACD6CFE2-7F2E-46CD-B41A-BC407C08B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AD9157FF-1B15-450E-83DF-13D27CAEF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1BDAB779-8154-4B2B-8FD7-2FE0830B2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5FFEE7D5-1B45-4F2C-9115-CD7DE8E7F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E69D5E07-8C6B-4C16-A9DA-749B2F92C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8F5BB105-03D2-4624-98A2-37CFC2E52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848F794D-29B6-4BA7-ACDA-BF3CB665E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4" name="Picture 2">
          <a:extLst>
            <a:ext uri="{FF2B5EF4-FFF2-40B4-BE49-F238E27FC236}">
              <a16:creationId xmlns:a16="http://schemas.microsoft.com/office/drawing/2014/main" id="{F2273EB6-6B63-48CF-86EC-A8825C4F7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5" name="Picture 2">
          <a:extLst>
            <a:ext uri="{FF2B5EF4-FFF2-40B4-BE49-F238E27FC236}">
              <a16:creationId xmlns:a16="http://schemas.microsoft.com/office/drawing/2014/main" id="{81A2F4CF-9B77-466D-B95D-AC16BD982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08B5529-8162-4271-94B6-A9B1AD7EE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1C7E46-0C96-420C-B0A7-3D42A01AE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EAFEDF8-67BE-426C-BCEF-422D69C2F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E45E615A-A8C7-4A7C-886B-B101ED288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D9ECD57F-E3AF-4332-8C49-C269C21A0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C9A07F10-664E-464D-B386-3A66C9B9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D9E48281-7F6F-4CA3-8A20-27B875B66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BB79DD90-19D9-4C5C-A7FD-426EF2BEC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E58672EA-1E82-4EC6-83AD-915B6B5A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638076C9-8041-468C-9664-124FB6013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F9D8C2AB-ACF4-4AB9-884D-F2C2D77DB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943FC7D2-0534-4903-9C8F-88E642127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22391783-1886-4BA2-9786-970E387C7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F1720D36-AB5E-4002-92A5-6C10CA852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7E5A68F4-EF45-4764-A94B-EDCF001C4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50F9AC5C-ACA3-44BD-9C03-00E4F95EC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14504D37-875C-4803-A188-DA18150F6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B5C35195-705E-46C8-97D9-9E18D4A0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2FBFC670-5201-46EE-9BC7-F17D26818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73F7E3D1-60BA-480C-8E0F-3248EA4E9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323D6932-0FD0-4971-832C-9142CC621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37BE947E-D960-4A15-95CF-6AD21E95E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63AE51D6-8B65-4CE7-8F30-1EDA834D1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B32F9A3A-4B79-4FF9-ACE0-7556CDF8B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77CC99E5-C003-475F-B430-976B0EF1A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4403B661-5D4C-4F0C-8CED-736E11085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955D5AE0-4E0B-465A-B7C9-E38821367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48DB2BCF-374B-4130-AB29-2137938B6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7BEEE6CB-711A-4A1A-85BE-B03B1B4D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756C1795-06BD-4B50-8862-A1E72F2AF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3325B25B-DF5E-43F1-B3FB-02F0F5748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8CC830BD-D7C3-4C69-88A8-9976911A4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834E26DF-BC82-4B52-AEF6-5988E2C88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1EA9BEED-8C54-4CB6-89E3-7F9E73CAB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35149438-D0B9-410A-92AA-AA660E6C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D5695824-6533-43F0-9BAA-81DD5CA67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A674D9AA-F9CC-487B-BE1B-FFC70F9EC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CF6C1DEF-26FC-4E5B-995D-2EA868C89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BBFBC272-ED7B-45FC-B8B2-77D44B0A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BE285049-3229-46CB-BF90-39B21F29B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C8375182-814A-4AE8-BCA2-5DB6D2C8E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AD0530C5-B468-46AF-9F02-D00988ACD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4" name="Picture 2">
          <a:extLst>
            <a:ext uri="{FF2B5EF4-FFF2-40B4-BE49-F238E27FC236}">
              <a16:creationId xmlns:a16="http://schemas.microsoft.com/office/drawing/2014/main" id="{CE036960-8CEB-458C-8781-DE1780CFE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5" name="Picture 2">
          <a:extLst>
            <a:ext uri="{FF2B5EF4-FFF2-40B4-BE49-F238E27FC236}">
              <a16:creationId xmlns:a16="http://schemas.microsoft.com/office/drawing/2014/main" id="{70E3824E-0C35-4F5A-9C72-68B13111A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EEF94F5-B00A-4543-B32D-26679FB8B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FE392B-C097-43C1-B9EC-DD9C24B72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FE2A9A4B-ACC3-4C19-9672-EB2BF0E96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AEFE84BF-9AB2-4ED1-807B-25B86C54C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6930AEB1-CACC-447E-B27A-4FCA831F5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89EC25D3-F9D9-42F9-A4CC-8A893ADBA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E65BED1D-CD79-4925-A8C5-692A16BC9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0059F598-683F-421C-B1A6-442B78401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FE9DF7C1-3FE9-401E-A9A1-67698A9DF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1BCC6F82-AA4C-4166-BD68-654C392AD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229121A4-E069-4D3D-8E8E-E1ACBDB4E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D7A34F8E-3553-4853-9AE3-2D190AA3A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421D71BD-821E-49B6-9547-D59920045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A4A3A23-3A43-4789-8DA6-D661F7407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69CD61D5-A4B0-49E0-8575-87BC1CA5C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67B9BE35-A77E-46D5-8F34-0AA1B0BC7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4DA7AB54-C64E-4F16-B217-4E1837C1B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BFA1BFA-CE4E-4CED-8814-5DA9D002B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15BF712-09FE-48C3-8A54-442ED978B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DF915CBD-B0BB-4084-92F4-A3032D7D9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7FE5C465-771E-443E-B4E4-6D74E446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31813161-5DBE-48E0-A7E3-6B4743E10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EAE3A4F9-9305-4406-B199-3FF6B3EAA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4A1B672F-2FA9-4241-BF38-7DA4BE580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1351F75E-F172-4DF7-A754-2FB73A21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5CABEFCF-2B42-4C77-AE50-7CE5AB8B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87AC643F-375D-4D99-8559-20C2DBFFC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C65C6404-7FC5-4431-BB15-7B2F0DD67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AE262CCF-1B7B-4698-AFC5-075067AFF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C3FF875E-F1E4-4327-AD17-720E029CA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E21DF948-D411-43F9-A5A2-E45DD1DA8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61F32B4F-25F8-4AEB-92D8-F536B080F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1236BF64-FEAC-4BAC-9AD8-22187017C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6F0092AD-7A50-428B-A082-021B0CE9A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C9CED9C9-C7A1-4D13-AC85-24BBD2637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F1E3276B-C7B3-4E5E-84A0-1996882C5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A0E6CA71-91FE-4227-A78D-E5510877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F3A2542C-F28C-4E44-B300-C5CCBB69B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651CA0D8-2FCC-4339-864E-5A246C41E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DD0E0A8C-80D6-4165-B2A3-43077894E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C48103A6-0D7B-4D81-8F59-3A41BF635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78AA8015-04B8-47B5-9ED8-20DF15CC9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4" name="Picture 2">
          <a:extLst>
            <a:ext uri="{FF2B5EF4-FFF2-40B4-BE49-F238E27FC236}">
              <a16:creationId xmlns:a16="http://schemas.microsoft.com/office/drawing/2014/main" id="{29BDEB60-9F8B-4A01-B89C-84A45EB06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5" name="Picture 2">
          <a:extLst>
            <a:ext uri="{FF2B5EF4-FFF2-40B4-BE49-F238E27FC236}">
              <a16:creationId xmlns:a16="http://schemas.microsoft.com/office/drawing/2014/main" id="{ECE76D83-678D-493C-9F12-DC2CB1BFE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5034628-A338-4C23-8B78-02CF0D991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1ACEB9-0791-4423-9715-5A4896C3B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ED32435A-555B-4D03-98FA-2EEB97D94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4D56A3C5-63CD-4C74-86CE-7A03B311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8A7FF803-EBCC-474E-9FED-B77BB714E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657994F8-DA8F-493D-8A2B-57823B79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C3D458A1-A6BD-46CF-A509-2BA5E26DB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CEDF4A36-2F58-45A2-92B9-D25C446F4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2C872FBC-BE3D-4A34-B5E9-235F1EB56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096DFDB1-4CF5-48E7-AB94-CDAE3F03A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7581B615-8609-4721-A3D5-C49D52837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D3EC9300-D53A-4FEA-A57B-BDEE753A8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7AF59BDC-892B-4333-A840-E819D9CB9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8760801C-64FD-4441-AE40-20B40F96E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C7213C1A-8326-4A98-A36C-9DCD77E5D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B792A944-DCDE-4400-8FB1-CB6448353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CE2E3B84-0917-458B-BA09-7FCAA6446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8807CA08-3541-46FD-9AA7-7EF923847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A91F8D55-B398-437A-9630-5B4499FE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D0D155B4-067C-46C1-B1C5-4C109E9CA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DADB461D-3524-430A-AE4F-1FBF49A46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EB1155AE-3E7E-4B67-99A4-81ADBF328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3845FC25-0DFD-4C8F-8252-5915630E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3C988149-B90D-4325-8C45-5AF2B62AF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0F7EBF6D-B67E-44EE-82AA-DBDB6955F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C2B50925-8408-4D64-A549-5A3295385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2C1FC1F0-4D2D-43B7-A4C9-EFB5FFF6C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2C165F0B-CABF-43D6-B212-9525890D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90808B35-6E60-402A-9C99-91B0D7C58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1008F3DF-CBCC-4089-90F6-2C57FE96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45E4AF60-176C-48FF-A2F7-D7D78A18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40012591-B72E-4941-B07C-8FFAA5C31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8E59FDB8-A2AF-4350-8070-32F342AFB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6F273A0D-E689-4DF3-AFAA-7F598627D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A2A7B6CD-B2A4-4BF8-971E-F8F5AFA3E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73A171B2-FA59-41E7-9B3C-6A3E721FF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DD881685-098F-4F5C-B5AE-12D1E9F57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75FE0972-9AA0-4F10-B5CD-910B4BC04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5797433F-35C7-46A8-BF0C-BEBD39527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143A4D20-9077-4702-87A4-45F556163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701DCAA0-9E30-409D-A145-D54114277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7A1E932C-B09F-4182-BDA1-25AA43593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4" name="Picture 2">
          <a:extLst>
            <a:ext uri="{FF2B5EF4-FFF2-40B4-BE49-F238E27FC236}">
              <a16:creationId xmlns:a16="http://schemas.microsoft.com/office/drawing/2014/main" id="{1B95E724-66ED-4E9F-86B3-BE52F53A3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5" name="Picture 2">
          <a:extLst>
            <a:ext uri="{FF2B5EF4-FFF2-40B4-BE49-F238E27FC236}">
              <a16:creationId xmlns:a16="http://schemas.microsoft.com/office/drawing/2014/main" id="{5608FDAA-5605-4EAF-A0F2-B4CE734B3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B3F6FF6-2E67-4B2A-A54D-44EF2DC36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BFD22B-8C44-4C8D-BF6D-65CFD886C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F9E0222-D838-4A60-AB71-A6CF83F55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41B16B6-575B-42EB-875A-ECF59ACE1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6CA3FCD0-A344-4F2B-8A29-719C8328F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A21DA971-67F1-47B3-84B8-C3FA2DDC8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F44BCB31-624D-4D0E-9042-B48C592A3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4158C9F3-B23F-40C2-9F41-2ACA34B1B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7127820F-BCD5-41F6-867F-E8DED620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9FF30C37-C8F3-4CE3-ADA0-E83868EFB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3E334421-B287-4A48-AA39-182293B74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BCD6D9A8-75B3-4B31-B6CD-D6526BCFB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48159A51-09EC-4EDD-9AB2-3435D057A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7D16B303-CB11-4D90-89C5-362DE2367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55E9B7E9-E534-4D7E-BD25-835CD205A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8855DCA4-A890-412D-968D-5C4DABC2E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9936891E-7451-4891-ACC5-116DC37CE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8C59D355-D332-496B-97FA-F22CB727E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47809F8C-98C7-4133-A87A-114569433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644B4CAC-DC6F-450D-B0F9-812B7576F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DB193250-E5DD-4208-8A98-721E14852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3AF8E2D8-29F4-453C-8982-C78FF47F2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8E81845A-F293-4B11-85EF-CE386D538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7BA71028-E2CF-4493-B9F5-4ECCACBC4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D4D46323-10F6-437D-873F-09024BF91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42AAD975-B4AC-481A-BEB8-75E98C0BD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DBB1AD2C-7413-4582-AB10-1A767A482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9C5CE8B8-4E6E-4EEB-AEEC-EFD6CC5AA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E37E6903-0591-43A8-884A-0F3BD0644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1B2CC024-2319-4879-ADC5-5EF6F3674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8178BC44-62EC-4926-94A1-5A7274240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27A50CA8-C9BE-412A-824E-D29C5ED8D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C631CC06-4130-4868-9C31-FD87EF6F9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8E55ED34-A91F-4588-B474-334A46890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59E07BF1-3A36-4B1A-BBA6-9AC827A43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006AFBB2-72E3-4B0B-A3FD-5247B3DA6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34542ADA-7596-4B53-9473-6A45CE63B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7FCE0CCB-0A54-454B-AD2B-E2D6563B7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4D5550A3-E7F6-4088-B2B8-F77F36B86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4E435904-7760-4CB7-BBA5-382A84A76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C8E373A3-400C-4368-8794-56AB46459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DE88F429-E05C-4AFD-9732-150501229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4" name="Picture 2">
          <a:extLst>
            <a:ext uri="{FF2B5EF4-FFF2-40B4-BE49-F238E27FC236}">
              <a16:creationId xmlns:a16="http://schemas.microsoft.com/office/drawing/2014/main" id="{AFAC5D24-E7EE-4A0E-976B-F54EE4809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5" name="Picture 2">
          <a:extLst>
            <a:ext uri="{FF2B5EF4-FFF2-40B4-BE49-F238E27FC236}">
              <a16:creationId xmlns:a16="http://schemas.microsoft.com/office/drawing/2014/main" id="{93B7CBCA-2378-4912-B4BF-3B08A2C84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0A2F10C-D159-499E-ADF5-15D959E70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555E39-4D38-41F4-B1A2-DDE7521BD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59C0BA7-4296-49E8-8149-CF10B2EDE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1552B9B7-7FF9-4864-BC3A-9F3431B30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608FCA86-290A-4E87-AA3E-9853114BB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DFC985-473D-4A66-B65C-89902F43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2CAEC6D6-8909-4AB9-8166-739ECCE8B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08240459-CA63-4947-8346-3B2FD659B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3EEAA0EC-8BE1-42BE-A380-006146B92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C15FBA4E-F23C-4508-9233-DB5D33860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B98B3457-BE32-4E50-8B30-3896F9D2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169D5F0A-9EC9-42D0-8945-B075ABD9E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0F474A47-2A4D-4F91-9CA4-28C3BE89D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DB6870FF-0334-40F3-88DD-4A3D7E0D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6593B979-6F5A-485B-8D7A-1E0B16E9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288527C3-AA9F-4A60-A425-659D0AEEF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9D0161E4-1E44-46E4-ABF7-9F814A17B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526E5B51-2C0B-49E0-8146-265F73C0D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CD7358C2-D764-4C7B-B284-188E720E1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C7205885-C902-48E3-8278-458639EDF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8C860343-4C42-4E25-81E3-842CB2120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F2EA3E12-54B7-4A6D-98D4-DBBB7C4BD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F7E2D9DF-A4B4-4514-AC1F-230AC760F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EB605E92-B224-47B5-85BC-5A4DC0742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71682D01-E5F1-49E3-8474-2743511E8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3BA6425E-D23D-47AC-83A7-459597A6A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A07131FA-1250-4897-8C5F-F3C5F1F67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9B7A071F-3755-4EEE-BCE9-F95009E4B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000DF7B0-51B1-4476-9BCA-62FDA906B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6096082E-D0BB-4EEE-BDB7-57772ED41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D83CC61B-8D3B-49D6-B87A-68F31CF9C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6187CEF9-4EE3-43A3-9BC7-6750A1E4B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705D4E71-0D9A-4725-9135-FC97CDE58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3F51F068-79E7-4BB4-86C6-217C23A90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899908CE-EA2B-4237-8F12-E88FA4EB9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9912F9C8-467D-468C-992B-DD8BD54DE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D812BED-8B3C-44B6-A27C-3CD6ECD9A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88BF5673-A333-47A9-B055-68202F830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8F3920FB-CAD2-48E1-9BD8-7BE6EBD63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89BB276B-1209-413B-8025-5B362DA11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2DFC8124-A865-4535-B5F0-A0DB47300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BEC1F78D-14EE-45DF-A9C9-63E028A8C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4" name="Picture 2">
          <a:extLst>
            <a:ext uri="{FF2B5EF4-FFF2-40B4-BE49-F238E27FC236}">
              <a16:creationId xmlns:a16="http://schemas.microsoft.com/office/drawing/2014/main" id="{2D080258-7FEF-47A5-B55B-5A687A554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5" name="Picture 2">
          <a:extLst>
            <a:ext uri="{FF2B5EF4-FFF2-40B4-BE49-F238E27FC236}">
              <a16:creationId xmlns:a16="http://schemas.microsoft.com/office/drawing/2014/main" id="{0215B50D-67A3-4813-91C8-C8766F582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72A2197-D769-4513-A0D2-89057D1A3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5EA8E6-9452-4CFD-A6CF-0D9C7AA48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2791031A-6645-4860-B13D-73BCE4F08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9B42ED46-B5B7-4593-97A7-EC12C2D1B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6798BDD4-E7D6-456E-9EA6-081DFE720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744F748F-9727-4C77-84D5-F88632A5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9CD648BD-47EE-4EC6-B23C-91393DD19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7A296761-2E23-4694-9C22-AFC9455A7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B57C1F16-B0D8-4353-B921-F6FDC8DD3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35D2C745-560C-45C7-AB11-7F02343F6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8EB9F37A-9B14-4D40-AC36-86245D2E2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30C8A151-C475-44E9-8550-9A867FE97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17F8D33C-540F-4A58-8E48-2A15759E8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4CC37C7E-7A8D-4DAA-AF9A-643761E98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AB21BE2E-391F-4C13-B087-D1B2F4A0D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8A950CA-690F-4E24-BFE4-684AB757F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A9682709-81C3-4622-B129-D9C67DB56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E8764A23-F21D-4D10-A5ED-1CBC959AD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E98F39D6-7C97-4402-812E-B7C2F60D0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76AEA791-4407-42A5-AE5E-F19897D1A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37199C02-F774-448A-8750-EB65CBC90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21D91D97-960A-4DD8-880A-65F2F1C31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FC99A2B8-0988-4BD9-B815-CB20D6224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2AB559E6-83EF-4902-AB6C-501D7EE1C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890CC83E-EF65-431B-AE8C-0D5779477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D25B4794-E951-4660-B35D-FE8E5FC7C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1457A74F-5272-4502-BD0B-CD0C50453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17901870-3CF9-4C18-8B05-4CEF7852A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8E2DA60C-A3D4-4B27-91FA-E2C99FBBC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8D20F2B1-990B-410B-9C67-1F8012A12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E10E3F44-240B-414A-9161-7D678B4C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A481F11C-C466-4035-B274-CB6B6A1C0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D23E46DF-70E0-49B0-9214-2599A2899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05493D00-24BA-4189-B34B-C946C8395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2E2BABCB-63CA-4326-B2CB-BE268A5CE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F32338C2-DE6D-47E1-9520-1D821F80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C568CFAB-DBED-432D-BC7D-F297D0D85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50056FAD-1A8E-4B16-9535-2FE94582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28BA49DD-E05D-46F8-978F-2DA6D1A78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92F8B882-DF60-4FB0-B6B6-02DA7BE1E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E54F74C4-3439-4954-B676-CC8BCD0CE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2093378A-C0AF-4D99-A167-C337B6E57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4" name="Picture 2">
          <a:extLst>
            <a:ext uri="{FF2B5EF4-FFF2-40B4-BE49-F238E27FC236}">
              <a16:creationId xmlns:a16="http://schemas.microsoft.com/office/drawing/2014/main" id="{0BCE56D9-09E1-4AFC-B352-F420D5CAC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5" name="Picture 2">
          <a:extLst>
            <a:ext uri="{FF2B5EF4-FFF2-40B4-BE49-F238E27FC236}">
              <a16:creationId xmlns:a16="http://schemas.microsoft.com/office/drawing/2014/main" id="{6C0A7721-6FB6-42CA-A90C-1B96DDCAB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68E769D-CA65-4445-BCE2-9D5263FB4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ABE84D-EE62-4321-BF14-26A3A24F2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27B5F0CD-FA9B-40DA-894E-68220B845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1D07DAA6-B27E-4220-A49B-A059F4275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CCBF852-4602-40B9-BE45-3F730283A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EFCA9C4B-5ED8-42C9-8C7A-2D27EF9DF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ED3F5309-7801-4D01-BC1C-76D141D71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A8F92B93-D6DD-4D2E-A3C5-6D6D9B5AF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2001BDB0-EB57-4C9A-8FA4-F10D793F8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6AD28F84-47EB-4A3D-A006-8DDFD15AC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0536CA3A-E1DC-4906-98CF-6442DF31D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C4355179-E5D1-4D1E-A487-8DA2BF76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CB549D16-D93A-423E-9AB0-295432D50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DF81B319-302A-4E61-8FE5-F3C3CC34F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A3BE39-51BA-4BDA-BF5A-3C56E156F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D884C22D-FDB2-4734-B58E-7710099E3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8C063F63-473C-4A20-A37B-D8E277C5E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73EEF761-AC32-4660-838E-F28A92C8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C27F8941-93B4-4DAB-8F3D-0983B097F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D77DCEDA-E702-4D0D-95DC-0AD6EDD88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185A3D6-065C-4C20-9CE1-E72ECD752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3485C9AA-3F86-4275-A516-7F0F35D32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7FEC0E13-5237-44AD-BE60-0873A4DC4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56C48074-9D5B-47E3-857E-9BDF7C07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646B1BC1-F3E3-4674-AC20-27181D69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CFA46581-875B-4746-AD7A-C9F97826C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6381F796-5BED-414A-BB81-9BFC96E4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9AEEA60A-81E0-405A-9010-A536CA88D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85D56515-CA6D-4A0F-A3D9-728FD99FF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552FDA63-6AE0-40DC-A7AD-193A0D5C7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F14FEA93-2058-4D9D-867D-C4FF11E55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0CCA2C0A-02F6-46E0-97EE-964F4597D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6E6966E8-6A13-4CE3-82A5-70C60E411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67F27ECC-3D2C-4ECB-BF08-E40EC73AB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4E461E12-F3F5-4023-9708-25B366C0B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1895C521-8871-41BF-BD59-0D0EDAE11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1B7682D1-EE14-47AC-848F-2511E48C4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032E2B54-60FB-491C-BB5C-E0859FA40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ECFBBCF1-F598-4E27-AB8B-ACF5E60D7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B5EE59E9-DD02-42E3-9CE9-752FC5418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35214FAD-A165-4B61-B166-DCEECD25E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19BF8B0E-353E-4761-BA49-0D6A7C4B6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4" name="Picture 2">
          <a:extLst>
            <a:ext uri="{FF2B5EF4-FFF2-40B4-BE49-F238E27FC236}">
              <a16:creationId xmlns:a16="http://schemas.microsoft.com/office/drawing/2014/main" id="{59897F44-FE5A-45E8-A45C-C15EEB395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5" name="Picture 2">
          <a:extLst>
            <a:ext uri="{FF2B5EF4-FFF2-40B4-BE49-F238E27FC236}">
              <a16:creationId xmlns:a16="http://schemas.microsoft.com/office/drawing/2014/main" id="{44DD4BAD-9FAA-433A-9E44-9E112E5A5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A226F94-2768-40C7-BCE3-99995530B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D2F2B9-D433-4638-9D22-50410014A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D30562E-4FDE-42D4-9CF9-F0B1BAE07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46A84720-447D-4178-829F-10753EFC1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BCDBD16B-BD13-458B-98BB-D578A685C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8DBF1B28-9C7B-4FBB-BAA2-4FE96CADB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47ADD897-058A-426C-AFEB-6C59942FD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BC839834-FDA5-4074-884C-657E5E94A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90DC1AA1-AD9D-49AC-9C80-BE24D0A99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F5AAF5C4-B4BF-4DFB-920F-154625936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9C271D45-DC17-426E-85BA-9D161D359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51B79284-C226-4710-B10C-EF0C55FA7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839D0616-989D-4BC6-A340-FF7FF121E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46C44134-EF17-4088-AB25-6D5CCC928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BAEE75B6-BEAC-4206-B141-CF94FBAAC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55BF6B15-CE87-4293-B4CC-454A979E3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A8058BC1-04AC-487E-A7FC-ED6729AA6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58C5BC7B-8C4A-4234-B27D-D61BCA787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11762107-2146-434E-979D-AC35D31D3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89BB0A15-8430-4C93-891A-B56CE6282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99DA0398-1398-46DA-8915-BE2A7250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17145157-BE5D-4283-8FE1-277E9E34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D38A4BA9-7AF8-4ED4-82E9-8D839C1F7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3CC8CA84-303B-4ADE-81C5-612814CDE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8F687EC1-ED17-4DC2-B331-38AA6CF97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FBC558A3-6A29-4EF4-918F-F02520A5B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C0F7A0AA-199B-4867-8639-D08466D31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26757CF8-963C-445A-B66F-92106BB9C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DAE14CF5-9FBF-4DAA-9BAD-E8604420A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8871BD5C-EE60-4C31-8539-98C86A963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B73A859A-E136-4F74-8443-0830AE133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3894B08D-0169-4792-B1DC-ACF705792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14848770-BC55-40DD-8C15-E9C9308BB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AEAD76B9-7D84-49B5-BE28-82ED8D82C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C88081B9-BC6C-4EFF-92D9-63EF83762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7CCB0EDC-F244-4A19-AFFF-BAF42DA76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53E2F354-C688-4ACD-B225-FB9924942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34</xdr:col>
      <xdr:colOff>9525</xdr:colOff>
      <xdr:row>32</xdr:row>
      <xdr:rowOff>9525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8CD280D7-0153-4045-A0A0-DA3ADC313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5739F6D4-3C68-44F2-A75A-4949EAF1B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9D19C443-9FB4-4AD5-B107-CE873E3DA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DF97BFBE-6662-4845-8A25-658CD6602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35</xdr:col>
      <xdr:colOff>9525</xdr:colOff>
      <xdr:row>32</xdr:row>
      <xdr:rowOff>9525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150929E1-E42A-4356-94AF-8393D6B37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63700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4" name="Picture 2">
          <a:extLst>
            <a:ext uri="{FF2B5EF4-FFF2-40B4-BE49-F238E27FC236}">
              <a16:creationId xmlns:a16="http://schemas.microsoft.com/office/drawing/2014/main" id="{A42BCAF0-EA05-43BC-BE4C-434B7BD06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34</xdr:col>
      <xdr:colOff>0</xdr:colOff>
      <xdr:row>32</xdr:row>
      <xdr:rowOff>0</xdr:rowOff>
    </xdr:from>
    <xdr:ext cx="9525" cy="9525"/>
    <xdr:pic>
      <xdr:nvPicPr>
        <xdr:cNvPr id="45" name="Picture 2">
          <a:extLst>
            <a:ext uri="{FF2B5EF4-FFF2-40B4-BE49-F238E27FC236}">
              <a16:creationId xmlns:a16="http://schemas.microsoft.com/office/drawing/2014/main" id="{E9D7D4CC-76A6-4933-AE27-37A65D210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44575" y="63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2746-526B-4EC2-8845-0DF823FD1604}">
  <dimension ref="A1:AJ32"/>
  <sheetViews>
    <sheetView showGridLines="0" zoomScale="85" zoomScaleNormal="85" workbookViewId="0">
      <pane xSplit="3" ySplit="2" topLeftCell="D3" activePane="bottomRight" state="frozen"/>
      <selection activeCell="AH19" sqref="AH19"/>
      <selection pane="topRight" activeCell="AH19" sqref="AH19"/>
      <selection pane="bottomLeft" activeCell="AH19" sqref="AH19"/>
      <selection pane="bottomRight" activeCell="AI12" sqref="AI12"/>
    </sheetView>
  </sheetViews>
  <sheetFormatPr defaultColWidth="8.77734375" defaultRowHeight="16.5"/>
  <cols>
    <col min="1" max="1" width="7.21875" style="43" customWidth="1"/>
    <col min="2" max="2" width="11.109375" style="43" customWidth="1"/>
    <col min="3" max="3" width="7.6640625" style="43" customWidth="1"/>
    <col min="4" max="6" width="4.33203125" style="42" customWidth="1"/>
    <col min="7" max="8" width="4.33203125" style="44" customWidth="1"/>
    <col min="9" max="17" width="4.33203125" style="42" customWidth="1"/>
    <col min="18" max="18" width="4.33203125" style="45" customWidth="1"/>
    <col min="19" max="34" width="4.33203125" style="42" customWidth="1"/>
    <col min="35" max="35" width="7.21875" style="46" customWidth="1"/>
    <col min="36" max="36" width="6" style="16" customWidth="1"/>
    <col min="37" max="16384" width="8.77734375" style="3"/>
  </cols>
  <sheetData>
    <row r="1" spans="1:36" ht="21.75" customHeight="1" thickBot="1">
      <c r="A1" s="1"/>
      <c r="B1" s="1"/>
      <c r="C1" s="1"/>
      <c r="D1" s="47">
        <v>46023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"/>
      <c r="Q1" s="2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</row>
    <row r="2" spans="1:36" s="10" customFormat="1" ht="30" customHeight="1" thickBot="1">
      <c r="A2" s="4" t="s">
        <v>0</v>
      </c>
      <c r="B2" s="48" t="s">
        <v>1</v>
      </c>
      <c r="C2" s="49"/>
      <c r="D2" s="5">
        <f>D1</f>
        <v>46023</v>
      </c>
      <c r="E2" s="6">
        <f>D2+1</f>
        <v>46024</v>
      </c>
      <c r="F2" s="6">
        <f t="shared" ref="F2:AH2" si="0">E2+1</f>
        <v>46025</v>
      </c>
      <c r="G2" s="6">
        <f t="shared" si="0"/>
        <v>46026</v>
      </c>
      <c r="H2" s="6">
        <f t="shared" si="0"/>
        <v>46027</v>
      </c>
      <c r="I2" s="6">
        <f t="shared" si="0"/>
        <v>46028</v>
      </c>
      <c r="J2" s="6">
        <f t="shared" si="0"/>
        <v>46029</v>
      </c>
      <c r="K2" s="6">
        <f t="shared" si="0"/>
        <v>46030</v>
      </c>
      <c r="L2" s="6">
        <f t="shared" si="0"/>
        <v>46031</v>
      </c>
      <c r="M2" s="6">
        <f t="shared" si="0"/>
        <v>46032</v>
      </c>
      <c r="N2" s="6">
        <f t="shared" si="0"/>
        <v>46033</v>
      </c>
      <c r="O2" s="6">
        <f t="shared" si="0"/>
        <v>46034</v>
      </c>
      <c r="P2" s="6">
        <f t="shared" si="0"/>
        <v>46035</v>
      </c>
      <c r="Q2" s="6">
        <f t="shared" si="0"/>
        <v>46036</v>
      </c>
      <c r="R2" s="7">
        <f t="shared" si="0"/>
        <v>46037</v>
      </c>
      <c r="S2" s="6">
        <f t="shared" si="0"/>
        <v>46038</v>
      </c>
      <c r="T2" s="6">
        <f t="shared" si="0"/>
        <v>46039</v>
      </c>
      <c r="U2" s="6">
        <f t="shared" si="0"/>
        <v>46040</v>
      </c>
      <c r="V2" s="6">
        <f t="shared" si="0"/>
        <v>46041</v>
      </c>
      <c r="W2" s="6">
        <f t="shared" si="0"/>
        <v>46042</v>
      </c>
      <c r="X2" s="6">
        <f t="shared" si="0"/>
        <v>46043</v>
      </c>
      <c r="Y2" s="6">
        <f t="shared" si="0"/>
        <v>46044</v>
      </c>
      <c r="Z2" s="6">
        <f t="shared" si="0"/>
        <v>46045</v>
      </c>
      <c r="AA2" s="6">
        <f t="shared" si="0"/>
        <v>46046</v>
      </c>
      <c r="AB2" s="6">
        <f t="shared" si="0"/>
        <v>46047</v>
      </c>
      <c r="AC2" s="6">
        <f t="shared" si="0"/>
        <v>46048</v>
      </c>
      <c r="AD2" s="6">
        <f t="shared" si="0"/>
        <v>46049</v>
      </c>
      <c r="AE2" s="6">
        <f t="shared" si="0"/>
        <v>46050</v>
      </c>
      <c r="AF2" s="6">
        <f t="shared" si="0"/>
        <v>46051</v>
      </c>
      <c r="AG2" s="6">
        <f t="shared" si="0"/>
        <v>46052</v>
      </c>
      <c r="AH2" s="6">
        <f t="shared" si="0"/>
        <v>46053</v>
      </c>
      <c r="AI2" s="8" t="s">
        <v>2</v>
      </c>
      <c r="AJ2" s="9" t="s">
        <v>3</v>
      </c>
    </row>
    <row r="3" spans="1:36" s="16" customFormat="1" ht="15" customHeight="1">
      <c r="A3" s="50" t="s">
        <v>4</v>
      </c>
      <c r="B3" s="53" t="s">
        <v>5</v>
      </c>
      <c r="C3" s="54"/>
      <c r="D3" s="11"/>
      <c r="E3" s="12"/>
      <c r="F3" s="12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>
        <f>SUM(D3:AH3)</f>
        <v>0</v>
      </c>
      <c r="AJ3" s="55">
        <v>250</v>
      </c>
    </row>
    <row r="4" spans="1:36" s="16" customFormat="1" ht="15" customHeight="1">
      <c r="A4" s="51"/>
      <c r="B4" s="58" t="s">
        <v>6</v>
      </c>
      <c r="C4" s="59"/>
      <c r="D4" s="17"/>
      <c r="E4" s="18"/>
      <c r="F4" s="18"/>
      <c r="G4" s="19"/>
      <c r="H4" s="19"/>
      <c r="I4" s="18"/>
      <c r="J4" s="18"/>
      <c r="K4" s="18"/>
      <c r="L4" s="18"/>
      <c r="M4" s="18"/>
      <c r="N4" s="18"/>
      <c r="O4" s="18"/>
      <c r="P4" s="18"/>
      <c r="Q4" s="18"/>
      <c r="R4" s="20"/>
      <c r="S4" s="18"/>
      <c r="T4" s="18"/>
      <c r="U4" s="18"/>
      <c r="V4" s="18">
        <v>25</v>
      </c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21">
        <f t="shared" ref="AI4:AI20" si="1">SUM(D4:AH4)</f>
        <v>25</v>
      </c>
      <c r="AJ4" s="56"/>
    </row>
    <row r="5" spans="1:36" s="16" customFormat="1" ht="15" customHeight="1">
      <c r="A5" s="51"/>
      <c r="B5" s="58" t="s">
        <v>7</v>
      </c>
      <c r="C5" s="59"/>
      <c r="D5" s="17"/>
      <c r="E5" s="18">
        <v>50</v>
      </c>
      <c r="F5" s="18"/>
      <c r="G5" s="19"/>
      <c r="H5" s="19"/>
      <c r="I5" s="18"/>
      <c r="J5" s="18"/>
      <c r="K5" s="18"/>
      <c r="L5" s="18"/>
      <c r="M5" s="18"/>
      <c r="N5" s="18"/>
      <c r="O5" s="18"/>
      <c r="P5" s="18"/>
      <c r="Q5" s="18"/>
      <c r="R5" s="20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21">
        <f t="shared" si="1"/>
        <v>50</v>
      </c>
      <c r="AJ5" s="56"/>
    </row>
    <row r="6" spans="1:36" s="16" customFormat="1" ht="15" customHeight="1">
      <c r="A6" s="51"/>
      <c r="B6" s="58" t="s">
        <v>8</v>
      </c>
      <c r="C6" s="59"/>
      <c r="D6" s="17"/>
      <c r="E6" s="18"/>
      <c r="F6" s="18"/>
      <c r="G6" s="19"/>
      <c r="H6" s="19"/>
      <c r="I6" s="18"/>
      <c r="J6" s="18"/>
      <c r="K6" s="18"/>
      <c r="L6" s="18"/>
      <c r="M6" s="18"/>
      <c r="N6" s="18"/>
      <c r="O6" s="18"/>
      <c r="P6" s="18"/>
      <c r="Q6" s="18"/>
      <c r="R6" s="20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>
        <v>50</v>
      </c>
      <c r="AH6" s="18"/>
      <c r="AI6" s="21">
        <f t="shared" si="1"/>
        <v>50</v>
      </c>
      <c r="AJ6" s="56"/>
    </row>
    <row r="7" spans="1:36" s="16" customFormat="1" ht="15" customHeight="1">
      <c r="A7" s="51"/>
      <c r="B7" s="58" t="s">
        <v>9</v>
      </c>
      <c r="C7" s="59"/>
      <c r="D7" s="17"/>
      <c r="E7" s="18"/>
      <c r="F7" s="18"/>
      <c r="G7" s="19"/>
      <c r="H7" s="19"/>
      <c r="I7" s="18"/>
      <c r="J7" s="18"/>
      <c r="K7" s="18"/>
      <c r="L7" s="18"/>
      <c r="M7" s="18"/>
      <c r="N7" s="18"/>
      <c r="O7" s="18"/>
      <c r="P7" s="18"/>
      <c r="Q7" s="18"/>
      <c r="R7" s="2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21">
        <f t="shared" si="1"/>
        <v>0</v>
      </c>
      <c r="AJ7" s="56"/>
    </row>
    <row r="8" spans="1:36" s="16" customFormat="1" ht="15" customHeight="1" thickBot="1">
      <c r="A8" s="52"/>
      <c r="B8" s="60" t="s">
        <v>10</v>
      </c>
      <c r="C8" s="61"/>
      <c r="D8" s="22">
        <f t="shared" ref="D8:AH8" si="2">SUM(D3:D7)</f>
        <v>0</v>
      </c>
      <c r="E8" s="22">
        <f t="shared" si="2"/>
        <v>50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 t="shared" si="2"/>
        <v>0</v>
      </c>
      <c r="K8" s="22">
        <f t="shared" si="2"/>
        <v>0</v>
      </c>
      <c r="L8" s="22">
        <f t="shared" si="2"/>
        <v>0</v>
      </c>
      <c r="M8" s="22">
        <f t="shared" si="2"/>
        <v>0</v>
      </c>
      <c r="N8" s="22">
        <f t="shared" si="2"/>
        <v>0</v>
      </c>
      <c r="O8" s="22">
        <f t="shared" si="2"/>
        <v>0</v>
      </c>
      <c r="P8" s="22">
        <f t="shared" si="2"/>
        <v>0</v>
      </c>
      <c r="Q8" s="22">
        <f t="shared" si="2"/>
        <v>0</v>
      </c>
      <c r="R8" s="23">
        <f t="shared" si="2"/>
        <v>0</v>
      </c>
      <c r="S8" s="22">
        <f t="shared" si="2"/>
        <v>0</v>
      </c>
      <c r="T8" s="22">
        <f t="shared" si="2"/>
        <v>0</v>
      </c>
      <c r="U8" s="22">
        <f t="shared" si="2"/>
        <v>0</v>
      </c>
      <c r="V8" s="22">
        <f t="shared" si="2"/>
        <v>25</v>
      </c>
      <c r="W8" s="22">
        <f t="shared" si="2"/>
        <v>0</v>
      </c>
      <c r="X8" s="22">
        <f t="shared" si="2"/>
        <v>0</v>
      </c>
      <c r="Y8" s="22">
        <f t="shared" si="2"/>
        <v>0</v>
      </c>
      <c r="Z8" s="22">
        <f t="shared" si="2"/>
        <v>0</v>
      </c>
      <c r="AA8" s="22">
        <f t="shared" si="2"/>
        <v>0</v>
      </c>
      <c r="AB8" s="22">
        <f t="shared" si="2"/>
        <v>0</v>
      </c>
      <c r="AC8" s="22">
        <f t="shared" si="2"/>
        <v>0</v>
      </c>
      <c r="AD8" s="22">
        <f t="shared" si="2"/>
        <v>0</v>
      </c>
      <c r="AE8" s="22">
        <f t="shared" si="2"/>
        <v>0</v>
      </c>
      <c r="AF8" s="22">
        <f t="shared" si="2"/>
        <v>0</v>
      </c>
      <c r="AG8" s="22">
        <f t="shared" si="2"/>
        <v>50</v>
      </c>
      <c r="AH8" s="22">
        <f t="shared" si="2"/>
        <v>0</v>
      </c>
      <c r="AI8" s="24">
        <f>SUM(D8:AH8)</f>
        <v>125</v>
      </c>
      <c r="AJ8" s="57"/>
    </row>
    <row r="9" spans="1:36" s="16" customFormat="1" ht="15" customHeight="1">
      <c r="A9" s="50" t="s">
        <v>11</v>
      </c>
      <c r="B9" s="53" t="s">
        <v>5</v>
      </c>
      <c r="C9" s="54"/>
      <c r="D9" s="25"/>
      <c r="E9" s="26"/>
      <c r="F9" s="26"/>
      <c r="G9" s="27"/>
      <c r="H9" s="27"/>
      <c r="I9" s="26"/>
      <c r="J9" s="26"/>
      <c r="K9" s="26"/>
      <c r="L9" s="26"/>
      <c r="M9" s="26"/>
      <c r="N9" s="26"/>
      <c r="O9" s="26"/>
      <c r="P9" s="26"/>
      <c r="Q9" s="26"/>
      <c r="R9" s="2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9">
        <f t="shared" si="1"/>
        <v>0</v>
      </c>
      <c r="AJ9" s="55">
        <v>250</v>
      </c>
    </row>
    <row r="10" spans="1:36" s="16" customFormat="1" ht="15" customHeight="1">
      <c r="A10" s="51"/>
      <c r="B10" s="58" t="s">
        <v>6</v>
      </c>
      <c r="C10" s="59"/>
      <c r="D10" s="17"/>
      <c r="E10" s="18"/>
      <c r="F10" s="18"/>
      <c r="G10" s="19"/>
      <c r="H10" s="19"/>
      <c r="I10" s="18">
        <v>1</v>
      </c>
      <c r="J10" s="18"/>
      <c r="K10" s="18"/>
      <c r="L10" s="18"/>
      <c r="M10" s="18"/>
      <c r="N10" s="18"/>
      <c r="O10" s="18"/>
      <c r="P10" s="18"/>
      <c r="Q10" s="18"/>
      <c r="R10" s="20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>
        <v>24</v>
      </c>
      <c r="AG10" s="18"/>
      <c r="AH10" s="18"/>
      <c r="AI10" s="21">
        <f t="shared" si="1"/>
        <v>25</v>
      </c>
      <c r="AJ10" s="62"/>
    </row>
    <row r="11" spans="1:36" s="16" customFormat="1" ht="15" customHeight="1">
      <c r="A11" s="51"/>
      <c r="B11" s="58" t="s">
        <v>12</v>
      </c>
      <c r="C11" s="59"/>
      <c r="D11" s="17"/>
      <c r="E11" s="18"/>
      <c r="F11" s="18"/>
      <c r="G11" s="19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20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v>21</v>
      </c>
      <c r="AD11" s="18"/>
      <c r="AE11" s="18"/>
      <c r="AF11" s="18"/>
      <c r="AG11" s="18"/>
      <c r="AH11" s="18"/>
      <c r="AI11" s="21">
        <f t="shared" si="1"/>
        <v>21</v>
      </c>
      <c r="AJ11" s="62"/>
    </row>
    <row r="12" spans="1:36" s="16" customFormat="1" ht="15" customHeight="1">
      <c r="A12" s="51"/>
      <c r="B12" s="58" t="s">
        <v>8</v>
      </c>
      <c r="C12" s="59"/>
      <c r="D12" s="17"/>
      <c r="E12" s="18"/>
      <c r="F12" s="18"/>
      <c r="G12" s="19"/>
      <c r="H12" s="19"/>
      <c r="I12" s="18"/>
      <c r="J12" s="18"/>
      <c r="K12" s="18"/>
      <c r="L12" s="18">
        <v>24</v>
      </c>
      <c r="M12" s="18"/>
      <c r="N12" s="18"/>
      <c r="O12" s="18"/>
      <c r="P12" s="18"/>
      <c r="Q12" s="18"/>
      <c r="R12" s="20">
        <v>29</v>
      </c>
      <c r="S12" s="18"/>
      <c r="T12" s="18"/>
      <c r="U12" s="18"/>
      <c r="V12" s="18"/>
      <c r="W12" s="18">
        <v>25</v>
      </c>
      <c r="X12" s="18">
        <v>25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1">
        <f t="shared" si="1"/>
        <v>103</v>
      </c>
      <c r="AJ12" s="62"/>
    </row>
    <row r="13" spans="1:36" s="16" customFormat="1" ht="15" customHeight="1">
      <c r="A13" s="51"/>
      <c r="B13" s="58" t="s">
        <v>9</v>
      </c>
      <c r="C13" s="59"/>
      <c r="D13" s="17"/>
      <c r="E13" s="18"/>
      <c r="F13" s="18"/>
      <c r="G13" s="19"/>
      <c r="H13" s="19"/>
      <c r="I13" s="18">
        <v>6</v>
      </c>
      <c r="J13" s="18"/>
      <c r="K13" s="18"/>
      <c r="L13" s="18"/>
      <c r="M13" s="18"/>
      <c r="N13" s="18"/>
      <c r="O13" s="18"/>
      <c r="P13" s="18"/>
      <c r="Q13" s="18"/>
      <c r="R13" s="20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9">
        <f t="shared" si="1"/>
        <v>6</v>
      </c>
      <c r="AJ13" s="62"/>
    </row>
    <row r="14" spans="1:36" s="16" customFormat="1" ht="15" customHeight="1" thickBot="1">
      <c r="A14" s="52"/>
      <c r="B14" s="60" t="s">
        <v>10</v>
      </c>
      <c r="C14" s="61"/>
      <c r="D14" s="22">
        <f t="shared" ref="D14:AH14" si="3">SUM(D9:D13)</f>
        <v>0</v>
      </c>
      <c r="E14" s="22">
        <f t="shared" si="3"/>
        <v>0</v>
      </c>
      <c r="F14" s="22">
        <f t="shared" si="3"/>
        <v>0</v>
      </c>
      <c r="G14" s="22">
        <f t="shared" si="3"/>
        <v>0</v>
      </c>
      <c r="H14" s="22">
        <f t="shared" si="3"/>
        <v>0</v>
      </c>
      <c r="I14" s="22">
        <f t="shared" si="3"/>
        <v>7</v>
      </c>
      <c r="J14" s="22">
        <f t="shared" si="3"/>
        <v>0</v>
      </c>
      <c r="K14" s="22">
        <f t="shared" si="3"/>
        <v>0</v>
      </c>
      <c r="L14" s="22">
        <f t="shared" si="3"/>
        <v>24</v>
      </c>
      <c r="M14" s="22">
        <f t="shared" si="3"/>
        <v>0</v>
      </c>
      <c r="N14" s="22">
        <f t="shared" si="3"/>
        <v>0</v>
      </c>
      <c r="O14" s="22">
        <f t="shared" si="3"/>
        <v>0</v>
      </c>
      <c r="P14" s="22">
        <f t="shared" si="3"/>
        <v>0</v>
      </c>
      <c r="Q14" s="22">
        <f>SUM(Q9:Q13)</f>
        <v>0</v>
      </c>
      <c r="R14" s="23">
        <f t="shared" si="3"/>
        <v>29</v>
      </c>
      <c r="S14" s="22">
        <f t="shared" si="3"/>
        <v>0</v>
      </c>
      <c r="T14" s="22">
        <f t="shared" si="3"/>
        <v>0</v>
      </c>
      <c r="U14" s="22">
        <f t="shared" si="3"/>
        <v>0</v>
      </c>
      <c r="V14" s="22">
        <f t="shared" si="3"/>
        <v>0</v>
      </c>
      <c r="W14" s="22">
        <f t="shared" si="3"/>
        <v>25</v>
      </c>
      <c r="X14" s="22">
        <f t="shared" si="3"/>
        <v>25</v>
      </c>
      <c r="Y14" s="22">
        <f t="shared" si="3"/>
        <v>0</v>
      </c>
      <c r="Z14" s="22">
        <f t="shared" si="3"/>
        <v>0</v>
      </c>
      <c r="AA14" s="22">
        <f t="shared" si="3"/>
        <v>0</v>
      </c>
      <c r="AB14" s="22">
        <f t="shared" si="3"/>
        <v>0</v>
      </c>
      <c r="AC14" s="22">
        <f t="shared" si="3"/>
        <v>21</v>
      </c>
      <c r="AD14" s="22">
        <f t="shared" si="3"/>
        <v>0</v>
      </c>
      <c r="AE14" s="22">
        <f t="shared" si="3"/>
        <v>0</v>
      </c>
      <c r="AF14" s="22">
        <f t="shared" si="3"/>
        <v>24</v>
      </c>
      <c r="AG14" s="22">
        <f t="shared" si="3"/>
        <v>0</v>
      </c>
      <c r="AH14" s="22">
        <f t="shared" si="3"/>
        <v>0</v>
      </c>
      <c r="AI14" s="30">
        <f t="shared" si="1"/>
        <v>155</v>
      </c>
      <c r="AJ14" s="63"/>
    </row>
    <row r="15" spans="1:36" s="16" customFormat="1" ht="15" customHeight="1">
      <c r="A15" s="50" t="s">
        <v>13</v>
      </c>
      <c r="B15" s="53" t="s">
        <v>5</v>
      </c>
      <c r="C15" s="54"/>
      <c r="D15" s="31"/>
      <c r="E15" s="32"/>
      <c r="F15" s="32"/>
      <c r="G15" s="33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12"/>
      <c r="AH15" s="12"/>
      <c r="AI15" s="15">
        <f t="shared" si="1"/>
        <v>0</v>
      </c>
      <c r="AJ15" s="55">
        <v>250</v>
      </c>
    </row>
    <row r="16" spans="1:36" s="16" customFormat="1" ht="15" customHeight="1">
      <c r="A16" s="51"/>
      <c r="B16" s="58" t="s">
        <v>6</v>
      </c>
      <c r="C16" s="59"/>
      <c r="D16" s="17"/>
      <c r="E16" s="18"/>
      <c r="F16" s="18"/>
      <c r="G16" s="19"/>
      <c r="H16" s="19"/>
      <c r="I16" s="18"/>
      <c r="J16" s="18">
        <v>1</v>
      </c>
      <c r="K16" s="18"/>
      <c r="L16" s="18"/>
      <c r="M16" s="18"/>
      <c r="N16" s="18"/>
      <c r="O16" s="18"/>
      <c r="P16" s="18"/>
      <c r="Q16" s="18"/>
      <c r="R16" s="20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1">
        <f t="shared" si="1"/>
        <v>1</v>
      </c>
      <c r="AJ16" s="56"/>
    </row>
    <row r="17" spans="1:36" s="16" customFormat="1" ht="15" customHeight="1">
      <c r="A17" s="51"/>
      <c r="B17" s="58" t="s">
        <v>12</v>
      </c>
      <c r="C17" s="59"/>
      <c r="D17" s="17"/>
      <c r="E17" s="18"/>
      <c r="F17" s="18"/>
      <c r="G17" s="19"/>
      <c r="H17" s="19"/>
      <c r="I17" s="18"/>
      <c r="J17" s="36">
        <v>20</v>
      </c>
      <c r="K17" s="18"/>
      <c r="L17" s="18"/>
      <c r="M17" s="18"/>
      <c r="N17" s="18"/>
      <c r="O17" s="18"/>
      <c r="P17" s="18"/>
      <c r="Q17" s="18"/>
      <c r="R17" s="20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1">
        <f t="shared" si="1"/>
        <v>20</v>
      </c>
      <c r="AJ17" s="56"/>
    </row>
    <row r="18" spans="1:36" s="16" customFormat="1" ht="15" customHeight="1">
      <c r="A18" s="51"/>
      <c r="B18" s="58" t="s">
        <v>8</v>
      </c>
      <c r="C18" s="59"/>
      <c r="D18" s="37"/>
      <c r="E18" s="38"/>
      <c r="F18" s="38"/>
      <c r="G18" s="39"/>
      <c r="H18" s="19"/>
      <c r="I18" s="40"/>
      <c r="J18" s="40"/>
      <c r="K18" s="40"/>
      <c r="L18" s="40"/>
      <c r="M18" s="40"/>
      <c r="N18" s="40"/>
      <c r="O18" s="40">
        <v>25</v>
      </c>
      <c r="P18" s="40"/>
      <c r="Q18" s="40"/>
      <c r="R18" s="41"/>
      <c r="S18" s="40">
        <v>23</v>
      </c>
      <c r="T18" s="40"/>
      <c r="U18" s="40"/>
      <c r="V18" s="40"/>
      <c r="W18" s="40"/>
      <c r="X18" s="40">
        <v>29</v>
      </c>
      <c r="Y18" s="40"/>
      <c r="Z18" s="40"/>
      <c r="AA18" s="40"/>
      <c r="AB18" s="40"/>
      <c r="AC18" s="40"/>
      <c r="AD18" s="40">
        <v>25</v>
      </c>
      <c r="AE18" s="40"/>
      <c r="AF18" s="40"/>
      <c r="AG18" s="40"/>
      <c r="AH18" s="18"/>
      <c r="AI18" s="21">
        <f t="shared" si="1"/>
        <v>102</v>
      </c>
      <c r="AJ18" s="56"/>
    </row>
    <row r="19" spans="1:36" s="16" customFormat="1" ht="15" customHeight="1">
      <c r="A19" s="51"/>
      <c r="B19" s="58" t="s">
        <v>9</v>
      </c>
      <c r="C19" s="59"/>
      <c r="D19" s="37"/>
      <c r="E19" s="38"/>
      <c r="F19" s="38"/>
      <c r="G19" s="39"/>
      <c r="H19" s="19"/>
      <c r="I19" s="40"/>
      <c r="J19" s="40"/>
      <c r="K19" s="40">
        <v>7</v>
      </c>
      <c r="L19" s="40"/>
      <c r="M19" s="40"/>
      <c r="N19" s="40"/>
      <c r="O19" s="40"/>
      <c r="P19" s="40"/>
      <c r="Q19" s="40"/>
      <c r="R19" s="41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>
        <v>15</v>
      </c>
      <c r="AF19" s="40"/>
      <c r="AG19" s="40"/>
      <c r="AH19" s="18"/>
      <c r="AI19" s="21">
        <f t="shared" si="1"/>
        <v>22</v>
      </c>
      <c r="AJ19" s="56"/>
    </row>
    <row r="20" spans="1:36" s="16" customFormat="1" ht="15" customHeight="1" thickBot="1">
      <c r="A20" s="52"/>
      <c r="B20" s="60" t="s">
        <v>14</v>
      </c>
      <c r="C20" s="61"/>
      <c r="D20" s="22">
        <f t="shared" ref="D20:AH20" si="4">SUM(D15:D19)</f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21</v>
      </c>
      <c r="K20" s="22">
        <f t="shared" si="4"/>
        <v>7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25</v>
      </c>
      <c r="P20" s="22">
        <f t="shared" si="4"/>
        <v>0</v>
      </c>
      <c r="Q20" s="22">
        <f t="shared" si="4"/>
        <v>0</v>
      </c>
      <c r="R20" s="23">
        <f t="shared" si="4"/>
        <v>0</v>
      </c>
      <c r="S20" s="22">
        <f t="shared" si="4"/>
        <v>23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29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25</v>
      </c>
      <c r="AE20" s="22">
        <f t="shared" si="4"/>
        <v>15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4">
        <f t="shared" si="1"/>
        <v>145</v>
      </c>
      <c r="AJ20" s="57"/>
    </row>
    <row r="21" spans="1:36" s="16" customFormat="1" ht="15" customHeight="1">
      <c r="A21" s="50" t="s">
        <v>15</v>
      </c>
      <c r="B21" s="53" t="s">
        <v>5</v>
      </c>
      <c r="C21" s="54"/>
      <c r="D21" s="31"/>
      <c r="E21" s="32"/>
      <c r="F21" s="32"/>
      <c r="G21" s="33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12"/>
      <c r="AH21" s="12"/>
      <c r="AI21" s="15">
        <f t="shared" ref="AI21:AI32" si="5">SUM(D21:AH21)</f>
        <v>0</v>
      </c>
      <c r="AJ21" s="55">
        <v>250</v>
      </c>
    </row>
    <row r="22" spans="1:36" s="16" customFormat="1" ht="15" customHeight="1">
      <c r="A22" s="51"/>
      <c r="B22" s="58" t="s">
        <v>6</v>
      </c>
      <c r="C22" s="59"/>
      <c r="D22" s="17"/>
      <c r="E22" s="18"/>
      <c r="F22" s="18"/>
      <c r="G22" s="19"/>
      <c r="H22" s="19"/>
      <c r="I22" s="18"/>
      <c r="J22" s="18">
        <v>1</v>
      </c>
      <c r="K22" s="18"/>
      <c r="L22" s="18"/>
      <c r="M22" s="18"/>
      <c r="N22" s="18"/>
      <c r="O22" s="18"/>
      <c r="P22" s="18"/>
      <c r="Q22" s="18"/>
      <c r="R22" s="20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1">
        <f t="shared" si="5"/>
        <v>1</v>
      </c>
      <c r="AJ22" s="56"/>
    </row>
    <row r="23" spans="1:36" s="16" customFormat="1" ht="15" customHeight="1">
      <c r="A23" s="51"/>
      <c r="B23" s="58" t="s">
        <v>12</v>
      </c>
      <c r="C23" s="59"/>
      <c r="D23" s="17"/>
      <c r="E23" s="18"/>
      <c r="F23" s="18"/>
      <c r="G23" s="19"/>
      <c r="H23" s="19"/>
      <c r="I23" s="18"/>
      <c r="J23" s="36">
        <v>20</v>
      </c>
      <c r="K23" s="18"/>
      <c r="L23" s="18"/>
      <c r="M23" s="18"/>
      <c r="N23" s="18"/>
      <c r="O23" s="18"/>
      <c r="P23" s="18"/>
      <c r="Q23" s="18"/>
      <c r="R23" s="20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1">
        <f t="shared" si="5"/>
        <v>20</v>
      </c>
      <c r="AJ23" s="56"/>
    </row>
    <row r="24" spans="1:36" s="16" customFormat="1" ht="15" customHeight="1">
      <c r="A24" s="51"/>
      <c r="B24" s="58" t="s">
        <v>8</v>
      </c>
      <c r="C24" s="59"/>
      <c r="D24" s="37"/>
      <c r="E24" s="38"/>
      <c r="F24" s="38"/>
      <c r="G24" s="39"/>
      <c r="H24" s="19"/>
      <c r="I24" s="40"/>
      <c r="J24" s="40"/>
      <c r="K24" s="40"/>
      <c r="L24" s="40"/>
      <c r="M24" s="40"/>
      <c r="N24" s="40"/>
      <c r="O24" s="40">
        <v>25</v>
      </c>
      <c r="P24" s="40"/>
      <c r="Q24" s="40"/>
      <c r="R24" s="41"/>
      <c r="S24" s="40">
        <v>23</v>
      </c>
      <c r="T24" s="40"/>
      <c r="U24" s="40"/>
      <c r="V24" s="40"/>
      <c r="W24" s="40"/>
      <c r="X24" s="40">
        <v>29</v>
      </c>
      <c r="Y24" s="40"/>
      <c r="Z24" s="40"/>
      <c r="AA24" s="40"/>
      <c r="AB24" s="40"/>
      <c r="AC24" s="40"/>
      <c r="AD24" s="40">
        <v>25</v>
      </c>
      <c r="AE24" s="40"/>
      <c r="AF24" s="40"/>
      <c r="AG24" s="40"/>
      <c r="AH24" s="18"/>
      <c r="AI24" s="21">
        <f t="shared" si="5"/>
        <v>102</v>
      </c>
      <c r="AJ24" s="56"/>
    </row>
    <row r="25" spans="1:36" s="16" customFormat="1" ht="15" customHeight="1">
      <c r="A25" s="51"/>
      <c r="B25" s="58" t="s">
        <v>9</v>
      </c>
      <c r="C25" s="59"/>
      <c r="D25" s="37"/>
      <c r="E25" s="38"/>
      <c r="F25" s="38"/>
      <c r="G25" s="39"/>
      <c r="H25" s="19"/>
      <c r="I25" s="40"/>
      <c r="J25" s="40"/>
      <c r="K25" s="40">
        <v>7</v>
      </c>
      <c r="L25" s="40"/>
      <c r="M25" s="40"/>
      <c r="N25" s="40"/>
      <c r="O25" s="40"/>
      <c r="P25" s="40"/>
      <c r="Q25" s="40"/>
      <c r="R25" s="41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>
        <v>15</v>
      </c>
      <c r="AF25" s="40"/>
      <c r="AG25" s="40"/>
      <c r="AH25" s="18"/>
      <c r="AI25" s="21">
        <f t="shared" si="5"/>
        <v>22</v>
      </c>
      <c r="AJ25" s="56"/>
    </row>
    <row r="26" spans="1:36" s="16" customFormat="1" ht="15" customHeight="1" thickBot="1">
      <c r="A26" s="52"/>
      <c r="B26" s="60" t="s">
        <v>14</v>
      </c>
      <c r="C26" s="61"/>
      <c r="D26" s="22">
        <f t="shared" ref="D26:AH26" si="6">SUM(D21:D25)</f>
        <v>0</v>
      </c>
      <c r="E26" s="22">
        <f t="shared" si="6"/>
        <v>0</v>
      </c>
      <c r="F26" s="22">
        <f t="shared" si="6"/>
        <v>0</v>
      </c>
      <c r="G26" s="22">
        <f t="shared" si="6"/>
        <v>0</v>
      </c>
      <c r="H26" s="22">
        <f t="shared" si="6"/>
        <v>0</v>
      </c>
      <c r="I26" s="22">
        <f t="shared" si="6"/>
        <v>0</v>
      </c>
      <c r="J26" s="22">
        <f t="shared" si="6"/>
        <v>21</v>
      </c>
      <c r="K26" s="22">
        <f t="shared" si="6"/>
        <v>7</v>
      </c>
      <c r="L26" s="22">
        <f t="shared" si="6"/>
        <v>0</v>
      </c>
      <c r="M26" s="22">
        <f t="shared" si="6"/>
        <v>0</v>
      </c>
      <c r="N26" s="22">
        <f t="shared" si="6"/>
        <v>0</v>
      </c>
      <c r="O26" s="22">
        <f t="shared" si="6"/>
        <v>25</v>
      </c>
      <c r="P26" s="22">
        <f t="shared" si="6"/>
        <v>0</v>
      </c>
      <c r="Q26" s="22">
        <f t="shared" si="6"/>
        <v>0</v>
      </c>
      <c r="R26" s="23">
        <f t="shared" si="6"/>
        <v>0</v>
      </c>
      <c r="S26" s="22">
        <f t="shared" si="6"/>
        <v>23</v>
      </c>
      <c r="T26" s="22">
        <f t="shared" si="6"/>
        <v>0</v>
      </c>
      <c r="U26" s="22">
        <f t="shared" si="6"/>
        <v>0</v>
      </c>
      <c r="V26" s="22">
        <f t="shared" si="6"/>
        <v>0</v>
      </c>
      <c r="W26" s="22">
        <f t="shared" si="6"/>
        <v>0</v>
      </c>
      <c r="X26" s="22">
        <f t="shared" si="6"/>
        <v>29</v>
      </c>
      <c r="Y26" s="22">
        <f t="shared" si="6"/>
        <v>0</v>
      </c>
      <c r="Z26" s="22">
        <f t="shared" si="6"/>
        <v>0</v>
      </c>
      <c r="AA26" s="22">
        <f t="shared" si="6"/>
        <v>0</v>
      </c>
      <c r="AB26" s="22">
        <f t="shared" si="6"/>
        <v>0</v>
      </c>
      <c r="AC26" s="22">
        <f t="shared" si="6"/>
        <v>0</v>
      </c>
      <c r="AD26" s="22">
        <f t="shared" si="6"/>
        <v>25</v>
      </c>
      <c r="AE26" s="22">
        <f t="shared" si="6"/>
        <v>15</v>
      </c>
      <c r="AF26" s="22">
        <f t="shared" si="6"/>
        <v>0</v>
      </c>
      <c r="AG26" s="22">
        <f t="shared" si="6"/>
        <v>0</v>
      </c>
      <c r="AH26" s="22">
        <f t="shared" si="6"/>
        <v>0</v>
      </c>
      <c r="AI26" s="24">
        <f t="shared" si="5"/>
        <v>145</v>
      </c>
      <c r="AJ26" s="57"/>
    </row>
    <row r="27" spans="1:36" s="16" customFormat="1" ht="15" customHeight="1">
      <c r="A27" s="50" t="s">
        <v>16</v>
      </c>
      <c r="B27" s="53" t="s">
        <v>5</v>
      </c>
      <c r="C27" s="54"/>
      <c r="D27" s="31"/>
      <c r="E27" s="32"/>
      <c r="F27" s="32"/>
      <c r="G27" s="33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12"/>
      <c r="AH27" s="12"/>
      <c r="AI27" s="15">
        <f t="shared" si="5"/>
        <v>0</v>
      </c>
      <c r="AJ27" s="55">
        <v>250</v>
      </c>
    </row>
    <row r="28" spans="1:36" s="16" customFormat="1" ht="15" customHeight="1">
      <c r="A28" s="51"/>
      <c r="B28" s="58" t="s">
        <v>6</v>
      </c>
      <c r="C28" s="59"/>
      <c r="D28" s="17"/>
      <c r="E28" s="18"/>
      <c r="F28" s="18"/>
      <c r="G28" s="19"/>
      <c r="H28" s="19"/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1">
        <f t="shared" si="5"/>
        <v>1</v>
      </c>
      <c r="AJ28" s="56"/>
    </row>
    <row r="29" spans="1:36" s="16" customFormat="1" ht="15" customHeight="1">
      <c r="A29" s="51"/>
      <c r="B29" s="58" t="s">
        <v>12</v>
      </c>
      <c r="C29" s="59"/>
      <c r="D29" s="17"/>
      <c r="E29" s="18"/>
      <c r="F29" s="18"/>
      <c r="G29" s="19"/>
      <c r="H29" s="19"/>
      <c r="I29" s="18"/>
      <c r="J29" s="36">
        <v>20</v>
      </c>
      <c r="K29" s="18"/>
      <c r="L29" s="18"/>
      <c r="M29" s="18"/>
      <c r="N29" s="18"/>
      <c r="O29" s="18"/>
      <c r="P29" s="18"/>
      <c r="Q29" s="18"/>
      <c r="R29" s="20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1">
        <f t="shared" si="5"/>
        <v>20</v>
      </c>
      <c r="AJ29" s="56"/>
    </row>
    <row r="30" spans="1:36" s="16" customFormat="1" ht="15" customHeight="1">
      <c r="A30" s="51"/>
      <c r="B30" s="58" t="s">
        <v>8</v>
      </c>
      <c r="C30" s="59"/>
      <c r="D30" s="37"/>
      <c r="E30" s="38"/>
      <c r="F30" s="38"/>
      <c r="G30" s="39"/>
      <c r="H30" s="19"/>
      <c r="I30" s="40"/>
      <c r="J30" s="40"/>
      <c r="K30" s="40"/>
      <c r="L30" s="40"/>
      <c r="M30" s="40"/>
      <c r="N30" s="40"/>
      <c r="O30" s="40">
        <v>25</v>
      </c>
      <c r="P30" s="40"/>
      <c r="Q30" s="40"/>
      <c r="R30" s="41"/>
      <c r="S30" s="40">
        <v>23</v>
      </c>
      <c r="T30" s="40"/>
      <c r="U30" s="40"/>
      <c r="V30" s="40"/>
      <c r="W30" s="40"/>
      <c r="X30" s="40">
        <v>29</v>
      </c>
      <c r="Y30" s="40"/>
      <c r="Z30" s="40"/>
      <c r="AA30" s="40"/>
      <c r="AB30" s="40"/>
      <c r="AC30" s="40"/>
      <c r="AD30" s="40">
        <v>25</v>
      </c>
      <c r="AE30" s="40"/>
      <c r="AF30" s="40"/>
      <c r="AG30" s="40"/>
      <c r="AH30" s="18"/>
      <c r="AI30" s="21">
        <f t="shared" si="5"/>
        <v>102</v>
      </c>
      <c r="AJ30" s="56"/>
    </row>
    <row r="31" spans="1:36" s="16" customFormat="1" ht="15" customHeight="1">
      <c r="A31" s="51"/>
      <c r="B31" s="58" t="s">
        <v>9</v>
      </c>
      <c r="C31" s="59"/>
      <c r="D31" s="37"/>
      <c r="E31" s="38"/>
      <c r="F31" s="38"/>
      <c r="G31" s="39"/>
      <c r="H31" s="19"/>
      <c r="I31" s="40"/>
      <c r="J31" s="40"/>
      <c r="K31" s="40">
        <v>7</v>
      </c>
      <c r="L31" s="40"/>
      <c r="M31" s="40"/>
      <c r="N31" s="40"/>
      <c r="O31" s="40"/>
      <c r="P31" s="40"/>
      <c r="Q31" s="40"/>
      <c r="R31" s="41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>
        <v>15</v>
      </c>
      <c r="AF31" s="40"/>
      <c r="AG31" s="40"/>
      <c r="AH31" s="18"/>
      <c r="AI31" s="21">
        <f t="shared" si="5"/>
        <v>22</v>
      </c>
      <c r="AJ31" s="56"/>
    </row>
    <row r="32" spans="1:36" s="16" customFormat="1" ht="15" customHeight="1" thickBot="1">
      <c r="A32" s="52"/>
      <c r="B32" s="60" t="s">
        <v>14</v>
      </c>
      <c r="C32" s="61"/>
      <c r="D32" s="22">
        <f t="shared" ref="D32:AH32" si="7">SUM(D27:D31)</f>
        <v>0</v>
      </c>
      <c r="E32" s="22">
        <f t="shared" si="7"/>
        <v>0</v>
      </c>
      <c r="F32" s="22">
        <f t="shared" si="7"/>
        <v>0</v>
      </c>
      <c r="G32" s="22">
        <f t="shared" si="7"/>
        <v>0</v>
      </c>
      <c r="H32" s="22">
        <f t="shared" si="7"/>
        <v>0</v>
      </c>
      <c r="I32" s="22">
        <f t="shared" si="7"/>
        <v>0</v>
      </c>
      <c r="J32" s="22">
        <f t="shared" si="7"/>
        <v>21</v>
      </c>
      <c r="K32" s="22">
        <f t="shared" si="7"/>
        <v>7</v>
      </c>
      <c r="L32" s="22">
        <f t="shared" si="7"/>
        <v>0</v>
      </c>
      <c r="M32" s="22">
        <f t="shared" si="7"/>
        <v>0</v>
      </c>
      <c r="N32" s="22">
        <f t="shared" si="7"/>
        <v>0</v>
      </c>
      <c r="O32" s="22">
        <f t="shared" si="7"/>
        <v>25</v>
      </c>
      <c r="P32" s="22">
        <f t="shared" si="7"/>
        <v>0</v>
      </c>
      <c r="Q32" s="22">
        <f t="shared" si="7"/>
        <v>0</v>
      </c>
      <c r="R32" s="23">
        <f t="shared" si="7"/>
        <v>0</v>
      </c>
      <c r="S32" s="22">
        <f t="shared" si="7"/>
        <v>23</v>
      </c>
      <c r="T32" s="22">
        <f t="shared" si="7"/>
        <v>0</v>
      </c>
      <c r="U32" s="22">
        <f t="shared" si="7"/>
        <v>0</v>
      </c>
      <c r="V32" s="22">
        <f t="shared" si="7"/>
        <v>0</v>
      </c>
      <c r="W32" s="22">
        <f t="shared" si="7"/>
        <v>0</v>
      </c>
      <c r="X32" s="22">
        <f t="shared" si="7"/>
        <v>29</v>
      </c>
      <c r="Y32" s="22">
        <f t="shared" si="7"/>
        <v>0</v>
      </c>
      <c r="Z32" s="22">
        <f t="shared" si="7"/>
        <v>0</v>
      </c>
      <c r="AA32" s="22">
        <f t="shared" si="7"/>
        <v>0</v>
      </c>
      <c r="AB32" s="22">
        <f t="shared" si="7"/>
        <v>0</v>
      </c>
      <c r="AC32" s="22">
        <f t="shared" si="7"/>
        <v>0</v>
      </c>
      <c r="AD32" s="22">
        <f t="shared" si="7"/>
        <v>25</v>
      </c>
      <c r="AE32" s="22">
        <f t="shared" si="7"/>
        <v>15</v>
      </c>
      <c r="AF32" s="22">
        <f t="shared" si="7"/>
        <v>0</v>
      </c>
      <c r="AG32" s="22">
        <f t="shared" si="7"/>
        <v>0</v>
      </c>
      <c r="AH32" s="22">
        <f t="shared" si="7"/>
        <v>0</v>
      </c>
      <c r="AI32" s="24">
        <f t="shared" si="5"/>
        <v>145</v>
      </c>
      <c r="AJ32" s="57"/>
    </row>
  </sheetData>
  <mergeCells count="42">
    <mergeCell ref="B27:C27"/>
    <mergeCell ref="AJ27:AJ32"/>
    <mergeCell ref="B28:C28"/>
    <mergeCell ref="B29:C29"/>
    <mergeCell ref="B30:C30"/>
    <mergeCell ref="B31:C31"/>
    <mergeCell ref="B32:C32"/>
    <mergeCell ref="A21:A26"/>
    <mergeCell ref="B21:C21"/>
    <mergeCell ref="AJ21:AJ26"/>
    <mergeCell ref="B22:C22"/>
    <mergeCell ref="B23:C23"/>
    <mergeCell ref="B24:C24"/>
    <mergeCell ref="B25:C25"/>
    <mergeCell ref="B26:C26"/>
    <mergeCell ref="A27:A32"/>
    <mergeCell ref="A15:A20"/>
    <mergeCell ref="B15:C15"/>
    <mergeCell ref="AJ15:AJ20"/>
    <mergeCell ref="B16:C16"/>
    <mergeCell ref="B17:C17"/>
    <mergeCell ref="B18:C18"/>
    <mergeCell ref="B19:C19"/>
    <mergeCell ref="B20:C20"/>
    <mergeCell ref="A9:A14"/>
    <mergeCell ref="B9:C9"/>
    <mergeCell ref="AJ9:AJ14"/>
    <mergeCell ref="B10:C10"/>
    <mergeCell ref="B11:C11"/>
    <mergeCell ref="B12:C12"/>
    <mergeCell ref="B13:C13"/>
    <mergeCell ref="B14:C14"/>
    <mergeCell ref="D1:O1"/>
    <mergeCell ref="B2:C2"/>
    <mergeCell ref="A3:A8"/>
    <mergeCell ref="B3:C3"/>
    <mergeCell ref="AJ3:AJ8"/>
    <mergeCell ref="B4:C4"/>
    <mergeCell ref="B5:C5"/>
    <mergeCell ref="B6:C6"/>
    <mergeCell ref="B7:C7"/>
    <mergeCell ref="B8:C8"/>
  </mergeCells>
  <phoneticPr fontId="2" type="noConversion"/>
  <conditionalFormatting sqref="D2:AH2">
    <cfRule type="expression" dxfId="59" priority="3" stopIfTrue="1">
      <formula>WEEKDAY(D2)=7</formula>
    </cfRule>
    <cfRule type="expression" dxfId="58" priority="4" stopIfTrue="1">
      <formula>WEEKDAY(D2)=1</formula>
    </cfRule>
  </conditionalFormatting>
  <conditionalFormatting sqref="D2:AH32">
    <cfRule type="expression" dxfId="57" priority="1">
      <formula>TEXT(D$2,"AAA")="일"</formula>
    </cfRule>
    <cfRule type="expression" dxfId="56" priority="2" stopIfTrue="1">
      <formula>TEXT(D$2,"AAA")="토"</formula>
    </cfRule>
    <cfRule type="expression" dxfId="55" priority="5">
      <formula>FALSE</formula>
    </cfRule>
  </conditionalFormatting>
  <pageMargins left="0.19685039370078741" right="0.39370078740157483" top="0.19685039370078741" bottom="0.11811023622047245" header="0.15748031496062992" footer="0.11811023622047245"/>
  <pageSetup paperSize="9" scale="70" fitToWidth="0" orientation="landscape" r:id="rId1"/>
  <headerFooter alignWithMargins="0">
    <oddFooter>&amp;LF705-02 (R01) &amp;C(주) 덱스코윈&amp;R&amp;P/&amp;N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54FD-2068-4AEB-8F4E-9658556A2E8E}">
  <dimension ref="A1:AJ32"/>
  <sheetViews>
    <sheetView showGridLines="0" zoomScale="85" zoomScaleNormal="85" workbookViewId="0">
      <pane xSplit="3" ySplit="2" topLeftCell="D3" activePane="bottomRight" state="frozen"/>
      <selection activeCell="AH19" sqref="AH19"/>
      <selection pane="topRight" activeCell="AH19" sqref="AH19"/>
      <selection pane="bottomLeft" activeCell="AH19" sqref="AH19"/>
      <selection pane="bottomRight" activeCell="AI12" sqref="AI12"/>
    </sheetView>
  </sheetViews>
  <sheetFormatPr defaultColWidth="8.77734375" defaultRowHeight="16.5"/>
  <cols>
    <col min="1" max="1" width="7.21875" style="43" customWidth="1"/>
    <col min="2" max="2" width="11.109375" style="43" customWidth="1"/>
    <col min="3" max="3" width="7.6640625" style="43" customWidth="1"/>
    <col min="4" max="6" width="4.33203125" style="42" customWidth="1"/>
    <col min="7" max="8" width="4.33203125" style="44" customWidth="1"/>
    <col min="9" max="17" width="4.33203125" style="42" customWidth="1"/>
    <col min="18" max="18" width="4.33203125" style="45" customWidth="1"/>
    <col min="19" max="34" width="4.33203125" style="42" customWidth="1"/>
    <col min="35" max="35" width="7.21875" style="46" customWidth="1"/>
    <col min="36" max="36" width="6" style="16" customWidth="1"/>
    <col min="37" max="16384" width="8.77734375" style="3"/>
  </cols>
  <sheetData>
    <row r="1" spans="1:36" ht="21.75" customHeight="1" thickBot="1">
      <c r="A1" s="1"/>
      <c r="B1" s="1"/>
      <c r="C1" s="1"/>
      <c r="D1" s="47">
        <v>46054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"/>
      <c r="Q1" s="2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</row>
    <row r="2" spans="1:36" s="10" customFormat="1" ht="30" customHeight="1" thickBot="1">
      <c r="A2" s="4" t="s">
        <v>0</v>
      </c>
      <c r="B2" s="48" t="s">
        <v>1</v>
      </c>
      <c r="C2" s="49"/>
      <c r="D2" s="5">
        <f>D1</f>
        <v>46054</v>
      </c>
      <c r="E2" s="6">
        <f>D2+1</f>
        <v>46055</v>
      </c>
      <c r="F2" s="6">
        <f t="shared" ref="F2:AH2" si="0">E2+1</f>
        <v>46056</v>
      </c>
      <c r="G2" s="6">
        <f t="shared" si="0"/>
        <v>46057</v>
      </c>
      <c r="H2" s="6">
        <f t="shared" si="0"/>
        <v>46058</v>
      </c>
      <c r="I2" s="6">
        <f t="shared" si="0"/>
        <v>46059</v>
      </c>
      <c r="J2" s="6">
        <f t="shared" si="0"/>
        <v>46060</v>
      </c>
      <c r="K2" s="6">
        <f t="shared" si="0"/>
        <v>46061</v>
      </c>
      <c r="L2" s="6">
        <f t="shared" si="0"/>
        <v>46062</v>
      </c>
      <c r="M2" s="6">
        <f t="shared" si="0"/>
        <v>46063</v>
      </c>
      <c r="N2" s="6">
        <f t="shared" si="0"/>
        <v>46064</v>
      </c>
      <c r="O2" s="6">
        <f t="shared" si="0"/>
        <v>46065</v>
      </c>
      <c r="P2" s="6">
        <f t="shared" si="0"/>
        <v>46066</v>
      </c>
      <c r="Q2" s="6">
        <f t="shared" si="0"/>
        <v>46067</v>
      </c>
      <c r="R2" s="7">
        <f t="shared" si="0"/>
        <v>46068</v>
      </c>
      <c r="S2" s="6">
        <f t="shared" si="0"/>
        <v>46069</v>
      </c>
      <c r="T2" s="6">
        <f t="shared" si="0"/>
        <v>46070</v>
      </c>
      <c r="U2" s="6">
        <f t="shared" si="0"/>
        <v>46071</v>
      </c>
      <c r="V2" s="6">
        <f t="shared" si="0"/>
        <v>46072</v>
      </c>
      <c r="W2" s="6">
        <f t="shared" si="0"/>
        <v>46073</v>
      </c>
      <c r="X2" s="6">
        <f t="shared" si="0"/>
        <v>46074</v>
      </c>
      <c r="Y2" s="6">
        <f t="shared" si="0"/>
        <v>46075</v>
      </c>
      <c r="Z2" s="6">
        <f t="shared" si="0"/>
        <v>46076</v>
      </c>
      <c r="AA2" s="6">
        <f t="shared" si="0"/>
        <v>46077</v>
      </c>
      <c r="AB2" s="6">
        <f t="shared" si="0"/>
        <v>46078</v>
      </c>
      <c r="AC2" s="6">
        <f t="shared" si="0"/>
        <v>46079</v>
      </c>
      <c r="AD2" s="6">
        <f t="shared" si="0"/>
        <v>46080</v>
      </c>
      <c r="AE2" s="6">
        <f t="shared" si="0"/>
        <v>46081</v>
      </c>
      <c r="AF2" s="6">
        <f t="shared" si="0"/>
        <v>46082</v>
      </c>
      <c r="AG2" s="6">
        <f t="shared" si="0"/>
        <v>46083</v>
      </c>
      <c r="AH2" s="6">
        <f t="shared" si="0"/>
        <v>46084</v>
      </c>
      <c r="AI2" s="8" t="s">
        <v>2</v>
      </c>
      <c r="AJ2" s="9" t="s">
        <v>3</v>
      </c>
    </row>
    <row r="3" spans="1:36" s="16" customFormat="1" ht="15" customHeight="1">
      <c r="A3" s="50" t="s">
        <v>4</v>
      </c>
      <c r="B3" s="53" t="s">
        <v>5</v>
      </c>
      <c r="C3" s="54"/>
      <c r="D3" s="11"/>
      <c r="E3" s="12"/>
      <c r="F3" s="12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>
        <f>SUM(D3:AH3)</f>
        <v>0</v>
      </c>
      <c r="AJ3" s="55">
        <v>250</v>
      </c>
    </row>
    <row r="4" spans="1:36" s="16" customFormat="1" ht="15" customHeight="1">
      <c r="A4" s="51"/>
      <c r="B4" s="58" t="s">
        <v>6</v>
      </c>
      <c r="C4" s="59"/>
      <c r="D4" s="17"/>
      <c r="E4" s="18"/>
      <c r="F4" s="18"/>
      <c r="G4" s="19"/>
      <c r="H4" s="19"/>
      <c r="I4" s="18"/>
      <c r="J4" s="18"/>
      <c r="K4" s="18"/>
      <c r="L4" s="18"/>
      <c r="M4" s="18"/>
      <c r="N4" s="18"/>
      <c r="O4" s="18"/>
      <c r="P4" s="18"/>
      <c r="Q4" s="18"/>
      <c r="R4" s="20"/>
      <c r="S4" s="18"/>
      <c r="T4" s="18"/>
      <c r="U4" s="18"/>
      <c r="V4" s="18">
        <v>25</v>
      </c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21">
        <f t="shared" ref="AI4:AI32" si="1">SUM(D4:AH4)</f>
        <v>25</v>
      </c>
      <c r="AJ4" s="56"/>
    </row>
    <row r="5" spans="1:36" s="16" customFormat="1" ht="15" customHeight="1">
      <c r="A5" s="51"/>
      <c r="B5" s="58" t="s">
        <v>7</v>
      </c>
      <c r="C5" s="59"/>
      <c r="D5" s="17"/>
      <c r="E5" s="18">
        <v>50</v>
      </c>
      <c r="F5" s="18"/>
      <c r="G5" s="19"/>
      <c r="H5" s="19"/>
      <c r="I5" s="18"/>
      <c r="J5" s="18"/>
      <c r="K5" s="18"/>
      <c r="L5" s="18"/>
      <c r="M5" s="18"/>
      <c r="N5" s="18"/>
      <c r="O5" s="18"/>
      <c r="P5" s="18"/>
      <c r="Q5" s="18"/>
      <c r="R5" s="20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21">
        <f t="shared" si="1"/>
        <v>50</v>
      </c>
      <c r="AJ5" s="56"/>
    </row>
    <row r="6" spans="1:36" s="16" customFormat="1" ht="15" customHeight="1">
      <c r="A6" s="51"/>
      <c r="B6" s="58" t="s">
        <v>8</v>
      </c>
      <c r="C6" s="59"/>
      <c r="D6" s="17"/>
      <c r="E6" s="18"/>
      <c r="F6" s="18"/>
      <c r="G6" s="19"/>
      <c r="H6" s="19"/>
      <c r="I6" s="18"/>
      <c r="J6" s="18"/>
      <c r="K6" s="18"/>
      <c r="L6" s="18"/>
      <c r="M6" s="18"/>
      <c r="N6" s="18"/>
      <c r="O6" s="18"/>
      <c r="P6" s="18"/>
      <c r="Q6" s="18"/>
      <c r="R6" s="20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>
        <v>50</v>
      </c>
      <c r="AH6" s="18"/>
      <c r="AI6" s="21">
        <f t="shared" si="1"/>
        <v>50</v>
      </c>
      <c r="AJ6" s="56"/>
    </row>
    <row r="7" spans="1:36" s="16" customFormat="1" ht="15" customHeight="1">
      <c r="A7" s="51"/>
      <c r="B7" s="58" t="s">
        <v>9</v>
      </c>
      <c r="C7" s="59"/>
      <c r="D7" s="17"/>
      <c r="E7" s="18"/>
      <c r="F7" s="18"/>
      <c r="G7" s="19"/>
      <c r="H7" s="19"/>
      <c r="I7" s="18"/>
      <c r="J7" s="18"/>
      <c r="K7" s="18"/>
      <c r="L7" s="18"/>
      <c r="M7" s="18"/>
      <c r="N7" s="18"/>
      <c r="O7" s="18"/>
      <c r="P7" s="18"/>
      <c r="Q7" s="18"/>
      <c r="R7" s="2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21">
        <f t="shared" si="1"/>
        <v>0</v>
      </c>
      <c r="AJ7" s="56"/>
    </row>
    <row r="8" spans="1:36" s="16" customFormat="1" ht="15" customHeight="1" thickBot="1">
      <c r="A8" s="52"/>
      <c r="B8" s="60" t="s">
        <v>10</v>
      </c>
      <c r="C8" s="61"/>
      <c r="D8" s="22">
        <f t="shared" ref="D8:AH8" si="2">SUM(D3:D7)</f>
        <v>0</v>
      </c>
      <c r="E8" s="22">
        <f t="shared" si="2"/>
        <v>50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 t="shared" si="2"/>
        <v>0</v>
      </c>
      <c r="K8" s="22">
        <f t="shared" si="2"/>
        <v>0</v>
      </c>
      <c r="L8" s="22">
        <f t="shared" si="2"/>
        <v>0</v>
      </c>
      <c r="M8" s="22">
        <f t="shared" si="2"/>
        <v>0</v>
      </c>
      <c r="N8" s="22">
        <f t="shared" si="2"/>
        <v>0</v>
      </c>
      <c r="O8" s="22">
        <f t="shared" si="2"/>
        <v>0</v>
      </c>
      <c r="P8" s="22">
        <f t="shared" si="2"/>
        <v>0</v>
      </c>
      <c r="Q8" s="22">
        <f t="shared" si="2"/>
        <v>0</v>
      </c>
      <c r="R8" s="23">
        <f t="shared" si="2"/>
        <v>0</v>
      </c>
      <c r="S8" s="22">
        <f t="shared" si="2"/>
        <v>0</v>
      </c>
      <c r="T8" s="22">
        <f t="shared" si="2"/>
        <v>0</v>
      </c>
      <c r="U8" s="22">
        <f t="shared" si="2"/>
        <v>0</v>
      </c>
      <c r="V8" s="22">
        <f t="shared" si="2"/>
        <v>25</v>
      </c>
      <c r="W8" s="22">
        <f t="shared" si="2"/>
        <v>0</v>
      </c>
      <c r="X8" s="22">
        <f t="shared" si="2"/>
        <v>0</v>
      </c>
      <c r="Y8" s="22">
        <f t="shared" si="2"/>
        <v>0</v>
      </c>
      <c r="Z8" s="22">
        <f t="shared" si="2"/>
        <v>0</v>
      </c>
      <c r="AA8" s="22">
        <f t="shared" si="2"/>
        <v>0</v>
      </c>
      <c r="AB8" s="22">
        <f t="shared" si="2"/>
        <v>0</v>
      </c>
      <c r="AC8" s="22">
        <f t="shared" si="2"/>
        <v>0</v>
      </c>
      <c r="AD8" s="22">
        <f t="shared" si="2"/>
        <v>0</v>
      </c>
      <c r="AE8" s="22">
        <f t="shared" si="2"/>
        <v>0</v>
      </c>
      <c r="AF8" s="22">
        <f t="shared" si="2"/>
        <v>0</v>
      </c>
      <c r="AG8" s="22">
        <f t="shared" si="2"/>
        <v>50</v>
      </c>
      <c r="AH8" s="22">
        <f t="shared" si="2"/>
        <v>0</v>
      </c>
      <c r="AI8" s="24">
        <f>SUM(D8:AH8)</f>
        <v>125</v>
      </c>
      <c r="AJ8" s="57"/>
    </row>
    <row r="9" spans="1:36" s="16" customFormat="1" ht="15" customHeight="1">
      <c r="A9" s="50" t="s">
        <v>11</v>
      </c>
      <c r="B9" s="53" t="s">
        <v>5</v>
      </c>
      <c r="C9" s="54"/>
      <c r="D9" s="25"/>
      <c r="E9" s="26"/>
      <c r="F9" s="26"/>
      <c r="G9" s="27"/>
      <c r="H9" s="27"/>
      <c r="I9" s="26"/>
      <c r="J9" s="26"/>
      <c r="K9" s="26"/>
      <c r="L9" s="26"/>
      <c r="M9" s="26"/>
      <c r="N9" s="26"/>
      <c r="O9" s="26"/>
      <c r="P9" s="26"/>
      <c r="Q9" s="26"/>
      <c r="R9" s="2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9">
        <f t="shared" si="1"/>
        <v>0</v>
      </c>
      <c r="AJ9" s="55">
        <v>250</v>
      </c>
    </row>
    <row r="10" spans="1:36" s="16" customFormat="1" ht="15" customHeight="1">
      <c r="A10" s="51"/>
      <c r="B10" s="58" t="s">
        <v>6</v>
      </c>
      <c r="C10" s="59"/>
      <c r="D10" s="17"/>
      <c r="E10" s="18"/>
      <c r="F10" s="18"/>
      <c r="G10" s="19"/>
      <c r="H10" s="19"/>
      <c r="I10" s="18">
        <v>1</v>
      </c>
      <c r="J10" s="18"/>
      <c r="K10" s="18"/>
      <c r="L10" s="18"/>
      <c r="M10" s="18"/>
      <c r="N10" s="18"/>
      <c r="O10" s="18"/>
      <c r="P10" s="18"/>
      <c r="Q10" s="18"/>
      <c r="R10" s="20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>
        <v>24</v>
      </c>
      <c r="AG10" s="18"/>
      <c r="AH10" s="18"/>
      <c r="AI10" s="21">
        <f t="shared" si="1"/>
        <v>25</v>
      </c>
      <c r="AJ10" s="62"/>
    </row>
    <row r="11" spans="1:36" s="16" customFormat="1" ht="15" customHeight="1">
      <c r="A11" s="51"/>
      <c r="B11" s="58" t="s">
        <v>12</v>
      </c>
      <c r="C11" s="59"/>
      <c r="D11" s="17"/>
      <c r="E11" s="18"/>
      <c r="F11" s="18"/>
      <c r="G11" s="19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20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v>21</v>
      </c>
      <c r="AD11" s="18"/>
      <c r="AE11" s="18"/>
      <c r="AF11" s="18"/>
      <c r="AG11" s="18"/>
      <c r="AH11" s="18"/>
      <c r="AI11" s="21">
        <f t="shared" si="1"/>
        <v>21</v>
      </c>
      <c r="AJ11" s="62"/>
    </row>
    <row r="12" spans="1:36" s="16" customFormat="1" ht="15" customHeight="1">
      <c r="A12" s="51"/>
      <c r="B12" s="58" t="s">
        <v>8</v>
      </c>
      <c r="C12" s="59"/>
      <c r="D12" s="17"/>
      <c r="E12" s="18"/>
      <c r="F12" s="18"/>
      <c r="G12" s="19"/>
      <c r="H12" s="19"/>
      <c r="I12" s="18"/>
      <c r="J12" s="18"/>
      <c r="K12" s="18"/>
      <c r="L12" s="18">
        <v>24</v>
      </c>
      <c r="M12" s="18"/>
      <c r="N12" s="18"/>
      <c r="O12" s="18"/>
      <c r="P12" s="18"/>
      <c r="Q12" s="18"/>
      <c r="R12" s="20">
        <v>29</v>
      </c>
      <c r="S12" s="18"/>
      <c r="T12" s="18"/>
      <c r="U12" s="18"/>
      <c r="V12" s="18"/>
      <c r="W12" s="18">
        <v>25</v>
      </c>
      <c r="X12" s="18">
        <v>25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1">
        <f t="shared" si="1"/>
        <v>103</v>
      </c>
      <c r="AJ12" s="62"/>
    </row>
    <row r="13" spans="1:36" s="16" customFormat="1" ht="15" customHeight="1">
      <c r="A13" s="51"/>
      <c r="B13" s="58" t="s">
        <v>9</v>
      </c>
      <c r="C13" s="59"/>
      <c r="D13" s="17"/>
      <c r="E13" s="18"/>
      <c r="F13" s="18"/>
      <c r="G13" s="19"/>
      <c r="H13" s="19"/>
      <c r="I13" s="18">
        <v>6</v>
      </c>
      <c r="J13" s="18"/>
      <c r="K13" s="18"/>
      <c r="L13" s="18"/>
      <c r="M13" s="18"/>
      <c r="N13" s="18"/>
      <c r="O13" s="18"/>
      <c r="P13" s="18"/>
      <c r="Q13" s="18"/>
      <c r="R13" s="20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9">
        <f t="shared" si="1"/>
        <v>6</v>
      </c>
      <c r="AJ13" s="62"/>
    </row>
    <row r="14" spans="1:36" s="16" customFormat="1" ht="15" customHeight="1" thickBot="1">
      <c r="A14" s="52"/>
      <c r="B14" s="60" t="s">
        <v>10</v>
      </c>
      <c r="C14" s="61"/>
      <c r="D14" s="22">
        <f t="shared" ref="D14:AH14" si="3">SUM(D9:D13)</f>
        <v>0</v>
      </c>
      <c r="E14" s="22">
        <f t="shared" si="3"/>
        <v>0</v>
      </c>
      <c r="F14" s="22">
        <f t="shared" si="3"/>
        <v>0</v>
      </c>
      <c r="G14" s="22">
        <f t="shared" si="3"/>
        <v>0</v>
      </c>
      <c r="H14" s="22">
        <f t="shared" si="3"/>
        <v>0</v>
      </c>
      <c r="I14" s="22">
        <f t="shared" si="3"/>
        <v>7</v>
      </c>
      <c r="J14" s="22">
        <f t="shared" si="3"/>
        <v>0</v>
      </c>
      <c r="K14" s="22">
        <f t="shared" si="3"/>
        <v>0</v>
      </c>
      <c r="L14" s="22">
        <f t="shared" si="3"/>
        <v>24</v>
      </c>
      <c r="M14" s="22">
        <f t="shared" si="3"/>
        <v>0</v>
      </c>
      <c r="N14" s="22">
        <f t="shared" si="3"/>
        <v>0</v>
      </c>
      <c r="O14" s="22">
        <f t="shared" si="3"/>
        <v>0</v>
      </c>
      <c r="P14" s="22">
        <f t="shared" si="3"/>
        <v>0</v>
      </c>
      <c r="Q14" s="22">
        <f>SUM(Q9:Q13)</f>
        <v>0</v>
      </c>
      <c r="R14" s="23">
        <f t="shared" si="3"/>
        <v>29</v>
      </c>
      <c r="S14" s="22">
        <f t="shared" si="3"/>
        <v>0</v>
      </c>
      <c r="T14" s="22">
        <f t="shared" si="3"/>
        <v>0</v>
      </c>
      <c r="U14" s="22">
        <f t="shared" si="3"/>
        <v>0</v>
      </c>
      <c r="V14" s="22">
        <f t="shared" si="3"/>
        <v>0</v>
      </c>
      <c r="W14" s="22">
        <f t="shared" si="3"/>
        <v>25</v>
      </c>
      <c r="X14" s="22">
        <f t="shared" si="3"/>
        <v>25</v>
      </c>
      <c r="Y14" s="22">
        <f t="shared" si="3"/>
        <v>0</v>
      </c>
      <c r="Z14" s="22">
        <f t="shared" si="3"/>
        <v>0</v>
      </c>
      <c r="AA14" s="22">
        <f t="shared" si="3"/>
        <v>0</v>
      </c>
      <c r="AB14" s="22">
        <f t="shared" si="3"/>
        <v>0</v>
      </c>
      <c r="AC14" s="22">
        <f t="shared" si="3"/>
        <v>21</v>
      </c>
      <c r="AD14" s="22">
        <f t="shared" si="3"/>
        <v>0</v>
      </c>
      <c r="AE14" s="22">
        <f t="shared" si="3"/>
        <v>0</v>
      </c>
      <c r="AF14" s="22">
        <f t="shared" si="3"/>
        <v>24</v>
      </c>
      <c r="AG14" s="22">
        <f t="shared" si="3"/>
        <v>0</v>
      </c>
      <c r="AH14" s="22">
        <f t="shared" si="3"/>
        <v>0</v>
      </c>
      <c r="AI14" s="30">
        <f t="shared" si="1"/>
        <v>155</v>
      </c>
      <c r="AJ14" s="63"/>
    </row>
    <row r="15" spans="1:36" s="16" customFormat="1" ht="15" customHeight="1">
      <c r="A15" s="50" t="s">
        <v>13</v>
      </c>
      <c r="B15" s="53" t="s">
        <v>5</v>
      </c>
      <c r="C15" s="54"/>
      <c r="D15" s="31"/>
      <c r="E15" s="32"/>
      <c r="F15" s="32"/>
      <c r="G15" s="33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12"/>
      <c r="AH15" s="12"/>
      <c r="AI15" s="15">
        <f t="shared" si="1"/>
        <v>0</v>
      </c>
      <c r="AJ15" s="55">
        <v>250</v>
      </c>
    </row>
    <row r="16" spans="1:36" s="16" customFormat="1" ht="15" customHeight="1">
      <c r="A16" s="51"/>
      <c r="B16" s="58" t="s">
        <v>6</v>
      </c>
      <c r="C16" s="59"/>
      <c r="D16" s="17"/>
      <c r="E16" s="18"/>
      <c r="F16" s="18"/>
      <c r="G16" s="19"/>
      <c r="H16" s="19"/>
      <c r="I16" s="18"/>
      <c r="J16" s="18">
        <v>1</v>
      </c>
      <c r="K16" s="18"/>
      <c r="L16" s="18"/>
      <c r="M16" s="18"/>
      <c r="N16" s="18"/>
      <c r="O16" s="18"/>
      <c r="P16" s="18"/>
      <c r="Q16" s="18"/>
      <c r="R16" s="20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1">
        <f t="shared" si="1"/>
        <v>1</v>
      </c>
      <c r="AJ16" s="56"/>
    </row>
    <row r="17" spans="1:36" s="16" customFormat="1" ht="15" customHeight="1">
      <c r="A17" s="51"/>
      <c r="B17" s="58" t="s">
        <v>12</v>
      </c>
      <c r="C17" s="59"/>
      <c r="D17" s="17"/>
      <c r="E17" s="18"/>
      <c r="F17" s="18"/>
      <c r="G17" s="19"/>
      <c r="H17" s="19"/>
      <c r="I17" s="18"/>
      <c r="J17" s="36">
        <v>20</v>
      </c>
      <c r="K17" s="18"/>
      <c r="L17" s="18"/>
      <c r="M17" s="18"/>
      <c r="N17" s="18"/>
      <c r="O17" s="18"/>
      <c r="P17" s="18"/>
      <c r="Q17" s="18"/>
      <c r="R17" s="20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1">
        <f t="shared" si="1"/>
        <v>20</v>
      </c>
      <c r="AJ17" s="56"/>
    </row>
    <row r="18" spans="1:36" s="16" customFormat="1" ht="15" customHeight="1">
      <c r="A18" s="51"/>
      <c r="B18" s="58" t="s">
        <v>8</v>
      </c>
      <c r="C18" s="59"/>
      <c r="D18" s="37"/>
      <c r="E18" s="38"/>
      <c r="F18" s="38"/>
      <c r="G18" s="39"/>
      <c r="H18" s="19"/>
      <c r="I18" s="40"/>
      <c r="J18" s="40"/>
      <c r="K18" s="40"/>
      <c r="L18" s="40"/>
      <c r="M18" s="40"/>
      <c r="N18" s="40"/>
      <c r="O18" s="40">
        <v>25</v>
      </c>
      <c r="P18" s="40"/>
      <c r="Q18" s="40"/>
      <c r="R18" s="41"/>
      <c r="S18" s="40">
        <v>23</v>
      </c>
      <c r="T18" s="40"/>
      <c r="U18" s="40"/>
      <c r="V18" s="40"/>
      <c r="W18" s="40"/>
      <c r="X18" s="40">
        <v>29</v>
      </c>
      <c r="Y18" s="40"/>
      <c r="Z18" s="40"/>
      <c r="AA18" s="40"/>
      <c r="AB18" s="40"/>
      <c r="AC18" s="40"/>
      <c r="AD18" s="40">
        <v>25</v>
      </c>
      <c r="AE18" s="40"/>
      <c r="AF18" s="40"/>
      <c r="AG18" s="40"/>
      <c r="AH18" s="18"/>
      <c r="AI18" s="21">
        <f t="shared" si="1"/>
        <v>102</v>
      </c>
      <c r="AJ18" s="56"/>
    </row>
    <row r="19" spans="1:36" s="16" customFormat="1" ht="15" customHeight="1">
      <c r="A19" s="51"/>
      <c r="B19" s="58" t="s">
        <v>9</v>
      </c>
      <c r="C19" s="59"/>
      <c r="D19" s="37"/>
      <c r="E19" s="38"/>
      <c r="F19" s="38"/>
      <c r="G19" s="39"/>
      <c r="H19" s="19"/>
      <c r="I19" s="40"/>
      <c r="J19" s="40"/>
      <c r="K19" s="40">
        <v>7</v>
      </c>
      <c r="L19" s="40"/>
      <c r="M19" s="40"/>
      <c r="N19" s="40"/>
      <c r="O19" s="40"/>
      <c r="P19" s="40"/>
      <c r="Q19" s="40"/>
      <c r="R19" s="41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>
        <v>15</v>
      </c>
      <c r="AF19" s="40"/>
      <c r="AG19" s="40"/>
      <c r="AH19" s="18"/>
      <c r="AI19" s="21">
        <f t="shared" si="1"/>
        <v>22</v>
      </c>
      <c r="AJ19" s="56"/>
    </row>
    <row r="20" spans="1:36" s="16" customFormat="1" ht="15" customHeight="1" thickBot="1">
      <c r="A20" s="52"/>
      <c r="B20" s="60" t="s">
        <v>14</v>
      </c>
      <c r="C20" s="61"/>
      <c r="D20" s="22">
        <f t="shared" ref="D20:AH20" si="4">SUM(D15:D19)</f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21</v>
      </c>
      <c r="K20" s="22">
        <f t="shared" si="4"/>
        <v>7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25</v>
      </c>
      <c r="P20" s="22">
        <f t="shared" si="4"/>
        <v>0</v>
      </c>
      <c r="Q20" s="22">
        <f t="shared" si="4"/>
        <v>0</v>
      </c>
      <c r="R20" s="23">
        <f t="shared" si="4"/>
        <v>0</v>
      </c>
      <c r="S20" s="22">
        <f t="shared" si="4"/>
        <v>23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29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25</v>
      </c>
      <c r="AE20" s="22">
        <f t="shared" si="4"/>
        <v>15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4">
        <f t="shared" si="1"/>
        <v>145</v>
      </c>
      <c r="AJ20" s="57"/>
    </row>
    <row r="21" spans="1:36" s="16" customFormat="1" ht="15" customHeight="1">
      <c r="A21" s="50" t="s">
        <v>15</v>
      </c>
      <c r="B21" s="53" t="s">
        <v>5</v>
      </c>
      <c r="C21" s="54"/>
      <c r="D21" s="31"/>
      <c r="E21" s="32"/>
      <c r="F21" s="32"/>
      <c r="G21" s="33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12"/>
      <c r="AH21" s="12"/>
      <c r="AI21" s="15">
        <f t="shared" si="1"/>
        <v>0</v>
      </c>
      <c r="AJ21" s="55">
        <v>250</v>
      </c>
    </row>
    <row r="22" spans="1:36" s="16" customFormat="1" ht="15" customHeight="1">
      <c r="A22" s="51"/>
      <c r="B22" s="58" t="s">
        <v>6</v>
      </c>
      <c r="C22" s="59"/>
      <c r="D22" s="17"/>
      <c r="E22" s="18"/>
      <c r="F22" s="18"/>
      <c r="G22" s="19"/>
      <c r="H22" s="19"/>
      <c r="I22" s="18"/>
      <c r="J22" s="18">
        <v>1</v>
      </c>
      <c r="K22" s="18"/>
      <c r="L22" s="18"/>
      <c r="M22" s="18"/>
      <c r="N22" s="18"/>
      <c r="O22" s="18"/>
      <c r="P22" s="18"/>
      <c r="Q22" s="18"/>
      <c r="R22" s="20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1">
        <f t="shared" si="1"/>
        <v>1</v>
      </c>
      <c r="AJ22" s="56"/>
    </row>
    <row r="23" spans="1:36" s="16" customFormat="1" ht="15" customHeight="1">
      <c r="A23" s="51"/>
      <c r="B23" s="58" t="s">
        <v>12</v>
      </c>
      <c r="C23" s="59"/>
      <c r="D23" s="17"/>
      <c r="E23" s="18"/>
      <c r="F23" s="18"/>
      <c r="G23" s="19"/>
      <c r="H23" s="19"/>
      <c r="I23" s="18"/>
      <c r="J23" s="36">
        <v>20</v>
      </c>
      <c r="K23" s="18"/>
      <c r="L23" s="18"/>
      <c r="M23" s="18"/>
      <c r="N23" s="18"/>
      <c r="O23" s="18"/>
      <c r="P23" s="18"/>
      <c r="Q23" s="18"/>
      <c r="R23" s="20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1">
        <f t="shared" si="1"/>
        <v>20</v>
      </c>
      <c r="AJ23" s="56"/>
    </row>
    <row r="24" spans="1:36" s="16" customFormat="1" ht="15" customHeight="1">
      <c r="A24" s="51"/>
      <c r="B24" s="58" t="s">
        <v>8</v>
      </c>
      <c r="C24" s="59"/>
      <c r="D24" s="37"/>
      <c r="E24" s="38"/>
      <c r="F24" s="38"/>
      <c r="G24" s="39"/>
      <c r="H24" s="19"/>
      <c r="I24" s="40"/>
      <c r="J24" s="40"/>
      <c r="K24" s="40"/>
      <c r="L24" s="40"/>
      <c r="M24" s="40"/>
      <c r="N24" s="40"/>
      <c r="O24" s="40">
        <v>25</v>
      </c>
      <c r="P24" s="40"/>
      <c r="Q24" s="40"/>
      <c r="R24" s="41"/>
      <c r="S24" s="40">
        <v>23</v>
      </c>
      <c r="T24" s="40"/>
      <c r="U24" s="40"/>
      <c r="V24" s="40"/>
      <c r="W24" s="40"/>
      <c r="X24" s="40">
        <v>29</v>
      </c>
      <c r="Y24" s="40"/>
      <c r="Z24" s="40"/>
      <c r="AA24" s="40"/>
      <c r="AB24" s="40"/>
      <c r="AC24" s="40"/>
      <c r="AD24" s="40">
        <v>25</v>
      </c>
      <c r="AE24" s="40"/>
      <c r="AF24" s="40"/>
      <c r="AG24" s="40"/>
      <c r="AH24" s="18"/>
      <c r="AI24" s="21">
        <f t="shared" si="1"/>
        <v>102</v>
      </c>
      <c r="AJ24" s="56"/>
    </row>
    <row r="25" spans="1:36" s="16" customFormat="1" ht="15" customHeight="1">
      <c r="A25" s="51"/>
      <c r="B25" s="58" t="s">
        <v>9</v>
      </c>
      <c r="C25" s="59"/>
      <c r="D25" s="37"/>
      <c r="E25" s="38"/>
      <c r="F25" s="38"/>
      <c r="G25" s="39"/>
      <c r="H25" s="19"/>
      <c r="I25" s="40"/>
      <c r="J25" s="40"/>
      <c r="K25" s="40">
        <v>7</v>
      </c>
      <c r="L25" s="40"/>
      <c r="M25" s="40"/>
      <c r="N25" s="40"/>
      <c r="O25" s="40"/>
      <c r="P25" s="40"/>
      <c r="Q25" s="40"/>
      <c r="R25" s="41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>
        <v>15</v>
      </c>
      <c r="AF25" s="40"/>
      <c r="AG25" s="40"/>
      <c r="AH25" s="18"/>
      <c r="AI25" s="21">
        <f t="shared" si="1"/>
        <v>22</v>
      </c>
      <c r="AJ25" s="56"/>
    </row>
    <row r="26" spans="1:36" s="16" customFormat="1" ht="15" customHeight="1" thickBot="1">
      <c r="A26" s="52"/>
      <c r="B26" s="60" t="s">
        <v>14</v>
      </c>
      <c r="C26" s="61"/>
      <c r="D26" s="22">
        <f t="shared" ref="D26:AH26" si="5">SUM(D21:D25)</f>
        <v>0</v>
      </c>
      <c r="E26" s="22">
        <f t="shared" si="5"/>
        <v>0</v>
      </c>
      <c r="F26" s="22">
        <f t="shared" si="5"/>
        <v>0</v>
      </c>
      <c r="G26" s="22">
        <f t="shared" si="5"/>
        <v>0</v>
      </c>
      <c r="H26" s="22">
        <f t="shared" si="5"/>
        <v>0</v>
      </c>
      <c r="I26" s="22">
        <f t="shared" si="5"/>
        <v>0</v>
      </c>
      <c r="J26" s="22">
        <f t="shared" si="5"/>
        <v>21</v>
      </c>
      <c r="K26" s="22">
        <f t="shared" si="5"/>
        <v>7</v>
      </c>
      <c r="L26" s="22">
        <f t="shared" si="5"/>
        <v>0</v>
      </c>
      <c r="M26" s="22">
        <f t="shared" si="5"/>
        <v>0</v>
      </c>
      <c r="N26" s="22">
        <f t="shared" si="5"/>
        <v>0</v>
      </c>
      <c r="O26" s="22">
        <f t="shared" si="5"/>
        <v>25</v>
      </c>
      <c r="P26" s="22">
        <f t="shared" si="5"/>
        <v>0</v>
      </c>
      <c r="Q26" s="22">
        <f t="shared" si="5"/>
        <v>0</v>
      </c>
      <c r="R26" s="23">
        <f t="shared" si="5"/>
        <v>0</v>
      </c>
      <c r="S26" s="22">
        <f t="shared" si="5"/>
        <v>23</v>
      </c>
      <c r="T26" s="22">
        <f t="shared" si="5"/>
        <v>0</v>
      </c>
      <c r="U26" s="22">
        <f t="shared" si="5"/>
        <v>0</v>
      </c>
      <c r="V26" s="22">
        <f t="shared" si="5"/>
        <v>0</v>
      </c>
      <c r="W26" s="22">
        <f t="shared" si="5"/>
        <v>0</v>
      </c>
      <c r="X26" s="22">
        <f t="shared" si="5"/>
        <v>29</v>
      </c>
      <c r="Y26" s="22">
        <f t="shared" si="5"/>
        <v>0</v>
      </c>
      <c r="Z26" s="22">
        <f t="shared" si="5"/>
        <v>0</v>
      </c>
      <c r="AA26" s="22">
        <f t="shared" si="5"/>
        <v>0</v>
      </c>
      <c r="AB26" s="22">
        <f t="shared" si="5"/>
        <v>0</v>
      </c>
      <c r="AC26" s="22">
        <f t="shared" si="5"/>
        <v>0</v>
      </c>
      <c r="AD26" s="22">
        <f t="shared" si="5"/>
        <v>25</v>
      </c>
      <c r="AE26" s="22">
        <f t="shared" si="5"/>
        <v>15</v>
      </c>
      <c r="AF26" s="22">
        <f t="shared" si="5"/>
        <v>0</v>
      </c>
      <c r="AG26" s="22">
        <f t="shared" si="5"/>
        <v>0</v>
      </c>
      <c r="AH26" s="22">
        <f t="shared" si="5"/>
        <v>0</v>
      </c>
      <c r="AI26" s="24">
        <f t="shared" si="1"/>
        <v>145</v>
      </c>
      <c r="AJ26" s="57"/>
    </row>
    <row r="27" spans="1:36" s="16" customFormat="1" ht="15" customHeight="1">
      <c r="A27" s="50" t="s">
        <v>16</v>
      </c>
      <c r="B27" s="53" t="s">
        <v>5</v>
      </c>
      <c r="C27" s="54"/>
      <c r="D27" s="31"/>
      <c r="E27" s="32"/>
      <c r="F27" s="32"/>
      <c r="G27" s="33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12"/>
      <c r="AH27" s="12"/>
      <c r="AI27" s="15">
        <f t="shared" si="1"/>
        <v>0</v>
      </c>
      <c r="AJ27" s="55">
        <v>250</v>
      </c>
    </row>
    <row r="28" spans="1:36" s="16" customFormat="1" ht="15" customHeight="1">
      <c r="A28" s="51"/>
      <c r="B28" s="58" t="s">
        <v>6</v>
      </c>
      <c r="C28" s="59"/>
      <c r="D28" s="17"/>
      <c r="E28" s="18"/>
      <c r="F28" s="18"/>
      <c r="G28" s="19"/>
      <c r="H28" s="19"/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1">
        <f t="shared" si="1"/>
        <v>1</v>
      </c>
      <c r="AJ28" s="56"/>
    </row>
    <row r="29" spans="1:36" s="16" customFormat="1" ht="15" customHeight="1">
      <c r="A29" s="51"/>
      <c r="B29" s="58" t="s">
        <v>12</v>
      </c>
      <c r="C29" s="59"/>
      <c r="D29" s="17"/>
      <c r="E29" s="18"/>
      <c r="F29" s="18"/>
      <c r="G29" s="19"/>
      <c r="H29" s="19"/>
      <c r="I29" s="18"/>
      <c r="J29" s="36">
        <v>20</v>
      </c>
      <c r="K29" s="18"/>
      <c r="L29" s="18"/>
      <c r="M29" s="18"/>
      <c r="N29" s="18"/>
      <c r="O29" s="18"/>
      <c r="P29" s="18"/>
      <c r="Q29" s="18"/>
      <c r="R29" s="20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1">
        <f t="shared" si="1"/>
        <v>20</v>
      </c>
      <c r="AJ29" s="56"/>
    </row>
    <row r="30" spans="1:36" s="16" customFormat="1" ht="15" customHeight="1">
      <c r="A30" s="51"/>
      <c r="B30" s="58" t="s">
        <v>8</v>
      </c>
      <c r="C30" s="59"/>
      <c r="D30" s="37"/>
      <c r="E30" s="38"/>
      <c r="F30" s="38"/>
      <c r="G30" s="39"/>
      <c r="H30" s="19"/>
      <c r="I30" s="40"/>
      <c r="J30" s="40"/>
      <c r="K30" s="40"/>
      <c r="L30" s="40"/>
      <c r="M30" s="40"/>
      <c r="N30" s="40"/>
      <c r="O30" s="40">
        <v>25</v>
      </c>
      <c r="P30" s="40"/>
      <c r="Q30" s="40"/>
      <c r="R30" s="41"/>
      <c r="S30" s="40">
        <v>23</v>
      </c>
      <c r="T30" s="40"/>
      <c r="U30" s="40"/>
      <c r="V30" s="40"/>
      <c r="W30" s="40"/>
      <c r="X30" s="40">
        <v>29</v>
      </c>
      <c r="Y30" s="40"/>
      <c r="Z30" s="40"/>
      <c r="AA30" s="40"/>
      <c r="AB30" s="40"/>
      <c r="AC30" s="40"/>
      <c r="AD30" s="40">
        <v>25</v>
      </c>
      <c r="AE30" s="40"/>
      <c r="AF30" s="40"/>
      <c r="AG30" s="40"/>
      <c r="AH30" s="18"/>
      <c r="AI30" s="21">
        <f t="shared" si="1"/>
        <v>102</v>
      </c>
      <c r="AJ30" s="56"/>
    </row>
    <row r="31" spans="1:36" s="16" customFormat="1" ht="15" customHeight="1">
      <c r="A31" s="51"/>
      <c r="B31" s="58" t="s">
        <v>9</v>
      </c>
      <c r="C31" s="59"/>
      <c r="D31" s="37"/>
      <c r="E31" s="38"/>
      <c r="F31" s="38"/>
      <c r="G31" s="39"/>
      <c r="H31" s="19"/>
      <c r="I31" s="40"/>
      <c r="J31" s="40"/>
      <c r="K31" s="40">
        <v>7</v>
      </c>
      <c r="L31" s="40"/>
      <c r="M31" s="40"/>
      <c r="N31" s="40"/>
      <c r="O31" s="40"/>
      <c r="P31" s="40"/>
      <c r="Q31" s="40"/>
      <c r="R31" s="41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>
        <v>15</v>
      </c>
      <c r="AF31" s="40"/>
      <c r="AG31" s="40"/>
      <c r="AH31" s="18"/>
      <c r="AI31" s="21">
        <f t="shared" si="1"/>
        <v>22</v>
      </c>
      <c r="AJ31" s="56"/>
    </row>
    <row r="32" spans="1:36" s="16" customFormat="1" ht="15" customHeight="1" thickBot="1">
      <c r="A32" s="52"/>
      <c r="B32" s="60" t="s">
        <v>14</v>
      </c>
      <c r="C32" s="61"/>
      <c r="D32" s="22">
        <f t="shared" ref="D32:AH32" si="6">SUM(D27:D31)</f>
        <v>0</v>
      </c>
      <c r="E32" s="22">
        <f t="shared" si="6"/>
        <v>0</v>
      </c>
      <c r="F32" s="22">
        <f t="shared" si="6"/>
        <v>0</v>
      </c>
      <c r="G32" s="22">
        <f t="shared" si="6"/>
        <v>0</v>
      </c>
      <c r="H32" s="22">
        <f t="shared" si="6"/>
        <v>0</v>
      </c>
      <c r="I32" s="22">
        <f t="shared" si="6"/>
        <v>0</v>
      </c>
      <c r="J32" s="22">
        <f t="shared" si="6"/>
        <v>21</v>
      </c>
      <c r="K32" s="22">
        <f t="shared" si="6"/>
        <v>7</v>
      </c>
      <c r="L32" s="22">
        <f t="shared" si="6"/>
        <v>0</v>
      </c>
      <c r="M32" s="22">
        <f t="shared" si="6"/>
        <v>0</v>
      </c>
      <c r="N32" s="22">
        <f t="shared" si="6"/>
        <v>0</v>
      </c>
      <c r="O32" s="22">
        <f t="shared" si="6"/>
        <v>25</v>
      </c>
      <c r="P32" s="22">
        <f t="shared" si="6"/>
        <v>0</v>
      </c>
      <c r="Q32" s="22">
        <f t="shared" si="6"/>
        <v>0</v>
      </c>
      <c r="R32" s="23">
        <f t="shared" si="6"/>
        <v>0</v>
      </c>
      <c r="S32" s="22">
        <f t="shared" si="6"/>
        <v>23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22">
        <f t="shared" si="6"/>
        <v>0</v>
      </c>
      <c r="X32" s="22">
        <f t="shared" si="6"/>
        <v>29</v>
      </c>
      <c r="Y32" s="22">
        <f t="shared" si="6"/>
        <v>0</v>
      </c>
      <c r="Z32" s="22">
        <f t="shared" si="6"/>
        <v>0</v>
      </c>
      <c r="AA32" s="22">
        <f t="shared" si="6"/>
        <v>0</v>
      </c>
      <c r="AB32" s="22">
        <f t="shared" si="6"/>
        <v>0</v>
      </c>
      <c r="AC32" s="22">
        <f t="shared" si="6"/>
        <v>0</v>
      </c>
      <c r="AD32" s="22">
        <f t="shared" si="6"/>
        <v>25</v>
      </c>
      <c r="AE32" s="22">
        <f t="shared" si="6"/>
        <v>15</v>
      </c>
      <c r="AF32" s="22">
        <f t="shared" si="6"/>
        <v>0</v>
      </c>
      <c r="AG32" s="22">
        <f t="shared" si="6"/>
        <v>0</v>
      </c>
      <c r="AH32" s="22">
        <f t="shared" si="6"/>
        <v>0</v>
      </c>
      <c r="AI32" s="24">
        <f t="shared" si="1"/>
        <v>145</v>
      </c>
      <c r="AJ32" s="57"/>
    </row>
  </sheetData>
  <mergeCells count="42">
    <mergeCell ref="A27:A32"/>
    <mergeCell ref="B27:C27"/>
    <mergeCell ref="AJ27:AJ32"/>
    <mergeCell ref="B28:C28"/>
    <mergeCell ref="B29:C29"/>
    <mergeCell ref="B30:C30"/>
    <mergeCell ref="B31:C31"/>
    <mergeCell ref="B32:C32"/>
    <mergeCell ref="A21:A26"/>
    <mergeCell ref="B21:C21"/>
    <mergeCell ref="AJ21:AJ26"/>
    <mergeCell ref="B22:C22"/>
    <mergeCell ref="B23:C23"/>
    <mergeCell ref="B24:C24"/>
    <mergeCell ref="B25:C25"/>
    <mergeCell ref="B26:C26"/>
    <mergeCell ref="A15:A20"/>
    <mergeCell ref="B15:C15"/>
    <mergeCell ref="AJ15:AJ20"/>
    <mergeCell ref="B16:C16"/>
    <mergeCell ref="B17:C17"/>
    <mergeCell ref="B18:C18"/>
    <mergeCell ref="B19:C19"/>
    <mergeCell ref="B20:C20"/>
    <mergeCell ref="A9:A14"/>
    <mergeCell ref="B9:C9"/>
    <mergeCell ref="AJ9:AJ14"/>
    <mergeCell ref="B10:C10"/>
    <mergeCell ref="B11:C11"/>
    <mergeCell ref="B12:C12"/>
    <mergeCell ref="B13:C13"/>
    <mergeCell ref="B14:C14"/>
    <mergeCell ref="D1:O1"/>
    <mergeCell ref="B2:C2"/>
    <mergeCell ref="A3:A8"/>
    <mergeCell ref="B3:C3"/>
    <mergeCell ref="AJ3:AJ8"/>
    <mergeCell ref="B4:C4"/>
    <mergeCell ref="B5:C5"/>
    <mergeCell ref="B6:C6"/>
    <mergeCell ref="B7:C7"/>
    <mergeCell ref="B8:C8"/>
  </mergeCells>
  <phoneticPr fontId="2" type="noConversion"/>
  <conditionalFormatting sqref="D2:AH2">
    <cfRule type="expression" dxfId="54" priority="3" stopIfTrue="1">
      <formula>WEEKDAY(D2)=7</formula>
    </cfRule>
    <cfRule type="expression" dxfId="53" priority="4" stopIfTrue="1">
      <formula>WEEKDAY(D2)=1</formula>
    </cfRule>
  </conditionalFormatting>
  <conditionalFormatting sqref="D2:AH32">
    <cfRule type="expression" dxfId="52" priority="1">
      <formula>TEXT(D$2,"AAA")="일"</formula>
    </cfRule>
    <cfRule type="expression" dxfId="51" priority="2" stopIfTrue="1">
      <formula>TEXT(D$2,"AAA")="토"</formula>
    </cfRule>
    <cfRule type="expression" dxfId="50" priority="5">
      <formula>FALSE</formula>
    </cfRule>
  </conditionalFormatting>
  <pageMargins left="0.19685039370078741" right="0.39370078740157483" top="0.19685039370078741" bottom="0.11811023622047245" header="0.15748031496062992" footer="0.11811023622047245"/>
  <pageSetup paperSize="9" scale="70" fitToWidth="0" orientation="landscape" r:id="rId1"/>
  <headerFooter alignWithMargins="0">
    <oddFooter>&amp;LF705-02 (R01) &amp;C(주) 덱스코윈&amp;R&amp;P/&amp;N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164B-5495-4B45-8B66-DD55CE3E0948}">
  <dimension ref="A1:AJ32"/>
  <sheetViews>
    <sheetView showGridLines="0" zoomScale="85" zoomScaleNormal="85" workbookViewId="0">
      <pane xSplit="3" ySplit="2" topLeftCell="D3" activePane="bottomRight" state="frozen"/>
      <selection activeCell="AH19" sqref="AH19"/>
      <selection pane="topRight" activeCell="AH19" sqref="AH19"/>
      <selection pane="bottomLeft" activeCell="AH19" sqref="AH19"/>
      <selection pane="bottomRight" activeCell="AI12" sqref="AI12"/>
    </sheetView>
  </sheetViews>
  <sheetFormatPr defaultColWidth="8.77734375" defaultRowHeight="16.5"/>
  <cols>
    <col min="1" max="1" width="7.21875" style="43" customWidth="1"/>
    <col min="2" max="2" width="11.109375" style="43" customWidth="1"/>
    <col min="3" max="3" width="7.6640625" style="43" customWidth="1"/>
    <col min="4" max="6" width="4.33203125" style="42" customWidth="1"/>
    <col min="7" max="8" width="4.33203125" style="44" customWidth="1"/>
    <col min="9" max="17" width="4.33203125" style="42" customWidth="1"/>
    <col min="18" max="18" width="4.33203125" style="45" customWidth="1"/>
    <col min="19" max="34" width="4.33203125" style="42" customWidth="1"/>
    <col min="35" max="35" width="7.21875" style="46" customWidth="1"/>
    <col min="36" max="36" width="6" style="16" customWidth="1"/>
    <col min="37" max="16384" width="8.77734375" style="3"/>
  </cols>
  <sheetData>
    <row r="1" spans="1:36" ht="21.75" customHeight="1" thickBot="1">
      <c r="A1" s="1"/>
      <c r="B1" s="1"/>
      <c r="C1" s="1"/>
      <c r="D1" s="47">
        <v>46082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"/>
      <c r="Q1" s="2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</row>
    <row r="2" spans="1:36" s="10" customFormat="1" ht="30" customHeight="1" thickBot="1">
      <c r="A2" s="4" t="s">
        <v>0</v>
      </c>
      <c r="B2" s="48" t="s">
        <v>1</v>
      </c>
      <c r="C2" s="49"/>
      <c r="D2" s="5">
        <f>D1</f>
        <v>46082</v>
      </c>
      <c r="E2" s="6">
        <f>D2+1</f>
        <v>46083</v>
      </c>
      <c r="F2" s="6">
        <f t="shared" ref="F2:AH2" si="0">E2+1</f>
        <v>46084</v>
      </c>
      <c r="G2" s="6">
        <f t="shared" si="0"/>
        <v>46085</v>
      </c>
      <c r="H2" s="6">
        <f t="shared" si="0"/>
        <v>46086</v>
      </c>
      <c r="I2" s="6">
        <f t="shared" si="0"/>
        <v>46087</v>
      </c>
      <c r="J2" s="6">
        <f t="shared" si="0"/>
        <v>46088</v>
      </c>
      <c r="K2" s="6">
        <f t="shared" si="0"/>
        <v>46089</v>
      </c>
      <c r="L2" s="6">
        <f t="shared" si="0"/>
        <v>46090</v>
      </c>
      <c r="M2" s="6">
        <f t="shared" si="0"/>
        <v>46091</v>
      </c>
      <c r="N2" s="6">
        <f t="shared" si="0"/>
        <v>46092</v>
      </c>
      <c r="O2" s="6">
        <f t="shared" si="0"/>
        <v>46093</v>
      </c>
      <c r="P2" s="6">
        <f t="shared" si="0"/>
        <v>46094</v>
      </c>
      <c r="Q2" s="6">
        <f t="shared" si="0"/>
        <v>46095</v>
      </c>
      <c r="R2" s="7">
        <f t="shared" si="0"/>
        <v>46096</v>
      </c>
      <c r="S2" s="6">
        <f t="shared" si="0"/>
        <v>46097</v>
      </c>
      <c r="T2" s="6">
        <f t="shared" si="0"/>
        <v>46098</v>
      </c>
      <c r="U2" s="6">
        <f t="shared" si="0"/>
        <v>46099</v>
      </c>
      <c r="V2" s="6">
        <f t="shared" si="0"/>
        <v>46100</v>
      </c>
      <c r="W2" s="6">
        <f t="shared" si="0"/>
        <v>46101</v>
      </c>
      <c r="X2" s="6">
        <f t="shared" si="0"/>
        <v>46102</v>
      </c>
      <c r="Y2" s="6">
        <f t="shared" si="0"/>
        <v>46103</v>
      </c>
      <c r="Z2" s="6">
        <f t="shared" si="0"/>
        <v>46104</v>
      </c>
      <c r="AA2" s="6">
        <f t="shared" si="0"/>
        <v>46105</v>
      </c>
      <c r="AB2" s="6">
        <f t="shared" si="0"/>
        <v>46106</v>
      </c>
      <c r="AC2" s="6">
        <f t="shared" si="0"/>
        <v>46107</v>
      </c>
      <c r="AD2" s="6">
        <f t="shared" si="0"/>
        <v>46108</v>
      </c>
      <c r="AE2" s="6">
        <f t="shared" si="0"/>
        <v>46109</v>
      </c>
      <c r="AF2" s="6">
        <f t="shared" si="0"/>
        <v>46110</v>
      </c>
      <c r="AG2" s="6">
        <f t="shared" si="0"/>
        <v>46111</v>
      </c>
      <c r="AH2" s="6">
        <f t="shared" si="0"/>
        <v>46112</v>
      </c>
      <c r="AI2" s="8" t="s">
        <v>2</v>
      </c>
      <c r="AJ2" s="9" t="s">
        <v>3</v>
      </c>
    </row>
    <row r="3" spans="1:36" s="16" customFormat="1" ht="15" customHeight="1">
      <c r="A3" s="50" t="s">
        <v>4</v>
      </c>
      <c r="B3" s="53" t="s">
        <v>5</v>
      </c>
      <c r="C3" s="54"/>
      <c r="D3" s="11"/>
      <c r="E3" s="12"/>
      <c r="F3" s="12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>
        <f>SUM(D3:AH3)</f>
        <v>0</v>
      </c>
      <c r="AJ3" s="55">
        <v>250</v>
      </c>
    </row>
    <row r="4" spans="1:36" s="16" customFormat="1" ht="15" customHeight="1">
      <c r="A4" s="51"/>
      <c r="B4" s="58" t="s">
        <v>6</v>
      </c>
      <c r="C4" s="59"/>
      <c r="D4" s="17"/>
      <c r="E4" s="18"/>
      <c r="F4" s="18"/>
      <c r="G4" s="19"/>
      <c r="H4" s="19"/>
      <c r="I4" s="18"/>
      <c r="J4" s="18"/>
      <c r="K4" s="18"/>
      <c r="L4" s="18"/>
      <c r="M4" s="18"/>
      <c r="N4" s="18"/>
      <c r="O4" s="18"/>
      <c r="P4" s="18"/>
      <c r="Q4" s="18"/>
      <c r="R4" s="20"/>
      <c r="S4" s="18"/>
      <c r="T4" s="18"/>
      <c r="U4" s="18"/>
      <c r="V4" s="18">
        <v>25</v>
      </c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21">
        <f t="shared" ref="AI4:AI32" si="1">SUM(D4:AH4)</f>
        <v>25</v>
      </c>
      <c r="AJ4" s="56"/>
    </row>
    <row r="5" spans="1:36" s="16" customFormat="1" ht="15" customHeight="1">
      <c r="A5" s="51"/>
      <c r="B5" s="58" t="s">
        <v>7</v>
      </c>
      <c r="C5" s="59"/>
      <c r="D5" s="17"/>
      <c r="E5" s="18">
        <v>50</v>
      </c>
      <c r="F5" s="18"/>
      <c r="G5" s="19"/>
      <c r="H5" s="19"/>
      <c r="I5" s="18"/>
      <c r="J5" s="18"/>
      <c r="K5" s="18"/>
      <c r="L5" s="18"/>
      <c r="M5" s="18"/>
      <c r="N5" s="18"/>
      <c r="O5" s="18"/>
      <c r="P5" s="18"/>
      <c r="Q5" s="18"/>
      <c r="R5" s="20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21">
        <f t="shared" si="1"/>
        <v>50</v>
      </c>
      <c r="AJ5" s="56"/>
    </row>
    <row r="6" spans="1:36" s="16" customFormat="1" ht="15" customHeight="1">
      <c r="A6" s="51"/>
      <c r="B6" s="58" t="s">
        <v>8</v>
      </c>
      <c r="C6" s="59"/>
      <c r="D6" s="17"/>
      <c r="E6" s="18"/>
      <c r="F6" s="18"/>
      <c r="G6" s="19"/>
      <c r="H6" s="19"/>
      <c r="I6" s="18"/>
      <c r="J6" s="18"/>
      <c r="K6" s="18"/>
      <c r="L6" s="18"/>
      <c r="M6" s="18"/>
      <c r="N6" s="18"/>
      <c r="O6" s="18"/>
      <c r="P6" s="18"/>
      <c r="Q6" s="18"/>
      <c r="R6" s="20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>
        <v>50</v>
      </c>
      <c r="AH6" s="18"/>
      <c r="AI6" s="21">
        <f t="shared" si="1"/>
        <v>50</v>
      </c>
      <c r="AJ6" s="56"/>
    </row>
    <row r="7" spans="1:36" s="16" customFormat="1" ht="15" customHeight="1">
      <c r="A7" s="51"/>
      <c r="B7" s="58" t="s">
        <v>9</v>
      </c>
      <c r="C7" s="59"/>
      <c r="D7" s="17"/>
      <c r="E7" s="18"/>
      <c r="F7" s="18"/>
      <c r="G7" s="19"/>
      <c r="H7" s="19"/>
      <c r="I7" s="18"/>
      <c r="J7" s="18"/>
      <c r="K7" s="18"/>
      <c r="L7" s="18"/>
      <c r="M7" s="18"/>
      <c r="N7" s="18"/>
      <c r="O7" s="18"/>
      <c r="P7" s="18"/>
      <c r="Q7" s="18"/>
      <c r="R7" s="2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21">
        <f t="shared" si="1"/>
        <v>0</v>
      </c>
      <c r="AJ7" s="56"/>
    </row>
    <row r="8" spans="1:36" s="16" customFormat="1" ht="15" customHeight="1" thickBot="1">
      <c r="A8" s="52"/>
      <c r="B8" s="60" t="s">
        <v>10</v>
      </c>
      <c r="C8" s="61"/>
      <c r="D8" s="22">
        <f t="shared" ref="D8:AH8" si="2">SUM(D3:D7)</f>
        <v>0</v>
      </c>
      <c r="E8" s="22">
        <f t="shared" si="2"/>
        <v>50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 t="shared" si="2"/>
        <v>0</v>
      </c>
      <c r="K8" s="22">
        <f t="shared" si="2"/>
        <v>0</v>
      </c>
      <c r="L8" s="22">
        <f t="shared" si="2"/>
        <v>0</v>
      </c>
      <c r="M8" s="22">
        <f t="shared" si="2"/>
        <v>0</v>
      </c>
      <c r="N8" s="22">
        <f t="shared" si="2"/>
        <v>0</v>
      </c>
      <c r="O8" s="22">
        <f t="shared" si="2"/>
        <v>0</v>
      </c>
      <c r="P8" s="22">
        <f t="shared" si="2"/>
        <v>0</v>
      </c>
      <c r="Q8" s="22">
        <f t="shared" si="2"/>
        <v>0</v>
      </c>
      <c r="R8" s="23">
        <f t="shared" si="2"/>
        <v>0</v>
      </c>
      <c r="S8" s="22">
        <f t="shared" si="2"/>
        <v>0</v>
      </c>
      <c r="T8" s="22">
        <f t="shared" si="2"/>
        <v>0</v>
      </c>
      <c r="U8" s="22">
        <f t="shared" si="2"/>
        <v>0</v>
      </c>
      <c r="V8" s="22">
        <f t="shared" si="2"/>
        <v>25</v>
      </c>
      <c r="W8" s="22">
        <f t="shared" si="2"/>
        <v>0</v>
      </c>
      <c r="X8" s="22">
        <f t="shared" si="2"/>
        <v>0</v>
      </c>
      <c r="Y8" s="22">
        <f t="shared" si="2"/>
        <v>0</v>
      </c>
      <c r="Z8" s="22">
        <f t="shared" si="2"/>
        <v>0</v>
      </c>
      <c r="AA8" s="22">
        <f t="shared" si="2"/>
        <v>0</v>
      </c>
      <c r="AB8" s="22">
        <f t="shared" si="2"/>
        <v>0</v>
      </c>
      <c r="AC8" s="22">
        <f t="shared" si="2"/>
        <v>0</v>
      </c>
      <c r="AD8" s="22">
        <f t="shared" si="2"/>
        <v>0</v>
      </c>
      <c r="AE8" s="22">
        <f t="shared" si="2"/>
        <v>0</v>
      </c>
      <c r="AF8" s="22">
        <f t="shared" si="2"/>
        <v>0</v>
      </c>
      <c r="AG8" s="22">
        <f t="shared" si="2"/>
        <v>50</v>
      </c>
      <c r="AH8" s="22">
        <f t="shared" si="2"/>
        <v>0</v>
      </c>
      <c r="AI8" s="24">
        <f>SUM(D8:AH8)</f>
        <v>125</v>
      </c>
      <c r="AJ8" s="57"/>
    </row>
    <row r="9" spans="1:36" s="16" customFormat="1" ht="15" customHeight="1">
      <c r="A9" s="50" t="s">
        <v>11</v>
      </c>
      <c r="B9" s="53" t="s">
        <v>5</v>
      </c>
      <c r="C9" s="54"/>
      <c r="D9" s="25"/>
      <c r="E9" s="26"/>
      <c r="F9" s="26"/>
      <c r="G9" s="27"/>
      <c r="H9" s="27"/>
      <c r="I9" s="26"/>
      <c r="J9" s="26"/>
      <c r="K9" s="26"/>
      <c r="L9" s="26"/>
      <c r="M9" s="26"/>
      <c r="N9" s="26"/>
      <c r="O9" s="26"/>
      <c r="P9" s="26"/>
      <c r="Q9" s="26"/>
      <c r="R9" s="2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9">
        <f t="shared" si="1"/>
        <v>0</v>
      </c>
      <c r="AJ9" s="55">
        <v>250</v>
      </c>
    </row>
    <row r="10" spans="1:36" s="16" customFormat="1" ht="15" customHeight="1">
      <c r="A10" s="51"/>
      <c r="B10" s="58" t="s">
        <v>6</v>
      </c>
      <c r="C10" s="59"/>
      <c r="D10" s="17"/>
      <c r="E10" s="18"/>
      <c r="F10" s="18"/>
      <c r="G10" s="19"/>
      <c r="H10" s="19"/>
      <c r="I10" s="18">
        <v>1</v>
      </c>
      <c r="J10" s="18"/>
      <c r="K10" s="18"/>
      <c r="L10" s="18"/>
      <c r="M10" s="18"/>
      <c r="N10" s="18"/>
      <c r="O10" s="18"/>
      <c r="P10" s="18"/>
      <c r="Q10" s="18"/>
      <c r="R10" s="20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>
        <v>24</v>
      </c>
      <c r="AG10" s="18"/>
      <c r="AH10" s="18"/>
      <c r="AI10" s="21">
        <f t="shared" si="1"/>
        <v>25</v>
      </c>
      <c r="AJ10" s="62"/>
    </row>
    <row r="11" spans="1:36" s="16" customFormat="1" ht="15" customHeight="1">
      <c r="A11" s="51"/>
      <c r="B11" s="58" t="s">
        <v>12</v>
      </c>
      <c r="C11" s="59"/>
      <c r="D11" s="17"/>
      <c r="E11" s="18"/>
      <c r="F11" s="18"/>
      <c r="G11" s="19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20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v>21</v>
      </c>
      <c r="AD11" s="18"/>
      <c r="AE11" s="18"/>
      <c r="AF11" s="18"/>
      <c r="AG11" s="18"/>
      <c r="AH11" s="18"/>
      <c r="AI11" s="21">
        <f t="shared" si="1"/>
        <v>21</v>
      </c>
      <c r="AJ11" s="62"/>
    </row>
    <row r="12" spans="1:36" s="16" customFormat="1" ht="15" customHeight="1">
      <c r="A12" s="51"/>
      <c r="B12" s="58" t="s">
        <v>8</v>
      </c>
      <c r="C12" s="59"/>
      <c r="D12" s="17"/>
      <c r="E12" s="18"/>
      <c r="F12" s="18"/>
      <c r="G12" s="19"/>
      <c r="H12" s="19"/>
      <c r="I12" s="18"/>
      <c r="J12" s="18"/>
      <c r="K12" s="18"/>
      <c r="L12" s="18">
        <v>24</v>
      </c>
      <c r="M12" s="18"/>
      <c r="N12" s="18"/>
      <c r="O12" s="18"/>
      <c r="P12" s="18"/>
      <c r="Q12" s="18"/>
      <c r="R12" s="20">
        <v>29</v>
      </c>
      <c r="S12" s="18"/>
      <c r="T12" s="18"/>
      <c r="U12" s="18"/>
      <c r="V12" s="18"/>
      <c r="W12" s="18">
        <v>25</v>
      </c>
      <c r="X12" s="18">
        <v>25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1">
        <f t="shared" si="1"/>
        <v>103</v>
      </c>
      <c r="AJ12" s="62"/>
    </row>
    <row r="13" spans="1:36" s="16" customFormat="1" ht="15" customHeight="1">
      <c r="A13" s="51"/>
      <c r="B13" s="58" t="s">
        <v>9</v>
      </c>
      <c r="C13" s="59"/>
      <c r="D13" s="17"/>
      <c r="E13" s="18"/>
      <c r="F13" s="18"/>
      <c r="G13" s="19"/>
      <c r="H13" s="19"/>
      <c r="I13" s="18">
        <v>6</v>
      </c>
      <c r="J13" s="18"/>
      <c r="K13" s="18"/>
      <c r="L13" s="18"/>
      <c r="M13" s="18"/>
      <c r="N13" s="18"/>
      <c r="O13" s="18"/>
      <c r="P13" s="18"/>
      <c r="Q13" s="18"/>
      <c r="R13" s="20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9">
        <f t="shared" si="1"/>
        <v>6</v>
      </c>
      <c r="AJ13" s="62"/>
    </row>
    <row r="14" spans="1:36" s="16" customFormat="1" ht="15" customHeight="1" thickBot="1">
      <c r="A14" s="52"/>
      <c r="B14" s="60" t="s">
        <v>10</v>
      </c>
      <c r="C14" s="61"/>
      <c r="D14" s="22">
        <f t="shared" ref="D14:AH14" si="3">SUM(D9:D13)</f>
        <v>0</v>
      </c>
      <c r="E14" s="22">
        <f t="shared" si="3"/>
        <v>0</v>
      </c>
      <c r="F14" s="22">
        <f t="shared" si="3"/>
        <v>0</v>
      </c>
      <c r="G14" s="22">
        <f t="shared" si="3"/>
        <v>0</v>
      </c>
      <c r="H14" s="22">
        <f t="shared" si="3"/>
        <v>0</v>
      </c>
      <c r="I14" s="22">
        <f t="shared" si="3"/>
        <v>7</v>
      </c>
      <c r="J14" s="22">
        <f t="shared" si="3"/>
        <v>0</v>
      </c>
      <c r="K14" s="22">
        <f t="shared" si="3"/>
        <v>0</v>
      </c>
      <c r="L14" s="22">
        <f t="shared" si="3"/>
        <v>24</v>
      </c>
      <c r="M14" s="22">
        <f t="shared" si="3"/>
        <v>0</v>
      </c>
      <c r="N14" s="22">
        <f t="shared" si="3"/>
        <v>0</v>
      </c>
      <c r="O14" s="22">
        <f t="shared" si="3"/>
        <v>0</v>
      </c>
      <c r="P14" s="22">
        <f t="shared" si="3"/>
        <v>0</v>
      </c>
      <c r="Q14" s="22">
        <f>SUM(Q9:Q13)</f>
        <v>0</v>
      </c>
      <c r="R14" s="23">
        <f t="shared" si="3"/>
        <v>29</v>
      </c>
      <c r="S14" s="22">
        <f t="shared" si="3"/>
        <v>0</v>
      </c>
      <c r="T14" s="22">
        <f t="shared" si="3"/>
        <v>0</v>
      </c>
      <c r="U14" s="22">
        <f t="shared" si="3"/>
        <v>0</v>
      </c>
      <c r="V14" s="22">
        <f t="shared" si="3"/>
        <v>0</v>
      </c>
      <c r="W14" s="22">
        <f t="shared" si="3"/>
        <v>25</v>
      </c>
      <c r="X14" s="22">
        <f t="shared" si="3"/>
        <v>25</v>
      </c>
      <c r="Y14" s="22">
        <f t="shared" si="3"/>
        <v>0</v>
      </c>
      <c r="Z14" s="22">
        <f t="shared" si="3"/>
        <v>0</v>
      </c>
      <c r="AA14" s="22">
        <f t="shared" si="3"/>
        <v>0</v>
      </c>
      <c r="AB14" s="22">
        <f t="shared" si="3"/>
        <v>0</v>
      </c>
      <c r="AC14" s="22">
        <f t="shared" si="3"/>
        <v>21</v>
      </c>
      <c r="AD14" s="22">
        <f t="shared" si="3"/>
        <v>0</v>
      </c>
      <c r="AE14" s="22">
        <f t="shared" si="3"/>
        <v>0</v>
      </c>
      <c r="AF14" s="22">
        <f t="shared" si="3"/>
        <v>24</v>
      </c>
      <c r="AG14" s="22">
        <f t="shared" si="3"/>
        <v>0</v>
      </c>
      <c r="AH14" s="22">
        <f t="shared" si="3"/>
        <v>0</v>
      </c>
      <c r="AI14" s="30">
        <f t="shared" si="1"/>
        <v>155</v>
      </c>
      <c r="AJ14" s="63"/>
    </row>
    <row r="15" spans="1:36" s="16" customFormat="1" ht="15" customHeight="1">
      <c r="A15" s="50" t="s">
        <v>13</v>
      </c>
      <c r="B15" s="53" t="s">
        <v>5</v>
      </c>
      <c r="C15" s="54"/>
      <c r="D15" s="31"/>
      <c r="E15" s="32"/>
      <c r="F15" s="32"/>
      <c r="G15" s="33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12"/>
      <c r="AH15" s="12"/>
      <c r="AI15" s="15">
        <f t="shared" si="1"/>
        <v>0</v>
      </c>
      <c r="AJ15" s="55">
        <v>250</v>
      </c>
    </row>
    <row r="16" spans="1:36" s="16" customFormat="1" ht="15" customHeight="1">
      <c r="A16" s="51"/>
      <c r="B16" s="58" t="s">
        <v>6</v>
      </c>
      <c r="C16" s="59"/>
      <c r="D16" s="17"/>
      <c r="E16" s="18"/>
      <c r="F16" s="18"/>
      <c r="G16" s="19"/>
      <c r="H16" s="19"/>
      <c r="I16" s="18"/>
      <c r="J16" s="18">
        <v>1</v>
      </c>
      <c r="K16" s="18"/>
      <c r="L16" s="18"/>
      <c r="M16" s="18"/>
      <c r="N16" s="18"/>
      <c r="O16" s="18"/>
      <c r="P16" s="18"/>
      <c r="Q16" s="18"/>
      <c r="R16" s="20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1">
        <f t="shared" si="1"/>
        <v>1</v>
      </c>
      <c r="AJ16" s="56"/>
    </row>
    <row r="17" spans="1:36" s="16" customFormat="1" ht="15" customHeight="1">
      <c r="A17" s="51"/>
      <c r="B17" s="58" t="s">
        <v>12</v>
      </c>
      <c r="C17" s="59"/>
      <c r="D17" s="17"/>
      <c r="E17" s="18"/>
      <c r="F17" s="18"/>
      <c r="G17" s="19"/>
      <c r="H17" s="19"/>
      <c r="I17" s="18"/>
      <c r="J17" s="36">
        <v>20</v>
      </c>
      <c r="K17" s="18"/>
      <c r="L17" s="18"/>
      <c r="M17" s="18"/>
      <c r="N17" s="18"/>
      <c r="O17" s="18"/>
      <c r="P17" s="18"/>
      <c r="Q17" s="18"/>
      <c r="R17" s="20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1">
        <f t="shared" si="1"/>
        <v>20</v>
      </c>
      <c r="AJ17" s="56"/>
    </row>
    <row r="18" spans="1:36" s="16" customFormat="1" ht="15" customHeight="1">
      <c r="A18" s="51"/>
      <c r="B18" s="58" t="s">
        <v>8</v>
      </c>
      <c r="C18" s="59"/>
      <c r="D18" s="37"/>
      <c r="E18" s="38"/>
      <c r="F18" s="38"/>
      <c r="G18" s="39"/>
      <c r="H18" s="19"/>
      <c r="I18" s="40"/>
      <c r="J18" s="40"/>
      <c r="K18" s="40"/>
      <c r="L18" s="40"/>
      <c r="M18" s="40"/>
      <c r="N18" s="40"/>
      <c r="O18" s="40">
        <v>25</v>
      </c>
      <c r="P18" s="40"/>
      <c r="Q18" s="40"/>
      <c r="R18" s="41"/>
      <c r="S18" s="40">
        <v>23</v>
      </c>
      <c r="T18" s="40"/>
      <c r="U18" s="40"/>
      <c r="V18" s="40"/>
      <c r="W18" s="40"/>
      <c r="X18" s="40">
        <v>29</v>
      </c>
      <c r="Y18" s="40"/>
      <c r="Z18" s="40"/>
      <c r="AA18" s="40"/>
      <c r="AB18" s="40"/>
      <c r="AC18" s="40"/>
      <c r="AD18" s="40">
        <v>25</v>
      </c>
      <c r="AE18" s="40"/>
      <c r="AF18" s="40"/>
      <c r="AG18" s="40"/>
      <c r="AH18" s="18"/>
      <c r="AI18" s="21">
        <f t="shared" si="1"/>
        <v>102</v>
      </c>
      <c r="AJ18" s="56"/>
    </row>
    <row r="19" spans="1:36" s="16" customFormat="1" ht="15" customHeight="1">
      <c r="A19" s="51"/>
      <c r="B19" s="58" t="s">
        <v>9</v>
      </c>
      <c r="C19" s="59"/>
      <c r="D19" s="37"/>
      <c r="E19" s="38"/>
      <c r="F19" s="38"/>
      <c r="G19" s="39"/>
      <c r="H19" s="19"/>
      <c r="I19" s="40"/>
      <c r="J19" s="40"/>
      <c r="K19" s="40">
        <v>7</v>
      </c>
      <c r="L19" s="40"/>
      <c r="M19" s="40"/>
      <c r="N19" s="40"/>
      <c r="O19" s="40"/>
      <c r="P19" s="40"/>
      <c r="Q19" s="40"/>
      <c r="R19" s="41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>
        <v>15</v>
      </c>
      <c r="AF19" s="40"/>
      <c r="AG19" s="40"/>
      <c r="AH19" s="18"/>
      <c r="AI19" s="21">
        <f t="shared" si="1"/>
        <v>22</v>
      </c>
      <c r="AJ19" s="56"/>
    </row>
    <row r="20" spans="1:36" s="16" customFormat="1" ht="15" customHeight="1" thickBot="1">
      <c r="A20" s="52"/>
      <c r="B20" s="60" t="s">
        <v>14</v>
      </c>
      <c r="C20" s="61"/>
      <c r="D20" s="22">
        <f t="shared" ref="D20:AH20" si="4">SUM(D15:D19)</f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21</v>
      </c>
      <c r="K20" s="22">
        <f t="shared" si="4"/>
        <v>7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25</v>
      </c>
      <c r="P20" s="22">
        <f t="shared" si="4"/>
        <v>0</v>
      </c>
      <c r="Q20" s="22">
        <f t="shared" si="4"/>
        <v>0</v>
      </c>
      <c r="R20" s="23">
        <f t="shared" si="4"/>
        <v>0</v>
      </c>
      <c r="S20" s="22">
        <f t="shared" si="4"/>
        <v>23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29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25</v>
      </c>
      <c r="AE20" s="22">
        <f t="shared" si="4"/>
        <v>15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4">
        <f t="shared" si="1"/>
        <v>145</v>
      </c>
      <c r="AJ20" s="57"/>
    </row>
    <row r="21" spans="1:36" s="16" customFormat="1" ht="15" customHeight="1">
      <c r="A21" s="50" t="s">
        <v>15</v>
      </c>
      <c r="B21" s="53" t="s">
        <v>5</v>
      </c>
      <c r="C21" s="54"/>
      <c r="D21" s="31"/>
      <c r="E21" s="32"/>
      <c r="F21" s="32"/>
      <c r="G21" s="33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12"/>
      <c r="AH21" s="12"/>
      <c r="AI21" s="15">
        <f t="shared" si="1"/>
        <v>0</v>
      </c>
      <c r="AJ21" s="55">
        <v>250</v>
      </c>
    </row>
    <row r="22" spans="1:36" s="16" customFormat="1" ht="15" customHeight="1">
      <c r="A22" s="51"/>
      <c r="B22" s="58" t="s">
        <v>6</v>
      </c>
      <c r="C22" s="59"/>
      <c r="D22" s="17"/>
      <c r="E22" s="18"/>
      <c r="F22" s="18"/>
      <c r="G22" s="19"/>
      <c r="H22" s="19"/>
      <c r="I22" s="18"/>
      <c r="J22" s="18">
        <v>1</v>
      </c>
      <c r="K22" s="18"/>
      <c r="L22" s="18"/>
      <c r="M22" s="18"/>
      <c r="N22" s="18"/>
      <c r="O22" s="18"/>
      <c r="P22" s="18"/>
      <c r="Q22" s="18"/>
      <c r="R22" s="20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1">
        <f t="shared" si="1"/>
        <v>1</v>
      </c>
      <c r="AJ22" s="56"/>
    </row>
    <row r="23" spans="1:36" s="16" customFormat="1" ht="15" customHeight="1">
      <c r="A23" s="51"/>
      <c r="B23" s="58" t="s">
        <v>12</v>
      </c>
      <c r="C23" s="59"/>
      <c r="D23" s="17"/>
      <c r="E23" s="18"/>
      <c r="F23" s="18"/>
      <c r="G23" s="19"/>
      <c r="H23" s="19"/>
      <c r="I23" s="18"/>
      <c r="J23" s="36">
        <v>20</v>
      </c>
      <c r="K23" s="18"/>
      <c r="L23" s="18"/>
      <c r="M23" s="18"/>
      <c r="N23" s="18"/>
      <c r="O23" s="18"/>
      <c r="P23" s="18"/>
      <c r="Q23" s="18"/>
      <c r="R23" s="20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1">
        <f t="shared" si="1"/>
        <v>20</v>
      </c>
      <c r="AJ23" s="56"/>
    </row>
    <row r="24" spans="1:36" s="16" customFormat="1" ht="15" customHeight="1">
      <c r="A24" s="51"/>
      <c r="B24" s="58" t="s">
        <v>8</v>
      </c>
      <c r="C24" s="59"/>
      <c r="D24" s="37"/>
      <c r="E24" s="38"/>
      <c r="F24" s="38"/>
      <c r="G24" s="39"/>
      <c r="H24" s="19"/>
      <c r="I24" s="40"/>
      <c r="J24" s="40"/>
      <c r="K24" s="40"/>
      <c r="L24" s="40"/>
      <c r="M24" s="40"/>
      <c r="N24" s="40"/>
      <c r="O24" s="40">
        <v>25</v>
      </c>
      <c r="P24" s="40"/>
      <c r="Q24" s="40"/>
      <c r="R24" s="41"/>
      <c r="S24" s="40">
        <v>23</v>
      </c>
      <c r="T24" s="40"/>
      <c r="U24" s="40"/>
      <c r="V24" s="40"/>
      <c r="W24" s="40"/>
      <c r="X24" s="40">
        <v>29</v>
      </c>
      <c r="Y24" s="40"/>
      <c r="Z24" s="40"/>
      <c r="AA24" s="40"/>
      <c r="AB24" s="40"/>
      <c r="AC24" s="40"/>
      <c r="AD24" s="40">
        <v>25</v>
      </c>
      <c r="AE24" s="40"/>
      <c r="AF24" s="40"/>
      <c r="AG24" s="40"/>
      <c r="AH24" s="18"/>
      <c r="AI24" s="21">
        <f t="shared" si="1"/>
        <v>102</v>
      </c>
      <c r="AJ24" s="56"/>
    </row>
    <row r="25" spans="1:36" s="16" customFormat="1" ht="15" customHeight="1">
      <c r="A25" s="51"/>
      <c r="B25" s="58" t="s">
        <v>9</v>
      </c>
      <c r="C25" s="59"/>
      <c r="D25" s="37"/>
      <c r="E25" s="38"/>
      <c r="F25" s="38"/>
      <c r="G25" s="39"/>
      <c r="H25" s="19"/>
      <c r="I25" s="40"/>
      <c r="J25" s="40"/>
      <c r="K25" s="40">
        <v>7</v>
      </c>
      <c r="L25" s="40"/>
      <c r="M25" s="40"/>
      <c r="N25" s="40"/>
      <c r="O25" s="40"/>
      <c r="P25" s="40"/>
      <c r="Q25" s="40"/>
      <c r="R25" s="41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>
        <v>15</v>
      </c>
      <c r="AF25" s="40"/>
      <c r="AG25" s="40"/>
      <c r="AH25" s="18"/>
      <c r="AI25" s="21">
        <f t="shared" si="1"/>
        <v>22</v>
      </c>
      <c r="AJ25" s="56"/>
    </row>
    <row r="26" spans="1:36" s="16" customFormat="1" ht="15" customHeight="1" thickBot="1">
      <c r="A26" s="52"/>
      <c r="B26" s="60" t="s">
        <v>14</v>
      </c>
      <c r="C26" s="61"/>
      <c r="D26" s="22">
        <f t="shared" ref="D26:AH26" si="5">SUM(D21:D25)</f>
        <v>0</v>
      </c>
      <c r="E26" s="22">
        <f t="shared" si="5"/>
        <v>0</v>
      </c>
      <c r="F26" s="22">
        <f t="shared" si="5"/>
        <v>0</v>
      </c>
      <c r="G26" s="22">
        <f t="shared" si="5"/>
        <v>0</v>
      </c>
      <c r="H26" s="22">
        <f t="shared" si="5"/>
        <v>0</v>
      </c>
      <c r="I26" s="22">
        <f t="shared" si="5"/>
        <v>0</v>
      </c>
      <c r="J26" s="22">
        <f t="shared" si="5"/>
        <v>21</v>
      </c>
      <c r="K26" s="22">
        <f t="shared" si="5"/>
        <v>7</v>
      </c>
      <c r="L26" s="22">
        <f t="shared" si="5"/>
        <v>0</v>
      </c>
      <c r="M26" s="22">
        <f t="shared" si="5"/>
        <v>0</v>
      </c>
      <c r="N26" s="22">
        <f t="shared" si="5"/>
        <v>0</v>
      </c>
      <c r="O26" s="22">
        <f t="shared" si="5"/>
        <v>25</v>
      </c>
      <c r="P26" s="22">
        <f t="shared" si="5"/>
        <v>0</v>
      </c>
      <c r="Q26" s="22">
        <f t="shared" si="5"/>
        <v>0</v>
      </c>
      <c r="R26" s="23">
        <f t="shared" si="5"/>
        <v>0</v>
      </c>
      <c r="S26" s="22">
        <f t="shared" si="5"/>
        <v>23</v>
      </c>
      <c r="T26" s="22">
        <f t="shared" si="5"/>
        <v>0</v>
      </c>
      <c r="U26" s="22">
        <f t="shared" si="5"/>
        <v>0</v>
      </c>
      <c r="V26" s="22">
        <f t="shared" si="5"/>
        <v>0</v>
      </c>
      <c r="W26" s="22">
        <f t="shared" si="5"/>
        <v>0</v>
      </c>
      <c r="X26" s="22">
        <f t="shared" si="5"/>
        <v>29</v>
      </c>
      <c r="Y26" s="22">
        <f t="shared" si="5"/>
        <v>0</v>
      </c>
      <c r="Z26" s="22">
        <f t="shared" si="5"/>
        <v>0</v>
      </c>
      <c r="AA26" s="22">
        <f t="shared" si="5"/>
        <v>0</v>
      </c>
      <c r="AB26" s="22">
        <f t="shared" si="5"/>
        <v>0</v>
      </c>
      <c r="AC26" s="22">
        <f t="shared" si="5"/>
        <v>0</v>
      </c>
      <c r="AD26" s="22">
        <f t="shared" si="5"/>
        <v>25</v>
      </c>
      <c r="AE26" s="22">
        <f t="shared" si="5"/>
        <v>15</v>
      </c>
      <c r="AF26" s="22">
        <f t="shared" si="5"/>
        <v>0</v>
      </c>
      <c r="AG26" s="22">
        <f t="shared" si="5"/>
        <v>0</v>
      </c>
      <c r="AH26" s="22">
        <f t="shared" si="5"/>
        <v>0</v>
      </c>
      <c r="AI26" s="24">
        <f t="shared" si="1"/>
        <v>145</v>
      </c>
      <c r="AJ26" s="57"/>
    </row>
    <row r="27" spans="1:36" s="16" customFormat="1" ht="15" customHeight="1">
      <c r="A27" s="50" t="s">
        <v>16</v>
      </c>
      <c r="B27" s="53" t="s">
        <v>5</v>
      </c>
      <c r="C27" s="54"/>
      <c r="D27" s="31"/>
      <c r="E27" s="32"/>
      <c r="F27" s="32"/>
      <c r="G27" s="33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12"/>
      <c r="AH27" s="12"/>
      <c r="AI27" s="15">
        <f t="shared" si="1"/>
        <v>0</v>
      </c>
      <c r="AJ27" s="55">
        <v>250</v>
      </c>
    </row>
    <row r="28" spans="1:36" s="16" customFormat="1" ht="15" customHeight="1">
      <c r="A28" s="51"/>
      <c r="B28" s="58" t="s">
        <v>6</v>
      </c>
      <c r="C28" s="59"/>
      <c r="D28" s="17"/>
      <c r="E28" s="18"/>
      <c r="F28" s="18"/>
      <c r="G28" s="19"/>
      <c r="H28" s="19"/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1">
        <f t="shared" si="1"/>
        <v>1</v>
      </c>
      <c r="AJ28" s="56"/>
    </row>
    <row r="29" spans="1:36" s="16" customFormat="1" ht="15" customHeight="1">
      <c r="A29" s="51"/>
      <c r="B29" s="58" t="s">
        <v>12</v>
      </c>
      <c r="C29" s="59"/>
      <c r="D29" s="17"/>
      <c r="E29" s="18"/>
      <c r="F29" s="18"/>
      <c r="G29" s="19"/>
      <c r="H29" s="19"/>
      <c r="I29" s="18"/>
      <c r="J29" s="36">
        <v>20</v>
      </c>
      <c r="K29" s="18"/>
      <c r="L29" s="18"/>
      <c r="M29" s="18"/>
      <c r="N29" s="18"/>
      <c r="O29" s="18"/>
      <c r="P29" s="18"/>
      <c r="Q29" s="18"/>
      <c r="R29" s="20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1">
        <f t="shared" si="1"/>
        <v>20</v>
      </c>
      <c r="AJ29" s="56"/>
    </row>
    <row r="30" spans="1:36" s="16" customFormat="1" ht="15" customHeight="1">
      <c r="A30" s="51"/>
      <c r="B30" s="58" t="s">
        <v>8</v>
      </c>
      <c r="C30" s="59"/>
      <c r="D30" s="37"/>
      <c r="E30" s="38"/>
      <c r="F30" s="38"/>
      <c r="G30" s="39"/>
      <c r="H30" s="19"/>
      <c r="I30" s="40"/>
      <c r="J30" s="40"/>
      <c r="K30" s="40"/>
      <c r="L30" s="40"/>
      <c r="M30" s="40"/>
      <c r="N30" s="40"/>
      <c r="O30" s="40">
        <v>25</v>
      </c>
      <c r="P30" s="40"/>
      <c r="Q30" s="40"/>
      <c r="R30" s="41"/>
      <c r="S30" s="40">
        <v>23</v>
      </c>
      <c r="T30" s="40"/>
      <c r="U30" s="40"/>
      <c r="V30" s="40"/>
      <c r="W30" s="40"/>
      <c r="X30" s="40">
        <v>29</v>
      </c>
      <c r="Y30" s="40"/>
      <c r="Z30" s="40"/>
      <c r="AA30" s="40"/>
      <c r="AB30" s="40"/>
      <c r="AC30" s="40"/>
      <c r="AD30" s="40">
        <v>25</v>
      </c>
      <c r="AE30" s="40"/>
      <c r="AF30" s="40"/>
      <c r="AG30" s="40"/>
      <c r="AH30" s="18"/>
      <c r="AI30" s="21">
        <f t="shared" si="1"/>
        <v>102</v>
      </c>
      <c r="AJ30" s="56"/>
    </row>
    <row r="31" spans="1:36" s="16" customFormat="1" ht="15" customHeight="1">
      <c r="A31" s="51"/>
      <c r="B31" s="58" t="s">
        <v>9</v>
      </c>
      <c r="C31" s="59"/>
      <c r="D31" s="37"/>
      <c r="E31" s="38"/>
      <c r="F31" s="38"/>
      <c r="G31" s="39"/>
      <c r="H31" s="19"/>
      <c r="I31" s="40"/>
      <c r="J31" s="40"/>
      <c r="K31" s="40">
        <v>7</v>
      </c>
      <c r="L31" s="40"/>
      <c r="M31" s="40"/>
      <c r="N31" s="40"/>
      <c r="O31" s="40"/>
      <c r="P31" s="40"/>
      <c r="Q31" s="40"/>
      <c r="R31" s="41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>
        <v>15</v>
      </c>
      <c r="AF31" s="40"/>
      <c r="AG31" s="40"/>
      <c r="AH31" s="18"/>
      <c r="AI31" s="21">
        <f t="shared" si="1"/>
        <v>22</v>
      </c>
      <c r="AJ31" s="56"/>
    </row>
    <row r="32" spans="1:36" s="16" customFormat="1" ht="15" customHeight="1" thickBot="1">
      <c r="A32" s="52"/>
      <c r="B32" s="60" t="s">
        <v>14</v>
      </c>
      <c r="C32" s="61"/>
      <c r="D32" s="22">
        <f t="shared" ref="D32:AH32" si="6">SUM(D27:D31)</f>
        <v>0</v>
      </c>
      <c r="E32" s="22">
        <f t="shared" si="6"/>
        <v>0</v>
      </c>
      <c r="F32" s="22">
        <f t="shared" si="6"/>
        <v>0</v>
      </c>
      <c r="G32" s="22">
        <f t="shared" si="6"/>
        <v>0</v>
      </c>
      <c r="H32" s="22">
        <f t="shared" si="6"/>
        <v>0</v>
      </c>
      <c r="I32" s="22">
        <f t="shared" si="6"/>
        <v>0</v>
      </c>
      <c r="J32" s="22">
        <f t="shared" si="6"/>
        <v>21</v>
      </c>
      <c r="K32" s="22">
        <f t="shared" si="6"/>
        <v>7</v>
      </c>
      <c r="L32" s="22">
        <f t="shared" si="6"/>
        <v>0</v>
      </c>
      <c r="M32" s="22">
        <f t="shared" si="6"/>
        <v>0</v>
      </c>
      <c r="N32" s="22">
        <f t="shared" si="6"/>
        <v>0</v>
      </c>
      <c r="O32" s="22">
        <f t="shared" si="6"/>
        <v>25</v>
      </c>
      <c r="P32" s="22">
        <f t="shared" si="6"/>
        <v>0</v>
      </c>
      <c r="Q32" s="22">
        <f t="shared" si="6"/>
        <v>0</v>
      </c>
      <c r="R32" s="23">
        <f t="shared" si="6"/>
        <v>0</v>
      </c>
      <c r="S32" s="22">
        <f t="shared" si="6"/>
        <v>23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22">
        <f t="shared" si="6"/>
        <v>0</v>
      </c>
      <c r="X32" s="22">
        <f t="shared" si="6"/>
        <v>29</v>
      </c>
      <c r="Y32" s="22">
        <f t="shared" si="6"/>
        <v>0</v>
      </c>
      <c r="Z32" s="22">
        <f t="shared" si="6"/>
        <v>0</v>
      </c>
      <c r="AA32" s="22">
        <f t="shared" si="6"/>
        <v>0</v>
      </c>
      <c r="AB32" s="22">
        <f t="shared" si="6"/>
        <v>0</v>
      </c>
      <c r="AC32" s="22">
        <f t="shared" si="6"/>
        <v>0</v>
      </c>
      <c r="AD32" s="22">
        <f t="shared" si="6"/>
        <v>25</v>
      </c>
      <c r="AE32" s="22">
        <f t="shared" si="6"/>
        <v>15</v>
      </c>
      <c r="AF32" s="22">
        <f t="shared" si="6"/>
        <v>0</v>
      </c>
      <c r="AG32" s="22">
        <f t="shared" si="6"/>
        <v>0</v>
      </c>
      <c r="AH32" s="22">
        <f t="shared" si="6"/>
        <v>0</v>
      </c>
      <c r="AI32" s="24">
        <f t="shared" si="1"/>
        <v>145</v>
      </c>
      <c r="AJ32" s="57"/>
    </row>
  </sheetData>
  <mergeCells count="42">
    <mergeCell ref="A27:A32"/>
    <mergeCell ref="B27:C27"/>
    <mergeCell ref="AJ27:AJ32"/>
    <mergeCell ref="B28:C28"/>
    <mergeCell ref="B29:C29"/>
    <mergeCell ref="B30:C30"/>
    <mergeCell ref="B31:C31"/>
    <mergeCell ref="B32:C32"/>
    <mergeCell ref="A21:A26"/>
    <mergeCell ref="B21:C21"/>
    <mergeCell ref="AJ21:AJ26"/>
    <mergeCell ref="B22:C22"/>
    <mergeCell ref="B23:C23"/>
    <mergeCell ref="B24:C24"/>
    <mergeCell ref="B25:C25"/>
    <mergeCell ref="B26:C26"/>
    <mergeCell ref="A15:A20"/>
    <mergeCell ref="B15:C15"/>
    <mergeCell ref="AJ15:AJ20"/>
    <mergeCell ref="B16:C16"/>
    <mergeCell ref="B17:C17"/>
    <mergeCell ref="B18:C18"/>
    <mergeCell ref="B19:C19"/>
    <mergeCell ref="B20:C20"/>
    <mergeCell ref="A9:A14"/>
    <mergeCell ref="B9:C9"/>
    <mergeCell ref="AJ9:AJ14"/>
    <mergeCell ref="B10:C10"/>
    <mergeCell ref="B11:C11"/>
    <mergeCell ref="B12:C12"/>
    <mergeCell ref="B13:C13"/>
    <mergeCell ref="B14:C14"/>
    <mergeCell ref="D1:O1"/>
    <mergeCell ref="B2:C2"/>
    <mergeCell ref="A3:A8"/>
    <mergeCell ref="B3:C3"/>
    <mergeCell ref="AJ3:AJ8"/>
    <mergeCell ref="B4:C4"/>
    <mergeCell ref="B5:C5"/>
    <mergeCell ref="B6:C6"/>
    <mergeCell ref="B7:C7"/>
    <mergeCell ref="B8:C8"/>
  </mergeCells>
  <phoneticPr fontId="2" type="noConversion"/>
  <conditionalFormatting sqref="D2:AH2">
    <cfRule type="expression" dxfId="49" priority="3" stopIfTrue="1">
      <formula>WEEKDAY(D2)=7</formula>
    </cfRule>
    <cfRule type="expression" dxfId="48" priority="4" stopIfTrue="1">
      <formula>WEEKDAY(D2)=1</formula>
    </cfRule>
  </conditionalFormatting>
  <conditionalFormatting sqref="D2:AH32">
    <cfRule type="expression" dxfId="47" priority="1">
      <formula>TEXT(D$2,"AAA")="일"</formula>
    </cfRule>
    <cfRule type="expression" dxfId="46" priority="2" stopIfTrue="1">
      <formula>TEXT(D$2,"AAA")="토"</formula>
    </cfRule>
    <cfRule type="expression" dxfId="45" priority="5">
      <formula>FALSE</formula>
    </cfRule>
  </conditionalFormatting>
  <pageMargins left="0.19685039370078741" right="0.39370078740157483" top="0.19685039370078741" bottom="0.11811023622047245" header="0.15748031496062992" footer="0.11811023622047245"/>
  <pageSetup paperSize="9" scale="70" fitToWidth="0" orientation="landscape" r:id="rId1"/>
  <headerFooter alignWithMargins="0">
    <oddFooter>&amp;LF705-02 (R01) &amp;C(주) 덱스코윈&amp;R&amp;P/&amp;N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0F8EC-6361-4D6E-A0D0-0DFDC0FBF4BB}">
  <dimension ref="A1:AJ32"/>
  <sheetViews>
    <sheetView showGridLines="0" zoomScale="85" zoomScaleNormal="85" workbookViewId="0">
      <pane xSplit="3" ySplit="2" topLeftCell="D3" activePane="bottomRight" state="frozen"/>
      <selection activeCell="AH19" sqref="AH19"/>
      <selection pane="topRight" activeCell="AH19" sqref="AH19"/>
      <selection pane="bottomLeft" activeCell="AH19" sqref="AH19"/>
      <selection pane="bottomRight" activeCell="AI12" sqref="AI12"/>
    </sheetView>
  </sheetViews>
  <sheetFormatPr defaultColWidth="8.77734375" defaultRowHeight="16.5"/>
  <cols>
    <col min="1" max="1" width="7.21875" style="43" customWidth="1"/>
    <col min="2" max="2" width="11.109375" style="43" customWidth="1"/>
    <col min="3" max="3" width="7.6640625" style="43" customWidth="1"/>
    <col min="4" max="6" width="4.33203125" style="42" customWidth="1"/>
    <col min="7" max="8" width="4.33203125" style="44" customWidth="1"/>
    <col min="9" max="17" width="4.33203125" style="42" customWidth="1"/>
    <col min="18" max="18" width="4.33203125" style="45" customWidth="1"/>
    <col min="19" max="34" width="4.33203125" style="42" customWidth="1"/>
    <col min="35" max="35" width="7.21875" style="46" customWidth="1"/>
    <col min="36" max="36" width="6" style="16" customWidth="1"/>
    <col min="37" max="16384" width="8.77734375" style="3"/>
  </cols>
  <sheetData>
    <row r="1" spans="1:36" ht="21.75" customHeight="1" thickBot="1">
      <c r="A1" s="1"/>
      <c r="B1" s="1"/>
      <c r="C1" s="1"/>
      <c r="D1" s="47">
        <v>46113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"/>
      <c r="Q1" s="2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</row>
    <row r="2" spans="1:36" s="10" customFormat="1" ht="30" customHeight="1" thickBot="1">
      <c r="A2" s="4" t="s">
        <v>0</v>
      </c>
      <c r="B2" s="48" t="s">
        <v>1</v>
      </c>
      <c r="C2" s="49"/>
      <c r="D2" s="5">
        <f>D1</f>
        <v>46113</v>
      </c>
      <c r="E2" s="6">
        <f>D2+1</f>
        <v>46114</v>
      </c>
      <c r="F2" s="6">
        <f t="shared" ref="F2:AH2" si="0">E2+1</f>
        <v>46115</v>
      </c>
      <c r="G2" s="6">
        <f t="shared" si="0"/>
        <v>46116</v>
      </c>
      <c r="H2" s="6">
        <f t="shared" si="0"/>
        <v>46117</v>
      </c>
      <c r="I2" s="6">
        <f t="shared" si="0"/>
        <v>46118</v>
      </c>
      <c r="J2" s="6">
        <f t="shared" si="0"/>
        <v>46119</v>
      </c>
      <c r="K2" s="6">
        <f t="shared" si="0"/>
        <v>46120</v>
      </c>
      <c r="L2" s="6">
        <f t="shared" si="0"/>
        <v>46121</v>
      </c>
      <c r="M2" s="6">
        <f t="shared" si="0"/>
        <v>46122</v>
      </c>
      <c r="N2" s="6">
        <f t="shared" si="0"/>
        <v>46123</v>
      </c>
      <c r="O2" s="6">
        <f t="shared" si="0"/>
        <v>46124</v>
      </c>
      <c r="P2" s="6">
        <f t="shared" si="0"/>
        <v>46125</v>
      </c>
      <c r="Q2" s="6">
        <f t="shared" si="0"/>
        <v>46126</v>
      </c>
      <c r="R2" s="7">
        <f t="shared" si="0"/>
        <v>46127</v>
      </c>
      <c r="S2" s="6">
        <f t="shared" si="0"/>
        <v>46128</v>
      </c>
      <c r="T2" s="6">
        <f t="shared" si="0"/>
        <v>46129</v>
      </c>
      <c r="U2" s="6">
        <f t="shared" si="0"/>
        <v>46130</v>
      </c>
      <c r="V2" s="6">
        <f t="shared" si="0"/>
        <v>46131</v>
      </c>
      <c r="W2" s="6">
        <f t="shared" si="0"/>
        <v>46132</v>
      </c>
      <c r="X2" s="6">
        <f t="shared" si="0"/>
        <v>46133</v>
      </c>
      <c r="Y2" s="6">
        <f t="shared" si="0"/>
        <v>46134</v>
      </c>
      <c r="Z2" s="6">
        <f t="shared" si="0"/>
        <v>46135</v>
      </c>
      <c r="AA2" s="6">
        <f t="shared" si="0"/>
        <v>46136</v>
      </c>
      <c r="AB2" s="6">
        <f t="shared" si="0"/>
        <v>46137</v>
      </c>
      <c r="AC2" s="6">
        <f t="shared" si="0"/>
        <v>46138</v>
      </c>
      <c r="AD2" s="6">
        <f t="shared" si="0"/>
        <v>46139</v>
      </c>
      <c r="AE2" s="6">
        <f t="shared" si="0"/>
        <v>46140</v>
      </c>
      <c r="AF2" s="6">
        <f t="shared" si="0"/>
        <v>46141</v>
      </c>
      <c r="AG2" s="6">
        <f t="shared" si="0"/>
        <v>46142</v>
      </c>
      <c r="AH2" s="6">
        <f t="shared" si="0"/>
        <v>46143</v>
      </c>
      <c r="AI2" s="8" t="s">
        <v>2</v>
      </c>
      <c r="AJ2" s="9" t="s">
        <v>3</v>
      </c>
    </row>
    <row r="3" spans="1:36" s="16" customFormat="1" ht="15" customHeight="1">
      <c r="A3" s="50" t="s">
        <v>4</v>
      </c>
      <c r="B3" s="53" t="s">
        <v>5</v>
      </c>
      <c r="C3" s="54"/>
      <c r="D3" s="11"/>
      <c r="E3" s="12"/>
      <c r="F3" s="12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>
        <f>SUM(D3:AH3)</f>
        <v>0</v>
      </c>
      <c r="AJ3" s="55">
        <v>250</v>
      </c>
    </row>
    <row r="4" spans="1:36" s="16" customFormat="1" ht="15" customHeight="1">
      <c r="A4" s="51"/>
      <c r="B4" s="58" t="s">
        <v>6</v>
      </c>
      <c r="C4" s="59"/>
      <c r="D4" s="17"/>
      <c r="E4" s="18"/>
      <c r="F4" s="18"/>
      <c r="G4" s="19"/>
      <c r="H4" s="19"/>
      <c r="I4" s="18"/>
      <c r="J4" s="18"/>
      <c r="K4" s="18"/>
      <c r="L4" s="18"/>
      <c r="M4" s="18"/>
      <c r="N4" s="18"/>
      <c r="O4" s="18"/>
      <c r="P4" s="18"/>
      <c r="Q4" s="18"/>
      <c r="R4" s="20"/>
      <c r="S4" s="18"/>
      <c r="T4" s="18"/>
      <c r="U4" s="18"/>
      <c r="V4" s="18">
        <v>25</v>
      </c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21">
        <f t="shared" ref="AI4:AI32" si="1">SUM(D4:AH4)</f>
        <v>25</v>
      </c>
      <c r="AJ4" s="56"/>
    </row>
    <row r="5" spans="1:36" s="16" customFormat="1" ht="15" customHeight="1">
      <c r="A5" s="51"/>
      <c r="B5" s="58" t="s">
        <v>7</v>
      </c>
      <c r="C5" s="59"/>
      <c r="D5" s="17"/>
      <c r="E5" s="18">
        <v>50</v>
      </c>
      <c r="F5" s="18"/>
      <c r="G5" s="19"/>
      <c r="H5" s="19"/>
      <c r="I5" s="18"/>
      <c r="J5" s="18"/>
      <c r="K5" s="18"/>
      <c r="L5" s="18"/>
      <c r="M5" s="18"/>
      <c r="N5" s="18"/>
      <c r="O5" s="18"/>
      <c r="P5" s="18"/>
      <c r="Q5" s="18"/>
      <c r="R5" s="20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21">
        <f t="shared" si="1"/>
        <v>50</v>
      </c>
      <c r="AJ5" s="56"/>
    </row>
    <row r="6" spans="1:36" s="16" customFormat="1" ht="15" customHeight="1">
      <c r="A6" s="51"/>
      <c r="B6" s="58" t="s">
        <v>8</v>
      </c>
      <c r="C6" s="59"/>
      <c r="D6" s="17"/>
      <c r="E6" s="18"/>
      <c r="F6" s="18"/>
      <c r="G6" s="19"/>
      <c r="H6" s="19"/>
      <c r="I6" s="18"/>
      <c r="J6" s="18"/>
      <c r="K6" s="18"/>
      <c r="L6" s="18"/>
      <c r="M6" s="18"/>
      <c r="N6" s="18"/>
      <c r="O6" s="18"/>
      <c r="P6" s="18"/>
      <c r="Q6" s="18"/>
      <c r="R6" s="20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>
        <v>50</v>
      </c>
      <c r="AH6" s="18"/>
      <c r="AI6" s="21">
        <f t="shared" si="1"/>
        <v>50</v>
      </c>
      <c r="AJ6" s="56"/>
    </row>
    <row r="7" spans="1:36" s="16" customFormat="1" ht="15" customHeight="1">
      <c r="A7" s="51"/>
      <c r="B7" s="58" t="s">
        <v>9</v>
      </c>
      <c r="C7" s="59"/>
      <c r="D7" s="17"/>
      <c r="E7" s="18"/>
      <c r="F7" s="18"/>
      <c r="G7" s="19"/>
      <c r="H7" s="19"/>
      <c r="I7" s="18"/>
      <c r="J7" s="18"/>
      <c r="K7" s="18"/>
      <c r="L7" s="18"/>
      <c r="M7" s="18"/>
      <c r="N7" s="18"/>
      <c r="O7" s="18"/>
      <c r="P7" s="18"/>
      <c r="Q7" s="18"/>
      <c r="R7" s="2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21">
        <f t="shared" si="1"/>
        <v>0</v>
      </c>
      <c r="AJ7" s="56"/>
    </row>
    <row r="8" spans="1:36" s="16" customFormat="1" ht="15" customHeight="1" thickBot="1">
      <c r="A8" s="52"/>
      <c r="B8" s="60" t="s">
        <v>10</v>
      </c>
      <c r="C8" s="61"/>
      <c r="D8" s="22">
        <f t="shared" ref="D8:AH8" si="2">SUM(D3:D7)</f>
        <v>0</v>
      </c>
      <c r="E8" s="22">
        <f t="shared" si="2"/>
        <v>50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 t="shared" si="2"/>
        <v>0</v>
      </c>
      <c r="K8" s="22">
        <f t="shared" si="2"/>
        <v>0</v>
      </c>
      <c r="L8" s="22">
        <f t="shared" si="2"/>
        <v>0</v>
      </c>
      <c r="M8" s="22">
        <f t="shared" si="2"/>
        <v>0</v>
      </c>
      <c r="N8" s="22">
        <f t="shared" si="2"/>
        <v>0</v>
      </c>
      <c r="O8" s="22">
        <f t="shared" si="2"/>
        <v>0</v>
      </c>
      <c r="P8" s="22">
        <f t="shared" si="2"/>
        <v>0</v>
      </c>
      <c r="Q8" s="22">
        <f t="shared" si="2"/>
        <v>0</v>
      </c>
      <c r="R8" s="23">
        <f t="shared" si="2"/>
        <v>0</v>
      </c>
      <c r="S8" s="22">
        <f t="shared" si="2"/>
        <v>0</v>
      </c>
      <c r="T8" s="22">
        <f t="shared" si="2"/>
        <v>0</v>
      </c>
      <c r="U8" s="22">
        <f t="shared" si="2"/>
        <v>0</v>
      </c>
      <c r="V8" s="22">
        <f t="shared" si="2"/>
        <v>25</v>
      </c>
      <c r="W8" s="22">
        <f t="shared" si="2"/>
        <v>0</v>
      </c>
      <c r="X8" s="22">
        <f t="shared" si="2"/>
        <v>0</v>
      </c>
      <c r="Y8" s="22">
        <f t="shared" si="2"/>
        <v>0</v>
      </c>
      <c r="Z8" s="22">
        <f t="shared" si="2"/>
        <v>0</v>
      </c>
      <c r="AA8" s="22">
        <f t="shared" si="2"/>
        <v>0</v>
      </c>
      <c r="AB8" s="22">
        <f t="shared" si="2"/>
        <v>0</v>
      </c>
      <c r="AC8" s="22">
        <f t="shared" si="2"/>
        <v>0</v>
      </c>
      <c r="AD8" s="22">
        <f t="shared" si="2"/>
        <v>0</v>
      </c>
      <c r="AE8" s="22">
        <f t="shared" si="2"/>
        <v>0</v>
      </c>
      <c r="AF8" s="22">
        <f t="shared" si="2"/>
        <v>0</v>
      </c>
      <c r="AG8" s="22">
        <f t="shared" si="2"/>
        <v>50</v>
      </c>
      <c r="AH8" s="22">
        <f t="shared" si="2"/>
        <v>0</v>
      </c>
      <c r="AI8" s="24">
        <f>SUM(D8:AH8)</f>
        <v>125</v>
      </c>
      <c r="AJ8" s="57"/>
    </row>
    <row r="9" spans="1:36" s="16" customFormat="1" ht="15" customHeight="1">
      <c r="A9" s="50" t="s">
        <v>11</v>
      </c>
      <c r="B9" s="53" t="s">
        <v>5</v>
      </c>
      <c r="C9" s="54"/>
      <c r="D9" s="25"/>
      <c r="E9" s="26"/>
      <c r="F9" s="26"/>
      <c r="G9" s="27"/>
      <c r="H9" s="27"/>
      <c r="I9" s="26"/>
      <c r="J9" s="26"/>
      <c r="K9" s="26"/>
      <c r="L9" s="26"/>
      <c r="M9" s="26"/>
      <c r="N9" s="26"/>
      <c r="O9" s="26"/>
      <c r="P9" s="26"/>
      <c r="Q9" s="26"/>
      <c r="R9" s="2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9">
        <f t="shared" si="1"/>
        <v>0</v>
      </c>
      <c r="AJ9" s="55">
        <v>250</v>
      </c>
    </row>
    <row r="10" spans="1:36" s="16" customFormat="1" ht="15" customHeight="1">
      <c r="A10" s="51"/>
      <c r="B10" s="58" t="s">
        <v>6</v>
      </c>
      <c r="C10" s="59"/>
      <c r="D10" s="17"/>
      <c r="E10" s="18"/>
      <c r="F10" s="18"/>
      <c r="G10" s="19"/>
      <c r="H10" s="19"/>
      <c r="I10" s="18">
        <v>1</v>
      </c>
      <c r="J10" s="18"/>
      <c r="K10" s="18"/>
      <c r="L10" s="18"/>
      <c r="M10" s="18"/>
      <c r="N10" s="18"/>
      <c r="O10" s="18"/>
      <c r="P10" s="18"/>
      <c r="Q10" s="18"/>
      <c r="R10" s="20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>
        <v>24</v>
      </c>
      <c r="AG10" s="18"/>
      <c r="AH10" s="18"/>
      <c r="AI10" s="21">
        <f t="shared" si="1"/>
        <v>25</v>
      </c>
      <c r="AJ10" s="62"/>
    </row>
    <row r="11" spans="1:36" s="16" customFormat="1" ht="15" customHeight="1">
      <c r="A11" s="51"/>
      <c r="B11" s="58" t="s">
        <v>12</v>
      </c>
      <c r="C11" s="59"/>
      <c r="D11" s="17"/>
      <c r="E11" s="18"/>
      <c r="F11" s="18"/>
      <c r="G11" s="19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20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v>21</v>
      </c>
      <c r="AD11" s="18"/>
      <c r="AE11" s="18"/>
      <c r="AF11" s="18"/>
      <c r="AG11" s="18"/>
      <c r="AH11" s="18"/>
      <c r="AI11" s="21">
        <f t="shared" si="1"/>
        <v>21</v>
      </c>
      <c r="AJ11" s="62"/>
    </row>
    <row r="12" spans="1:36" s="16" customFormat="1" ht="15" customHeight="1">
      <c r="A12" s="51"/>
      <c r="B12" s="58" t="s">
        <v>8</v>
      </c>
      <c r="C12" s="59"/>
      <c r="D12" s="17"/>
      <c r="E12" s="18"/>
      <c r="F12" s="18"/>
      <c r="G12" s="19"/>
      <c r="H12" s="19"/>
      <c r="I12" s="18"/>
      <c r="J12" s="18"/>
      <c r="K12" s="18"/>
      <c r="L12" s="18">
        <v>24</v>
      </c>
      <c r="M12" s="18"/>
      <c r="N12" s="18"/>
      <c r="O12" s="18"/>
      <c r="P12" s="18"/>
      <c r="Q12" s="18"/>
      <c r="R12" s="20">
        <v>29</v>
      </c>
      <c r="S12" s="18"/>
      <c r="T12" s="18"/>
      <c r="U12" s="18"/>
      <c r="V12" s="18"/>
      <c r="W12" s="18">
        <v>25</v>
      </c>
      <c r="X12" s="18">
        <v>25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1">
        <f t="shared" si="1"/>
        <v>103</v>
      </c>
      <c r="AJ12" s="62"/>
    </row>
    <row r="13" spans="1:36" s="16" customFormat="1" ht="15" customHeight="1">
      <c r="A13" s="51"/>
      <c r="B13" s="58" t="s">
        <v>9</v>
      </c>
      <c r="C13" s="59"/>
      <c r="D13" s="17"/>
      <c r="E13" s="18"/>
      <c r="F13" s="18"/>
      <c r="G13" s="19"/>
      <c r="H13" s="19"/>
      <c r="I13" s="18">
        <v>6</v>
      </c>
      <c r="J13" s="18"/>
      <c r="K13" s="18"/>
      <c r="L13" s="18"/>
      <c r="M13" s="18"/>
      <c r="N13" s="18"/>
      <c r="O13" s="18"/>
      <c r="P13" s="18"/>
      <c r="Q13" s="18"/>
      <c r="R13" s="20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9">
        <f t="shared" si="1"/>
        <v>6</v>
      </c>
      <c r="AJ13" s="62"/>
    </row>
    <row r="14" spans="1:36" s="16" customFormat="1" ht="15" customHeight="1" thickBot="1">
      <c r="A14" s="52"/>
      <c r="B14" s="60" t="s">
        <v>10</v>
      </c>
      <c r="C14" s="61"/>
      <c r="D14" s="22">
        <f t="shared" ref="D14:AH14" si="3">SUM(D9:D13)</f>
        <v>0</v>
      </c>
      <c r="E14" s="22">
        <f t="shared" si="3"/>
        <v>0</v>
      </c>
      <c r="F14" s="22">
        <f t="shared" si="3"/>
        <v>0</v>
      </c>
      <c r="G14" s="22">
        <f t="shared" si="3"/>
        <v>0</v>
      </c>
      <c r="H14" s="22">
        <f t="shared" si="3"/>
        <v>0</v>
      </c>
      <c r="I14" s="22">
        <f t="shared" si="3"/>
        <v>7</v>
      </c>
      <c r="J14" s="22">
        <f t="shared" si="3"/>
        <v>0</v>
      </c>
      <c r="K14" s="22">
        <f t="shared" si="3"/>
        <v>0</v>
      </c>
      <c r="L14" s="22">
        <f t="shared" si="3"/>
        <v>24</v>
      </c>
      <c r="M14" s="22">
        <f t="shared" si="3"/>
        <v>0</v>
      </c>
      <c r="N14" s="22">
        <f t="shared" si="3"/>
        <v>0</v>
      </c>
      <c r="O14" s="22">
        <f t="shared" si="3"/>
        <v>0</v>
      </c>
      <c r="P14" s="22">
        <f t="shared" si="3"/>
        <v>0</v>
      </c>
      <c r="Q14" s="22">
        <f>SUM(Q9:Q13)</f>
        <v>0</v>
      </c>
      <c r="R14" s="23">
        <f t="shared" si="3"/>
        <v>29</v>
      </c>
      <c r="S14" s="22">
        <f t="shared" si="3"/>
        <v>0</v>
      </c>
      <c r="T14" s="22">
        <f t="shared" si="3"/>
        <v>0</v>
      </c>
      <c r="U14" s="22">
        <f t="shared" si="3"/>
        <v>0</v>
      </c>
      <c r="V14" s="22">
        <f t="shared" si="3"/>
        <v>0</v>
      </c>
      <c r="W14" s="22">
        <f t="shared" si="3"/>
        <v>25</v>
      </c>
      <c r="X14" s="22">
        <f t="shared" si="3"/>
        <v>25</v>
      </c>
      <c r="Y14" s="22">
        <f t="shared" si="3"/>
        <v>0</v>
      </c>
      <c r="Z14" s="22">
        <f t="shared" si="3"/>
        <v>0</v>
      </c>
      <c r="AA14" s="22">
        <f t="shared" si="3"/>
        <v>0</v>
      </c>
      <c r="AB14" s="22">
        <f t="shared" si="3"/>
        <v>0</v>
      </c>
      <c r="AC14" s="22">
        <f t="shared" si="3"/>
        <v>21</v>
      </c>
      <c r="AD14" s="22">
        <f t="shared" si="3"/>
        <v>0</v>
      </c>
      <c r="AE14" s="22">
        <f t="shared" si="3"/>
        <v>0</v>
      </c>
      <c r="AF14" s="22">
        <f t="shared" si="3"/>
        <v>24</v>
      </c>
      <c r="AG14" s="22">
        <f t="shared" si="3"/>
        <v>0</v>
      </c>
      <c r="AH14" s="22">
        <f t="shared" si="3"/>
        <v>0</v>
      </c>
      <c r="AI14" s="30">
        <f t="shared" si="1"/>
        <v>155</v>
      </c>
      <c r="AJ14" s="63"/>
    </row>
    <row r="15" spans="1:36" s="16" customFormat="1" ht="15" customHeight="1">
      <c r="A15" s="50" t="s">
        <v>13</v>
      </c>
      <c r="B15" s="53" t="s">
        <v>5</v>
      </c>
      <c r="C15" s="54"/>
      <c r="D15" s="31"/>
      <c r="E15" s="32"/>
      <c r="F15" s="32"/>
      <c r="G15" s="33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12"/>
      <c r="AH15" s="12"/>
      <c r="AI15" s="15">
        <f t="shared" si="1"/>
        <v>0</v>
      </c>
      <c r="AJ15" s="55">
        <v>250</v>
      </c>
    </row>
    <row r="16" spans="1:36" s="16" customFormat="1" ht="15" customHeight="1">
      <c r="A16" s="51"/>
      <c r="B16" s="58" t="s">
        <v>6</v>
      </c>
      <c r="C16" s="59"/>
      <c r="D16" s="17"/>
      <c r="E16" s="18"/>
      <c r="F16" s="18"/>
      <c r="G16" s="19"/>
      <c r="H16" s="19"/>
      <c r="I16" s="18"/>
      <c r="J16" s="18">
        <v>1</v>
      </c>
      <c r="K16" s="18"/>
      <c r="L16" s="18"/>
      <c r="M16" s="18"/>
      <c r="N16" s="18"/>
      <c r="O16" s="18"/>
      <c r="P16" s="18"/>
      <c r="Q16" s="18"/>
      <c r="R16" s="20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1">
        <f t="shared" si="1"/>
        <v>1</v>
      </c>
      <c r="AJ16" s="56"/>
    </row>
    <row r="17" spans="1:36" s="16" customFormat="1" ht="15" customHeight="1">
      <c r="A17" s="51"/>
      <c r="B17" s="58" t="s">
        <v>12</v>
      </c>
      <c r="C17" s="59"/>
      <c r="D17" s="17"/>
      <c r="E17" s="18"/>
      <c r="F17" s="18"/>
      <c r="G17" s="19"/>
      <c r="H17" s="19"/>
      <c r="I17" s="18"/>
      <c r="J17" s="36">
        <v>20</v>
      </c>
      <c r="K17" s="18"/>
      <c r="L17" s="18"/>
      <c r="M17" s="18"/>
      <c r="N17" s="18"/>
      <c r="O17" s="18"/>
      <c r="P17" s="18"/>
      <c r="Q17" s="18"/>
      <c r="R17" s="20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1">
        <f t="shared" si="1"/>
        <v>20</v>
      </c>
      <c r="AJ17" s="56"/>
    </row>
    <row r="18" spans="1:36" s="16" customFormat="1" ht="15" customHeight="1">
      <c r="A18" s="51"/>
      <c r="B18" s="58" t="s">
        <v>8</v>
      </c>
      <c r="C18" s="59"/>
      <c r="D18" s="37"/>
      <c r="E18" s="38"/>
      <c r="F18" s="38"/>
      <c r="G18" s="39"/>
      <c r="H18" s="19"/>
      <c r="I18" s="40"/>
      <c r="J18" s="40"/>
      <c r="K18" s="40"/>
      <c r="L18" s="40"/>
      <c r="M18" s="40"/>
      <c r="N18" s="40"/>
      <c r="O18" s="40">
        <v>25</v>
      </c>
      <c r="P18" s="40"/>
      <c r="Q18" s="40"/>
      <c r="R18" s="41"/>
      <c r="S18" s="40">
        <v>23</v>
      </c>
      <c r="T18" s="40"/>
      <c r="U18" s="40"/>
      <c r="V18" s="40"/>
      <c r="W18" s="40"/>
      <c r="X18" s="40">
        <v>29</v>
      </c>
      <c r="Y18" s="40"/>
      <c r="Z18" s="40"/>
      <c r="AA18" s="40"/>
      <c r="AB18" s="40"/>
      <c r="AC18" s="40"/>
      <c r="AD18" s="40">
        <v>25</v>
      </c>
      <c r="AE18" s="40"/>
      <c r="AF18" s="40"/>
      <c r="AG18" s="40"/>
      <c r="AH18" s="18"/>
      <c r="AI18" s="21">
        <f t="shared" si="1"/>
        <v>102</v>
      </c>
      <c r="AJ18" s="56"/>
    </row>
    <row r="19" spans="1:36" s="16" customFormat="1" ht="15" customHeight="1">
      <c r="A19" s="51"/>
      <c r="B19" s="58" t="s">
        <v>9</v>
      </c>
      <c r="C19" s="59"/>
      <c r="D19" s="37"/>
      <c r="E19" s="38"/>
      <c r="F19" s="38"/>
      <c r="G19" s="39"/>
      <c r="H19" s="19"/>
      <c r="I19" s="40"/>
      <c r="J19" s="40"/>
      <c r="K19" s="40">
        <v>7</v>
      </c>
      <c r="L19" s="40"/>
      <c r="M19" s="40"/>
      <c r="N19" s="40"/>
      <c r="O19" s="40"/>
      <c r="P19" s="40"/>
      <c r="Q19" s="40"/>
      <c r="R19" s="41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>
        <v>15</v>
      </c>
      <c r="AF19" s="40"/>
      <c r="AG19" s="40"/>
      <c r="AH19" s="18"/>
      <c r="AI19" s="21">
        <f t="shared" si="1"/>
        <v>22</v>
      </c>
      <c r="AJ19" s="56"/>
    </row>
    <row r="20" spans="1:36" s="16" customFormat="1" ht="15" customHeight="1" thickBot="1">
      <c r="A20" s="52"/>
      <c r="B20" s="60" t="s">
        <v>14</v>
      </c>
      <c r="C20" s="61"/>
      <c r="D20" s="22">
        <f t="shared" ref="D20:AH20" si="4">SUM(D15:D19)</f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21</v>
      </c>
      <c r="K20" s="22">
        <f t="shared" si="4"/>
        <v>7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25</v>
      </c>
      <c r="P20" s="22">
        <f t="shared" si="4"/>
        <v>0</v>
      </c>
      <c r="Q20" s="22">
        <f t="shared" si="4"/>
        <v>0</v>
      </c>
      <c r="R20" s="23">
        <f t="shared" si="4"/>
        <v>0</v>
      </c>
      <c r="S20" s="22">
        <f t="shared" si="4"/>
        <v>23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29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25</v>
      </c>
      <c r="AE20" s="22">
        <f t="shared" si="4"/>
        <v>15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4">
        <f t="shared" si="1"/>
        <v>145</v>
      </c>
      <c r="AJ20" s="57"/>
    </row>
    <row r="21" spans="1:36" s="16" customFormat="1" ht="15" customHeight="1">
      <c r="A21" s="50" t="s">
        <v>15</v>
      </c>
      <c r="B21" s="53" t="s">
        <v>5</v>
      </c>
      <c r="C21" s="54"/>
      <c r="D21" s="31"/>
      <c r="E21" s="32"/>
      <c r="F21" s="32"/>
      <c r="G21" s="33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12"/>
      <c r="AH21" s="12"/>
      <c r="AI21" s="15">
        <f t="shared" si="1"/>
        <v>0</v>
      </c>
      <c r="AJ21" s="55">
        <v>250</v>
      </c>
    </row>
    <row r="22" spans="1:36" s="16" customFormat="1" ht="15" customHeight="1">
      <c r="A22" s="51"/>
      <c r="B22" s="58" t="s">
        <v>6</v>
      </c>
      <c r="C22" s="59"/>
      <c r="D22" s="17"/>
      <c r="E22" s="18"/>
      <c r="F22" s="18"/>
      <c r="G22" s="19"/>
      <c r="H22" s="19"/>
      <c r="I22" s="18"/>
      <c r="J22" s="18">
        <v>1</v>
      </c>
      <c r="K22" s="18"/>
      <c r="L22" s="18"/>
      <c r="M22" s="18"/>
      <c r="N22" s="18"/>
      <c r="O22" s="18"/>
      <c r="P22" s="18"/>
      <c r="Q22" s="18"/>
      <c r="R22" s="20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1">
        <f t="shared" si="1"/>
        <v>1</v>
      </c>
      <c r="AJ22" s="56"/>
    </row>
    <row r="23" spans="1:36" s="16" customFormat="1" ht="15" customHeight="1">
      <c r="A23" s="51"/>
      <c r="B23" s="58" t="s">
        <v>12</v>
      </c>
      <c r="C23" s="59"/>
      <c r="D23" s="17"/>
      <c r="E23" s="18"/>
      <c r="F23" s="18"/>
      <c r="G23" s="19"/>
      <c r="H23" s="19"/>
      <c r="I23" s="18"/>
      <c r="J23" s="36">
        <v>20</v>
      </c>
      <c r="K23" s="18"/>
      <c r="L23" s="18"/>
      <c r="M23" s="18"/>
      <c r="N23" s="18"/>
      <c r="O23" s="18"/>
      <c r="P23" s="18"/>
      <c r="Q23" s="18"/>
      <c r="R23" s="20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1">
        <f t="shared" si="1"/>
        <v>20</v>
      </c>
      <c r="AJ23" s="56"/>
    </row>
    <row r="24" spans="1:36" s="16" customFormat="1" ht="15" customHeight="1">
      <c r="A24" s="51"/>
      <c r="B24" s="58" t="s">
        <v>8</v>
      </c>
      <c r="C24" s="59"/>
      <c r="D24" s="37"/>
      <c r="E24" s="38"/>
      <c r="F24" s="38"/>
      <c r="G24" s="39"/>
      <c r="H24" s="19"/>
      <c r="I24" s="40"/>
      <c r="J24" s="40"/>
      <c r="K24" s="40"/>
      <c r="L24" s="40"/>
      <c r="M24" s="40"/>
      <c r="N24" s="40"/>
      <c r="O24" s="40">
        <v>25</v>
      </c>
      <c r="P24" s="40"/>
      <c r="Q24" s="40"/>
      <c r="R24" s="41"/>
      <c r="S24" s="40">
        <v>23</v>
      </c>
      <c r="T24" s="40"/>
      <c r="U24" s="40"/>
      <c r="V24" s="40"/>
      <c r="W24" s="40"/>
      <c r="X24" s="40">
        <v>29</v>
      </c>
      <c r="Y24" s="40"/>
      <c r="Z24" s="40"/>
      <c r="AA24" s="40"/>
      <c r="AB24" s="40"/>
      <c r="AC24" s="40"/>
      <c r="AD24" s="40">
        <v>25</v>
      </c>
      <c r="AE24" s="40"/>
      <c r="AF24" s="40"/>
      <c r="AG24" s="40"/>
      <c r="AH24" s="18"/>
      <c r="AI24" s="21">
        <f t="shared" si="1"/>
        <v>102</v>
      </c>
      <c r="AJ24" s="56"/>
    </row>
    <row r="25" spans="1:36" s="16" customFormat="1" ht="15" customHeight="1">
      <c r="A25" s="51"/>
      <c r="B25" s="58" t="s">
        <v>9</v>
      </c>
      <c r="C25" s="59"/>
      <c r="D25" s="37"/>
      <c r="E25" s="38"/>
      <c r="F25" s="38"/>
      <c r="G25" s="39"/>
      <c r="H25" s="19"/>
      <c r="I25" s="40"/>
      <c r="J25" s="40"/>
      <c r="K25" s="40">
        <v>7</v>
      </c>
      <c r="L25" s="40"/>
      <c r="M25" s="40"/>
      <c r="N25" s="40"/>
      <c r="O25" s="40"/>
      <c r="P25" s="40"/>
      <c r="Q25" s="40"/>
      <c r="R25" s="41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>
        <v>15</v>
      </c>
      <c r="AF25" s="40"/>
      <c r="AG25" s="40"/>
      <c r="AH25" s="18"/>
      <c r="AI25" s="21">
        <f t="shared" si="1"/>
        <v>22</v>
      </c>
      <c r="AJ25" s="56"/>
    </row>
    <row r="26" spans="1:36" s="16" customFormat="1" ht="15" customHeight="1" thickBot="1">
      <c r="A26" s="52"/>
      <c r="B26" s="60" t="s">
        <v>14</v>
      </c>
      <c r="C26" s="61"/>
      <c r="D26" s="22">
        <f t="shared" ref="D26:AH26" si="5">SUM(D21:D25)</f>
        <v>0</v>
      </c>
      <c r="E26" s="22">
        <f t="shared" si="5"/>
        <v>0</v>
      </c>
      <c r="F26" s="22">
        <f t="shared" si="5"/>
        <v>0</v>
      </c>
      <c r="G26" s="22">
        <f t="shared" si="5"/>
        <v>0</v>
      </c>
      <c r="H26" s="22">
        <f t="shared" si="5"/>
        <v>0</v>
      </c>
      <c r="I26" s="22">
        <f t="shared" si="5"/>
        <v>0</v>
      </c>
      <c r="J26" s="22">
        <f t="shared" si="5"/>
        <v>21</v>
      </c>
      <c r="K26" s="22">
        <f t="shared" si="5"/>
        <v>7</v>
      </c>
      <c r="L26" s="22">
        <f t="shared" si="5"/>
        <v>0</v>
      </c>
      <c r="M26" s="22">
        <f t="shared" si="5"/>
        <v>0</v>
      </c>
      <c r="N26" s="22">
        <f t="shared" si="5"/>
        <v>0</v>
      </c>
      <c r="O26" s="22">
        <f t="shared" si="5"/>
        <v>25</v>
      </c>
      <c r="P26" s="22">
        <f t="shared" si="5"/>
        <v>0</v>
      </c>
      <c r="Q26" s="22">
        <f t="shared" si="5"/>
        <v>0</v>
      </c>
      <c r="R26" s="23">
        <f t="shared" si="5"/>
        <v>0</v>
      </c>
      <c r="S26" s="22">
        <f t="shared" si="5"/>
        <v>23</v>
      </c>
      <c r="T26" s="22">
        <f t="shared" si="5"/>
        <v>0</v>
      </c>
      <c r="U26" s="22">
        <f t="shared" si="5"/>
        <v>0</v>
      </c>
      <c r="V26" s="22">
        <f t="shared" si="5"/>
        <v>0</v>
      </c>
      <c r="W26" s="22">
        <f t="shared" si="5"/>
        <v>0</v>
      </c>
      <c r="X26" s="22">
        <f t="shared" si="5"/>
        <v>29</v>
      </c>
      <c r="Y26" s="22">
        <f t="shared" si="5"/>
        <v>0</v>
      </c>
      <c r="Z26" s="22">
        <f t="shared" si="5"/>
        <v>0</v>
      </c>
      <c r="AA26" s="22">
        <f t="shared" si="5"/>
        <v>0</v>
      </c>
      <c r="AB26" s="22">
        <f t="shared" si="5"/>
        <v>0</v>
      </c>
      <c r="AC26" s="22">
        <f t="shared" si="5"/>
        <v>0</v>
      </c>
      <c r="AD26" s="22">
        <f t="shared" si="5"/>
        <v>25</v>
      </c>
      <c r="AE26" s="22">
        <f t="shared" si="5"/>
        <v>15</v>
      </c>
      <c r="AF26" s="22">
        <f t="shared" si="5"/>
        <v>0</v>
      </c>
      <c r="AG26" s="22">
        <f t="shared" si="5"/>
        <v>0</v>
      </c>
      <c r="AH26" s="22">
        <f t="shared" si="5"/>
        <v>0</v>
      </c>
      <c r="AI26" s="24">
        <f t="shared" si="1"/>
        <v>145</v>
      </c>
      <c r="AJ26" s="57"/>
    </row>
    <row r="27" spans="1:36" s="16" customFormat="1" ht="15" customHeight="1">
      <c r="A27" s="50" t="s">
        <v>16</v>
      </c>
      <c r="B27" s="53" t="s">
        <v>5</v>
      </c>
      <c r="C27" s="54"/>
      <c r="D27" s="31"/>
      <c r="E27" s="32"/>
      <c r="F27" s="32"/>
      <c r="G27" s="33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12"/>
      <c r="AH27" s="12"/>
      <c r="AI27" s="15">
        <f t="shared" si="1"/>
        <v>0</v>
      </c>
      <c r="AJ27" s="55">
        <v>250</v>
      </c>
    </row>
    <row r="28" spans="1:36" s="16" customFormat="1" ht="15" customHeight="1">
      <c r="A28" s="51"/>
      <c r="B28" s="58" t="s">
        <v>6</v>
      </c>
      <c r="C28" s="59"/>
      <c r="D28" s="17"/>
      <c r="E28" s="18"/>
      <c r="F28" s="18"/>
      <c r="G28" s="19"/>
      <c r="H28" s="19"/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1">
        <f t="shared" si="1"/>
        <v>1</v>
      </c>
      <c r="AJ28" s="56"/>
    </row>
    <row r="29" spans="1:36" s="16" customFormat="1" ht="15" customHeight="1">
      <c r="A29" s="51"/>
      <c r="B29" s="58" t="s">
        <v>12</v>
      </c>
      <c r="C29" s="59"/>
      <c r="D29" s="17"/>
      <c r="E29" s="18"/>
      <c r="F29" s="18"/>
      <c r="G29" s="19"/>
      <c r="H29" s="19"/>
      <c r="I29" s="18"/>
      <c r="J29" s="36">
        <v>20</v>
      </c>
      <c r="K29" s="18"/>
      <c r="L29" s="18"/>
      <c r="M29" s="18"/>
      <c r="N29" s="18"/>
      <c r="O29" s="18"/>
      <c r="P29" s="18"/>
      <c r="Q29" s="18"/>
      <c r="R29" s="20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1">
        <f t="shared" si="1"/>
        <v>20</v>
      </c>
      <c r="AJ29" s="56"/>
    </row>
    <row r="30" spans="1:36" s="16" customFormat="1" ht="15" customHeight="1">
      <c r="A30" s="51"/>
      <c r="B30" s="58" t="s">
        <v>8</v>
      </c>
      <c r="C30" s="59"/>
      <c r="D30" s="37"/>
      <c r="E30" s="38"/>
      <c r="F30" s="38"/>
      <c r="G30" s="39"/>
      <c r="H30" s="19"/>
      <c r="I30" s="40"/>
      <c r="J30" s="40"/>
      <c r="K30" s="40"/>
      <c r="L30" s="40"/>
      <c r="M30" s="40"/>
      <c r="N30" s="40"/>
      <c r="O30" s="40">
        <v>25</v>
      </c>
      <c r="P30" s="40"/>
      <c r="Q30" s="40"/>
      <c r="R30" s="41"/>
      <c r="S30" s="40">
        <v>23</v>
      </c>
      <c r="T30" s="40"/>
      <c r="U30" s="40"/>
      <c r="V30" s="40"/>
      <c r="W30" s="40"/>
      <c r="X30" s="40">
        <v>29</v>
      </c>
      <c r="Y30" s="40"/>
      <c r="Z30" s="40"/>
      <c r="AA30" s="40"/>
      <c r="AB30" s="40"/>
      <c r="AC30" s="40"/>
      <c r="AD30" s="40">
        <v>25</v>
      </c>
      <c r="AE30" s="40"/>
      <c r="AF30" s="40"/>
      <c r="AG30" s="40"/>
      <c r="AH30" s="18"/>
      <c r="AI30" s="21">
        <f t="shared" si="1"/>
        <v>102</v>
      </c>
      <c r="AJ30" s="56"/>
    </row>
    <row r="31" spans="1:36" s="16" customFormat="1" ht="15" customHeight="1">
      <c r="A31" s="51"/>
      <c r="B31" s="58" t="s">
        <v>9</v>
      </c>
      <c r="C31" s="59"/>
      <c r="D31" s="37"/>
      <c r="E31" s="38"/>
      <c r="F31" s="38"/>
      <c r="G31" s="39"/>
      <c r="H31" s="19"/>
      <c r="I31" s="40"/>
      <c r="J31" s="40"/>
      <c r="K31" s="40">
        <v>7</v>
      </c>
      <c r="L31" s="40"/>
      <c r="M31" s="40"/>
      <c r="N31" s="40"/>
      <c r="O31" s="40"/>
      <c r="P31" s="40"/>
      <c r="Q31" s="40"/>
      <c r="R31" s="41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>
        <v>15</v>
      </c>
      <c r="AF31" s="40"/>
      <c r="AG31" s="40"/>
      <c r="AH31" s="18"/>
      <c r="AI31" s="21">
        <f t="shared" si="1"/>
        <v>22</v>
      </c>
      <c r="AJ31" s="56"/>
    </row>
    <row r="32" spans="1:36" s="16" customFormat="1" ht="15" customHeight="1" thickBot="1">
      <c r="A32" s="52"/>
      <c r="B32" s="60" t="s">
        <v>14</v>
      </c>
      <c r="C32" s="61"/>
      <c r="D32" s="22">
        <f t="shared" ref="D32:AH32" si="6">SUM(D27:D31)</f>
        <v>0</v>
      </c>
      <c r="E32" s="22">
        <f t="shared" si="6"/>
        <v>0</v>
      </c>
      <c r="F32" s="22">
        <f t="shared" si="6"/>
        <v>0</v>
      </c>
      <c r="G32" s="22">
        <f t="shared" si="6"/>
        <v>0</v>
      </c>
      <c r="H32" s="22">
        <f t="shared" si="6"/>
        <v>0</v>
      </c>
      <c r="I32" s="22">
        <f t="shared" si="6"/>
        <v>0</v>
      </c>
      <c r="J32" s="22">
        <f t="shared" si="6"/>
        <v>21</v>
      </c>
      <c r="K32" s="22">
        <f t="shared" si="6"/>
        <v>7</v>
      </c>
      <c r="L32" s="22">
        <f t="shared" si="6"/>
        <v>0</v>
      </c>
      <c r="M32" s="22">
        <f t="shared" si="6"/>
        <v>0</v>
      </c>
      <c r="N32" s="22">
        <f t="shared" si="6"/>
        <v>0</v>
      </c>
      <c r="O32" s="22">
        <f t="shared" si="6"/>
        <v>25</v>
      </c>
      <c r="P32" s="22">
        <f t="shared" si="6"/>
        <v>0</v>
      </c>
      <c r="Q32" s="22">
        <f t="shared" si="6"/>
        <v>0</v>
      </c>
      <c r="R32" s="23">
        <f t="shared" si="6"/>
        <v>0</v>
      </c>
      <c r="S32" s="22">
        <f t="shared" si="6"/>
        <v>23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22">
        <f t="shared" si="6"/>
        <v>0</v>
      </c>
      <c r="X32" s="22">
        <f t="shared" si="6"/>
        <v>29</v>
      </c>
      <c r="Y32" s="22">
        <f t="shared" si="6"/>
        <v>0</v>
      </c>
      <c r="Z32" s="22">
        <f t="shared" si="6"/>
        <v>0</v>
      </c>
      <c r="AA32" s="22">
        <f t="shared" si="6"/>
        <v>0</v>
      </c>
      <c r="AB32" s="22">
        <f t="shared" si="6"/>
        <v>0</v>
      </c>
      <c r="AC32" s="22">
        <f t="shared" si="6"/>
        <v>0</v>
      </c>
      <c r="AD32" s="22">
        <f t="shared" si="6"/>
        <v>25</v>
      </c>
      <c r="AE32" s="22">
        <f t="shared" si="6"/>
        <v>15</v>
      </c>
      <c r="AF32" s="22">
        <f t="shared" si="6"/>
        <v>0</v>
      </c>
      <c r="AG32" s="22">
        <f t="shared" si="6"/>
        <v>0</v>
      </c>
      <c r="AH32" s="22">
        <f t="shared" si="6"/>
        <v>0</v>
      </c>
      <c r="AI32" s="24">
        <f t="shared" si="1"/>
        <v>145</v>
      </c>
      <c r="AJ32" s="57"/>
    </row>
  </sheetData>
  <mergeCells count="42">
    <mergeCell ref="A27:A32"/>
    <mergeCell ref="B27:C27"/>
    <mergeCell ref="AJ27:AJ32"/>
    <mergeCell ref="B28:C28"/>
    <mergeCell ref="B29:C29"/>
    <mergeCell ref="B30:C30"/>
    <mergeCell ref="B31:C31"/>
    <mergeCell ref="B32:C32"/>
    <mergeCell ref="A21:A26"/>
    <mergeCell ref="B21:C21"/>
    <mergeCell ref="AJ21:AJ26"/>
    <mergeCell ref="B22:C22"/>
    <mergeCell ref="B23:C23"/>
    <mergeCell ref="B24:C24"/>
    <mergeCell ref="B25:C25"/>
    <mergeCell ref="B26:C26"/>
    <mergeCell ref="A15:A20"/>
    <mergeCell ref="B15:C15"/>
    <mergeCell ref="AJ15:AJ20"/>
    <mergeCell ref="B16:C16"/>
    <mergeCell ref="B17:C17"/>
    <mergeCell ref="B18:C18"/>
    <mergeCell ref="B19:C19"/>
    <mergeCell ref="B20:C20"/>
    <mergeCell ref="A9:A14"/>
    <mergeCell ref="B9:C9"/>
    <mergeCell ref="AJ9:AJ14"/>
    <mergeCell ref="B10:C10"/>
    <mergeCell ref="B11:C11"/>
    <mergeCell ref="B12:C12"/>
    <mergeCell ref="B13:C13"/>
    <mergeCell ref="B14:C14"/>
    <mergeCell ref="D1:O1"/>
    <mergeCell ref="B2:C2"/>
    <mergeCell ref="A3:A8"/>
    <mergeCell ref="B3:C3"/>
    <mergeCell ref="AJ3:AJ8"/>
    <mergeCell ref="B4:C4"/>
    <mergeCell ref="B5:C5"/>
    <mergeCell ref="B6:C6"/>
    <mergeCell ref="B7:C7"/>
    <mergeCell ref="B8:C8"/>
  </mergeCells>
  <phoneticPr fontId="2" type="noConversion"/>
  <conditionalFormatting sqref="D2:AH2">
    <cfRule type="expression" dxfId="44" priority="3" stopIfTrue="1">
      <formula>WEEKDAY(D2)=7</formula>
    </cfRule>
    <cfRule type="expression" dxfId="43" priority="4" stopIfTrue="1">
      <formula>WEEKDAY(D2)=1</formula>
    </cfRule>
  </conditionalFormatting>
  <conditionalFormatting sqref="D2:AH32">
    <cfRule type="expression" dxfId="42" priority="1">
      <formula>TEXT(D$2,"AAA")="일"</formula>
    </cfRule>
    <cfRule type="expression" dxfId="41" priority="2" stopIfTrue="1">
      <formula>TEXT(D$2,"AAA")="토"</formula>
    </cfRule>
    <cfRule type="expression" dxfId="40" priority="5">
      <formula>FALSE</formula>
    </cfRule>
  </conditionalFormatting>
  <pageMargins left="0.19685039370078741" right="0.39370078740157483" top="0.19685039370078741" bottom="0.11811023622047245" header="0.15748031496062992" footer="0.11811023622047245"/>
  <pageSetup paperSize="9" scale="70" fitToWidth="0" orientation="landscape" r:id="rId1"/>
  <headerFooter alignWithMargins="0">
    <oddFooter>&amp;LF705-02 (R01) &amp;C(주) 덱스코윈&amp;R&amp;P/&amp;N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5EA7-706B-4FEA-855D-605B8A9F77D4}">
  <dimension ref="A1:AJ32"/>
  <sheetViews>
    <sheetView showGridLines="0" zoomScale="85" zoomScaleNormal="85" workbookViewId="0">
      <pane xSplit="3" ySplit="2" topLeftCell="D3" activePane="bottomRight" state="frozen"/>
      <selection activeCell="AH19" sqref="AH19"/>
      <selection pane="topRight" activeCell="AH19" sqref="AH19"/>
      <selection pane="bottomLeft" activeCell="AH19" sqref="AH19"/>
      <selection pane="bottomRight" activeCell="AI12" sqref="AI12"/>
    </sheetView>
  </sheetViews>
  <sheetFormatPr defaultColWidth="8.77734375" defaultRowHeight="16.5"/>
  <cols>
    <col min="1" max="1" width="7.21875" style="43" customWidth="1"/>
    <col min="2" max="2" width="11.109375" style="43" customWidth="1"/>
    <col min="3" max="3" width="7.6640625" style="43" customWidth="1"/>
    <col min="4" max="6" width="4.33203125" style="42" customWidth="1"/>
    <col min="7" max="8" width="4.33203125" style="44" customWidth="1"/>
    <col min="9" max="17" width="4.33203125" style="42" customWidth="1"/>
    <col min="18" max="18" width="4.33203125" style="45" customWidth="1"/>
    <col min="19" max="34" width="4.33203125" style="42" customWidth="1"/>
    <col min="35" max="35" width="7.21875" style="46" customWidth="1"/>
    <col min="36" max="36" width="6" style="16" customWidth="1"/>
    <col min="37" max="16384" width="8.77734375" style="3"/>
  </cols>
  <sheetData>
    <row r="1" spans="1:36" ht="21.75" customHeight="1" thickBot="1">
      <c r="A1" s="1"/>
      <c r="B1" s="1"/>
      <c r="C1" s="1"/>
      <c r="D1" s="47">
        <v>46143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"/>
      <c r="Q1" s="2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</row>
    <row r="2" spans="1:36" s="10" customFormat="1" ht="30" customHeight="1" thickBot="1">
      <c r="A2" s="4" t="s">
        <v>0</v>
      </c>
      <c r="B2" s="48" t="s">
        <v>1</v>
      </c>
      <c r="C2" s="49"/>
      <c r="D2" s="5">
        <f>D1</f>
        <v>46143</v>
      </c>
      <c r="E2" s="6">
        <f>D2+1</f>
        <v>46144</v>
      </c>
      <c r="F2" s="6">
        <f t="shared" ref="F2:AH2" si="0">E2+1</f>
        <v>46145</v>
      </c>
      <c r="G2" s="6">
        <f t="shared" si="0"/>
        <v>46146</v>
      </c>
      <c r="H2" s="6">
        <f t="shared" si="0"/>
        <v>46147</v>
      </c>
      <c r="I2" s="6">
        <f t="shared" si="0"/>
        <v>46148</v>
      </c>
      <c r="J2" s="6">
        <f t="shared" si="0"/>
        <v>46149</v>
      </c>
      <c r="K2" s="6">
        <f t="shared" si="0"/>
        <v>46150</v>
      </c>
      <c r="L2" s="6">
        <f t="shared" si="0"/>
        <v>46151</v>
      </c>
      <c r="M2" s="6">
        <f t="shared" si="0"/>
        <v>46152</v>
      </c>
      <c r="N2" s="6">
        <f t="shared" si="0"/>
        <v>46153</v>
      </c>
      <c r="O2" s="6">
        <f t="shared" si="0"/>
        <v>46154</v>
      </c>
      <c r="P2" s="6">
        <f t="shared" si="0"/>
        <v>46155</v>
      </c>
      <c r="Q2" s="6">
        <f t="shared" si="0"/>
        <v>46156</v>
      </c>
      <c r="R2" s="7">
        <f t="shared" si="0"/>
        <v>46157</v>
      </c>
      <c r="S2" s="6">
        <f t="shared" si="0"/>
        <v>46158</v>
      </c>
      <c r="T2" s="6">
        <f t="shared" si="0"/>
        <v>46159</v>
      </c>
      <c r="U2" s="6">
        <f t="shared" si="0"/>
        <v>46160</v>
      </c>
      <c r="V2" s="6">
        <f t="shared" si="0"/>
        <v>46161</v>
      </c>
      <c r="W2" s="6">
        <f t="shared" si="0"/>
        <v>46162</v>
      </c>
      <c r="X2" s="6">
        <f t="shared" si="0"/>
        <v>46163</v>
      </c>
      <c r="Y2" s="6">
        <f t="shared" si="0"/>
        <v>46164</v>
      </c>
      <c r="Z2" s="6">
        <f t="shared" si="0"/>
        <v>46165</v>
      </c>
      <c r="AA2" s="6">
        <f t="shared" si="0"/>
        <v>46166</v>
      </c>
      <c r="AB2" s="6">
        <f t="shared" si="0"/>
        <v>46167</v>
      </c>
      <c r="AC2" s="6">
        <f t="shared" si="0"/>
        <v>46168</v>
      </c>
      <c r="AD2" s="6">
        <f t="shared" si="0"/>
        <v>46169</v>
      </c>
      <c r="AE2" s="6">
        <f t="shared" si="0"/>
        <v>46170</v>
      </c>
      <c r="AF2" s="6">
        <f t="shared" si="0"/>
        <v>46171</v>
      </c>
      <c r="AG2" s="6">
        <f t="shared" si="0"/>
        <v>46172</v>
      </c>
      <c r="AH2" s="6">
        <f t="shared" si="0"/>
        <v>46173</v>
      </c>
      <c r="AI2" s="8" t="s">
        <v>2</v>
      </c>
      <c r="AJ2" s="9" t="s">
        <v>3</v>
      </c>
    </row>
    <row r="3" spans="1:36" s="16" customFormat="1" ht="15" customHeight="1">
      <c r="A3" s="50" t="s">
        <v>4</v>
      </c>
      <c r="B3" s="53" t="s">
        <v>5</v>
      </c>
      <c r="C3" s="54"/>
      <c r="D3" s="11"/>
      <c r="E3" s="12"/>
      <c r="F3" s="12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>
        <f>SUM(D3:AH3)</f>
        <v>0</v>
      </c>
      <c r="AJ3" s="55">
        <v>250</v>
      </c>
    </row>
    <row r="4" spans="1:36" s="16" customFormat="1" ht="15" customHeight="1">
      <c r="A4" s="51"/>
      <c r="B4" s="58" t="s">
        <v>6</v>
      </c>
      <c r="C4" s="59"/>
      <c r="D4" s="17"/>
      <c r="E4" s="18"/>
      <c r="F4" s="18"/>
      <c r="G4" s="19"/>
      <c r="H4" s="19"/>
      <c r="I4" s="18"/>
      <c r="J4" s="18"/>
      <c r="K4" s="18"/>
      <c r="L4" s="18"/>
      <c r="M4" s="18"/>
      <c r="N4" s="18"/>
      <c r="O4" s="18"/>
      <c r="P4" s="18"/>
      <c r="Q4" s="18"/>
      <c r="R4" s="20"/>
      <c r="S4" s="18"/>
      <c r="T4" s="18"/>
      <c r="U4" s="18"/>
      <c r="V4" s="18">
        <v>25</v>
      </c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21">
        <f t="shared" ref="AI4:AI32" si="1">SUM(D4:AH4)</f>
        <v>25</v>
      </c>
      <c r="AJ4" s="56"/>
    </row>
    <row r="5" spans="1:36" s="16" customFormat="1" ht="15" customHeight="1">
      <c r="A5" s="51"/>
      <c r="B5" s="58" t="s">
        <v>7</v>
      </c>
      <c r="C5" s="59"/>
      <c r="D5" s="17"/>
      <c r="E5" s="18">
        <v>50</v>
      </c>
      <c r="F5" s="18"/>
      <c r="G5" s="19"/>
      <c r="H5" s="19"/>
      <c r="I5" s="18"/>
      <c r="J5" s="18"/>
      <c r="K5" s="18"/>
      <c r="L5" s="18"/>
      <c r="M5" s="18"/>
      <c r="N5" s="18"/>
      <c r="O5" s="18"/>
      <c r="P5" s="18"/>
      <c r="Q5" s="18"/>
      <c r="R5" s="20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21">
        <f t="shared" si="1"/>
        <v>50</v>
      </c>
      <c r="AJ5" s="56"/>
    </row>
    <row r="6" spans="1:36" s="16" customFormat="1" ht="15" customHeight="1">
      <c r="A6" s="51"/>
      <c r="B6" s="58" t="s">
        <v>8</v>
      </c>
      <c r="C6" s="59"/>
      <c r="D6" s="17"/>
      <c r="E6" s="18"/>
      <c r="F6" s="18"/>
      <c r="G6" s="19"/>
      <c r="H6" s="19"/>
      <c r="I6" s="18"/>
      <c r="J6" s="18"/>
      <c r="K6" s="18"/>
      <c r="L6" s="18"/>
      <c r="M6" s="18"/>
      <c r="N6" s="18"/>
      <c r="O6" s="18"/>
      <c r="P6" s="18"/>
      <c r="Q6" s="18"/>
      <c r="R6" s="20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>
        <v>50</v>
      </c>
      <c r="AH6" s="18"/>
      <c r="AI6" s="21">
        <f t="shared" si="1"/>
        <v>50</v>
      </c>
      <c r="AJ6" s="56"/>
    </row>
    <row r="7" spans="1:36" s="16" customFormat="1" ht="15" customHeight="1">
      <c r="A7" s="51"/>
      <c r="B7" s="58" t="s">
        <v>9</v>
      </c>
      <c r="C7" s="59"/>
      <c r="D7" s="17"/>
      <c r="E7" s="18"/>
      <c r="F7" s="18"/>
      <c r="G7" s="19"/>
      <c r="H7" s="19"/>
      <c r="I7" s="18"/>
      <c r="J7" s="18"/>
      <c r="K7" s="18"/>
      <c r="L7" s="18"/>
      <c r="M7" s="18"/>
      <c r="N7" s="18"/>
      <c r="O7" s="18"/>
      <c r="P7" s="18"/>
      <c r="Q7" s="18"/>
      <c r="R7" s="2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21">
        <f t="shared" si="1"/>
        <v>0</v>
      </c>
      <c r="AJ7" s="56"/>
    </row>
    <row r="8" spans="1:36" s="16" customFormat="1" ht="15" customHeight="1" thickBot="1">
      <c r="A8" s="52"/>
      <c r="B8" s="60" t="s">
        <v>10</v>
      </c>
      <c r="C8" s="61"/>
      <c r="D8" s="22">
        <f t="shared" ref="D8:AH8" si="2">SUM(D3:D7)</f>
        <v>0</v>
      </c>
      <c r="E8" s="22">
        <f t="shared" si="2"/>
        <v>50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 t="shared" si="2"/>
        <v>0</v>
      </c>
      <c r="K8" s="22">
        <f t="shared" si="2"/>
        <v>0</v>
      </c>
      <c r="L8" s="22">
        <f t="shared" si="2"/>
        <v>0</v>
      </c>
      <c r="M8" s="22">
        <f t="shared" si="2"/>
        <v>0</v>
      </c>
      <c r="N8" s="22">
        <f t="shared" si="2"/>
        <v>0</v>
      </c>
      <c r="O8" s="22">
        <f t="shared" si="2"/>
        <v>0</v>
      </c>
      <c r="P8" s="22">
        <f t="shared" si="2"/>
        <v>0</v>
      </c>
      <c r="Q8" s="22">
        <f t="shared" si="2"/>
        <v>0</v>
      </c>
      <c r="R8" s="23">
        <f t="shared" si="2"/>
        <v>0</v>
      </c>
      <c r="S8" s="22">
        <f t="shared" si="2"/>
        <v>0</v>
      </c>
      <c r="T8" s="22">
        <f t="shared" si="2"/>
        <v>0</v>
      </c>
      <c r="U8" s="22">
        <f t="shared" si="2"/>
        <v>0</v>
      </c>
      <c r="V8" s="22">
        <f t="shared" si="2"/>
        <v>25</v>
      </c>
      <c r="W8" s="22">
        <f t="shared" si="2"/>
        <v>0</v>
      </c>
      <c r="X8" s="22">
        <f t="shared" si="2"/>
        <v>0</v>
      </c>
      <c r="Y8" s="22">
        <f t="shared" si="2"/>
        <v>0</v>
      </c>
      <c r="Z8" s="22">
        <f t="shared" si="2"/>
        <v>0</v>
      </c>
      <c r="AA8" s="22">
        <f t="shared" si="2"/>
        <v>0</v>
      </c>
      <c r="AB8" s="22">
        <f t="shared" si="2"/>
        <v>0</v>
      </c>
      <c r="AC8" s="22">
        <f t="shared" si="2"/>
        <v>0</v>
      </c>
      <c r="AD8" s="22">
        <f t="shared" si="2"/>
        <v>0</v>
      </c>
      <c r="AE8" s="22">
        <f t="shared" si="2"/>
        <v>0</v>
      </c>
      <c r="AF8" s="22">
        <f t="shared" si="2"/>
        <v>0</v>
      </c>
      <c r="AG8" s="22">
        <f t="shared" si="2"/>
        <v>50</v>
      </c>
      <c r="AH8" s="22">
        <f t="shared" si="2"/>
        <v>0</v>
      </c>
      <c r="AI8" s="24">
        <f>SUM(D8:AH8)</f>
        <v>125</v>
      </c>
      <c r="AJ8" s="57"/>
    </row>
    <row r="9" spans="1:36" s="16" customFormat="1" ht="15" customHeight="1">
      <c r="A9" s="50" t="s">
        <v>11</v>
      </c>
      <c r="B9" s="53" t="s">
        <v>5</v>
      </c>
      <c r="C9" s="54"/>
      <c r="D9" s="25"/>
      <c r="E9" s="26"/>
      <c r="F9" s="26"/>
      <c r="G9" s="27"/>
      <c r="H9" s="27"/>
      <c r="I9" s="26"/>
      <c r="J9" s="26"/>
      <c r="K9" s="26"/>
      <c r="L9" s="26"/>
      <c r="M9" s="26"/>
      <c r="N9" s="26"/>
      <c r="O9" s="26"/>
      <c r="P9" s="26"/>
      <c r="Q9" s="26"/>
      <c r="R9" s="2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9">
        <f t="shared" si="1"/>
        <v>0</v>
      </c>
      <c r="AJ9" s="55">
        <v>250</v>
      </c>
    </row>
    <row r="10" spans="1:36" s="16" customFormat="1" ht="15" customHeight="1">
      <c r="A10" s="51"/>
      <c r="B10" s="58" t="s">
        <v>6</v>
      </c>
      <c r="C10" s="59"/>
      <c r="D10" s="17"/>
      <c r="E10" s="18"/>
      <c r="F10" s="18"/>
      <c r="G10" s="19"/>
      <c r="H10" s="19"/>
      <c r="I10" s="18">
        <v>1</v>
      </c>
      <c r="J10" s="18"/>
      <c r="K10" s="18"/>
      <c r="L10" s="18"/>
      <c r="M10" s="18"/>
      <c r="N10" s="18"/>
      <c r="O10" s="18"/>
      <c r="P10" s="18"/>
      <c r="Q10" s="18"/>
      <c r="R10" s="20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>
        <v>24</v>
      </c>
      <c r="AG10" s="18"/>
      <c r="AH10" s="18"/>
      <c r="AI10" s="21">
        <f t="shared" si="1"/>
        <v>25</v>
      </c>
      <c r="AJ10" s="62"/>
    </row>
    <row r="11" spans="1:36" s="16" customFormat="1" ht="15" customHeight="1">
      <c r="A11" s="51"/>
      <c r="B11" s="58" t="s">
        <v>12</v>
      </c>
      <c r="C11" s="59"/>
      <c r="D11" s="17"/>
      <c r="E11" s="18"/>
      <c r="F11" s="18"/>
      <c r="G11" s="19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20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v>21</v>
      </c>
      <c r="AD11" s="18"/>
      <c r="AE11" s="18"/>
      <c r="AF11" s="18"/>
      <c r="AG11" s="18"/>
      <c r="AH11" s="18"/>
      <c r="AI11" s="21">
        <f t="shared" si="1"/>
        <v>21</v>
      </c>
      <c r="AJ11" s="62"/>
    </row>
    <row r="12" spans="1:36" s="16" customFormat="1" ht="15" customHeight="1">
      <c r="A12" s="51"/>
      <c r="B12" s="58" t="s">
        <v>8</v>
      </c>
      <c r="C12" s="59"/>
      <c r="D12" s="17"/>
      <c r="E12" s="18"/>
      <c r="F12" s="18"/>
      <c r="G12" s="19"/>
      <c r="H12" s="19"/>
      <c r="I12" s="18"/>
      <c r="J12" s="18"/>
      <c r="K12" s="18"/>
      <c r="L12" s="18">
        <v>24</v>
      </c>
      <c r="M12" s="18"/>
      <c r="N12" s="18"/>
      <c r="O12" s="18"/>
      <c r="P12" s="18"/>
      <c r="Q12" s="18"/>
      <c r="R12" s="20">
        <v>29</v>
      </c>
      <c r="S12" s="18"/>
      <c r="T12" s="18"/>
      <c r="U12" s="18"/>
      <c r="V12" s="18"/>
      <c r="W12" s="18">
        <v>25</v>
      </c>
      <c r="X12" s="18">
        <v>25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1">
        <f t="shared" si="1"/>
        <v>103</v>
      </c>
      <c r="AJ12" s="62"/>
    </row>
    <row r="13" spans="1:36" s="16" customFormat="1" ht="15" customHeight="1">
      <c r="A13" s="51"/>
      <c r="B13" s="58" t="s">
        <v>9</v>
      </c>
      <c r="C13" s="59"/>
      <c r="D13" s="17"/>
      <c r="E13" s="18"/>
      <c r="F13" s="18"/>
      <c r="G13" s="19"/>
      <c r="H13" s="19"/>
      <c r="I13" s="18">
        <v>6</v>
      </c>
      <c r="J13" s="18"/>
      <c r="K13" s="18"/>
      <c r="L13" s="18"/>
      <c r="M13" s="18"/>
      <c r="N13" s="18"/>
      <c r="O13" s="18"/>
      <c r="P13" s="18"/>
      <c r="Q13" s="18"/>
      <c r="R13" s="20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9">
        <f t="shared" si="1"/>
        <v>6</v>
      </c>
      <c r="AJ13" s="62"/>
    </row>
    <row r="14" spans="1:36" s="16" customFormat="1" ht="15" customHeight="1" thickBot="1">
      <c r="A14" s="52"/>
      <c r="B14" s="60" t="s">
        <v>10</v>
      </c>
      <c r="C14" s="61"/>
      <c r="D14" s="22">
        <f t="shared" ref="D14:AH14" si="3">SUM(D9:D13)</f>
        <v>0</v>
      </c>
      <c r="E14" s="22">
        <f t="shared" si="3"/>
        <v>0</v>
      </c>
      <c r="F14" s="22">
        <f t="shared" si="3"/>
        <v>0</v>
      </c>
      <c r="G14" s="22">
        <f t="shared" si="3"/>
        <v>0</v>
      </c>
      <c r="H14" s="22">
        <f t="shared" si="3"/>
        <v>0</v>
      </c>
      <c r="I14" s="22">
        <f t="shared" si="3"/>
        <v>7</v>
      </c>
      <c r="J14" s="22">
        <f t="shared" si="3"/>
        <v>0</v>
      </c>
      <c r="K14" s="22">
        <f t="shared" si="3"/>
        <v>0</v>
      </c>
      <c r="L14" s="22">
        <f t="shared" si="3"/>
        <v>24</v>
      </c>
      <c r="M14" s="22">
        <f t="shared" si="3"/>
        <v>0</v>
      </c>
      <c r="N14" s="22">
        <f t="shared" si="3"/>
        <v>0</v>
      </c>
      <c r="O14" s="22">
        <f t="shared" si="3"/>
        <v>0</v>
      </c>
      <c r="P14" s="22">
        <f t="shared" si="3"/>
        <v>0</v>
      </c>
      <c r="Q14" s="22">
        <f>SUM(Q9:Q13)</f>
        <v>0</v>
      </c>
      <c r="R14" s="23">
        <f t="shared" si="3"/>
        <v>29</v>
      </c>
      <c r="S14" s="22">
        <f t="shared" si="3"/>
        <v>0</v>
      </c>
      <c r="T14" s="22">
        <f t="shared" si="3"/>
        <v>0</v>
      </c>
      <c r="U14" s="22">
        <f t="shared" si="3"/>
        <v>0</v>
      </c>
      <c r="V14" s="22">
        <f t="shared" si="3"/>
        <v>0</v>
      </c>
      <c r="W14" s="22">
        <f t="shared" si="3"/>
        <v>25</v>
      </c>
      <c r="X14" s="22">
        <f t="shared" si="3"/>
        <v>25</v>
      </c>
      <c r="Y14" s="22">
        <f t="shared" si="3"/>
        <v>0</v>
      </c>
      <c r="Z14" s="22">
        <f t="shared" si="3"/>
        <v>0</v>
      </c>
      <c r="AA14" s="22">
        <f t="shared" si="3"/>
        <v>0</v>
      </c>
      <c r="AB14" s="22">
        <f t="shared" si="3"/>
        <v>0</v>
      </c>
      <c r="AC14" s="22">
        <f t="shared" si="3"/>
        <v>21</v>
      </c>
      <c r="AD14" s="22">
        <f t="shared" si="3"/>
        <v>0</v>
      </c>
      <c r="AE14" s="22">
        <f t="shared" si="3"/>
        <v>0</v>
      </c>
      <c r="AF14" s="22">
        <f t="shared" si="3"/>
        <v>24</v>
      </c>
      <c r="AG14" s="22">
        <f t="shared" si="3"/>
        <v>0</v>
      </c>
      <c r="AH14" s="22">
        <f t="shared" si="3"/>
        <v>0</v>
      </c>
      <c r="AI14" s="30">
        <f t="shared" si="1"/>
        <v>155</v>
      </c>
      <c r="AJ14" s="63"/>
    </row>
    <row r="15" spans="1:36" s="16" customFormat="1" ht="15" customHeight="1">
      <c r="A15" s="50" t="s">
        <v>13</v>
      </c>
      <c r="B15" s="53" t="s">
        <v>5</v>
      </c>
      <c r="C15" s="54"/>
      <c r="D15" s="31"/>
      <c r="E15" s="32"/>
      <c r="F15" s="32"/>
      <c r="G15" s="33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12"/>
      <c r="AH15" s="12"/>
      <c r="AI15" s="15">
        <f t="shared" si="1"/>
        <v>0</v>
      </c>
      <c r="AJ15" s="55">
        <v>250</v>
      </c>
    </row>
    <row r="16" spans="1:36" s="16" customFormat="1" ht="15" customHeight="1">
      <c r="A16" s="51"/>
      <c r="B16" s="58" t="s">
        <v>6</v>
      </c>
      <c r="C16" s="59"/>
      <c r="D16" s="17"/>
      <c r="E16" s="18"/>
      <c r="F16" s="18"/>
      <c r="G16" s="19"/>
      <c r="H16" s="19"/>
      <c r="I16" s="18"/>
      <c r="J16" s="18">
        <v>1</v>
      </c>
      <c r="K16" s="18"/>
      <c r="L16" s="18"/>
      <c r="M16" s="18"/>
      <c r="N16" s="18"/>
      <c r="O16" s="18"/>
      <c r="P16" s="18"/>
      <c r="Q16" s="18"/>
      <c r="R16" s="20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1">
        <f t="shared" si="1"/>
        <v>1</v>
      </c>
      <c r="AJ16" s="56"/>
    </row>
    <row r="17" spans="1:36" s="16" customFormat="1" ht="15" customHeight="1">
      <c r="A17" s="51"/>
      <c r="B17" s="58" t="s">
        <v>12</v>
      </c>
      <c r="C17" s="59"/>
      <c r="D17" s="17"/>
      <c r="E17" s="18"/>
      <c r="F17" s="18"/>
      <c r="G17" s="19"/>
      <c r="H17" s="19"/>
      <c r="I17" s="18"/>
      <c r="J17" s="36">
        <v>20</v>
      </c>
      <c r="K17" s="18"/>
      <c r="L17" s="18"/>
      <c r="M17" s="18"/>
      <c r="N17" s="18"/>
      <c r="O17" s="18"/>
      <c r="P17" s="18"/>
      <c r="Q17" s="18"/>
      <c r="R17" s="20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1">
        <f t="shared" si="1"/>
        <v>20</v>
      </c>
      <c r="AJ17" s="56"/>
    </row>
    <row r="18" spans="1:36" s="16" customFormat="1" ht="15" customHeight="1">
      <c r="A18" s="51"/>
      <c r="B18" s="58" t="s">
        <v>8</v>
      </c>
      <c r="C18" s="59"/>
      <c r="D18" s="37"/>
      <c r="E18" s="38"/>
      <c r="F18" s="38"/>
      <c r="G18" s="39"/>
      <c r="H18" s="19"/>
      <c r="I18" s="40"/>
      <c r="J18" s="40"/>
      <c r="K18" s="40"/>
      <c r="L18" s="40"/>
      <c r="M18" s="40"/>
      <c r="N18" s="40"/>
      <c r="O18" s="40">
        <v>25</v>
      </c>
      <c r="P18" s="40"/>
      <c r="Q18" s="40"/>
      <c r="R18" s="41"/>
      <c r="S18" s="40">
        <v>23</v>
      </c>
      <c r="T18" s="40"/>
      <c r="U18" s="40"/>
      <c r="V18" s="40"/>
      <c r="W18" s="40"/>
      <c r="X18" s="40">
        <v>29</v>
      </c>
      <c r="Y18" s="40"/>
      <c r="Z18" s="40"/>
      <c r="AA18" s="40"/>
      <c r="AB18" s="40"/>
      <c r="AC18" s="40"/>
      <c r="AD18" s="40">
        <v>25</v>
      </c>
      <c r="AE18" s="40"/>
      <c r="AF18" s="40"/>
      <c r="AG18" s="40"/>
      <c r="AH18" s="18"/>
      <c r="AI18" s="21">
        <f t="shared" si="1"/>
        <v>102</v>
      </c>
      <c r="AJ18" s="56"/>
    </row>
    <row r="19" spans="1:36" s="16" customFormat="1" ht="15" customHeight="1">
      <c r="A19" s="51"/>
      <c r="B19" s="58" t="s">
        <v>9</v>
      </c>
      <c r="C19" s="59"/>
      <c r="D19" s="37"/>
      <c r="E19" s="38"/>
      <c r="F19" s="38"/>
      <c r="G19" s="39"/>
      <c r="H19" s="19"/>
      <c r="I19" s="40"/>
      <c r="J19" s="40"/>
      <c r="K19" s="40">
        <v>7</v>
      </c>
      <c r="L19" s="40"/>
      <c r="M19" s="40"/>
      <c r="N19" s="40"/>
      <c r="O19" s="40"/>
      <c r="P19" s="40"/>
      <c r="Q19" s="40"/>
      <c r="R19" s="41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>
        <v>15</v>
      </c>
      <c r="AF19" s="40"/>
      <c r="AG19" s="40"/>
      <c r="AH19" s="18"/>
      <c r="AI19" s="21">
        <f t="shared" si="1"/>
        <v>22</v>
      </c>
      <c r="AJ19" s="56"/>
    </row>
    <row r="20" spans="1:36" s="16" customFormat="1" ht="15" customHeight="1" thickBot="1">
      <c r="A20" s="52"/>
      <c r="B20" s="60" t="s">
        <v>14</v>
      </c>
      <c r="C20" s="61"/>
      <c r="D20" s="22">
        <f t="shared" ref="D20:AH20" si="4">SUM(D15:D19)</f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21</v>
      </c>
      <c r="K20" s="22">
        <f t="shared" si="4"/>
        <v>7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25</v>
      </c>
      <c r="P20" s="22">
        <f t="shared" si="4"/>
        <v>0</v>
      </c>
      <c r="Q20" s="22">
        <f t="shared" si="4"/>
        <v>0</v>
      </c>
      <c r="R20" s="23">
        <f t="shared" si="4"/>
        <v>0</v>
      </c>
      <c r="S20" s="22">
        <f t="shared" si="4"/>
        <v>23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29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25</v>
      </c>
      <c r="AE20" s="22">
        <f t="shared" si="4"/>
        <v>15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4">
        <f t="shared" si="1"/>
        <v>145</v>
      </c>
      <c r="AJ20" s="57"/>
    </row>
    <row r="21" spans="1:36" s="16" customFormat="1" ht="15" customHeight="1">
      <c r="A21" s="50" t="s">
        <v>15</v>
      </c>
      <c r="B21" s="53" t="s">
        <v>5</v>
      </c>
      <c r="C21" s="54"/>
      <c r="D21" s="31"/>
      <c r="E21" s="32"/>
      <c r="F21" s="32"/>
      <c r="G21" s="33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12"/>
      <c r="AH21" s="12"/>
      <c r="AI21" s="15">
        <f t="shared" si="1"/>
        <v>0</v>
      </c>
      <c r="AJ21" s="55">
        <v>250</v>
      </c>
    </row>
    <row r="22" spans="1:36" s="16" customFormat="1" ht="15" customHeight="1">
      <c r="A22" s="51"/>
      <c r="B22" s="58" t="s">
        <v>6</v>
      </c>
      <c r="C22" s="59"/>
      <c r="D22" s="17"/>
      <c r="E22" s="18"/>
      <c r="F22" s="18"/>
      <c r="G22" s="19"/>
      <c r="H22" s="19"/>
      <c r="I22" s="18"/>
      <c r="J22" s="18">
        <v>1</v>
      </c>
      <c r="K22" s="18"/>
      <c r="L22" s="18"/>
      <c r="M22" s="18"/>
      <c r="N22" s="18"/>
      <c r="O22" s="18"/>
      <c r="P22" s="18"/>
      <c r="Q22" s="18"/>
      <c r="R22" s="20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1">
        <f t="shared" si="1"/>
        <v>1</v>
      </c>
      <c r="AJ22" s="56"/>
    </row>
    <row r="23" spans="1:36" s="16" customFormat="1" ht="15" customHeight="1">
      <c r="A23" s="51"/>
      <c r="B23" s="58" t="s">
        <v>12</v>
      </c>
      <c r="C23" s="59"/>
      <c r="D23" s="17"/>
      <c r="E23" s="18"/>
      <c r="F23" s="18"/>
      <c r="G23" s="19"/>
      <c r="H23" s="19"/>
      <c r="I23" s="18"/>
      <c r="J23" s="36">
        <v>20</v>
      </c>
      <c r="K23" s="18"/>
      <c r="L23" s="18"/>
      <c r="M23" s="18"/>
      <c r="N23" s="18"/>
      <c r="O23" s="18"/>
      <c r="P23" s="18"/>
      <c r="Q23" s="18"/>
      <c r="R23" s="20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1">
        <f t="shared" si="1"/>
        <v>20</v>
      </c>
      <c r="AJ23" s="56"/>
    </row>
    <row r="24" spans="1:36" s="16" customFormat="1" ht="15" customHeight="1">
      <c r="A24" s="51"/>
      <c r="B24" s="58" t="s">
        <v>8</v>
      </c>
      <c r="C24" s="59"/>
      <c r="D24" s="37"/>
      <c r="E24" s="38"/>
      <c r="F24" s="38"/>
      <c r="G24" s="39"/>
      <c r="H24" s="19"/>
      <c r="I24" s="40"/>
      <c r="J24" s="40"/>
      <c r="K24" s="40"/>
      <c r="L24" s="40"/>
      <c r="M24" s="40"/>
      <c r="N24" s="40"/>
      <c r="O24" s="40">
        <v>25</v>
      </c>
      <c r="P24" s="40"/>
      <c r="Q24" s="40"/>
      <c r="R24" s="41"/>
      <c r="S24" s="40">
        <v>23</v>
      </c>
      <c r="T24" s="40"/>
      <c r="U24" s="40"/>
      <c r="V24" s="40"/>
      <c r="W24" s="40"/>
      <c r="X24" s="40">
        <v>29</v>
      </c>
      <c r="Y24" s="40"/>
      <c r="Z24" s="40"/>
      <c r="AA24" s="40"/>
      <c r="AB24" s="40"/>
      <c r="AC24" s="40"/>
      <c r="AD24" s="40">
        <v>25</v>
      </c>
      <c r="AE24" s="40"/>
      <c r="AF24" s="40"/>
      <c r="AG24" s="40"/>
      <c r="AH24" s="18"/>
      <c r="AI24" s="21">
        <f t="shared" si="1"/>
        <v>102</v>
      </c>
      <c r="AJ24" s="56"/>
    </row>
    <row r="25" spans="1:36" s="16" customFormat="1" ht="15" customHeight="1">
      <c r="A25" s="51"/>
      <c r="B25" s="58" t="s">
        <v>9</v>
      </c>
      <c r="C25" s="59"/>
      <c r="D25" s="37"/>
      <c r="E25" s="38"/>
      <c r="F25" s="38"/>
      <c r="G25" s="39"/>
      <c r="H25" s="19"/>
      <c r="I25" s="40"/>
      <c r="J25" s="40"/>
      <c r="K25" s="40">
        <v>7</v>
      </c>
      <c r="L25" s="40"/>
      <c r="M25" s="40"/>
      <c r="N25" s="40"/>
      <c r="O25" s="40"/>
      <c r="P25" s="40"/>
      <c r="Q25" s="40"/>
      <c r="R25" s="41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>
        <v>15</v>
      </c>
      <c r="AF25" s="40"/>
      <c r="AG25" s="40"/>
      <c r="AH25" s="18"/>
      <c r="AI25" s="21">
        <f t="shared" si="1"/>
        <v>22</v>
      </c>
      <c r="AJ25" s="56"/>
    </row>
    <row r="26" spans="1:36" s="16" customFormat="1" ht="15" customHeight="1" thickBot="1">
      <c r="A26" s="52"/>
      <c r="B26" s="60" t="s">
        <v>14</v>
      </c>
      <c r="C26" s="61"/>
      <c r="D26" s="22">
        <f t="shared" ref="D26:AH26" si="5">SUM(D21:D25)</f>
        <v>0</v>
      </c>
      <c r="E26" s="22">
        <f t="shared" si="5"/>
        <v>0</v>
      </c>
      <c r="F26" s="22">
        <f t="shared" si="5"/>
        <v>0</v>
      </c>
      <c r="G26" s="22">
        <f t="shared" si="5"/>
        <v>0</v>
      </c>
      <c r="H26" s="22">
        <f t="shared" si="5"/>
        <v>0</v>
      </c>
      <c r="I26" s="22">
        <f t="shared" si="5"/>
        <v>0</v>
      </c>
      <c r="J26" s="22">
        <f t="shared" si="5"/>
        <v>21</v>
      </c>
      <c r="K26" s="22">
        <f t="shared" si="5"/>
        <v>7</v>
      </c>
      <c r="L26" s="22">
        <f t="shared" si="5"/>
        <v>0</v>
      </c>
      <c r="M26" s="22">
        <f t="shared" si="5"/>
        <v>0</v>
      </c>
      <c r="N26" s="22">
        <f t="shared" si="5"/>
        <v>0</v>
      </c>
      <c r="O26" s="22">
        <f t="shared" si="5"/>
        <v>25</v>
      </c>
      <c r="P26" s="22">
        <f t="shared" si="5"/>
        <v>0</v>
      </c>
      <c r="Q26" s="22">
        <f t="shared" si="5"/>
        <v>0</v>
      </c>
      <c r="R26" s="23">
        <f t="shared" si="5"/>
        <v>0</v>
      </c>
      <c r="S26" s="22">
        <f t="shared" si="5"/>
        <v>23</v>
      </c>
      <c r="T26" s="22">
        <f t="shared" si="5"/>
        <v>0</v>
      </c>
      <c r="U26" s="22">
        <f t="shared" si="5"/>
        <v>0</v>
      </c>
      <c r="V26" s="22">
        <f t="shared" si="5"/>
        <v>0</v>
      </c>
      <c r="W26" s="22">
        <f t="shared" si="5"/>
        <v>0</v>
      </c>
      <c r="X26" s="22">
        <f t="shared" si="5"/>
        <v>29</v>
      </c>
      <c r="Y26" s="22">
        <f t="shared" si="5"/>
        <v>0</v>
      </c>
      <c r="Z26" s="22">
        <f t="shared" si="5"/>
        <v>0</v>
      </c>
      <c r="AA26" s="22">
        <f t="shared" si="5"/>
        <v>0</v>
      </c>
      <c r="AB26" s="22">
        <f t="shared" si="5"/>
        <v>0</v>
      </c>
      <c r="AC26" s="22">
        <f t="shared" si="5"/>
        <v>0</v>
      </c>
      <c r="AD26" s="22">
        <f t="shared" si="5"/>
        <v>25</v>
      </c>
      <c r="AE26" s="22">
        <f t="shared" si="5"/>
        <v>15</v>
      </c>
      <c r="AF26" s="22">
        <f t="shared" si="5"/>
        <v>0</v>
      </c>
      <c r="AG26" s="22">
        <f t="shared" si="5"/>
        <v>0</v>
      </c>
      <c r="AH26" s="22">
        <f t="shared" si="5"/>
        <v>0</v>
      </c>
      <c r="AI26" s="24">
        <f t="shared" si="1"/>
        <v>145</v>
      </c>
      <c r="AJ26" s="57"/>
    </row>
    <row r="27" spans="1:36" s="16" customFormat="1" ht="15" customHeight="1">
      <c r="A27" s="50" t="s">
        <v>16</v>
      </c>
      <c r="B27" s="53" t="s">
        <v>5</v>
      </c>
      <c r="C27" s="54"/>
      <c r="D27" s="31"/>
      <c r="E27" s="32"/>
      <c r="F27" s="32"/>
      <c r="G27" s="33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12"/>
      <c r="AH27" s="12"/>
      <c r="AI27" s="15">
        <f t="shared" si="1"/>
        <v>0</v>
      </c>
      <c r="AJ27" s="55">
        <v>250</v>
      </c>
    </row>
    <row r="28" spans="1:36" s="16" customFormat="1" ht="15" customHeight="1">
      <c r="A28" s="51"/>
      <c r="B28" s="58" t="s">
        <v>6</v>
      </c>
      <c r="C28" s="59"/>
      <c r="D28" s="17"/>
      <c r="E28" s="18"/>
      <c r="F28" s="18"/>
      <c r="G28" s="19"/>
      <c r="H28" s="19"/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1">
        <f t="shared" si="1"/>
        <v>1</v>
      </c>
      <c r="AJ28" s="56"/>
    </row>
    <row r="29" spans="1:36" s="16" customFormat="1" ht="15" customHeight="1">
      <c r="A29" s="51"/>
      <c r="B29" s="58" t="s">
        <v>12</v>
      </c>
      <c r="C29" s="59"/>
      <c r="D29" s="17"/>
      <c r="E29" s="18"/>
      <c r="F29" s="18"/>
      <c r="G29" s="19"/>
      <c r="H29" s="19"/>
      <c r="I29" s="18"/>
      <c r="J29" s="36">
        <v>20</v>
      </c>
      <c r="K29" s="18"/>
      <c r="L29" s="18"/>
      <c r="M29" s="18"/>
      <c r="N29" s="18"/>
      <c r="O29" s="18"/>
      <c r="P29" s="18"/>
      <c r="Q29" s="18"/>
      <c r="R29" s="20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1">
        <f t="shared" si="1"/>
        <v>20</v>
      </c>
      <c r="AJ29" s="56"/>
    </row>
    <row r="30" spans="1:36" s="16" customFormat="1" ht="15" customHeight="1">
      <c r="A30" s="51"/>
      <c r="B30" s="58" t="s">
        <v>8</v>
      </c>
      <c r="C30" s="59"/>
      <c r="D30" s="37"/>
      <c r="E30" s="38"/>
      <c r="F30" s="38"/>
      <c r="G30" s="39"/>
      <c r="H30" s="19"/>
      <c r="I30" s="40"/>
      <c r="J30" s="40"/>
      <c r="K30" s="40"/>
      <c r="L30" s="40"/>
      <c r="M30" s="40"/>
      <c r="N30" s="40"/>
      <c r="O30" s="40">
        <v>25</v>
      </c>
      <c r="P30" s="40"/>
      <c r="Q30" s="40"/>
      <c r="R30" s="41"/>
      <c r="S30" s="40">
        <v>23</v>
      </c>
      <c r="T30" s="40"/>
      <c r="U30" s="40"/>
      <c r="V30" s="40"/>
      <c r="W30" s="40"/>
      <c r="X30" s="40">
        <v>29</v>
      </c>
      <c r="Y30" s="40"/>
      <c r="Z30" s="40"/>
      <c r="AA30" s="40"/>
      <c r="AB30" s="40"/>
      <c r="AC30" s="40"/>
      <c r="AD30" s="40">
        <v>25</v>
      </c>
      <c r="AE30" s="40"/>
      <c r="AF30" s="40"/>
      <c r="AG30" s="40"/>
      <c r="AH30" s="18"/>
      <c r="AI30" s="21">
        <f t="shared" si="1"/>
        <v>102</v>
      </c>
      <c r="AJ30" s="56"/>
    </row>
    <row r="31" spans="1:36" s="16" customFormat="1" ht="15" customHeight="1">
      <c r="A31" s="51"/>
      <c r="B31" s="58" t="s">
        <v>9</v>
      </c>
      <c r="C31" s="59"/>
      <c r="D31" s="37"/>
      <c r="E31" s="38"/>
      <c r="F31" s="38"/>
      <c r="G31" s="39"/>
      <c r="H31" s="19"/>
      <c r="I31" s="40"/>
      <c r="J31" s="40"/>
      <c r="K31" s="40">
        <v>7</v>
      </c>
      <c r="L31" s="40"/>
      <c r="M31" s="40"/>
      <c r="N31" s="40"/>
      <c r="O31" s="40"/>
      <c r="P31" s="40"/>
      <c r="Q31" s="40"/>
      <c r="R31" s="41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>
        <v>15</v>
      </c>
      <c r="AF31" s="40"/>
      <c r="AG31" s="40"/>
      <c r="AH31" s="18"/>
      <c r="AI31" s="21">
        <f t="shared" si="1"/>
        <v>22</v>
      </c>
      <c r="AJ31" s="56"/>
    </row>
    <row r="32" spans="1:36" s="16" customFormat="1" ht="15" customHeight="1" thickBot="1">
      <c r="A32" s="52"/>
      <c r="B32" s="60" t="s">
        <v>14</v>
      </c>
      <c r="C32" s="61"/>
      <c r="D32" s="22">
        <f t="shared" ref="D32:AH32" si="6">SUM(D27:D31)</f>
        <v>0</v>
      </c>
      <c r="E32" s="22">
        <f t="shared" si="6"/>
        <v>0</v>
      </c>
      <c r="F32" s="22">
        <f t="shared" si="6"/>
        <v>0</v>
      </c>
      <c r="G32" s="22">
        <f t="shared" si="6"/>
        <v>0</v>
      </c>
      <c r="H32" s="22">
        <f t="shared" si="6"/>
        <v>0</v>
      </c>
      <c r="I32" s="22">
        <f t="shared" si="6"/>
        <v>0</v>
      </c>
      <c r="J32" s="22">
        <f t="shared" si="6"/>
        <v>21</v>
      </c>
      <c r="K32" s="22">
        <f t="shared" si="6"/>
        <v>7</v>
      </c>
      <c r="L32" s="22">
        <f t="shared" si="6"/>
        <v>0</v>
      </c>
      <c r="M32" s="22">
        <f t="shared" si="6"/>
        <v>0</v>
      </c>
      <c r="N32" s="22">
        <f t="shared" si="6"/>
        <v>0</v>
      </c>
      <c r="O32" s="22">
        <f t="shared" si="6"/>
        <v>25</v>
      </c>
      <c r="P32" s="22">
        <f t="shared" si="6"/>
        <v>0</v>
      </c>
      <c r="Q32" s="22">
        <f t="shared" si="6"/>
        <v>0</v>
      </c>
      <c r="R32" s="23">
        <f t="shared" si="6"/>
        <v>0</v>
      </c>
      <c r="S32" s="22">
        <f t="shared" si="6"/>
        <v>23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22">
        <f t="shared" si="6"/>
        <v>0</v>
      </c>
      <c r="X32" s="22">
        <f t="shared" si="6"/>
        <v>29</v>
      </c>
      <c r="Y32" s="22">
        <f t="shared" si="6"/>
        <v>0</v>
      </c>
      <c r="Z32" s="22">
        <f t="shared" si="6"/>
        <v>0</v>
      </c>
      <c r="AA32" s="22">
        <f t="shared" si="6"/>
        <v>0</v>
      </c>
      <c r="AB32" s="22">
        <f t="shared" si="6"/>
        <v>0</v>
      </c>
      <c r="AC32" s="22">
        <f t="shared" si="6"/>
        <v>0</v>
      </c>
      <c r="AD32" s="22">
        <f t="shared" si="6"/>
        <v>25</v>
      </c>
      <c r="AE32" s="22">
        <f t="shared" si="6"/>
        <v>15</v>
      </c>
      <c r="AF32" s="22">
        <f t="shared" si="6"/>
        <v>0</v>
      </c>
      <c r="AG32" s="22">
        <f t="shared" si="6"/>
        <v>0</v>
      </c>
      <c r="AH32" s="22">
        <f t="shared" si="6"/>
        <v>0</v>
      </c>
      <c r="AI32" s="24">
        <f t="shared" si="1"/>
        <v>145</v>
      </c>
      <c r="AJ32" s="57"/>
    </row>
  </sheetData>
  <mergeCells count="42">
    <mergeCell ref="A27:A32"/>
    <mergeCell ref="B27:C27"/>
    <mergeCell ref="AJ27:AJ32"/>
    <mergeCell ref="B28:C28"/>
    <mergeCell ref="B29:C29"/>
    <mergeCell ref="B30:C30"/>
    <mergeCell ref="B31:C31"/>
    <mergeCell ref="B32:C32"/>
    <mergeCell ref="A21:A26"/>
    <mergeCell ref="B21:C21"/>
    <mergeCell ref="AJ21:AJ26"/>
    <mergeCell ref="B22:C22"/>
    <mergeCell ref="B23:C23"/>
    <mergeCell ref="B24:C24"/>
    <mergeCell ref="B25:C25"/>
    <mergeCell ref="B26:C26"/>
    <mergeCell ref="A15:A20"/>
    <mergeCell ref="B15:C15"/>
    <mergeCell ref="AJ15:AJ20"/>
    <mergeCell ref="B16:C16"/>
    <mergeCell ref="B17:C17"/>
    <mergeCell ref="B18:C18"/>
    <mergeCell ref="B19:C19"/>
    <mergeCell ref="B20:C20"/>
    <mergeCell ref="A9:A14"/>
    <mergeCell ref="B9:C9"/>
    <mergeCell ref="AJ9:AJ14"/>
    <mergeCell ref="B10:C10"/>
    <mergeCell ref="B11:C11"/>
    <mergeCell ref="B12:C12"/>
    <mergeCell ref="B13:C13"/>
    <mergeCell ref="B14:C14"/>
    <mergeCell ref="D1:O1"/>
    <mergeCell ref="B2:C2"/>
    <mergeCell ref="A3:A8"/>
    <mergeCell ref="B3:C3"/>
    <mergeCell ref="AJ3:AJ8"/>
    <mergeCell ref="B4:C4"/>
    <mergeCell ref="B5:C5"/>
    <mergeCell ref="B6:C6"/>
    <mergeCell ref="B7:C7"/>
    <mergeCell ref="B8:C8"/>
  </mergeCells>
  <phoneticPr fontId="2" type="noConversion"/>
  <conditionalFormatting sqref="D2:AH2">
    <cfRule type="expression" dxfId="39" priority="3" stopIfTrue="1">
      <formula>WEEKDAY(D2)=7</formula>
    </cfRule>
    <cfRule type="expression" dxfId="38" priority="4" stopIfTrue="1">
      <formula>WEEKDAY(D2)=1</formula>
    </cfRule>
  </conditionalFormatting>
  <conditionalFormatting sqref="D2:AH32">
    <cfRule type="expression" dxfId="37" priority="1">
      <formula>TEXT(D$2,"AAA")="일"</formula>
    </cfRule>
    <cfRule type="expression" dxfId="36" priority="2" stopIfTrue="1">
      <formula>TEXT(D$2,"AAA")="토"</formula>
    </cfRule>
    <cfRule type="expression" dxfId="35" priority="5">
      <formula>FALSE</formula>
    </cfRule>
  </conditionalFormatting>
  <pageMargins left="0.19685039370078741" right="0.39370078740157483" top="0.19685039370078741" bottom="0.11811023622047245" header="0.15748031496062992" footer="0.11811023622047245"/>
  <pageSetup paperSize="9" scale="70" fitToWidth="0" orientation="landscape" r:id="rId1"/>
  <headerFooter alignWithMargins="0">
    <oddFooter>&amp;LF705-02 (R01) &amp;C(주) 덱스코윈&amp;R&amp;P/&amp;N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EEEB-2F0F-4C5B-8C67-A9F60057B54D}">
  <dimension ref="A1:AJ32"/>
  <sheetViews>
    <sheetView showGridLines="0" zoomScale="85" zoomScaleNormal="85" workbookViewId="0">
      <pane xSplit="3" ySplit="2" topLeftCell="D3" activePane="bottomRight" state="frozen"/>
      <selection activeCell="AH19" sqref="AH19"/>
      <selection pane="topRight" activeCell="AH19" sqref="AH19"/>
      <selection pane="bottomLeft" activeCell="AH19" sqref="AH19"/>
      <selection pane="bottomRight" activeCell="AI12" sqref="AI12"/>
    </sheetView>
  </sheetViews>
  <sheetFormatPr defaultColWidth="8.77734375" defaultRowHeight="16.5"/>
  <cols>
    <col min="1" max="1" width="7.21875" style="43" customWidth="1"/>
    <col min="2" max="2" width="11.109375" style="43" customWidth="1"/>
    <col min="3" max="3" width="7.6640625" style="43" customWidth="1"/>
    <col min="4" max="6" width="4.33203125" style="42" customWidth="1"/>
    <col min="7" max="8" width="4.33203125" style="44" customWidth="1"/>
    <col min="9" max="17" width="4.33203125" style="42" customWidth="1"/>
    <col min="18" max="18" width="4.33203125" style="45" customWidth="1"/>
    <col min="19" max="34" width="4.33203125" style="42" customWidth="1"/>
    <col min="35" max="35" width="7.21875" style="46" customWidth="1"/>
    <col min="36" max="36" width="6" style="16" customWidth="1"/>
    <col min="37" max="16384" width="8.77734375" style="3"/>
  </cols>
  <sheetData>
    <row r="1" spans="1:36" ht="21.75" customHeight="1" thickBot="1">
      <c r="A1" s="1"/>
      <c r="B1" s="1"/>
      <c r="C1" s="1"/>
      <c r="D1" s="47">
        <v>46174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"/>
      <c r="Q1" s="2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</row>
    <row r="2" spans="1:36" s="10" customFormat="1" ht="30" customHeight="1" thickBot="1">
      <c r="A2" s="4" t="s">
        <v>0</v>
      </c>
      <c r="B2" s="48" t="s">
        <v>1</v>
      </c>
      <c r="C2" s="49"/>
      <c r="D2" s="5">
        <f>D1</f>
        <v>46174</v>
      </c>
      <c r="E2" s="6">
        <f>D2+1</f>
        <v>46175</v>
      </c>
      <c r="F2" s="6">
        <f t="shared" ref="F2:AH2" si="0">E2+1</f>
        <v>46176</v>
      </c>
      <c r="G2" s="6">
        <f t="shared" si="0"/>
        <v>46177</v>
      </c>
      <c r="H2" s="6">
        <f t="shared" si="0"/>
        <v>46178</v>
      </c>
      <c r="I2" s="6">
        <f t="shared" si="0"/>
        <v>46179</v>
      </c>
      <c r="J2" s="6">
        <f t="shared" si="0"/>
        <v>46180</v>
      </c>
      <c r="K2" s="6">
        <f t="shared" si="0"/>
        <v>46181</v>
      </c>
      <c r="L2" s="6">
        <f t="shared" si="0"/>
        <v>46182</v>
      </c>
      <c r="M2" s="6">
        <f t="shared" si="0"/>
        <v>46183</v>
      </c>
      <c r="N2" s="6">
        <f t="shared" si="0"/>
        <v>46184</v>
      </c>
      <c r="O2" s="6">
        <f t="shared" si="0"/>
        <v>46185</v>
      </c>
      <c r="P2" s="6">
        <f t="shared" si="0"/>
        <v>46186</v>
      </c>
      <c r="Q2" s="6">
        <f t="shared" si="0"/>
        <v>46187</v>
      </c>
      <c r="R2" s="7">
        <f t="shared" si="0"/>
        <v>46188</v>
      </c>
      <c r="S2" s="6">
        <f t="shared" si="0"/>
        <v>46189</v>
      </c>
      <c r="T2" s="6">
        <f t="shared" si="0"/>
        <v>46190</v>
      </c>
      <c r="U2" s="6">
        <f t="shared" si="0"/>
        <v>46191</v>
      </c>
      <c r="V2" s="6">
        <f t="shared" si="0"/>
        <v>46192</v>
      </c>
      <c r="W2" s="6">
        <f t="shared" si="0"/>
        <v>46193</v>
      </c>
      <c r="X2" s="6">
        <f t="shared" si="0"/>
        <v>46194</v>
      </c>
      <c r="Y2" s="6">
        <f t="shared" si="0"/>
        <v>46195</v>
      </c>
      <c r="Z2" s="6">
        <f t="shared" si="0"/>
        <v>46196</v>
      </c>
      <c r="AA2" s="6">
        <f t="shared" si="0"/>
        <v>46197</v>
      </c>
      <c r="AB2" s="6">
        <f t="shared" si="0"/>
        <v>46198</v>
      </c>
      <c r="AC2" s="6">
        <f t="shared" si="0"/>
        <v>46199</v>
      </c>
      <c r="AD2" s="6">
        <f t="shared" si="0"/>
        <v>46200</v>
      </c>
      <c r="AE2" s="6">
        <f t="shared" si="0"/>
        <v>46201</v>
      </c>
      <c r="AF2" s="6">
        <f t="shared" si="0"/>
        <v>46202</v>
      </c>
      <c r="AG2" s="6">
        <f t="shared" si="0"/>
        <v>46203</v>
      </c>
      <c r="AH2" s="6">
        <f t="shared" si="0"/>
        <v>46204</v>
      </c>
      <c r="AI2" s="8" t="s">
        <v>2</v>
      </c>
      <c r="AJ2" s="9" t="s">
        <v>3</v>
      </c>
    </row>
    <row r="3" spans="1:36" s="16" customFormat="1" ht="15" customHeight="1">
      <c r="A3" s="50" t="s">
        <v>4</v>
      </c>
      <c r="B3" s="53" t="s">
        <v>5</v>
      </c>
      <c r="C3" s="54"/>
      <c r="D3" s="11"/>
      <c r="E3" s="12"/>
      <c r="F3" s="12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>
        <f>SUM(D3:AH3)</f>
        <v>0</v>
      </c>
      <c r="AJ3" s="55">
        <v>250</v>
      </c>
    </row>
    <row r="4" spans="1:36" s="16" customFormat="1" ht="15" customHeight="1">
      <c r="A4" s="51"/>
      <c r="B4" s="58" t="s">
        <v>6</v>
      </c>
      <c r="C4" s="59"/>
      <c r="D4" s="17"/>
      <c r="E4" s="18"/>
      <c r="F4" s="18"/>
      <c r="G4" s="19"/>
      <c r="H4" s="19"/>
      <c r="I4" s="18"/>
      <c r="J4" s="18"/>
      <c r="K4" s="18"/>
      <c r="L4" s="18"/>
      <c r="M4" s="18"/>
      <c r="N4" s="18"/>
      <c r="O4" s="18"/>
      <c r="P4" s="18"/>
      <c r="Q4" s="18"/>
      <c r="R4" s="20"/>
      <c r="S4" s="18"/>
      <c r="T4" s="18"/>
      <c r="U4" s="18"/>
      <c r="V4" s="18">
        <v>25</v>
      </c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21">
        <f t="shared" ref="AI4:AI32" si="1">SUM(D4:AH4)</f>
        <v>25</v>
      </c>
      <c r="AJ4" s="56"/>
    </row>
    <row r="5" spans="1:36" s="16" customFormat="1" ht="15" customHeight="1">
      <c r="A5" s="51"/>
      <c r="B5" s="58" t="s">
        <v>7</v>
      </c>
      <c r="C5" s="59"/>
      <c r="D5" s="17"/>
      <c r="E5" s="18">
        <v>50</v>
      </c>
      <c r="F5" s="18"/>
      <c r="G5" s="19"/>
      <c r="H5" s="19"/>
      <c r="I5" s="18"/>
      <c r="J5" s="18"/>
      <c r="K5" s="18"/>
      <c r="L5" s="18"/>
      <c r="M5" s="18"/>
      <c r="N5" s="18"/>
      <c r="O5" s="18"/>
      <c r="P5" s="18"/>
      <c r="Q5" s="18"/>
      <c r="R5" s="20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21">
        <f t="shared" si="1"/>
        <v>50</v>
      </c>
      <c r="AJ5" s="56"/>
    </row>
    <row r="6" spans="1:36" s="16" customFormat="1" ht="15" customHeight="1">
      <c r="A6" s="51"/>
      <c r="B6" s="58" t="s">
        <v>8</v>
      </c>
      <c r="C6" s="59"/>
      <c r="D6" s="17"/>
      <c r="E6" s="18"/>
      <c r="F6" s="18"/>
      <c r="G6" s="19"/>
      <c r="H6" s="19"/>
      <c r="I6" s="18"/>
      <c r="J6" s="18"/>
      <c r="K6" s="18"/>
      <c r="L6" s="18"/>
      <c r="M6" s="18"/>
      <c r="N6" s="18"/>
      <c r="O6" s="18"/>
      <c r="P6" s="18"/>
      <c r="Q6" s="18"/>
      <c r="R6" s="20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>
        <v>50</v>
      </c>
      <c r="AH6" s="18"/>
      <c r="AI6" s="21">
        <f t="shared" si="1"/>
        <v>50</v>
      </c>
      <c r="AJ6" s="56"/>
    </row>
    <row r="7" spans="1:36" s="16" customFormat="1" ht="15" customHeight="1">
      <c r="A7" s="51"/>
      <c r="B7" s="58" t="s">
        <v>9</v>
      </c>
      <c r="C7" s="59"/>
      <c r="D7" s="17"/>
      <c r="E7" s="18"/>
      <c r="F7" s="18"/>
      <c r="G7" s="19"/>
      <c r="H7" s="19"/>
      <c r="I7" s="18"/>
      <c r="J7" s="18"/>
      <c r="K7" s="18"/>
      <c r="L7" s="18"/>
      <c r="M7" s="18"/>
      <c r="N7" s="18"/>
      <c r="O7" s="18"/>
      <c r="P7" s="18"/>
      <c r="Q7" s="18"/>
      <c r="R7" s="2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21">
        <f t="shared" si="1"/>
        <v>0</v>
      </c>
      <c r="AJ7" s="56"/>
    </row>
    <row r="8" spans="1:36" s="16" customFormat="1" ht="15" customHeight="1" thickBot="1">
      <c r="A8" s="52"/>
      <c r="B8" s="60" t="s">
        <v>10</v>
      </c>
      <c r="C8" s="61"/>
      <c r="D8" s="22">
        <f t="shared" ref="D8:AH8" si="2">SUM(D3:D7)</f>
        <v>0</v>
      </c>
      <c r="E8" s="22">
        <f t="shared" si="2"/>
        <v>50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 t="shared" si="2"/>
        <v>0</v>
      </c>
      <c r="K8" s="22">
        <f t="shared" si="2"/>
        <v>0</v>
      </c>
      <c r="L8" s="22">
        <f t="shared" si="2"/>
        <v>0</v>
      </c>
      <c r="M8" s="22">
        <f t="shared" si="2"/>
        <v>0</v>
      </c>
      <c r="N8" s="22">
        <f t="shared" si="2"/>
        <v>0</v>
      </c>
      <c r="O8" s="22">
        <f t="shared" si="2"/>
        <v>0</v>
      </c>
      <c r="P8" s="22">
        <f t="shared" si="2"/>
        <v>0</v>
      </c>
      <c r="Q8" s="22">
        <f t="shared" si="2"/>
        <v>0</v>
      </c>
      <c r="R8" s="23">
        <f t="shared" si="2"/>
        <v>0</v>
      </c>
      <c r="S8" s="22">
        <f t="shared" si="2"/>
        <v>0</v>
      </c>
      <c r="T8" s="22">
        <f t="shared" si="2"/>
        <v>0</v>
      </c>
      <c r="U8" s="22">
        <f t="shared" si="2"/>
        <v>0</v>
      </c>
      <c r="V8" s="22">
        <f t="shared" si="2"/>
        <v>25</v>
      </c>
      <c r="W8" s="22">
        <f t="shared" si="2"/>
        <v>0</v>
      </c>
      <c r="X8" s="22">
        <f t="shared" si="2"/>
        <v>0</v>
      </c>
      <c r="Y8" s="22">
        <f t="shared" si="2"/>
        <v>0</v>
      </c>
      <c r="Z8" s="22">
        <f t="shared" si="2"/>
        <v>0</v>
      </c>
      <c r="AA8" s="22">
        <f t="shared" si="2"/>
        <v>0</v>
      </c>
      <c r="AB8" s="22">
        <f t="shared" si="2"/>
        <v>0</v>
      </c>
      <c r="AC8" s="22">
        <f t="shared" si="2"/>
        <v>0</v>
      </c>
      <c r="AD8" s="22">
        <f t="shared" si="2"/>
        <v>0</v>
      </c>
      <c r="AE8" s="22">
        <f t="shared" si="2"/>
        <v>0</v>
      </c>
      <c r="AF8" s="22">
        <f t="shared" si="2"/>
        <v>0</v>
      </c>
      <c r="AG8" s="22">
        <f t="shared" si="2"/>
        <v>50</v>
      </c>
      <c r="AH8" s="22">
        <f t="shared" si="2"/>
        <v>0</v>
      </c>
      <c r="AI8" s="24">
        <f>SUM(D8:AH8)</f>
        <v>125</v>
      </c>
      <c r="AJ8" s="57"/>
    </row>
    <row r="9" spans="1:36" s="16" customFormat="1" ht="15" customHeight="1">
      <c r="A9" s="50" t="s">
        <v>11</v>
      </c>
      <c r="B9" s="53" t="s">
        <v>5</v>
      </c>
      <c r="C9" s="54"/>
      <c r="D9" s="25"/>
      <c r="E9" s="26"/>
      <c r="F9" s="26"/>
      <c r="G9" s="27"/>
      <c r="H9" s="27"/>
      <c r="I9" s="26"/>
      <c r="J9" s="26"/>
      <c r="K9" s="26"/>
      <c r="L9" s="26"/>
      <c r="M9" s="26"/>
      <c r="N9" s="26"/>
      <c r="O9" s="26"/>
      <c r="P9" s="26"/>
      <c r="Q9" s="26"/>
      <c r="R9" s="2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9">
        <f t="shared" si="1"/>
        <v>0</v>
      </c>
      <c r="AJ9" s="55">
        <v>250</v>
      </c>
    </row>
    <row r="10" spans="1:36" s="16" customFormat="1" ht="15" customHeight="1">
      <c r="A10" s="51"/>
      <c r="B10" s="58" t="s">
        <v>6</v>
      </c>
      <c r="C10" s="59"/>
      <c r="D10" s="17"/>
      <c r="E10" s="18"/>
      <c r="F10" s="18"/>
      <c r="G10" s="19"/>
      <c r="H10" s="19"/>
      <c r="I10" s="18">
        <v>1</v>
      </c>
      <c r="J10" s="18"/>
      <c r="K10" s="18"/>
      <c r="L10" s="18"/>
      <c r="M10" s="18"/>
      <c r="N10" s="18"/>
      <c r="O10" s="18"/>
      <c r="P10" s="18"/>
      <c r="Q10" s="18"/>
      <c r="R10" s="20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>
        <v>24</v>
      </c>
      <c r="AG10" s="18"/>
      <c r="AH10" s="18"/>
      <c r="AI10" s="21">
        <f t="shared" si="1"/>
        <v>25</v>
      </c>
      <c r="AJ10" s="62"/>
    </row>
    <row r="11" spans="1:36" s="16" customFormat="1" ht="15" customHeight="1">
      <c r="A11" s="51"/>
      <c r="B11" s="58" t="s">
        <v>12</v>
      </c>
      <c r="C11" s="59"/>
      <c r="D11" s="17"/>
      <c r="E11" s="18"/>
      <c r="F11" s="18"/>
      <c r="G11" s="19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20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v>21</v>
      </c>
      <c r="AD11" s="18"/>
      <c r="AE11" s="18"/>
      <c r="AF11" s="18"/>
      <c r="AG11" s="18"/>
      <c r="AH11" s="18"/>
      <c r="AI11" s="21">
        <f t="shared" si="1"/>
        <v>21</v>
      </c>
      <c r="AJ11" s="62"/>
    </row>
    <row r="12" spans="1:36" s="16" customFormat="1" ht="15" customHeight="1">
      <c r="A12" s="51"/>
      <c r="B12" s="58" t="s">
        <v>8</v>
      </c>
      <c r="C12" s="59"/>
      <c r="D12" s="17"/>
      <c r="E12" s="18"/>
      <c r="F12" s="18"/>
      <c r="G12" s="19"/>
      <c r="H12" s="19"/>
      <c r="I12" s="18"/>
      <c r="J12" s="18"/>
      <c r="K12" s="18"/>
      <c r="L12" s="18">
        <v>24</v>
      </c>
      <c r="M12" s="18"/>
      <c r="N12" s="18"/>
      <c r="O12" s="18"/>
      <c r="P12" s="18"/>
      <c r="Q12" s="18"/>
      <c r="R12" s="20">
        <v>29</v>
      </c>
      <c r="S12" s="18"/>
      <c r="T12" s="18"/>
      <c r="U12" s="18"/>
      <c r="V12" s="18"/>
      <c r="W12" s="18">
        <v>25</v>
      </c>
      <c r="X12" s="18">
        <v>25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1">
        <f t="shared" si="1"/>
        <v>103</v>
      </c>
      <c r="AJ12" s="62"/>
    </row>
    <row r="13" spans="1:36" s="16" customFormat="1" ht="15" customHeight="1">
      <c r="A13" s="51"/>
      <c r="B13" s="58" t="s">
        <v>9</v>
      </c>
      <c r="C13" s="59"/>
      <c r="D13" s="17"/>
      <c r="E13" s="18"/>
      <c r="F13" s="18"/>
      <c r="G13" s="19"/>
      <c r="H13" s="19"/>
      <c r="I13" s="18">
        <v>6</v>
      </c>
      <c r="J13" s="18"/>
      <c r="K13" s="18"/>
      <c r="L13" s="18"/>
      <c r="M13" s="18"/>
      <c r="N13" s="18"/>
      <c r="O13" s="18"/>
      <c r="P13" s="18"/>
      <c r="Q13" s="18"/>
      <c r="R13" s="20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9">
        <f t="shared" si="1"/>
        <v>6</v>
      </c>
      <c r="AJ13" s="62"/>
    </row>
    <row r="14" spans="1:36" s="16" customFormat="1" ht="15" customHeight="1" thickBot="1">
      <c r="A14" s="52"/>
      <c r="B14" s="60" t="s">
        <v>10</v>
      </c>
      <c r="C14" s="61"/>
      <c r="D14" s="22">
        <f t="shared" ref="D14:AH14" si="3">SUM(D9:D13)</f>
        <v>0</v>
      </c>
      <c r="E14" s="22">
        <f t="shared" si="3"/>
        <v>0</v>
      </c>
      <c r="F14" s="22">
        <f t="shared" si="3"/>
        <v>0</v>
      </c>
      <c r="G14" s="22">
        <f t="shared" si="3"/>
        <v>0</v>
      </c>
      <c r="H14" s="22">
        <f t="shared" si="3"/>
        <v>0</v>
      </c>
      <c r="I14" s="22">
        <f t="shared" si="3"/>
        <v>7</v>
      </c>
      <c r="J14" s="22">
        <f t="shared" si="3"/>
        <v>0</v>
      </c>
      <c r="K14" s="22">
        <f t="shared" si="3"/>
        <v>0</v>
      </c>
      <c r="L14" s="22">
        <f t="shared" si="3"/>
        <v>24</v>
      </c>
      <c r="M14" s="22">
        <f t="shared" si="3"/>
        <v>0</v>
      </c>
      <c r="N14" s="22">
        <f t="shared" si="3"/>
        <v>0</v>
      </c>
      <c r="O14" s="22">
        <f t="shared" si="3"/>
        <v>0</v>
      </c>
      <c r="P14" s="22">
        <f t="shared" si="3"/>
        <v>0</v>
      </c>
      <c r="Q14" s="22">
        <f>SUM(Q9:Q13)</f>
        <v>0</v>
      </c>
      <c r="R14" s="23">
        <f t="shared" si="3"/>
        <v>29</v>
      </c>
      <c r="S14" s="22">
        <f t="shared" si="3"/>
        <v>0</v>
      </c>
      <c r="T14" s="22">
        <f t="shared" si="3"/>
        <v>0</v>
      </c>
      <c r="U14" s="22">
        <f t="shared" si="3"/>
        <v>0</v>
      </c>
      <c r="V14" s="22">
        <f t="shared" si="3"/>
        <v>0</v>
      </c>
      <c r="W14" s="22">
        <f t="shared" si="3"/>
        <v>25</v>
      </c>
      <c r="X14" s="22">
        <f t="shared" si="3"/>
        <v>25</v>
      </c>
      <c r="Y14" s="22">
        <f t="shared" si="3"/>
        <v>0</v>
      </c>
      <c r="Z14" s="22">
        <f t="shared" si="3"/>
        <v>0</v>
      </c>
      <c r="AA14" s="22">
        <f t="shared" si="3"/>
        <v>0</v>
      </c>
      <c r="AB14" s="22">
        <f t="shared" si="3"/>
        <v>0</v>
      </c>
      <c r="AC14" s="22">
        <f t="shared" si="3"/>
        <v>21</v>
      </c>
      <c r="AD14" s="22">
        <f t="shared" si="3"/>
        <v>0</v>
      </c>
      <c r="AE14" s="22">
        <f t="shared" si="3"/>
        <v>0</v>
      </c>
      <c r="AF14" s="22">
        <f t="shared" si="3"/>
        <v>24</v>
      </c>
      <c r="AG14" s="22">
        <f t="shared" si="3"/>
        <v>0</v>
      </c>
      <c r="AH14" s="22">
        <f t="shared" si="3"/>
        <v>0</v>
      </c>
      <c r="AI14" s="30">
        <f t="shared" si="1"/>
        <v>155</v>
      </c>
      <c r="AJ14" s="63"/>
    </row>
    <row r="15" spans="1:36" s="16" customFormat="1" ht="15" customHeight="1">
      <c r="A15" s="50" t="s">
        <v>13</v>
      </c>
      <c r="B15" s="53" t="s">
        <v>5</v>
      </c>
      <c r="C15" s="54"/>
      <c r="D15" s="31"/>
      <c r="E15" s="32"/>
      <c r="F15" s="32"/>
      <c r="G15" s="33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12"/>
      <c r="AH15" s="12"/>
      <c r="AI15" s="15">
        <f t="shared" si="1"/>
        <v>0</v>
      </c>
      <c r="AJ15" s="55">
        <v>250</v>
      </c>
    </row>
    <row r="16" spans="1:36" s="16" customFormat="1" ht="15" customHeight="1">
      <c r="A16" s="51"/>
      <c r="B16" s="58" t="s">
        <v>6</v>
      </c>
      <c r="C16" s="59"/>
      <c r="D16" s="17"/>
      <c r="E16" s="18"/>
      <c r="F16" s="18"/>
      <c r="G16" s="19"/>
      <c r="H16" s="19"/>
      <c r="I16" s="18"/>
      <c r="J16" s="18">
        <v>1</v>
      </c>
      <c r="K16" s="18"/>
      <c r="L16" s="18"/>
      <c r="M16" s="18"/>
      <c r="N16" s="18"/>
      <c r="O16" s="18"/>
      <c r="P16" s="18"/>
      <c r="Q16" s="18"/>
      <c r="R16" s="20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1">
        <f t="shared" si="1"/>
        <v>1</v>
      </c>
      <c r="AJ16" s="56"/>
    </row>
    <row r="17" spans="1:36" s="16" customFormat="1" ht="15" customHeight="1">
      <c r="A17" s="51"/>
      <c r="B17" s="58" t="s">
        <v>12</v>
      </c>
      <c r="C17" s="59"/>
      <c r="D17" s="17"/>
      <c r="E17" s="18"/>
      <c r="F17" s="18"/>
      <c r="G17" s="19"/>
      <c r="H17" s="19"/>
      <c r="I17" s="18"/>
      <c r="J17" s="36">
        <v>20</v>
      </c>
      <c r="K17" s="18"/>
      <c r="L17" s="18"/>
      <c r="M17" s="18"/>
      <c r="N17" s="18"/>
      <c r="O17" s="18"/>
      <c r="P17" s="18"/>
      <c r="Q17" s="18"/>
      <c r="R17" s="20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1">
        <f t="shared" si="1"/>
        <v>20</v>
      </c>
      <c r="AJ17" s="56"/>
    </row>
    <row r="18" spans="1:36" s="16" customFormat="1" ht="15" customHeight="1">
      <c r="A18" s="51"/>
      <c r="B18" s="58" t="s">
        <v>8</v>
      </c>
      <c r="C18" s="59"/>
      <c r="D18" s="37"/>
      <c r="E18" s="38"/>
      <c r="F18" s="38"/>
      <c r="G18" s="39"/>
      <c r="H18" s="19"/>
      <c r="I18" s="40"/>
      <c r="J18" s="40"/>
      <c r="K18" s="40"/>
      <c r="L18" s="40"/>
      <c r="M18" s="40"/>
      <c r="N18" s="40"/>
      <c r="O18" s="40">
        <v>25</v>
      </c>
      <c r="P18" s="40"/>
      <c r="Q18" s="40"/>
      <c r="R18" s="41"/>
      <c r="S18" s="40">
        <v>23</v>
      </c>
      <c r="T18" s="40"/>
      <c r="U18" s="40"/>
      <c r="V18" s="40"/>
      <c r="W18" s="40"/>
      <c r="X18" s="40">
        <v>29</v>
      </c>
      <c r="Y18" s="40"/>
      <c r="Z18" s="40"/>
      <c r="AA18" s="40"/>
      <c r="AB18" s="40"/>
      <c r="AC18" s="40"/>
      <c r="AD18" s="40">
        <v>25</v>
      </c>
      <c r="AE18" s="40"/>
      <c r="AF18" s="40"/>
      <c r="AG18" s="40"/>
      <c r="AH18" s="18"/>
      <c r="AI18" s="21">
        <f t="shared" si="1"/>
        <v>102</v>
      </c>
      <c r="AJ18" s="56"/>
    </row>
    <row r="19" spans="1:36" s="16" customFormat="1" ht="15" customHeight="1">
      <c r="A19" s="51"/>
      <c r="B19" s="58" t="s">
        <v>9</v>
      </c>
      <c r="C19" s="59"/>
      <c r="D19" s="37"/>
      <c r="E19" s="38"/>
      <c r="F19" s="38"/>
      <c r="G19" s="39"/>
      <c r="H19" s="19"/>
      <c r="I19" s="40"/>
      <c r="J19" s="40"/>
      <c r="K19" s="40">
        <v>7</v>
      </c>
      <c r="L19" s="40"/>
      <c r="M19" s="40"/>
      <c r="N19" s="40"/>
      <c r="O19" s="40"/>
      <c r="P19" s="40"/>
      <c r="Q19" s="40"/>
      <c r="R19" s="41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>
        <v>15</v>
      </c>
      <c r="AF19" s="40"/>
      <c r="AG19" s="40"/>
      <c r="AH19" s="18"/>
      <c r="AI19" s="21">
        <f t="shared" si="1"/>
        <v>22</v>
      </c>
      <c r="AJ19" s="56"/>
    </row>
    <row r="20" spans="1:36" s="16" customFormat="1" ht="15" customHeight="1" thickBot="1">
      <c r="A20" s="52"/>
      <c r="B20" s="60" t="s">
        <v>14</v>
      </c>
      <c r="C20" s="61"/>
      <c r="D20" s="22">
        <f t="shared" ref="D20:AH20" si="4">SUM(D15:D19)</f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21</v>
      </c>
      <c r="K20" s="22">
        <f t="shared" si="4"/>
        <v>7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25</v>
      </c>
      <c r="P20" s="22">
        <f t="shared" si="4"/>
        <v>0</v>
      </c>
      <c r="Q20" s="22">
        <f t="shared" si="4"/>
        <v>0</v>
      </c>
      <c r="R20" s="23">
        <f t="shared" si="4"/>
        <v>0</v>
      </c>
      <c r="S20" s="22">
        <f t="shared" si="4"/>
        <v>23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29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25</v>
      </c>
      <c r="AE20" s="22">
        <f t="shared" si="4"/>
        <v>15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4">
        <f t="shared" si="1"/>
        <v>145</v>
      </c>
      <c r="AJ20" s="57"/>
    </row>
    <row r="21" spans="1:36" s="16" customFormat="1" ht="15" customHeight="1">
      <c r="A21" s="50" t="s">
        <v>15</v>
      </c>
      <c r="B21" s="53" t="s">
        <v>5</v>
      </c>
      <c r="C21" s="54"/>
      <c r="D21" s="31"/>
      <c r="E21" s="32"/>
      <c r="F21" s="32"/>
      <c r="G21" s="33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12"/>
      <c r="AH21" s="12"/>
      <c r="AI21" s="15">
        <f t="shared" si="1"/>
        <v>0</v>
      </c>
      <c r="AJ21" s="55">
        <v>250</v>
      </c>
    </row>
    <row r="22" spans="1:36" s="16" customFormat="1" ht="15" customHeight="1">
      <c r="A22" s="51"/>
      <c r="B22" s="58" t="s">
        <v>6</v>
      </c>
      <c r="C22" s="59"/>
      <c r="D22" s="17"/>
      <c r="E22" s="18"/>
      <c r="F22" s="18"/>
      <c r="G22" s="19"/>
      <c r="H22" s="19"/>
      <c r="I22" s="18"/>
      <c r="J22" s="18">
        <v>1</v>
      </c>
      <c r="K22" s="18"/>
      <c r="L22" s="18"/>
      <c r="M22" s="18"/>
      <c r="N22" s="18"/>
      <c r="O22" s="18"/>
      <c r="P22" s="18"/>
      <c r="Q22" s="18"/>
      <c r="R22" s="20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1">
        <f t="shared" si="1"/>
        <v>1</v>
      </c>
      <c r="AJ22" s="56"/>
    </row>
    <row r="23" spans="1:36" s="16" customFormat="1" ht="15" customHeight="1">
      <c r="A23" s="51"/>
      <c r="B23" s="58" t="s">
        <v>12</v>
      </c>
      <c r="C23" s="59"/>
      <c r="D23" s="17"/>
      <c r="E23" s="18"/>
      <c r="F23" s="18"/>
      <c r="G23" s="19"/>
      <c r="H23" s="19"/>
      <c r="I23" s="18"/>
      <c r="J23" s="36">
        <v>20</v>
      </c>
      <c r="K23" s="18"/>
      <c r="L23" s="18"/>
      <c r="M23" s="18"/>
      <c r="N23" s="18"/>
      <c r="O23" s="18"/>
      <c r="P23" s="18"/>
      <c r="Q23" s="18"/>
      <c r="R23" s="20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1">
        <f t="shared" si="1"/>
        <v>20</v>
      </c>
      <c r="AJ23" s="56"/>
    </row>
    <row r="24" spans="1:36" s="16" customFormat="1" ht="15" customHeight="1">
      <c r="A24" s="51"/>
      <c r="B24" s="58" t="s">
        <v>8</v>
      </c>
      <c r="C24" s="59"/>
      <c r="D24" s="37"/>
      <c r="E24" s="38"/>
      <c r="F24" s="38"/>
      <c r="G24" s="39"/>
      <c r="H24" s="19"/>
      <c r="I24" s="40"/>
      <c r="J24" s="40"/>
      <c r="K24" s="40"/>
      <c r="L24" s="40"/>
      <c r="M24" s="40"/>
      <c r="N24" s="40"/>
      <c r="O24" s="40">
        <v>25</v>
      </c>
      <c r="P24" s="40"/>
      <c r="Q24" s="40"/>
      <c r="R24" s="41"/>
      <c r="S24" s="40">
        <v>23</v>
      </c>
      <c r="T24" s="40"/>
      <c r="U24" s="40"/>
      <c r="V24" s="40"/>
      <c r="W24" s="40"/>
      <c r="X24" s="40">
        <v>29</v>
      </c>
      <c r="Y24" s="40"/>
      <c r="Z24" s="40"/>
      <c r="AA24" s="40"/>
      <c r="AB24" s="40"/>
      <c r="AC24" s="40"/>
      <c r="AD24" s="40">
        <v>25</v>
      </c>
      <c r="AE24" s="40"/>
      <c r="AF24" s="40"/>
      <c r="AG24" s="40"/>
      <c r="AH24" s="18"/>
      <c r="AI24" s="21">
        <f t="shared" si="1"/>
        <v>102</v>
      </c>
      <c r="AJ24" s="56"/>
    </row>
    <row r="25" spans="1:36" s="16" customFormat="1" ht="15" customHeight="1">
      <c r="A25" s="51"/>
      <c r="B25" s="58" t="s">
        <v>9</v>
      </c>
      <c r="C25" s="59"/>
      <c r="D25" s="37"/>
      <c r="E25" s="38"/>
      <c r="F25" s="38"/>
      <c r="G25" s="39"/>
      <c r="H25" s="19"/>
      <c r="I25" s="40"/>
      <c r="J25" s="40"/>
      <c r="K25" s="40">
        <v>7</v>
      </c>
      <c r="L25" s="40"/>
      <c r="M25" s="40"/>
      <c r="N25" s="40"/>
      <c r="O25" s="40"/>
      <c r="P25" s="40"/>
      <c r="Q25" s="40"/>
      <c r="R25" s="41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>
        <v>15</v>
      </c>
      <c r="AF25" s="40"/>
      <c r="AG25" s="40"/>
      <c r="AH25" s="18"/>
      <c r="AI25" s="21">
        <f t="shared" si="1"/>
        <v>22</v>
      </c>
      <c r="AJ25" s="56"/>
    </row>
    <row r="26" spans="1:36" s="16" customFormat="1" ht="15" customHeight="1" thickBot="1">
      <c r="A26" s="52"/>
      <c r="B26" s="60" t="s">
        <v>14</v>
      </c>
      <c r="C26" s="61"/>
      <c r="D26" s="22">
        <f t="shared" ref="D26:AH26" si="5">SUM(D21:D25)</f>
        <v>0</v>
      </c>
      <c r="E26" s="22">
        <f t="shared" si="5"/>
        <v>0</v>
      </c>
      <c r="F26" s="22">
        <f t="shared" si="5"/>
        <v>0</v>
      </c>
      <c r="G26" s="22">
        <f t="shared" si="5"/>
        <v>0</v>
      </c>
      <c r="H26" s="22">
        <f t="shared" si="5"/>
        <v>0</v>
      </c>
      <c r="I26" s="22">
        <f t="shared" si="5"/>
        <v>0</v>
      </c>
      <c r="J26" s="22">
        <f t="shared" si="5"/>
        <v>21</v>
      </c>
      <c r="K26" s="22">
        <f t="shared" si="5"/>
        <v>7</v>
      </c>
      <c r="L26" s="22">
        <f t="shared" si="5"/>
        <v>0</v>
      </c>
      <c r="M26" s="22">
        <f t="shared" si="5"/>
        <v>0</v>
      </c>
      <c r="N26" s="22">
        <f t="shared" si="5"/>
        <v>0</v>
      </c>
      <c r="O26" s="22">
        <f t="shared" si="5"/>
        <v>25</v>
      </c>
      <c r="P26" s="22">
        <f t="shared" si="5"/>
        <v>0</v>
      </c>
      <c r="Q26" s="22">
        <f t="shared" si="5"/>
        <v>0</v>
      </c>
      <c r="R26" s="23">
        <f t="shared" si="5"/>
        <v>0</v>
      </c>
      <c r="S26" s="22">
        <f t="shared" si="5"/>
        <v>23</v>
      </c>
      <c r="T26" s="22">
        <f t="shared" si="5"/>
        <v>0</v>
      </c>
      <c r="U26" s="22">
        <f t="shared" si="5"/>
        <v>0</v>
      </c>
      <c r="V26" s="22">
        <f t="shared" si="5"/>
        <v>0</v>
      </c>
      <c r="W26" s="22">
        <f t="shared" si="5"/>
        <v>0</v>
      </c>
      <c r="X26" s="22">
        <f t="shared" si="5"/>
        <v>29</v>
      </c>
      <c r="Y26" s="22">
        <f t="shared" si="5"/>
        <v>0</v>
      </c>
      <c r="Z26" s="22">
        <f t="shared" si="5"/>
        <v>0</v>
      </c>
      <c r="AA26" s="22">
        <f t="shared" si="5"/>
        <v>0</v>
      </c>
      <c r="AB26" s="22">
        <f t="shared" si="5"/>
        <v>0</v>
      </c>
      <c r="AC26" s="22">
        <f t="shared" si="5"/>
        <v>0</v>
      </c>
      <c r="AD26" s="22">
        <f t="shared" si="5"/>
        <v>25</v>
      </c>
      <c r="AE26" s="22">
        <f t="shared" si="5"/>
        <v>15</v>
      </c>
      <c r="AF26" s="22">
        <f t="shared" si="5"/>
        <v>0</v>
      </c>
      <c r="AG26" s="22">
        <f t="shared" si="5"/>
        <v>0</v>
      </c>
      <c r="AH26" s="22">
        <f t="shared" si="5"/>
        <v>0</v>
      </c>
      <c r="AI26" s="24">
        <f t="shared" si="1"/>
        <v>145</v>
      </c>
      <c r="AJ26" s="57"/>
    </row>
    <row r="27" spans="1:36" s="16" customFormat="1" ht="15" customHeight="1">
      <c r="A27" s="50" t="s">
        <v>16</v>
      </c>
      <c r="B27" s="53" t="s">
        <v>5</v>
      </c>
      <c r="C27" s="54"/>
      <c r="D27" s="31"/>
      <c r="E27" s="32"/>
      <c r="F27" s="32"/>
      <c r="G27" s="33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12"/>
      <c r="AH27" s="12"/>
      <c r="AI27" s="15">
        <f t="shared" si="1"/>
        <v>0</v>
      </c>
      <c r="AJ27" s="55">
        <v>250</v>
      </c>
    </row>
    <row r="28" spans="1:36" s="16" customFormat="1" ht="15" customHeight="1">
      <c r="A28" s="51"/>
      <c r="B28" s="58" t="s">
        <v>6</v>
      </c>
      <c r="C28" s="59"/>
      <c r="D28" s="17"/>
      <c r="E28" s="18"/>
      <c r="F28" s="18"/>
      <c r="G28" s="19"/>
      <c r="H28" s="19"/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1">
        <f t="shared" si="1"/>
        <v>1</v>
      </c>
      <c r="AJ28" s="56"/>
    </row>
    <row r="29" spans="1:36" s="16" customFormat="1" ht="15" customHeight="1">
      <c r="A29" s="51"/>
      <c r="B29" s="58" t="s">
        <v>12</v>
      </c>
      <c r="C29" s="59"/>
      <c r="D29" s="17"/>
      <c r="E29" s="18"/>
      <c r="F29" s="18"/>
      <c r="G29" s="19"/>
      <c r="H29" s="19"/>
      <c r="I29" s="18"/>
      <c r="J29" s="36">
        <v>20</v>
      </c>
      <c r="K29" s="18"/>
      <c r="L29" s="18"/>
      <c r="M29" s="18"/>
      <c r="N29" s="18"/>
      <c r="O29" s="18"/>
      <c r="P29" s="18"/>
      <c r="Q29" s="18"/>
      <c r="R29" s="20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1">
        <f t="shared" si="1"/>
        <v>20</v>
      </c>
      <c r="AJ29" s="56"/>
    </row>
    <row r="30" spans="1:36" s="16" customFormat="1" ht="15" customHeight="1">
      <c r="A30" s="51"/>
      <c r="B30" s="58" t="s">
        <v>8</v>
      </c>
      <c r="C30" s="59"/>
      <c r="D30" s="37"/>
      <c r="E30" s="38"/>
      <c r="F30" s="38"/>
      <c r="G30" s="39"/>
      <c r="H30" s="19"/>
      <c r="I30" s="40"/>
      <c r="J30" s="40"/>
      <c r="K30" s="40"/>
      <c r="L30" s="40"/>
      <c r="M30" s="40"/>
      <c r="N30" s="40"/>
      <c r="O30" s="40">
        <v>25</v>
      </c>
      <c r="P30" s="40"/>
      <c r="Q30" s="40"/>
      <c r="R30" s="41"/>
      <c r="S30" s="40">
        <v>23</v>
      </c>
      <c r="T30" s="40"/>
      <c r="U30" s="40"/>
      <c r="V30" s="40"/>
      <c r="W30" s="40"/>
      <c r="X30" s="40">
        <v>29</v>
      </c>
      <c r="Y30" s="40"/>
      <c r="Z30" s="40"/>
      <c r="AA30" s="40"/>
      <c r="AB30" s="40"/>
      <c r="AC30" s="40"/>
      <c r="AD30" s="40">
        <v>25</v>
      </c>
      <c r="AE30" s="40"/>
      <c r="AF30" s="40"/>
      <c r="AG30" s="40"/>
      <c r="AH30" s="18"/>
      <c r="AI30" s="21">
        <f t="shared" si="1"/>
        <v>102</v>
      </c>
      <c r="AJ30" s="56"/>
    </row>
    <row r="31" spans="1:36" s="16" customFormat="1" ht="15" customHeight="1">
      <c r="A31" s="51"/>
      <c r="B31" s="58" t="s">
        <v>9</v>
      </c>
      <c r="C31" s="59"/>
      <c r="D31" s="37"/>
      <c r="E31" s="38"/>
      <c r="F31" s="38"/>
      <c r="G31" s="39"/>
      <c r="H31" s="19"/>
      <c r="I31" s="40"/>
      <c r="J31" s="40"/>
      <c r="K31" s="40">
        <v>7</v>
      </c>
      <c r="L31" s="40"/>
      <c r="M31" s="40"/>
      <c r="N31" s="40"/>
      <c r="O31" s="40"/>
      <c r="P31" s="40"/>
      <c r="Q31" s="40"/>
      <c r="R31" s="41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>
        <v>15</v>
      </c>
      <c r="AF31" s="40"/>
      <c r="AG31" s="40"/>
      <c r="AH31" s="18"/>
      <c r="AI31" s="21">
        <f t="shared" si="1"/>
        <v>22</v>
      </c>
      <c r="AJ31" s="56"/>
    </row>
    <row r="32" spans="1:36" s="16" customFormat="1" ht="15" customHeight="1" thickBot="1">
      <c r="A32" s="52"/>
      <c r="B32" s="60" t="s">
        <v>14</v>
      </c>
      <c r="C32" s="61"/>
      <c r="D32" s="22">
        <f t="shared" ref="D32:AH32" si="6">SUM(D27:D31)</f>
        <v>0</v>
      </c>
      <c r="E32" s="22">
        <f t="shared" si="6"/>
        <v>0</v>
      </c>
      <c r="F32" s="22">
        <f t="shared" si="6"/>
        <v>0</v>
      </c>
      <c r="G32" s="22">
        <f t="shared" si="6"/>
        <v>0</v>
      </c>
      <c r="H32" s="22">
        <f t="shared" si="6"/>
        <v>0</v>
      </c>
      <c r="I32" s="22">
        <f t="shared" si="6"/>
        <v>0</v>
      </c>
      <c r="J32" s="22">
        <f t="shared" si="6"/>
        <v>21</v>
      </c>
      <c r="K32" s="22">
        <f t="shared" si="6"/>
        <v>7</v>
      </c>
      <c r="L32" s="22">
        <f t="shared" si="6"/>
        <v>0</v>
      </c>
      <c r="M32" s="22">
        <f t="shared" si="6"/>
        <v>0</v>
      </c>
      <c r="N32" s="22">
        <f t="shared" si="6"/>
        <v>0</v>
      </c>
      <c r="O32" s="22">
        <f t="shared" si="6"/>
        <v>25</v>
      </c>
      <c r="P32" s="22">
        <f t="shared" si="6"/>
        <v>0</v>
      </c>
      <c r="Q32" s="22">
        <f t="shared" si="6"/>
        <v>0</v>
      </c>
      <c r="R32" s="23">
        <f t="shared" si="6"/>
        <v>0</v>
      </c>
      <c r="S32" s="22">
        <f t="shared" si="6"/>
        <v>23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22">
        <f t="shared" si="6"/>
        <v>0</v>
      </c>
      <c r="X32" s="22">
        <f t="shared" si="6"/>
        <v>29</v>
      </c>
      <c r="Y32" s="22">
        <f t="shared" si="6"/>
        <v>0</v>
      </c>
      <c r="Z32" s="22">
        <f t="shared" si="6"/>
        <v>0</v>
      </c>
      <c r="AA32" s="22">
        <f t="shared" si="6"/>
        <v>0</v>
      </c>
      <c r="AB32" s="22">
        <f t="shared" si="6"/>
        <v>0</v>
      </c>
      <c r="AC32" s="22">
        <f t="shared" si="6"/>
        <v>0</v>
      </c>
      <c r="AD32" s="22">
        <f t="shared" si="6"/>
        <v>25</v>
      </c>
      <c r="AE32" s="22">
        <f t="shared" si="6"/>
        <v>15</v>
      </c>
      <c r="AF32" s="22">
        <f t="shared" si="6"/>
        <v>0</v>
      </c>
      <c r="AG32" s="22">
        <f t="shared" si="6"/>
        <v>0</v>
      </c>
      <c r="AH32" s="22">
        <f t="shared" si="6"/>
        <v>0</v>
      </c>
      <c r="AI32" s="24">
        <f t="shared" si="1"/>
        <v>145</v>
      </c>
      <c r="AJ32" s="57"/>
    </row>
  </sheetData>
  <mergeCells count="42">
    <mergeCell ref="A27:A32"/>
    <mergeCell ref="B27:C27"/>
    <mergeCell ref="AJ27:AJ32"/>
    <mergeCell ref="B28:C28"/>
    <mergeCell ref="B29:C29"/>
    <mergeCell ref="B30:C30"/>
    <mergeCell ref="B31:C31"/>
    <mergeCell ref="B32:C32"/>
    <mergeCell ref="A21:A26"/>
    <mergeCell ref="B21:C21"/>
    <mergeCell ref="AJ21:AJ26"/>
    <mergeCell ref="B22:C22"/>
    <mergeCell ref="B23:C23"/>
    <mergeCell ref="B24:C24"/>
    <mergeCell ref="B25:C25"/>
    <mergeCell ref="B26:C26"/>
    <mergeCell ref="A15:A20"/>
    <mergeCell ref="B15:C15"/>
    <mergeCell ref="AJ15:AJ20"/>
    <mergeCell ref="B16:C16"/>
    <mergeCell ref="B17:C17"/>
    <mergeCell ref="B18:C18"/>
    <mergeCell ref="B19:C19"/>
    <mergeCell ref="B20:C20"/>
    <mergeCell ref="A9:A14"/>
    <mergeCell ref="B9:C9"/>
    <mergeCell ref="AJ9:AJ14"/>
    <mergeCell ref="B10:C10"/>
    <mergeCell ref="B11:C11"/>
    <mergeCell ref="B12:C12"/>
    <mergeCell ref="B13:C13"/>
    <mergeCell ref="B14:C14"/>
    <mergeCell ref="D1:O1"/>
    <mergeCell ref="B2:C2"/>
    <mergeCell ref="A3:A8"/>
    <mergeCell ref="B3:C3"/>
    <mergeCell ref="AJ3:AJ8"/>
    <mergeCell ref="B4:C4"/>
    <mergeCell ref="B5:C5"/>
    <mergeCell ref="B6:C6"/>
    <mergeCell ref="B7:C7"/>
    <mergeCell ref="B8:C8"/>
  </mergeCells>
  <phoneticPr fontId="2" type="noConversion"/>
  <conditionalFormatting sqref="D2:AH2">
    <cfRule type="expression" dxfId="34" priority="3" stopIfTrue="1">
      <formula>WEEKDAY(D2)=7</formula>
    </cfRule>
    <cfRule type="expression" dxfId="33" priority="4" stopIfTrue="1">
      <formula>WEEKDAY(D2)=1</formula>
    </cfRule>
  </conditionalFormatting>
  <conditionalFormatting sqref="D2:AH32">
    <cfRule type="expression" dxfId="32" priority="1">
      <formula>TEXT(D$2,"AAA")="일"</formula>
    </cfRule>
    <cfRule type="expression" dxfId="31" priority="2" stopIfTrue="1">
      <formula>TEXT(D$2,"AAA")="토"</formula>
    </cfRule>
    <cfRule type="expression" dxfId="30" priority="5">
      <formula>FALSE</formula>
    </cfRule>
  </conditionalFormatting>
  <pageMargins left="0.19685039370078741" right="0.39370078740157483" top="0.19685039370078741" bottom="0.11811023622047245" header="0.15748031496062992" footer="0.11811023622047245"/>
  <pageSetup paperSize="9" scale="70" fitToWidth="0" orientation="landscape" r:id="rId1"/>
  <headerFooter alignWithMargins="0">
    <oddFooter>&amp;LF705-02 (R01) &amp;C(주) 덱스코윈&amp;R&amp;P/&amp;N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67C7-928F-427D-9C5B-DCF26F44D92A}">
  <dimension ref="A1:AJ32"/>
  <sheetViews>
    <sheetView showGridLines="0" zoomScale="85" zoomScaleNormal="85" workbookViewId="0">
      <pane xSplit="3" ySplit="2" topLeftCell="D3" activePane="bottomRight" state="frozen"/>
      <selection activeCell="AH19" sqref="AH19"/>
      <selection pane="topRight" activeCell="AH19" sqref="AH19"/>
      <selection pane="bottomLeft" activeCell="AH19" sqref="AH19"/>
      <selection pane="bottomRight" activeCell="AI12" sqref="AI12"/>
    </sheetView>
  </sheetViews>
  <sheetFormatPr defaultColWidth="8.77734375" defaultRowHeight="16.5"/>
  <cols>
    <col min="1" max="1" width="7.21875" style="43" customWidth="1"/>
    <col min="2" max="2" width="11.109375" style="43" customWidth="1"/>
    <col min="3" max="3" width="7.6640625" style="43" customWidth="1"/>
    <col min="4" max="6" width="4.33203125" style="42" customWidth="1"/>
    <col min="7" max="8" width="4.33203125" style="44" customWidth="1"/>
    <col min="9" max="17" width="4.33203125" style="42" customWidth="1"/>
    <col min="18" max="18" width="4.33203125" style="45" customWidth="1"/>
    <col min="19" max="34" width="4.33203125" style="42" customWidth="1"/>
    <col min="35" max="35" width="7.21875" style="46" customWidth="1"/>
    <col min="36" max="36" width="6" style="16" customWidth="1"/>
    <col min="37" max="16384" width="8.77734375" style="3"/>
  </cols>
  <sheetData>
    <row r="1" spans="1:36" ht="21.75" customHeight="1" thickBot="1">
      <c r="A1" s="1"/>
      <c r="B1" s="1"/>
      <c r="C1" s="1"/>
      <c r="D1" s="47">
        <v>46204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"/>
      <c r="Q1" s="2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</row>
    <row r="2" spans="1:36" s="10" customFormat="1" ht="30" customHeight="1" thickBot="1">
      <c r="A2" s="4" t="s">
        <v>0</v>
      </c>
      <c r="B2" s="48" t="s">
        <v>1</v>
      </c>
      <c r="C2" s="49"/>
      <c r="D2" s="5">
        <f>D1</f>
        <v>46204</v>
      </c>
      <c r="E2" s="6">
        <f>D2+1</f>
        <v>46205</v>
      </c>
      <c r="F2" s="6">
        <f t="shared" ref="F2:AH2" si="0">E2+1</f>
        <v>46206</v>
      </c>
      <c r="G2" s="6">
        <f t="shared" si="0"/>
        <v>46207</v>
      </c>
      <c r="H2" s="6">
        <f t="shared" si="0"/>
        <v>46208</v>
      </c>
      <c r="I2" s="6">
        <f t="shared" si="0"/>
        <v>46209</v>
      </c>
      <c r="J2" s="6">
        <f t="shared" si="0"/>
        <v>46210</v>
      </c>
      <c r="K2" s="6">
        <f t="shared" si="0"/>
        <v>46211</v>
      </c>
      <c r="L2" s="6">
        <f t="shared" si="0"/>
        <v>46212</v>
      </c>
      <c r="M2" s="6">
        <f t="shared" si="0"/>
        <v>46213</v>
      </c>
      <c r="N2" s="6">
        <f t="shared" si="0"/>
        <v>46214</v>
      </c>
      <c r="O2" s="6">
        <f t="shared" si="0"/>
        <v>46215</v>
      </c>
      <c r="P2" s="6">
        <f t="shared" si="0"/>
        <v>46216</v>
      </c>
      <c r="Q2" s="6">
        <f t="shared" si="0"/>
        <v>46217</v>
      </c>
      <c r="R2" s="7">
        <f t="shared" si="0"/>
        <v>46218</v>
      </c>
      <c r="S2" s="6">
        <f t="shared" si="0"/>
        <v>46219</v>
      </c>
      <c r="T2" s="6">
        <f t="shared" si="0"/>
        <v>46220</v>
      </c>
      <c r="U2" s="6">
        <f t="shared" si="0"/>
        <v>46221</v>
      </c>
      <c r="V2" s="6">
        <f t="shared" si="0"/>
        <v>46222</v>
      </c>
      <c r="W2" s="6">
        <f t="shared" si="0"/>
        <v>46223</v>
      </c>
      <c r="X2" s="6">
        <f t="shared" si="0"/>
        <v>46224</v>
      </c>
      <c r="Y2" s="6">
        <f t="shared" si="0"/>
        <v>46225</v>
      </c>
      <c r="Z2" s="6">
        <f t="shared" si="0"/>
        <v>46226</v>
      </c>
      <c r="AA2" s="6">
        <f t="shared" si="0"/>
        <v>46227</v>
      </c>
      <c r="AB2" s="6">
        <f t="shared" si="0"/>
        <v>46228</v>
      </c>
      <c r="AC2" s="6">
        <f t="shared" si="0"/>
        <v>46229</v>
      </c>
      <c r="AD2" s="6">
        <f t="shared" si="0"/>
        <v>46230</v>
      </c>
      <c r="AE2" s="6">
        <f t="shared" si="0"/>
        <v>46231</v>
      </c>
      <c r="AF2" s="6">
        <f t="shared" si="0"/>
        <v>46232</v>
      </c>
      <c r="AG2" s="6">
        <f t="shared" si="0"/>
        <v>46233</v>
      </c>
      <c r="AH2" s="6">
        <f t="shared" si="0"/>
        <v>46234</v>
      </c>
      <c r="AI2" s="8" t="s">
        <v>2</v>
      </c>
      <c r="AJ2" s="9" t="s">
        <v>3</v>
      </c>
    </row>
    <row r="3" spans="1:36" s="16" customFormat="1" ht="15" customHeight="1">
      <c r="A3" s="50" t="s">
        <v>4</v>
      </c>
      <c r="B3" s="53" t="s">
        <v>5</v>
      </c>
      <c r="C3" s="54"/>
      <c r="D3" s="11"/>
      <c r="E3" s="12"/>
      <c r="F3" s="12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>
        <f>SUM(D3:AH3)</f>
        <v>0</v>
      </c>
      <c r="AJ3" s="55">
        <v>250</v>
      </c>
    </row>
    <row r="4" spans="1:36" s="16" customFormat="1" ht="15" customHeight="1">
      <c r="A4" s="51"/>
      <c r="B4" s="58" t="s">
        <v>6</v>
      </c>
      <c r="C4" s="59"/>
      <c r="D4" s="17"/>
      <c r="E4" s="18"/>
      <c r="F4" s="18"/>
      <c r="G4" s="19"/>
      <c r="H4" s="19"/>
      <c r="I4" s="18"/>
      <c r="J4" s="18"/>
      <c r="K4" s="18"/>
      <c r="L4" s="18"/>
      <c r="M4" s="18"/>
      <c r="N4" s="18"/>
      <c r="O4" s="18"/>
      <c r="P4" s="18"/>
      <c r="Q4" s="18"/>
      <c r="R4" s="20"/>
      <c r="S4" s="18"/>
      <c r="T4" s="18"/>
      <c r="U4" s="18"/>
      <c r="V4" s="18">
        <v>25</v>
      </c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21">
        <f t="shared" ref="AI4:AI32" si="1">SUM(D4:AH4)</f>
        <v>25</v>
      </c>
      <c r="AJ4" s="56"/>
    </row>
    <row r="5" spans="1:36" s="16" customFormat="1" ht="15" customHeight="1">
      <c r="A5" s="51"/>
      <c r="B5" s="58" t="s">
        <v>7</v>
      </c>
      <c r="C5" s="59"/>
      <c r="D5" s="17"/>
      <c r="E5" s="18">
        <v>50</v>
      </c>
      <c r="F5" s="18"/>
      <c r="G5" s="19"/>
      <c r="H5" s="19"/>
      <c r="I5" s="18"/>
      <c r="J5" s="18"/>
      <c r="K5" s="18"/>
      <c r="L5" s="18"/>
      <c r="M5" s="18"/>
      <c r="N5" s="18"/>
      <c r="O5" s="18"/>
      <c r="P5" s="18"/>
      <c r="Q5" s="18"/>
      <c r="R5" s="20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21">
        <f t="shared" si="1"/>
        <v>50</v>
      </c>
      <c r="AJ5" s="56"/>
    </row>
    <row r="6" spans="1:36" s="16" customFormat="1" ht="15" customHeight="1">
      <c r="A6" s="51"/>
      <c r="B6" s="58" t="s">
        <v>8</v>
      </c>
      <c r="C6" s="59"/>
      <c r="D6" s="17"/>
      <c r="E6" s="18"/>
      <c r="F6" s="18"/>
      <c r="G6" s="19"/>
      <c r="H6" s="19"/>
      <c r="I6" s="18"/>
      <c r="J6" s="18"/>
      <c r="K6" s="18"/>
      <c r="L6" s="18"/>
      <c r="M6" s="18"/>
      <c r="N6" s="18"/>
      <c r="O6" s="18"/>
      <c r="P6" s="18"/>
      <c r="Q6" s="18"/>
      <c r="R6" s="20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>
        <v>50</v>
      </c>
      <c r="AH6" s="18"/>
      <c r="AI6" s="21">
        <f t="shared" si="1"/>
        <v>50</v>
      </c>
      <c r="AJ6" s="56"/>
    </row>
    <row r="7" spans="1:36" s="16" customFormat="1" ht="15" customHeight="1">
      <c r="A7" s="51"/>
      <c r="B7" s="58" t="s">
        <v>9</v>
      </c>
      <c r="C7" s="59"/>
      <c r="D7" s="17"/>
      <c r="E7" s="18"/>
      <c r="F7" s="18"/>
      <c r="G7" s="19"/>
      <c r="H7" s="19"/>
      <c r="I7" s="18"/>
      <c r="J7" s="18"/>
      <c r="K7" s="18"/>
      <c r="L7" s="18"/>
      <c r="M7" s="18"/>
      <c r="N7" s="18"/>
      <c r="O7" s="18"/>
      <c r="P7" s="18"/>
      <c r="Q7" s="18"/>
      <c r="R7" s="2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21">
        <f t="shared" si="1"/>
        <v>0</v>
      </c>
      <c r="AJ7" s="56"/>
    </row>
    <row r="8" spans="1:36" s="16" customFormat="1" ht="15" customHeight="1" thickBot="1">
      <c r="A8" s="52"/>
      <c r="B8" s="60" t="s">
        <v>10</v>
      </c>
      <c r="C8" s="61"/>
      <c r="D8" s="22">
        <f t="shared" ref="D8:AH8" si="2">SUM(D3:D7)</f>
        <v>0</v>
      </c>
      <c r="E8" s="22">
        <f t="shared" si="2"/>
        <v>50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 t="shared" si="2"/>
        <v>0</v>
      </c>
      <c r="K8" s="22">
        <f t="shared" si="2"/>
        <v>0</v>
      </c>
      <c r="L8" s="22">
        <f t="shared" si="2"/>
        <v>0</v>
      </c>
      <c r="M8" s="22">
        <f t="shared" si="2"/>
        <v>0</v>
      </c>
      <c r="N8" s="22">
        <f t="shared" si="2"/>
        <v>0</v>
      </c>
      <c r="O8" s="22">
        <f t="shared" si="2"/>
        <v>0</v>
      </c>
      <c r="P8" s="22">
        <f t="shared" si="2"/>
        <v>0</v>
      </c>
      <c r="Q8" s="22">
        <f t="shared" si="2"/>
        <v>0</v>
      </c>
      <c r="R8" s="23">
        <f t="shared" si="2"/>
        <v>0</v>
      </c>
      <c r="S8" s="22">
        <f t="shared" si="2"/>
        <v>0</v>
      </c>
      <c r="T8" s="22">
        <f t="shared" si="2"/>
        <v>0</v>
      </c>
      <c r="U8" s="22">
        <f t="shared" si="2"/>
        <v>0</v>
      </c>
      <c r="V8" s="22">
        <f t="shared" si="2"/>
        <v>25</v>
      </c>
      <c r="W8" s="22">
        <f t="shared" si="2"/>
        <v>0</v>
      </c>
      <c r="X8" s="22">
        <f t="shared" si="2"/>
        <v>0</v>
      </c>
      <c r="Y8" s="22">
        <f t="shared" si="2"/>
        <v>0</v>
      </c>
      <c r="Z8" s="22">
        <f t="shared" si="2"/>
        <v>0</v>
      </c>
      <c r="AA8" s="22">
        <f t="shared" si="2"/>
        <v>0</v>
      </c>
      <c r="AB8" s="22">
        <f t="shared" si="2"/>
        <v>0</v>
      </c>
      <c r="AC8" s="22">
        <f t="shared" si="2"/>
        <v>0</v>
      </c>
      <c r="AD8" s="22">
        <f t="shared" si="2"/>
        <v>0</v>
      </c>
      <c r="AE8" s="22">
        <f t="shared" si="2"/>
        <v>0</v>
      </c>
      <c r="AF8" s="22">
        <f t="shared" si="2"/>
        <v>0</v>
      </c>
      <c r="AG8" s="22">
        <f t="shared" si="2"/>
        <v>50</v>
      </c>
      <c r="AH8" s="22">
        <f t="shared" si="2"/>
        <v>0</v>
      </c>
      <c r="AI8" s="24">
        <f>SUM(D8:AH8)</f>
        <v>125</v>
      </c>
      <c r="AJ8" s="57"/>
    </row>
    <row r="9" spans="1:36" s="16" customFormat="1" ht="15" customHeight="1">
      <c r="A9" s="50" t="s">
        <v>11</v>
      </c>
      <c r="B9" s="53" t="s">
        <v>5</v>
      </c>
      <c r="C9" s="54"/>
      <c r="D9" s="25"/>
      <c r="E9" s="26"/>
      <c r="F9" s="26"/>
      <c r="G9" s="27"/>
      <c r="H9" s="27"/>
      <c r="I9" s="26"/>
      <c r="J9" s="26"/>
      <c r="K9" s="26"/>
      <c r="L9" s="26"/>
      <c r="M9" s="26"/>
      <c r="N9" s="26"/>
      <c r="O9" s="26"/>
      <c r="P9" s="26"/>
      <c r="Q9" s="26"/>
      <c r="R9" s="2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9">
        <f t="shared" si="1"/>
        <v>0</v>
      </c>
      <c r="AJ9" s="55">
        <v>250</v>
      </c>
    </row>
    <row r="10" spans="1:36" s="16" customFormat="1" ht="15" customHeight="1">
      <c r="A10" s="51"/>
      <c r="B10" s="58" t="s">
        <v>6</v>
      </c>
      <c r="C10" s="59"/>
      <c r="D10" s="17"/>
      <c r="E10" s="18"/>
      <c r="F10" s="18"/>
      <c r="G10" s="19"/>
      <c r="H10" s="19"/>
      <c r="I10" s="18">
        <v>1</v>
      </c>
      <c r="J10" s="18"/>
      <c r="K10" s="18"/>
      <c r="L10" s="18"/>
      <c r="M10" s="18"/>
      <c r="N10" s="18"/>
      <c r="O10" s="18"/>
      <c r="P10" s="18"/>
      <c r="Q10" s="18"/>
      <c r="R10" s="20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>
        <v>24</v>
      </c>
      <c r="AG10" s="18"/>
      <c r="AH10" s="18"/>
      <c r="AI10" s="21">
        <f t="shared" si="1"/>
        <v>25</v>
      </c>
      <c r="AJ10" s="62"/>
    </row>
    <row r="11" spans="1:36" s="16" customFormat="1" ht="15" customHeight="1">
      <c r="A11" s="51"/>
      <c r="B11" s="58" t="s">
        <v>12</v>
      </c>
      <c r="C11" s="59"/>
      <c r="D11" s="17"/>
      <c r="E11" s="18"/>
      <c r="F11" s="18"/>
      <c r="G11" s="19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20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v>21</v>
      </c>
      <c r="AD11" s="18"/>
      <c r="AE11" s="18"/>
      <c r="AF11" s="18"/>
      <c r="AG11" s="18"/>
      <c r="AH11" s="18"/>
      <c r="AI11" s="21">
        <f t="shared" si="1"/>
        <v>21</v>
      </c>
      <c r="AJ11" s="62"/>
    </row>
    <row r="12" spans="1:36" s="16" customFormat="1" ht="15" customHeight="1">
      <c r="A12" s="51"/>
      <c r="B12" s="58" t="s">
        <v>8</v>
      </c>
      <c r="C12" s="59"/>
      <c r="D12" s="17"/>
      <c r="E12" s="18"/>
      <c r="F12" s="18"/>
      <c r="G12" s="19"/>
      <c r="H12" s="19"/>
      <c r="I12" s="18"/>
      <c r="J12" s="18"/>
      <c r="K12" s="18"/>
      <c r="L12" s="18">
        <v>24</v>
      </c>
      <c r="M12" s="18"/>
      <c r="N12" s="18"/>
      <c r="O12" s="18"/>
      <c r="P12" s="18"/>
      <c r="Q12" s="18"/>
      <c r="R12" s="20">
        <v>29</v>
      </c>
      <c r="S12" s="18"/>
      <c r="T12" s="18"/>
      <c r="U12" s="18"/>
      <c r="V12" s="18"/>
      <c r="W12" s="18">
        <v>25</v>
      </c>
      <c r="X12" s="18">
        <v>25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1">
        <f t="shared" si="1"/>
        <v>103</v>
      </c>
      <c r="AJ12" s="62"/>
    </row>
    <row r="13" spans="1:36" s="16" customFormat="1" ht="15" customHeight="1">
      <c r="A13" s="51"/>
      <c r="B13" s="58" t="s">
        <v>9</v>
      </c>
      <c r="C13" s="59"/>
      <c r="D13" s="17"/>
      <c r="E13" s="18"/>
      <c r="F13" s="18"/>
      <c r="G13" s="19"/>
      <c r="H13" s="19"/>
      <c r="I13" s="18">
        <v>6</v>
      </c>
      <c r="J13" s="18"/>
      <c r="K13" s="18"/>
      <c r="L13" s="18"/>
      <c r="M13" s="18"/>
      <c r="N13" s="18"/>
      <c r="O13" s="18"/>
      <c r="P13" s="18"/>
      <c r="Q13" s="18"/>
      <c r="R13" s="20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9">
        <f t="shared" si="1"/>
        <v>6</v>
      </c>
      <c r="AJ13" s="62"/>
    </row>
    <row r="14" spans="1:36" s="16" customFormat="1" ht="15" customHeight="1" thickBot="1">
      <c r="A14" s="52"/>
      <c r="B14" s="60" t="s">
        <v>10</v>
      </c>
      <c r="C14" s="61"/>
      <c r="D14" s="22">
        <f t="shared" ref="D14:AH14" si="3">SUM(D9:D13)</f>
        <v>0</v>
      </c>
      <c r="E14" s="22">
        <f t="shared" si="3"/>
        <v>0</v>
      </c>
      <c r="F14" s="22">
        <f t="shared" si="3"/>
        <v>0</v>
      </c>
      <c r="G14" s="22">
        <f t="shared" si="3"/>
        <v>0</v>
      </c>
      <c r="H14" s="22">
        <f t="shared" si="3"/>
        <v>0</v>
      </c>
      <c r="I14" s="22">
        <f t="shared" si="3"/>
        <v>7</v>
      </c>
      <c r="J14" s="22">
        <f t="shared" si="3"/>
        <v>0</v>
      </c>
      <c r="K14" s="22">
        <f t="shared" si="3"/>
        <v>0</v>
      </c>
      <c r="L14" s="22">
        <f t="shared" si="3"/>
        <v>24</v>
      </c>
      <c r="M14" s="22">
        <f t="shared" si="3"/>
        <v>0</v>
      </c>
      <c r="N14" s="22">
        <f t="shared" si="3"/>
        <v>0</v>
      </c>
      <c r="O14" s="22">
        <f t="shared" si="3"/>
        <v>0</v>
      </c>
      <c r="P14" s="22">
        <f t="shared" si="3"/>
        <v>0</v>
      </c>
      <c r="Q14" s="22">
        <f>SUM(Q9:Q13)</f>
        <v>0</v>
      </c>
      <c r="R14" s="23">
        <f t="shared" si="3"/>
        <v>29</v>
      </c>
      <c r="S14" s="22">
        <f t="shared" si="3"/>
        <v>0</v>
      </c>
      <c r="T14" s="22">
        <f t="shared" si="3"/>
        <v>0</v>
      </c>
      <c r="U14" s="22">
        <f t="shared" si="3"/>
        <v>0</v>
      </c>
      <c r="V14" s="22">
        <f t="shared" si="3"/>
        <v>0</v>
      </c>
      <c r="W14" s="22">
        <f t="shared" si="3"/>
        <v>25</v>
      </c>
      <c r="X14" s="22">
        <f t="shared" si="3"/>
        <v>25</v>
      </c>
      <c r="Y14" s="22">
        <f t="shared" si="3"/>
        <v>0</v>
      </c>
      <c r="Z14" s="22">
        <f t="shared" si="3"/>
        <v>0</v>
      </c>
      <c r="AA14" s="22">
        <f t="shared" si="3"/>
        <v>0</v>
      </c>
      <c r="AB14" s="22">
        <f t="shared" si="3"/>
        <v>0</v>
      </c>
      <c r="AC14" s="22">
        <f t="shared" si="3"/>
        <v>21</v>
      </c>
      <c r="AD14" s="22">
        <f t="shared" si="3"/>
        <v>0</v>
      </c>
      <c r="AE14" s="22">
        <f t="shared" si="3"/>
        <v>0</v>
      </c>
      <c r="AF14" s="22">
        <f t="shared" si="3"/>
        <v>24</v>
      </c>
      <c r="AG14" s="22">
        <f t="shared" si="3"/>
        <v>0</v>
      </c>
      <c r="AH14" s="22">
        <f t="shared" si="3"/>
        <v>0</v>
      </c>
      <c r="AI14" s="30">
        <f t="shared" si="1"/>
        <v>155</v>
      </c>
      <c r="AJ14" s="63"/>
    </row>
    <row r="15" spans="1:36" s="16" customFormat="1" ht="15" customHeight="1">
      <c r="A15" s="50" t="s">
        <v>13</v>
      </c>
      <c r="B15" s="53" t="s">
        <v>5</v>
      </c>
      <c r="C15" s="54"/>
      <c r="D15" s="31"/>
      <c r="E15" s="32"/>
      <c r="F15" s="32"/>
      <c r="G15" s="33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12"/>
      <c r="AH15" s="12"/>
      <c r="AI15" s="15">
        <f t="shared" si="1"/>
        <v>0</v>
      </c>
      <c r="AJ15" s="55">
        <v>250</v>
      </c>
    </row>
    <row r="16" spans="1:36" s="16" customFormat="1" ht="15" customHeight="1">
      <c r="A16" s="51"/>
      <c r="B16" s="58" t="s">
        <v>6</v>
      </c>
      <c r="C16" s="59"/>
      <c r="D16" s="17"/>
      <c r="E16" s="18"/>
      <c r="F16" s="18"/>
      <c r="G16" s="19"/>
      <c r="H16" s="19"/>
      <c r="I16" s="18"/>
      <c r="J16" s="18">
        <v>1</v>
      </c>
      <c r="K16" s="18"/>
      <c r="L16" s="18"/>
      <c r="M16" s="18"/>
      <c r="N16" s="18"/>
      <c r="O16" s="18"/>
      <c r="P16" s="18"/>
      <c r="Q16" s="18"/>
      <c r="R16" s="20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1">
        <f t="shared" si="1"/>
        <v>1</v>
      </c>
      <c r="AJ16" s="56"/>
    </row>
    <row r="17" spans="1:36" s="16" customFormat="1" ht="15" customHeight="1">
      <c r="A17" s="51"/>
      <c r="B17" s="58" t="s">
        <v>12</v>
      </c>
      <c r="C17" s="59"/>
      <c r="D17" s="17"/>
      <c r="E17" s="18"/>
      <c r="F17" s="18"/>
      <c r="G17" s="19"/>
      <c r="H17" s="19"/>
      <c r="I17" s="18"/>
      <c r="J17" s="36">
        <v>20</v>
      </c>
      <c r="K17" s="18"/>
      <c r="L17" s="18"/>
      <c r="M17" s="18"/>
      <c r="N17" s="18"/>
      <c r="O17" s="18"/>
      <c r="P17" s="18"/>
      <c r="Q17" s="18"/>
      <c r="R17" s="20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1">
        <f t="shared" si="1"/>
        <v>20</v>
      </c>
      <c r="AJ17" s="56"/>
    </row>
    <row r="18" spans="1:36" s="16" customFormat="1" ht="15" customHeight="1">
      <c r="A18" s="51"/>
      <c r="B18" s="58" t="s">
        <v>8</v>
      </c>
      <c r="C18" s="59"/>
      <c r="D18" s="37"/>
      <c r="E18" s="38"/>
      <c r="F18" s="38"/>
      <c r="G18" s="39"/>
      <c r="H18" s="19"/>
      <c r="I18" s="40"/>
      <c r="J18" s="40"/>
      <c r="K18" s="40"/>
      <c r="L18" s="40"/>
      <c r="M18" s="40"/>
      <c r="N18" s="40"/>
      <c r="O18" s="40">
        <v>25</v>
      </c>
      <c r="P18" s="40"/>
      <c r="Q18" s="40"/>
      <c r="R18" s="41"/>
      <c r="S18" s="40">
        <v>23</v>
      </c>
      <c r="T18" s="40"/>
      <c r="U18" s="40"/>
      <c r="V18" s="40"/>
      <c r="W18" s="40"/>
      <c r="X18" s="40">
        <v>29</v>
      </c>
      <c r="Y18" s="40"/>
      <c r="Z18" s="40"/>
      <c r="AA18" s="40"/>
      <c r="AB18" s="40"/>
      <c r="AC18" s="40"/>
      <c r="AD18" s="40">
        <v>25</v>
      </c>
      <c r="AE18" s="40"/>
      <c r="AF18" s="40"/>
      <c r="AG18" s="40"/>
      <c r="AH18" s="18"/>
      <c r="AI18" s="21">
        <f t="shared" si="1"/>
        <v>102</v>
      </c>
      <c r="AJ18" s="56"/>
    </row>
    <row r="19" spans="1:36" s="16" customFormat="1" ht="15" customHeight="1">
      <c r="A19" s="51"/>
      <c r="B19" s="58" t="s">
        <v>9</v>
      </c>
      <c r="C19" s="59"/>
      <c r="D19" s="37"/>
      <c r="E19" s="38"/>
      <c r="F19" s="38"/>
      <c r="G19" s="39"/>
      <c r="H19" s="19"/>
      <c r="I19" s="40"/>
      <c r="J19" s="40"/>
      <c r="K19" s="40">
        <v>7</v>
      </c>
      <c r="L19" s="40"/>
      <c r="M19" s="40"/>
      <c r="N19" s="40"/>
      <c r="O19" s="40"/>
      <c r="P19" s="40"/>
      <c r="Q19" s="40"/>
      <c r="R19" s="41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>
        <v>15</v>
      </c>
      <c r="AF19" s="40"/>
      <c r="AG19" s="40"/>
      <c r="AH19" s="18"/>
      <c r="AI19" s="21">
        <f t="shared" si="1"/>
        <v>22</v>
      </c>
      <c r="AJ19" s="56"/>
    </row>
    <row r="20" spans="1:36" s="16" customFormat="1" ht="15" customHeight="1" thickBot="1">
      <c r="A20" s="52"/>
      <c r="B20" s="60" t="s">
        <v>14</v>
      </c>
      <c r="C20" s="61"/>
      <c r="D20" s="22">
        <f t="shared" ref="D20:AH20" si="4">SUM(D15:D19)</f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21</v>
      </c>
      <c r="K20" s="22">
        <f t="shared" si="4"/>
        <v>7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25</v>
      </c>
      <c r="P20" s="22">
        <f t="shared" si="4"/>
        <v>0</v>
      </c>
      <c r="Q20" s="22">
        <f t="shared" si="4"/>
        <v>0</v>
      </c>
      <c r="R20" s="23">
        <f t="shared" si="4"/>
        <v>0</v>
      </c>
      <c r="S20" s="22">
        <f t="shared" si="4"/>
        <v>23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29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25</v>
      </c>
      <c r="AE20" s="22">
        <f t="shared" si="4"/>
        <v>15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4">
        <f t="shared" si="1"/>
        <v>145</v>
      </c>
      <c r="AJ20" s="57"/>
    </row>
    <row r="21" spans="1:36" s="16" customFormat="1" ht="15" customHeight="1">
      <c r="A21" s="50" t="s">
        <v>15</v>
      </c>
      <c r="B21" s="53" t="s">
        <v>5</v>
      </c>
      <c r="C21" s="54"/>
      <c r="D21" s="31"/>
      <c r="E21" s="32"/>
      <c r="F21" s="32"/>
      <c r="G21" s="33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12"/>
      <c r="AH21" s="12"/>
      <c r="AI21" s="15">
        <f t="shared" si="1"/>
        <v>0</v>
      </c>
      <c r="AJ21" s="55">
        <v>250</v>
      </c>
    </row>
    <row r="22" spans="1:36" s="16" customFormat="1" ht="15" customHeight="1">
      <c r="A22" s="51"/>
      <c r="B22" s="58" t="s">
        <v>6</v>
      </c>
      <c r="C22" s="59"/>
      <c r="D22" s="17"/>
      <c r="E22" s="18"/>
      <c r="F22" s="18"/>
      <c r="G22" s="19"/>
      <c r="H22" s="19"/>
      <c r="I22" s="18"/>
      <c r="J22" s="18">
        <v>1</v>
      </c>
      <c r="K22" s="18"/>
      <c r="L22" s="18"/>
      <c r="M22" s="18"/>
      <c r="N22" s="18"/>
      <c r="O22" s="18"/>
      <c r="P22" s="18"/>
      <c r="Q22" s="18"/>
      <c r="R22" s="20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1">
        <f t="shared" si="1"/>
        <v>1</v>
      </c>
      <c r="AJ22" s="56"/>
    </row>
    <row r="23" spans="1:36" s="16" customFormat="1" ht="15" customHeight="1">
      <c r="A23" s="51"/>
      <c r="B23" s="58" t="s">
        <v>12</v>
      </c>
      <c r="C23" s="59"/>
      <c r="D23" s="17"/>
      <c r="E23" s="18"/>
      <c r="F23" s="18"/>
      <c r="G23" s="19"/>
      <c r="H23" s="19"/>
      <c r="I23" s="18"/>
      <c r="J23" s="36">
        <v>20</v>
      </c>
      <c r="K23" s="18"/>
      <c r="L23" s="18"/>
      <c r="M23" s="18"/>
      <c r="N23" s="18"/>
      <c r="O23" s="18"/>
      <c r="P23" s="18"/>
      <c r="Q23" s="18"/>
      <c r="R23" s="20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1">
        <f t="shared" si="1"/>
        <v>20</v>
      </c>
      <c r="AJ23" s="56"/>
    </row>
    <row r="24" spans="1:36" s="16" customFormat="1" ht="15" customHeight="1">
      <c r="A24" s="51"/>
      <c r="B24" s="58" t="s">
        <v>8</v>
      </c>
      <c r="C24" s="59"/>
      <c r="D24" s="37"/>
      <c r="E24" s="38"/>
      <c r="F24" s="38"/>
      <c r="G24" s="39"/>
      <c r="H24" s="19"/>
      <c r="I24" s="40"/>
      <c r="J24" s="40"/>
      <c r="K24" s="40"/>
      <c r="L24" s="40"/>
      <c r="M24" s="40"/>
      <c r="N24" s="40"/>
      <c r="O24" s="40">
        <v>25</v>
      </c>
      <c r="P24" s="40"/>
      <c r="Q24" s="40"/>
      <c r="R24" s="41"/>
      <c r="S24" s="40">
        <v>23</v>
      </c>
      <c r="T24" s="40"/>
      <c r="U24" s="40"/>
      <c r="V24" s="40"/>
      <c r="W24" s="40"/>
      <c r="X24" s="40">
        <v>29</v>
      </c>
      <c r="Y24" s="40"/>
      <c r="Z24" s="40"/>
      <c r="AA24" s="40"/>
      <c r="AB24" s="40"/>
      <c r="AC24" s="40"/>
      <c r="AD24" s="40">
        <v>25</v>
      </c>
      <c r="AE24" s="40"/>
      <c r="AF24" s="40"/>
      <c r="AG24" s="40"/>
      <c r="AH24" s="18"/>
      <c r="AI24" s="21">
        <f t="shared" si="1"/>
        <v>102</v>
      </c>
      <c r="AJ24" s="56"/>
    </row>
    <row r="25" spans="1:36" s="16" customFormat="1" ht="15" customHeight="1">
      <c r="A25" s="51"/>
      <c r="B25" s="58" t="s">
        <v>9</v>
      </c>
      <c r="C25" s="59"/>
      <c r="D25" s="37"/>
      <c r="E25" s="38"/>
      <c r="F25" s="38"/>
      <c r="G25" s="39"/>
      <c r="H25" s="19"/>
      <c r="I25" s="40"/>
      <c r="J25" s="40"/>
      <c r="K25" s="40">
        <v>7</v>
      </c>
      <c r="L25" s="40"/>
      <c r="M25" s="40"/>
      <c r="N25" s="40"/>
      <c r="O25" s="40"/>
      <c r="P25" s="40"/>
      <c r="Q25" s="40"/>
      <c r="R25" s="41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>
        <v>15</v>
      </c>
      <c r="AF25" s="40"/>
      <c r="AG25" s="40"/>
      <c r="AH25" s="18"/>
      <c r="AI25" s="21">
        <f t="shared" si="1"/>
        <v>22</v>
      </c>
      <c r="AJ25" s="56"/>
    </row>
    <row r="26" spans="1:36" s="16" customFormat="1" ht="15" customHeight="1" thickBot="1">
      <c r="A26" s="52"/>
      <c r="B26" s="60" t="s">
        <v>14</v>
      </c>
      <c r="C26" s="61"/>
      <c r="D26" s="22">
        <f t="shared" ref="D26:AH26" si="5">SUM(D21:D25)</f>
        <v>0</v>
      </c>
      <c r="E26" s="22">
        <f t="shared" si="5"/>
        <v>0</v>
      </c>
      <c r="F26" s="22">
        <f t="shared" si="5"/>
        <v>0</v>
      </c>
      <c r="G26" s="22">
        <f t="shared" si="5"/>
        <v>0</v>
      </c>
      <c r="H26" s="22">
        <f t="shared" si="5"/>
        <v>0</v>
      </c>
      <c r="I26" s="22">
        <f t="shared" si="5"/>
        <v>0</v>
      </c>
      <c r="J26" s="22">
        <f t="shared" si="5"/>
        <v>21</v>
      </c>
      <c r="K26" s="22">
        <f t="shared" si="5"/>
        <v>7</v>
      </c>
      <c r="L26" s="22">
        <f t="shared" si="5"/>
        <v>0</v>
      </c>
      <c r="M26" s="22">
        <f t="shared" si="5"/>
        <v>0</v>
      </c>
      <c r="N26" s="22">
        <f t="shared" si="5"/>
        <v>0</v>
      </c>
      <c r="O26" s="22">
        <f t="shared" si="5"/>
        <v>25</v>
      </c>
      <c r="P26" s="22">
        <f t="shared" si="5"/>
        <v>0</v>
      </c>
      <c r="Q26" s="22">
        <f t="shared" si="5"/>
        <v>0</v>
      </c>
      <c r="R26" s="23">
        <f t="shared" si="5"/>
        <v>0</v>
      </c>
      <c r="S26" s="22">
        <f t="shared" si="5"/>
        <v>23</v>
      </c>
      <c r="T26" s="22">
        <f t="shared" si="5"/>
        <v>0</v>
      </c>
      <c r="U26" s="22">
        <f t="shared" si="5"/>
        <v>0</v>
      </c>
      <c r="V26" s="22">
        <f t="shared" si="5"/>
        <v>0</v>
      </c>
      <c r="W26" s="22">
        <f t="shared" si="5"/>
        <v>0</v>
      </c>
      <c r="X26" s="22">
        <f t="shared" si="5"/>
        <v>29</v>
      </c>
      <c r="Y26" s="22">
        <f t="shared" si="5"/>
        <v>0</v>
      </c>
      <c r="Z26" s="22">
        <f t="shared" si="5"/>
        <v>0</v>
      </c>
      <c r="AA26" s="22">
        <f t="shared" si="5"/>
        <v>0</v>
      </c>
      <c r="AB26" s="22">
        <f t="shared" si="5"/>
        <v>0</v>
      </c>
      <c r="AC26" s="22">
        <f t="shared" si="5"/>
        <v>0</v>
      </c>
      <c r="AD26" s="22">
        <f t="shared" si="5"/>
        <v>25</v>
      </c>
      <c r="AE26" s="22">
        <f t="shared" si="5"/>
        <v>15</v>
      </c>
      <c r="AF26" s="22">
        <f t="shared" si="5"/>
        <v>0</v>
      </c>
      <c r="AG26" s="22">
        <f t="shared" si="5"/>
        <v>0</v>
      </c>
      <c r="AH26" s="22">
        <f t="shared" si="5"/>
        <v>0</v>
      </c>
      <c r="AI26" s="24">
        <f t="shared" si="1"/>
        <v>145</v>
      </c>
      <c r="AJ26" s="57"/>
    </row>
    <row r="27" spans="1:36" s="16" customFormat="1" ht="15" customHeight="1">
      <c r="A27" s="50" t="s">
        <v>16</v>
      </c>
      <c r="B27" s="53" t="s">
        <v>5</v>
      </c>
      <c r="C27" s="54"/>
      <c r="D27" s="31"/>
      <c r="E27" s="32"/>
      <c r="F27" s="32"/>
      <c r="G27" s="33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12"/>
      <c r="AH27" s="12"/>
      <c r="AI27" s="15">
        <f t="shared" si="1"/>
        <v>0</v>
      </c>
      <c r="AJ27" s="55">
        <v>250</v>
      </c>
    </row>
    <row r="28" spans="1:36" s="16" customFormat="1" ht="15" customHeight="1">
      <c r="A28" s="51"/>
      <c r="B28" s="58" t="s">
        <v>6</v>
      </c>
      <c r="C28" s="59"/>
      <c r="D28" s="17"/>
      <c r="E28" s="18"/>
      <c r="F28" s="18"/>
      <c r="G28" s="19"/>
      <c r="H28" s="19"/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1">
        <f t="shared" si="1"/>
        <v>1</v>
      </c>
      <c r="AJ28" s="56"/>
    </row>
    <row r="29" spans="1:36" s="16" customFormat="1" ht="15" customHeight="1">
      <c r="A29" s="51"/>
      <c r="B29" s="58" t="s">
        <v>12</v>
      </c>
      <c r="C29" s="59"/>
      <c r="D29" s="17"/>
      <c r="E29" s="18"/>
      <c r="F29" s="18"/>
      <c r="G29" s="19"/>
      <c r="H29" s="19"/>
      <c r="I29" s="18"/>
      <c r="J29" s="36">
        <v>20</v>
      </c>
      <c r="K29" s="18"/>
      <c r="L29" s="18"/>
      <c r="M29" s="18"/>
      <c r="N29" s="18"/>
      <c r="O29" s="18"/>
      <c r="P29" s="18"/>
      <c r="Q29" s="18"/>
      <c r="R29" s="20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1">
        <f t="shared" si="1"/>
        <v>20</v>
      </c>
      <c r="AJ29" s="56"/>
    </row>
    <row r="30" spans="1:36" s="16" customFormat="1" ht="15" customHeight="1">
      <c r="A30" s="51"/>
      <c r="B30" s="58" t="s">
        <v>8</v>
      </c>
      <c r="C30" s="59"/>
      <c r="D30" s="37"/>
      <c r="E30" s="38"/>
      <c r="F30" s="38"/>
      <c r="G30" s="39"/>
      <c r="H30" s="19"/>
      <c r="I30" s="40"/>
      <c r="J30" s="40"/>
      <c r="K30" s="40"/>
      <c r="L30" s="40"/>
      <c r="M30" s="40"/>
      <c r="N30" s="40"/>
      <c r="O30" s="40">
        <v>25</v>
      </c>
      <c r="P30" s="40"/>
      <c r="Q30" s="40"/>
      <c r="R30" s="41"/>
      <c r="S30" s="40">
        <v>23</v>
      </c>
      <c r="T30" s="40"/>
      <c r="U30" s="40"/>
      <c r="V30" s="40"/>
      <c r="W30" s="40"/>
      <c r="X30" s="40">
        <v>29</v>
      </c>
      <c r="Y30" s="40"/>
      <c r="Z30" s="40"/>
      <c r="AA30" s="40"/>
      <c r="AB30" s="40"/>
      <c r="AC30" s="40"/>
      <c r="AD30" s="40">
        <v>25</v>
      </c>
      <c r="AE30" s="40"/>
      <c r="AF30" s="40"/>
      <c r="AG30" s="40"/>
      <c r="AH30" s="18"/>
      <c r="AI30" s="21">
        <f t="shared" si="1"/>
        <v>102</v>
      </c>
      <c r="AJ30" s="56"/>
    </row>
    <row r="31" spans="1:36" s="16" customFormat="1" ht="15" customHeight="1">
      <c r="A31" s="51"/>
      <c r="B31" s="58" t="s">
        <v>9</v>
      </c>
      <c r="C31" s="59"/>
      <c r="D31" s="37"/>
      <c r="E31" s="38"/>
      <c r="F31" s="38"/>
      <c r="G31" s="39"/>
      <c r="H31" s="19"/>
      <c r="I31" s="40"/>
      <c r="J31" s="40"/>
      <c r="K31" s="40">
        <v>7</v>
      </c>
      <c r="L31" s="40"/>
      <c r="M31" s="40"/>
      <c r="N31" s="40"/>
      <c r="O31" s="40"/>
      <c r="P31" s="40"/>
      <c r="Q31" s="40"/>
      <c r="R31" s="41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>
        <v>15</v>
      </c>
      <c r="AF31" s="40"/>
      <c r="AG31" s="40"/>
      <c r="AH31" s="18"/>
      <c r="AI31" s="21">
        <f t="shared" si="1"/>
        <v>22</v>
      </c>
      <c r="AJ31" s="56"/>
    </row>
    <row r="32" spans="1:36" s="16" customFormat="1" ht="15" customHeight="1" thickBot="1">
      <c r="A32" s="52"/>
      <c r="B32" s="60" t="s">
        <v>14</v>
      </c>
      <c r="C32" s="61"/>
      <c r="D32" s="22">
        <f t="shared" ref="D32:AH32" si="6">SUM(D27:D31)</f>
        <v>0</v>
      </c>
      <c r="E32" s="22">
        <f t="shared" si="6"/>
        <v>0</v>
      </c>
      <c r="F32" s="22">
        <f t="shared" si="6"/>
        <v>0</v>
      </c>
      <c r="G32" s="22">
        <f t="shared" si="6"/>
        <v>0</v>
      </c>
      <c r="H32" s="22">
        <f t="shared" si="6"/>
        <v>0</v>
      </c>
      <c r="I32" s="22">
        <f t="shared" si="6"/>
        <v>0</v>
      </c>
      <c r="J32" s="22">
        <f t="shared" si="6"/>
        <v>21</v>
      </c>
      <c r="K32" s="22">
        <f t="shared" si="6"/>
        <v>7</v>
      </c>
      <c r="L32" s="22">
        <f t="shared" si="6"/>
        <v>0</v>
      </c>
      <c r="M32" s="22">
        <f t="shared" si="6"/>
        <v>0</v>
      </c>
      <c r="N32" s="22">
        <f t="shared" si="6"/>
        <v>0</v>
      </c>
      <c r="O32" s="22">
        <f t="shared" si="6"/>
        <v>25</v>
      </c>
      <c r="P32" s="22">
        <f t="shared" si="6"/>
        <v>0</v>
      </c>
      <c r="Q32" s="22">
        <f t="shared" si="6"/>
        <v>0</v>
      </c>
      <c r="R32" s="23">
        <f t="shared" si="6"/>
        <v>0</v>
      </c>
      <c r="S32" s="22">
        <f t="shared" si="6"/>
        <v>23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22">
        <f t="shared" si="6"/>
        <v>0</v>
      </c>
      <c r="X32" s="22">
        <f t="shared" si="6"/>
        <v>29</v>
      </c>
      <c r="Y32" s="22">
        <f t="shared" si="6"/>
        <v>0</v>
      </c>
      <c r="Z32" s="22">
        <f t="shared" si="6"/>
        <v>0</v>
      </c>
      <c r="AA32" s="22">
        <f t="shared" si="6"/>
        <v>0</v>
      </c>
      <c r="AB32" s="22">
        <f t="shared" si="6"/>
        <v>0</v>
      </c>
      <c r="AC32" s="22">
        <f t="shared" si="6"/>
        <v>0</v>
      </c>
      <c r="AD32" s="22">
        <f t="shared" si="6"/>
        <v>25</v>
      </c>
      <c r="AE32" s="22">
        <f t="shared" si="6"/>
        <v>15</v>
      </c>
      <c r="AF32" s="22">
        <f t="shared" si="6"/>
        <v>0</v>
      </c>
      <c r="AG32" s="22">
        <f t="shared" si="6"/>
        <v>0</v>
      </c>
      <c r="AH32" s="22">
        <f t="shared" si="6"/>
        <v>0</v>
      </c>
      <c r="AI32" s="24">
        <f t="shared" si="1"/>
        <v>145</v>
      </c>
      <c r="AJ32" s="57"/>
    </row>
  </sheetData>
  <mergeCells count="42">
    <mergeCell ref="A27:A32"/>
    <mergeCell ref="B27:C27"/>
    <mergeCell ref="AJ27:AJ32"/>
    <mergeCell ref="B28:C28"/>
    <mergeCell ref="B29:C29"/>
    <mergeCell ref="B30:C30"/>
    <mergeCell ref="B31:C31"/>
    <mergeCell ref="B32:C32"/>
    <mergeCell ref="A21:A26"/>
    <mergeCell ref="B21:C21"/>
    <mergeCell ref="AJ21:AJ26"/>
    <mergeCell ref="B22:C22"/>
    <mergeCell ref="B23:C23"/>
    <mergeCell ref="B24:C24"/>
    <mergeCell ref="B25:C25"/>
    <mergeCell ref="B26:C26"/>
    <mergeCell ref="A15:A20"/>
    <mergeCell ref="B15:C15"/>
    <mergeCell ref="AJ15:AJ20"/>
    <mergeCell ref="B16:C16"/>
    <mergeCell ref="B17:C17"/>
    <mergeCell ref="B18:C18"/>
    <mergeCell ref="B19:C19"/>
    <mergeCell ref="B20:C20"/>
    <mergeCell ref="A9:A14"/>
    <mergeCell ref="B9:C9"/>
    <mergeCell ref="AJ9:AJ14"/>
    <mergeCell ref="B10:C10"/>
    <mergeCell ref="B11:C11"/>
    <mergeCell ref="B12:C12"/>
    <mergeCell ref="B13:C13"/>
    <mergeCell ref="B14:C14"/>
    <mergeCell ref="D1:O1"/>
    <mergeCell ref="B2:C2"/>
    <mergeCell ref="A3:A8"/>
    <mergeCell ref="B3:C3"/>
    <mergeCell ref="AJ3:AJ8"/>
    <mergeCell ref="B4:C4"/>
    <mergeCell ref="B5:C5"/>
    <mergeCell ref="B6:C6"/>
    <mergeCell ref="B7:C7"/>
    <mergeCell ref="B8:C8"/>
  </mergeCells>
  <phoneticPr fontId="2" type="noConversion"/>
  <conditionalFormatting sqref="D2:AH2">
    <cfRule type="expression" dxfId="29" priority="3" stopIfTrue="1">
      <formula>WEEKDAY(D2)=7</formula>
    </cfRule>
    <cfRule type="expression" dxfId="28" priority="4" stopIfTrue="1">
      <formula>WEEKDAY(D2)=1</formula>
    </cfRule>
  </conditionalFormatting>
  <conditionalFormatting sqref="D2:AH32">
    <cfRule type="expression" dxfId="27" priority="1">
      <formula>TEXT(D$2,"AAA")="일"</formula>
    </cfRule>
    <cfRule type="expression" dxfId="26" priority="2" stopIfTrue="1">
      <formula>TEXT(D$2,"AAA")="토"</formula>
    </cfRule>
    <cfRule type="expression" dxfId="25" priority="5">
      <formula>FALSE</formula>
    </cfRule>
  </conditionalFormatting>
  <pageMargins left="0.19685039370078741" right="0.39370078740157483" top="0.19685039370078741" bottom="0.11811023622047245" header="0.15748031496062992" footer="0.11811023622047245"/>
  <pageSetup paperSize="9" scale="70" fitToWidth="0" orientation="landscape" r:id="rId1"/>
  <headerFooter alignWithMargins="0">
    <oddFooter>&amp;LF705-02 (R01) &amp;C(주) 덱스코윈&amp;R&amp;P/&amp;N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51C6-DCCC-44D9-9A88-D471A24542FF}">
  <dimension ref="A1:AJ32"/>
  <sheetViews>
    <sheetView showGridLines="0" zoomScale="85" zoomScaleNormal="85" workbookViewId="0">
      <pane xSplit="3" ySplit="2" topLeftCell="D3" activePane="bottomRight" state="frozen"/>
      <selection activeCell="AH19" sqref="AH19"/>
      <selection pane="topRight" activeCell="AH19" sqref="AH19"/>
      <selection pane="bottomLeft" activeCell="AH19" sqref="AH19"/>
      <selection pane="bottomRight" activeCell="AI12" sqref="AI12"/>
    </sheetView>
  </sheetViews>
  <sheetFormatPr defaultColWidth="8.77734375" defaultRowHeight="16.5"/>
  <cols>
    <col min="1" max="1" width="7.21875" style="43" customWidth="1"/>
    <col min="2" max="2" width="11.109375" style="43" customWidth="1"/>
    <col min="3" max="3" width="7.6640625" style="43" customWidth="1"/>
    <col min="4" max="6" width="4.33203125" style="42" customWidth="1"/>
    <col min="7" max="8" width="4.33203125" style="44" customWidth="1"/>
    <col min="9" max="17" width="4.33203125" style="42" customWidth="1"/>
    <col min="18" max="18" width="4.33203125" style="45" customWidth="1"/>
    <col min="19" max="34" width="4.33203125" style="42" customWidth="1"/>
    <col min="35" max="35" width="7.21875" style="46" customWidth="1"/>
    <col min="36" max="36" width="6" style="16" customWidth="1"/>
    <col min="37" max="16384" width="8.77734375" style="3"/>
  </cols>
  <sheetData>
    <row r="1" spans="1:36" ht="21.75" customHeight="1" thickBot="1">
      <c r="A1" s="1"/>
      <c r="B1" s="1"/>
      <c r="C1" s="1"/>
      <c r="D1" s="47">
        <v>46235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"/>
      <c r="Q1" s="2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</row>
    <row r="2" spans="1:36" s="10" customFormat="1" ht="30" customHeight="1" thickBot="1">
      <c r="A2" s="4" t="s">
        <v>0</v>
      </c>
      <c r="B2" s="48" t="s">
        <v>1</v>
      </c>
      <c r="C2" s="49"/>
      <c r="D2" s="5">
        <f>D1</f>
        <v>46235</v>
      </c>
      <c r="E2" s="6">
        <f>D2+1</f>
        <v>46236</v>
      </c>
      <c r="F2" s="6">
        <f t="shared" ref="F2:AH2" si="0">E2+1</f>
        <v>46237</v>
      </c>
      <c r="G2" s="6">
        <f t="shared" si="0"/>
        <v>46238</v>
      </c>
      <c r="H2" s="6">
        <f t="shared" si="0"/>
        <v>46239</v>
      </c>
      <c r="I2" s="6">
        <f t="shared" si="0"/>
        <v>46240</v>
      </c>
      <c r="J2" s="6">
        <f t="shared" si="0"/>
        <v>46241</v>
      </c>
      <c r="K2" s="6">
        <f t="shared" si="0"/>
        <v>46242</v>
      </c>
      <c r="L2" s="6">
        <f t="shared" si="0"/>
        <v>46243</v>
      </c>
      <c r="M2" s="6">
        <f t="shared" si="0"/>
        <v>46244</v>
      </c>
      <c r="N2" s="6">
        <f t="shared" si="0"/>
        <v>46245</v>
      </c>
      <c r="O2" s="6">
        <f t="shared" si="0"/>
        <v>46246</v>
      </c>
      <c r="P2" s="6">
        <f t="shared" si="0"/>
        <v>46247</v>
      </c>
      <c r="Q2" s="6">
        <f t="shared" si="0"/>
        <v>46248</v>
      </c>
      <c r="R2" s="7">
        <f t="shared" si="0"/>
        <v>46249</v>
      </c>
      <c r="S2" s="6">
        <f t="shared" si="0"/>
        <v>46250</v>
      </c>
      <c r="T2" s="6">
        <f t="shared" si="0"/>
        <v>46251</v>
      </c>
      <c r="U2" s="6">
        <f t="shared" si="0"/>
        <v>46252</v>
      </c>
      <c r="V2" s="6">
        <f t="shared" si="0"/>
        <v>46253</v>
      </c>
      <c r="W2" s="6">
        <f t="shared" si="0"/>
        <v>46254</v>
      </c>
      <c r="X2" s="6">
        <f t="shared" si="0"/>
        <v>46255</v>
      </c>
      <c r="Y2" s="6">
        <f t="shared" si="0"/>
        <v>46256</v>
      </c>
      <c r="Z2" s="6">
        <f t="shared" si="0"/>
        <v>46257</v>
      </c>
      <c r="AA2" s="6">
        <f t="shared" si="0"/>
        <v>46258</v>
      </c>
      <c r="AB2" s="6">
        <f t="shared" si="0"/>
        <v>46259</v>
      </c>
      <c r="AC2" s="6">
        <f t="shared" si="0"/>
        <v>46260</v>
      </c>
      <c r="AD2" s="6">
        <f t="shared" si="0"/>
        <v>46261</v>
      </c>
      <c r="AE2" s="6">
        <f t="shared" si="0"/>
        <v>46262</v>
      </c>
      <c r="AF2" s="6">
        <f t="shared" si="0"/>
        <v>46263</v>
      </c>
      <c r="AG2" s="6">
        <f t="shared" si="0"/>
        <v>46264</v>
      </c>
      <c r="AH2" s="6">
        <f t="shared" si="0"/>
        <v>46265</v>
      </c>
      <c r="AI2" s="8" t="s">
        <v>2</v>
      </c>
      <c r="AJ2" s="9" t="s">
        <v>3</v>
      </c>
    </row>
    <row r="3" spans="1:36" s="16" customFormat="1" ht="15" customHeight="1">
      <c r="A3" s="50" t="s">
        <v>4</v>
      </c>
      <c r="B3" s="53" t="s">
        <v>5</v>
      </c>
      <c r="C3" s="54"/>
      <c r="D3" s="11"/>
      <c r="E3" s="12"/>
      <c r="F3" s="12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>
        <f>SUM(D3:AH3)</f>
        <v>0</v>
      </c>
      <c r="AJ3" s="55">
        <v>250</v>
      </c>
    </row>
    <row r="4" spans="1:36" s="16" customFormat="1" ht="15" customHeight="1">
      <c r="A4" s="51"/>
      <c r="B4" s="58" t="s">
        <v>6</v>
      </c>
      <c r="C4" s="59"/>
      <c r="D4" s="17"/>
      <c r="E4" s="18"/>
      <c r="F4" s="18"/>
      <c r="G4" s="19"/>
      <c r="H4" s="19"/>
      <c r="I4" s="18"/>
      <c r="J4" s="18"/>
      <c r="K4" s="18"/>
      <c r="L4" s="18"/>
      <c r="M4" s="18"/>
      <c r="N4" s="18"/>
      <c r="O4" s="18"/>
      <c r="P4" s="18"/>
      <c r="Q4" s="18"/>
      <c r="R4" s="20"/>
      <c r="S4" s="18"/>
      <c r="T4" s="18"/>
      <c r="U4" s="18"/>
      <c r="V4" s="18">
        <v>25</v>
      </c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21">
        <f t="shared" ref="AI4:AI32" si="1">SUM(D4:AH4)</f>
        <v>25</v>
      </c>
      <c r="AJ4" s="56"/>
    </row>
    <row r="5" spans="1:36" s="16" customFormat="1" ht="15" customHeight="1">
      <c r="A5" s="51"/>
      <c r="B5" s="58" t="s">
        <v>7</v>
      </c>
      <c r="C5" s="59"/>
      <c r="D5" s="17"/>
      <c r="E5" s="18">
        <v>50</v>
      </c>
      <c r="F5" s="18"/>
      <c r="G5" s="19"/>
      <c r="H5" s="19"/>
      <c r="I5" s="18"/>
      <c r="J5" s="18"/>
      <c r="K5" s="18"/>
      <c r="L5" s="18"/>
      <c r="M5" s="18"/>
      <c r="N5" s="18"/>
      <c r="O5" s="18"/>
      <c r="P5" s="18"/>
      <c r="Q5" s="18"/>
      <c r="R5" s="20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21">
        <f t="shared" si="1"/>
        <v>50</v>
      </c>
      <c r="AJ5" s="56"/>
    </row>
    <row r="6" spans="1:36" s="16" customFormat="1" ht="15" customHeight="1">
      <c r="A6" s="51"/>
      <c r="B6" s="58" t="s">
        <v>8</v>
      </c>
      <c r="C6" s="59"/>
      <c r="D6" s="17"/>
      <c r="E6" s="18"/>
      <c r="F6" s="18"/>
      <c r="G6" s="19"/>
      <c r="H6" s="19"/>
      <c r="I6" s="18"/>
      <c r="J6" s="18"/>
      <c r="K6" s="18"/>
      <c r="L6" s="18"/>
      <c r="M6" s="18"/>
      <c r="N6" s="18"/>
      <c r="O6" s="18"/>
      <c r="P6" s="18"/>
      <c r="Q6" s="18"/>
      <c r="R6" s="20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>
        <v>50</v>
      </c>
      <c r="AH6" s="18"/>
      <c r="AI6" s="21">
        <f t="shared" si="1"/>
        <v>50</v>
      </c>
      <c r="AJ6" s="56"/>
    </row>
    <row r="7" spans="1:36" s="16" customFormat="1" ht="15" customHeight="1">
      <c r="A7" s="51"/>
      <c r="B7" s="58" t="s">
        <v>9</v>
      </c>
      <c r="C7" s="59"/>
      <c r="D7" s="17"/>
      <c r="E7" s="18"/>
      <c r="F7" s="18"/>
      <c r="G7" s="19"/>
      <c r="H7" s="19"/>
      <c r="I7" s="18"/>
      <c r="J7" s="18"/>
      <c r="K7" s="18"/>
      <c r="L7" s="18"/>
      <c r="M7" s="18"/>
      <c r="N7" s="18"/>
      <c r="O7" s="18"/>
      <c r="P7" s="18"/>
      <c r="Q7" s="18"/>
      <c r="R7" s="2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21">
        <f t="shared" si="1"/>
        <v>0</v>
      </c>
      <c r="AJ7" s="56"/>
    </row>
    <row r="8" spans="1:36" s="16" customFormat="1" ht="15" customHeight="1" thickBot="1">
      <c r="A8" s="52"/>
      <c r="B8" s="60" t="s">
        <v>10</v>
      </c>
      <c r="C8" s="61"/>
      <c r="D8" s="22">
        <f t="shared" ref="D8:AH8" si="2">SUM(D3:D7)</f>
        <v>0</v>
      </c>
      <c r="E8" s="22">
        <f t="shared" si="2"/>
        <v>50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 t="shared" si="2"/>
        <v>0</v>
      </c>
      <c r="K8" s="22">
        <f t="shared" si="2"/>
        <v>0</v>
      </c>
      <c r="L8" s="22">
        <f t="shared" si="2"/>
        <v>0</v>
      </c>
      <c r="M8" s="22">
        <f t="shared" si="2"/>
        <v>0</v>
      </c>
      <c r="N8" s="22">
        <f t="shared" si="2"/>
        <v>0</v>
      </c>
      <c r="O8" s="22">
        <f t="shared" si="2"/>
        <v>0</v>
      </c>
      <c r="P8" s="22">
        <f t="shared" si="2"/>
        <v>0</v>
      </c>
      <c r="Q8" s="22">
        <f t="shared" si="2"/>
        <v>0</v>
      </c>
      <c r="R8" s="23">
        <f t="shared" si="2"/>
        <v>0</v>
      </c>
      <c r="S8" s="22">
        <f t="shared" si="2"/>
        <v>0</v>
      </c>
      <c r="T8" s="22">
        <f t="shared" si="2"/>
        <v>0</v>
      </c>
      <c r="U8" s="22">
        <f t="shared" si="2"/>
        <v>0</v>
      </c>
      <c r="V8" s="22">
        <f t="shared" si="2"/>
        <v>25</v>
      </c>
      <c r="W8" s="22">
        <f t="shared" si="2"/>
        <v>0</v>
      </c>
      <c r="X8" s="22">
        <f t="shared" si="2"/>
        <v>0</v>
      </c>
      <c r="Y8" s="22">
        <f t="shared" si="2"/>
        <v>0</v>
      </c>
      <c r="Z8" s="22">
        <f t="shared" si="2"/>
        <v>0</v>
      </c>
      <c r="AA8" s="22">
        <f t="shared" si="2"/>
        <v>0</v>
      </c>
      <c r="AB8" s="22">
        <f t="shared" si="2"/>
        <v>0</v>
      </c>
      <c r="AC8" s="22">
        <f t="shared" si="2"/>
        <v>0</v>
      </c>
      <c r="AD8" s="22">
        <f t="shared" si="2"/>
        <v>0</v>
      </c>
      <c r="AE8" s="22">
        <f t="shared" si="2"/>
        <v>0</v>
      </c>
      <c r="AF8" s="22">
        <f t="shared" si="2"/>
        <v>0</v>
      </c>
      <c r="AG8" s="22">
        <f t="shared" si="2"/>
        <v>50</v>
      </c>
      <c r="AH8" s="22">
        <f t="shared" si="2"/>
        <v>0</v>
      </c>
      <c r="AI8" s="24">
        <f>SUM(D8:AH8)</f>
        <v>125</v>
      </c>
      <c r="AJ8" s="57"/>
    </row>
    <row r="9" spans="1:36" s="16" customFormat="1" ht="15" customHeight="1">
      <c r="A9" s="50" t="s">
        <v>11</v>
      </c>
      <c r="B9" s="53" t="s">
        <v>5</v>
      </c>
      <c r="C9" s="54"/>
      <c r="D9" s="25"/>
      <c r="E9" s="26"/>
      <c r="F9" s="26"/>
      <c r="G9" s="27"/>
      <c r="H9" s="27"/>
      <c r="I9" s="26"/>
      <c r="J9" s="26"/>
      <c r="K9" s="26"/>
      <c r="L9" s="26"/>
      <c r="M9" s="26"/>
      <c r="N9" s="26"/>
      <c r="O9" s="26"/>
      <c r="P9" s="26"/>
      <c r="Q9" s="26"/>
      <c r="R9" s="2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9">
        <f t="shared" si="1"/>
        <v>0</v>
      </c>
      <c r="AJ9" s="55">
        <v>250</v>
      </c>
    </row>
    <row r="10" spans="1:36" s="16" customFormat="1" ht="15" customHeight="1">
      <c r="A10" s="51"/>
      <c r="B10" s="58" t="s">
        <v>6</v>
      </c>
      <c r="C10" s="59"/>
      <c r="D10" s="17"/>
      <c r="E10" s="18"/>
      <c r="F10" s="18"/>
      <c r="G10" s="19"/>
      <c r="H10" s="19"/>
      <c r="I10" s="18">
        <v>1</v>
      </c>
      <c r="J10" s="18"/>
      <c r="K10" s="18"/>
      <c r="L10" s="18"/>
      <c r="M10" s="18"/>
      <c r="N10" s="18"/>
      <c r="O10" s="18"/>
      <c r="P10" s="18"/>
      <c r="Q10" s="18"/>
      <c r="R10" s="20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>
        <v>24</v>
      </c>
      <c r="AG10" s="18"/>
      <c r="AH10" s="18"/>
      <c r="AI10" s="21">
        <f t="shared" si="1"/>
        <v>25</v>
      </c>
      <c r="AJ10" s="62"/>
    </row>
    <row r="11" spans="1:36" s="16" customFormat="1" ht="15" customHeight="1">
      <c r="A11" s="51"/>
      <c r="B11" s="58" t="s">
        <v>12</v>
      </c>
      <c r="C11" s="59"/>
      <c r="D11" s="17"/>
      <c r="E11" s="18"/>
      <c r="F11" s="18"/>
      <c r="G11" s="19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20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v>21</v>
      </c>
      <c r="AD11" s="18"/>
      <c r="AE11" s="18"/>
      <c r="AF11" s="18"/>
      <c r="AG11" s="18"/>
      <c r="AH11" s="18"/>
      <c r="AI11" s="21">
        <f t="shared" si="1"/>
        <v>21</v>
      </c>
      <c r="AJ11" s="62"/>
    </row>
    <row r="12" spans="1:36" s="16" customFormat="1" ht="15" customHeight="1">
      <c r="A12" s="51"/>
      <c r="B12" s="58" t="s">
        <v>8</v>
      </c>
      <c r="C12" s="59"/>
      <c r="D12" s="17"/>
      <c r="E12" s="18"/>
      <c r="F12" s="18"/>
      <c r="G12" s="19"/>
      <c r="H12" s="19"/>
      <c r="I12" s="18"/>
      <c r="J12" s="18"/>
      <c r="K12" s="18"/>
      <c r="L12" s="18">
        <v>24</v>
      </c>
      <c r="M12" s="18"/>
      <c r="N12" s="18"/>
      <c r="O12" s="18"/>
      <c r="P12" s="18"/>
      <c r="Q12" s="18"/>
      <c r="R12" s="20">
        <v>29</v>
      </c>
      <c r="S12" s="18"/>
      <c r="T12" s="18"/>
      <c r="U12" s="18"/>
      <c r="V12" s="18"/>
      <c r="W12" s="18">
        <v>25</v>
      </c>
      <c r="X12" s="18">
        <v>25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1">
        <f t="shared" si="1"/>
        <v>103</v>
      </c>
      <c r="AJ12" s="62"/>
    </row>
    <row r="13" spans="1:36" s="16" customFormat="1" ht="15" customHeight="1">
      <c r="A13" s="51"/>
      <c r="B13" s="58" t="s">
        <v>9</v>
      </c>
      <c r="C13" s="59"/>
      <c r="D13" s="17"/>
      <c r="E13" s="18"/>
      <c r="F13" s="18"/>
      <c r="G13" s="19"/>
      <c r="H13" s="19"/>
      <c r="I13" s="18">
        <v>6</v>
      </c>
      <c r="J13" s="18"/>
      <c r="K13" s="18"/>
      <c r="L13" s="18"/>
      <c r="M13" s="18"/>
      <c r="N13" s="18"/>
      <c r="O13" s="18"/>
      <c r="P13" s="18"/>
      <c r="Q13" s="18"/>
      <c r="R13" s="20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9">
        <f t="shared" si="1"/>
        <v>6</v>
      </c>
      <c r="AJ13" s="62"/>
    </row>
    <row r="14" spans="1:36" s="16" customFormat="1" ht="15" customHeight="1" thickBot="1">
      <c r="A14" s="52"/>
      <c r="B14" s="60" t="s">
        <v>10</v>
      </c>
      <c r="C14" s="61"/>
      <c r="D14" s="22">
        <f t="shared" ref="D14:AH14" si="3">SUM(D9:D13)</f>
        <v>0</v>
      </c>
      <c r="E14" s="22">
        <f t="shared" si="3"/>
        <v>0</v>
      </c>
      <c r="F14" s="22">
        <f t="shared" si="3"/>
        <v>0</v>
      </c>
      <c r="G14" s="22">
        <f t="shared" si="3"/>
        <v>0</v>
      </c>
      <c r="H14" s="22">
        <f t="shared" si="3"/>
        <v>0</v>
      </c>
      <c r="I14" s="22">
        <f t="shared" si="3"/>
        <v>7</v>
      </c>
      <c r="J14" s="22">
        <f t="shared" si="3"/>
        <v>0</v>
      </c>
      <c r="K14" s="22">
        <f t="shared" si="3"/>
        <v>0</v>
      </c>
      <c r="L14" s="22">
        <f t="shared" si="3"/>
        <v>24</v>
      </c>
      <c r="M14" s="22">
        <f t="shared" si="3"/>
        <v>0</v>
      </c>
      <c r="N14" s="22">
        <f t="shared" si="3"/>
        <v>0</v>
      </c>
      <c r="O14" s="22">
        <f t="shared" si="3"/>
        <v>0</v>
      </c>
      <c r="P14" s="22">
        <f t="shared" si="3"/>
        <v>0</v>
      </c>
      <c r="Q14" s="22">
        <f>SUM(Q9:Q13)</f>
        <v>0</v>
      </c>
      <c r="R14" s="23">
        <f t="shared" si="3"/>
        <v>29</v>
      </c>
      <c r="S14" s="22">
        <f t="shared" si="3"/>
        <v>0</v>
      </c>
      <c r="T14" s="22">
        <f t="shared" si="3"/>
        <v>0</v>
      </c>
      <c r="U14" s="22">
        <f t="shared" si="3"/>
        <v>0</v>
      </c>
      <c r="V14" s="22">
        <f t="shared" si="3"/>
        <v>0</v>
      </c>
      <c r="W14" s="22">
        <f t="shared" si="3"/>
        <v>25</v>
      </c>
      <c r="X14" s="22">
        <f t="shared" si="3"/>
        <v>25</v>
      </c>
      <c r="Y14" s="22">
        <f t="shared" si="3"/>
        <v>0</v>
      </c>
      <c r="Z14" s="22">
        <f t="shared" si="3"/>
        <v>0</v>
      </c>
      <c r="AA14" s="22">
        <f t="shared" si="3"/>
        <v>0</v>
      </c>
      <c r="AB14" s="22">
        <f t="shared" si="3"/>
        <v>0</v>
      </c>
      <c r="AC14" s="22">
        <f t="shared" si="3"/>
        <v>21</v>
      </c>
      <c r="AD14" s="22">
        <f t="shared" si="3"/>
        <v>0</v>
      </c>
      <c r="AE14" s="22">
        <f t="shared" si="3"/>
        <v>0</v>
      </c>
      <c r="AF14" s="22">
        <f t="shared" si="3"/>
        <v>24</v>
      </c>
      <c r="AG14" s="22">
        <f t="shared" si="3"/>
        <v>0</v>
      </c>
      <c r="AH14" s="22">
        <f t="shared" si="3"/>
        <v>0</v>
      </c>
      <c r="AI14" s="30">
        <f t="shared" si="1"/>
        <v>155</v>
      </c>
      <c r="AJ14" s="63"/>
    </row>
    <row r="15" spans="1:36" s="16" customFormat="1" ht="15" customHeight="1">
      <c r="A15" s="50" t="s">
        <v>13</v>
      </c>
      <c r="B15" s="53" t="s">
        <v>5</v>
      </c>
      <c r="C15" s="54"/>
      <c r="D15" s="31"/>
      <c r="E15" s="32"/>
      <c r="F15" s="32"/>
      <c r="G15" s="33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12"/>
      <c r="AH15" s="12"/>
      <c r="AI15" s="15">
        <f t="shared" si="1"/>
        <v>0</v>
      </c>
      <c r="AJ15" s="55">
        <v>250</v>
      </c>
    </row>
    <row r="16" spans="1:36" s="16" customFormat="1" ht="15" customHeight="1">
      <c r="A16" s="51"/>
      <c r="B16" s="58" t="s">
        <v>6</v>
      </c>
      <c r="C16" s="59"/>
      <c r="D16" s="17"/>
      <c r="E16" s="18"/>
      <c r="F16" s="18"/>
      <c r="G16" s="19"/>
      <c r="H16" s="19"/>
      <c r="I16" s="18"/>
      <c r="J16" s="18">
        <v>1</v>
      </c>
      <c r="K16" s="18"/>
      <c r="L16" s="18"/>
      <c r="M16" s="18"/>
      <c r="N16" s="18"/>
      <c r="O16" s="18"/>
      <c r="P16" s="18"/>
      <c r="Q16" s="18"/>
      <c r="R16" s="20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1">
        <f t="shared" si="1"/>
        <v>1</v>
      </c>
      <c r="AJ16" s="56"/>
    </row>
    <row r="17" spans="1:36" s="16" customFormat="1" ht="15" customHeight="1">
      <c r="A17" s="51"/>
      <c r="B17" s="58" t="s">
        <v>12</v>
      </c>
      <c r="C17" s="59"/>
      <c r="D17" s="17"/>
      <c r="E17" s="18"/>
      <c r="F17" s="18"/>
      <c r="G17" s="19"/>
      <c r="H17" s="19"/>
      <c r="I17" s="18"/>
      <c r="J17" s="36">
        <v>20</v>
      </c>
      <c r="K17" s="18"/>
      <c r="L17" s="18"/>
      <c r="M17" s="18"/>
      <c r="N17" s="18"/>
      <c r="O17" s="18"/>
      <c r="P17" s="18"/>
      <c r="Q17" s="18"/>
      <c r="R17" s="20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1">
        <f t="shared" si="1"/>
        <v>20</v>
      </c>
      <c r="AJ17" s="56"/>
    </row>
    <row r="18" spans="1:36" s="16" customFormat="1" ht="15" customHeight="1">
      <c r="A18" s="51"/>
      <c r="B18" s="58" t="s">
        <v>8</v>
      </c>
      <c r="C18" s="59"/>
      <c r="D18" s="37"/>
      <c r="E18" s="38"/>
      <c r="F18" s="38"/>
      <c r="G18" s="39"/>
      <c r="H18" s="19"/>
      <c r="I18" s="40"/>
      <c r="J18" s="40"/>
      <c r="K18" s="40"/>
      <c r="L18" s="40"/>
      <c r="M18" s="40"/>
      <c r="N18" s="40"/>
      <c r="O18" s="40">
        <v>25</v>
      </c>
      <c r="P18" s="40"/>
      <c r="Q18" s="40"/>
      <c r="R18" s="41"/>
      <c r="S18" s="40">
        <v>23</v>
      </c>
      <c r="T18" s="40"/>
      <c r="U18" s="40"/>
      <c r="V18" s="40"/>
      <c r="W18" s="40"/>
      <c r="X18" s="40">
        <v>29</v>
      </c>
      <c r="Y18" s="40"/>
      <c r="Z18" s="40"/>
      <c r="AA18" s="40"/>
      <c r="AB18" s="40"/>
      <c r="AC18" s="40"/>
      <c r="AD18" s="40">
        <v>25</v>
      </c>
      <c r="AE18" s="40"/>
      <c r="AF18" s="40"/>
      <c r="AG18" s="40"/>
      <c r="AH18" s="18"/>
      <c r="AI18" s="21">
        <f t="shared" si="1"/>
        <v>102</v>
      </c>
      <c r="AJ18" s="56"/>
    </row>
    <row r="19" spans="1:36" s="16" customFormat="1" ht="15" customHeight="1">
      <c r="A19" s="51"/>
      <c r="B19" s="58" t="s">
        <v>9</v>
      </c>
      <c r="C19" s="59"/>
      <c r="D19" s="37"/>
      <c r="E19" s="38"/>
      <c r="F19" s="38"/>
      <c r="G19" s="39"/>
      <c r="H19" s="19"/>
      <c r="I19" s="40"/>
      <c r="J19" s="40"/>
      <c r="K19" s="40">
        <v>7</v>
      </c>
      <c r="L19" s="40"/>
      <c r="M19" s="40"/>
      <c r="N19" s="40"/>
      <c r="O19" s="40"/>
      <c r="P19" s="40"/>
      <c r="Q19" s="40"/>
      <c r="R19" s="41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>
        <v>15</v>
      </c>
      <c r="AF19" s="40"/>
      <c r="AG19" s="40"/>
      <c r="AH19" s="18"/>
      <c r="AI19" s="21">
        <f t="shared" si="1"/>
        <v>22</v>
      </c>
      <c r="AJ19" s="56"/>
    </row>
    <row r="20" spans="1:36" s="16" customFormat="1" ht="15" customHeight="1" thickBot="1">
      <c r="A20" s="52"/>
      <c r="B20" s="60" t="s">
        <v>14</v>
      </c>
      <c r="C20" s="61"/>
      <c r="D20" s="22">
        <f t="shared" ref="D20:AH20" si="4">SUM(D15:D19)</f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21</v>
      </c>
      <c r="K20" s="22">
        <f t="shared" si="4"/>
        <v>7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25</v>
      </c>
      <c r="P20" s="22">
        <f t="shared" si="4"/>
        <v>0</v>
      </c>
      <c r="Q20" s="22">
        <f t="shared" si="4"/>
        <v>0</v>
      </c>
      <c r="R20" s="23">
        <f t="shared" si="4"/>
        <v>0</v>
      </c>
      <c r="S20" s="22">
        <f t="shared" si="4"/>
        <v>23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29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25</v>
      </c>
      <c r="AE20" s="22">
        <f t="shared" si="4"/>
        <v>15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4">
        <f t="shared" si="1"/>
        <v>145</v>
      </c>
      <c r="AJ20" s="57"/>
    </row>
    <row r="21" spans="1:36" s="16" customFormat="1" ht="15" customHeight="1">
      <c r="A21" s="50" t="s">
        <v>15</v>
      </c>
      <c r="B21" s="53" t="s">
        <v>5</v>
      </c>
      <c r="C21" s="54"/>
      <c r="D21" s="31"/>
      <c r="E21" s="32"/>
      <c r="F21" s="32"/>
      <c r="G21" s="33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12"/>
      <c r="AH21" s="12"/>
      <c r="AI21" s="15">
        <f t="shared" si="1"/>
        <v>0</v>
      </c>
      <c r="AJ21" s="55">
        <v>250</v>
      </c>
    </row>
    <row r="22" spans="1:36" s="16" customFormat="1" ht="15" customHeight="1">
      <c r="A22" s="51"/>
      <c r="B22" s="58" t="s">
        <v>6</v>
      </c>
      <c r="C22" s="59"/>
      <c r="D22" s="17"/>
      <c r="E22" s="18"/>
      <c r="F22" s="18"/>
      <c r="G22" s="19"/>
      <c r="H22" s="19"/>
      <c r="I22" s="18"/>
      <c r="J22" s="18">
        <v>1</v>
      </c>
      <c r="K22" s="18"/>
      <c r="L22" s="18"/>
      <c r="M22" s="18"/>
      <c r="N22" s="18"/>
      <c r="O22" s="18"/>
      <c r="P22" s="18"/>
      <c r="Q22" s="18"/>
      <c r="R22" s="20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1">
        <f t="shared" si="1"/>
        <v>1</v>
      </c>
      <c r="AJ22" s="56"/>
    </row>
    <row r="23" spans="1:36" s="16" customFormat="1" ht="15" customHeight="1">
      <c r="A23" s="51"/>
      <c r="B23" s="58" t="s">
        <v>12</v>
      </c>
      <c r="C23" s="59"/>
      <c r="D23" s="17"/>
      <c r="E23" s="18"/>
      <c r="F23" s="18"/>
      <c r="G23" s="19"/>
      <c r="H23" s="19"/>
      <c r="I23" s="18"/>
      <c r="J23" s="36">
        <v>20</v>
      </c>
      <c r="K23" s="18"/>
      <c r="L23" s="18"/>
      <c r="M23" s="18"/>
      <c r="N23" s="18"/>
      <c r="O23" s="18"/>
      <c r="P23" s="18"/>
      <c r="Q23" s="18"/>
      <c r="R23" s="20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1">
        <f t="shared" si="1"/>
        <v>20</v>
      </c>
      <c r="AJ23" s="56"/>
    </row>
    <row r="24" spans="1:36" s="16" customFormat="1" ht="15" customHeight="1">
      <c r="A24" s="51"/>
      <c r="B24" s="58" t="s">
        <v>8</v>
      </c>
      <c r="C24" s="59"/>
      <c r="D24" s="37"/>
      <c r="E24" s="38"/>
      <c r="F24" s="38"/>
      <c r="G24" s="39"/>
      <c r="H24" s="19"/>
      <c r="I24" s="40"/>
      <c r="J24" s="40"/>
      <c r="K24" s="40"/>
      <c r="L24" s="40"/>
      <c r="M24" s="40"/>
      <c r="N24" s="40"/>
      <c r="O24" s="40">
        <v>25</v>
      </c>
      <c r="P24" s="40"/>
      <c r="Q24" s="40"/>
      <c r="R24" s="41"/>
      <c r="S24" s="40">
        <v>23</v>
      </c>
      <c r="T24" s="40"/>
      <c r="U24" s="40"/>
      <c r="V24" s="40"/>
      <c r="W24" s="40"/>
      <c r="X24" s="40">
        <v>29</v>
      </c>
      <c r="Y24" s="40"/>
      <c r="Z24" s="40"/>
      <c r="AA24" s="40"/>
      <c r="AB24" s="40"/>
      <c r="AC24" s="40"/>
      <c r="AD24" s="40">
        <v>25</v>
      </c>
      <c r="AE24" s="40"/>
      <c r="AF24" s="40"/>
      <c r="AG24" s="40"/>
      <c r="AH24" s="18"/>
      <c r="AI24" s="21">
        <f t="shared" si="1"/>
        <v>102</v>
      </c>
      <c r="AJ24" s="56"/>
    </row>
    <row r="25" spans="1:36" s="16" customFormat="1" ht="15" customHeight="1">
      <c r="A25" s="51"/>
      <c r="B25" s="58" t="s">
        <v>9</v>
      </c>
      <c r="C25" s="59"/>
      <c r="D25" s="37"/>
      <c r="E25" s="38"/>
      <c r="F25" s="38"/>
      <c r="G25" s="39"/>
      <c r="H25" s="19"/>
      <c r="I25" s="40"/>
      <c r="J25" s="40"/>
      <c r="K25" s="40">
        <v>7</v>
      </c>
      <c r="L25" s="40"/>
      <c r="M25" s="40"/>
      <c r="N25" s="40"/>
      <c r="O25" s="40"/>
      <c r="P25" s="40"/>
      <c r="Q25" s="40"/>
      <c r="R25" s="41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>
        <v>15</v>
      </c>
      <c r="AF25" s="40"/>
      <c r="AG25" s="40"/>
      <c r="AH25" s="18"/>
      <c r="AI25" s="21">
        <f t="shared" si="1"/>
        <v>22</v>
      </c>
      <c r="AJ25" s="56"/>
    </row>
    <row r="26" spans="1:36" s="16" customFormat="1" ht="15" customHeight="1" thickBot="1">
      <c r="A26" s="52"/>
      <c r="B26" s="60" t="s">
        <v>14</v>
      </c>
      <c r="C26" s="61"/>
      <c r="D26" s="22">
        <f t="shared" ref="D26:AH26" si="5">SUM(D21:D25)</f>
        <v>0</v>
      </c>
      <c r="E26" s="22">
        <f t="shared" si="5"/>
        <v>0</v>
      </c>
      <c r="F26" s="22">
        <f t="shared" si="5"/>
        <v>0</v>
      </c>
      <c r="G26" s="22">
        <f t="shared" si="5"/>
        <v>0</v>
      </c>
      <c r="H26" s="22">
        <f t="shared" si="5"/>
        <v>0</v>
      </c>
      <c r="I26" s="22">
        <f t="shared" si="5"/>
        <v>0</v>
      </c>
      <c r="J26" s="22">
        <f t="shared" si="5"/>
        <v>21</v>
      </c>
      <c r="K26" s="22">
        <f t="shared" si="5"/>
        <v>7</v>
      </c>
      <c r="L26" s="22">
        <f t="shared" si="5"/>
        <v>0</v>
      </c>
      <c r="M26" s="22">
        <f t="shared" si="5"/>
        <v>0</v>
      </c>
      <c r="N26" s="22">
        <f t="shared" si="5"/>
        <v>0</v>
      </c>
      <c r="O26" s="22">
        <f t="shared" si="5"/>
        <v>25</v>
      </c>
      <c r="P26" s="22">
        <f t="shared" si="5"/>
        <v>0</v>
      </c>
      <c r="Q26" s="22">
        <f t="shared" si="5"/>
        <v>0</v>
      </c>
      <c r="R26" s="23">
        <f t="shared" si="5"/>
        <v>0</v>
      </c>
      <c r="S26" s="22">
        <f t="shared" si="5"/>
        <v>23</v>
      </c>
      <c r="T26" s="22">
        <f t="shared" si="5"/>
        <v>0</v>
      </c>
      <c r="U26" s="22">
        <f t="shared" si="5"/>
        <v>0</v>
      </c>
      <c r="V26" s="22">
        <f t="shared" si="5"/>
        <v>0</v>
      </c>
      <c r="W26" s="22">
        <f t="shared" si="5"/>
        <v>0</v>
      </c>
      <c r="X26" s="22">
        <f t="shared" si="5"/>
        <v>29</v>
      </c>
      <c r="Y26" s="22">
        <f t="shared" si="5"/>
        <v>0</v>
      </c>
      <c r="Z26" s="22">
        <f t="shared" si="5"/>
        <v>0</v>
      </c>
      <c r="AA26" s="22">
        <f t="shared" si="5"/>
        <v>0</v>
      </c>
      <c r="AB26" s="22">
        <f t="shared" si="5"/>
        <v>0</v>
      </c>
      <c r="AC26" s="22">
        <f t="shared" si="5"/>
        <v>0</v>
      </c>
      <c r="AD26" s="22">
        <f t="shared" si="5"/>
        <v>25</v>
      </c>
      <c r="AE26" s="22">
        <f t="shared" si="5"/>
        <v>15</v>
      </c>
      <c r="AF26" s="22">
        <f t="shared" si="5"/>
        <v>0</v>
      </c>
      <c r="AG26" s="22">
        <f t="shared" si="5"/>
        <v>0</v>
      </c>
      <c r="AH26" s="22">
        <f t="shared" si="5"/>
        <v>0</v>
      </c>
      <c r="AI26" s="24">
        <f t="shared" si="1"/>
        <v>145</v>
      </c>
      <c r="AJ26" s="57"/>
    </row>
    <row r="27" spans="1:36" s="16" customFormat="1" ht="15" customHeight="1">
      <c r="A27" s="50" t="s">
        <v>16</v>
      </c>
      <c r="B27" s="53" t="s">
        <v>5</v>
      </c>
      <c r="C27" s="54"/>
      <c r="D27" s="31"/>
      <c r="E27" s="32"/>
      <c r="F27" s="32"/>
      <c r="G27" s="33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12"/>
      <c r="AH27" s="12"/>
      <c r="AI27" s="15">
        <f t="shared" si="1"/>
        <v>0</v>
      </c>
      <c r="AJ27" s="55">
        <v>250</v>
      </c>
    </row>
    <row r="28" spans="1:36" s="16" customFormat="1" ht="15" customHeight="1">
      <c r="A28" s="51"/>
      <c r="B28" s="58" t="s">
        <v>6</v>
      </c>
      <c r="C28" s="59"/>
      <c r="D28" s="17"/>
      <c r="E28" s="18"/>
      <c r="F28" s="18"/>
      <c r="G28" s="19"/>
      <c r="H28" s="19"/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1">
        <f t="shared" si="1"/>
        <v>1</v>
      </c>
      <c r="AJ28" s="56"/>
    </row>
    <row r="29" spans="1:36" s="16" customFormat="1" ht="15" customHeight="1">
      <c r="A29" s="51"/>
      <c r="B29" s="58" t="s">
        <v>12</v>
      </c>
      <c r="C29" s="59"/>
      <c r="D29" s="17"/>
      <c r="E29" s="18"/>
      <c r="F29" s="18"/>
      <c r="G29" s="19"/>
      <c r="H29" s="19"/>
      <c r="I29" s="18"/>
      <c r="J29" s="36">
        <v>20</v>
      </c>
      <c r="K29" s="18"/>
      <c r="L29" s="18"/>
      <c r="M29" s="18"/>
      <c r="N29" s="18"/>
      <c r="O29" s="18"/>
      <c r="P29" s="18"/>
      <c r="Q29" s="18"/>
      <c r="R29" s="20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1">
        <f t="shared" si="1"/>
        <v>20</v>
      </c>
      <c r="AJ29" s="56"/>
    </row>
    <row r="30" spans="1:36" s="16" customFormat="1" ht="15" customHeight="1">
      <c r="A30" s="51"/>
      <c r="B30" s="58" t="s">
        <v>8</v>
      </c>
      <c r="C30" s="59"/>
      <c r="D30" s="37"/>
      <c r="E30" s="38"/>
      <c r="F30" s="38"/>
      <c r="G30" s="39"/>
      <c r="H30" s="19"/>
      <c r="I30" s="40"/>
      <c r="J30" s="40"/>
      <c r="K30" s="40"/>
      <c r="L30" s="40"/>
      <c r="M30" s="40"/>
      <c r="N30" s="40"/>
      <c r="O30" s="40">
        <v>25</v>
      </c>
      <c r="P30" s="40"/>
      <c r="Q30" s="40"/>
      <c r="R30" s="41"/>
      <c r="S30" s="40">
        <v>23</v>
      </c>
      <c r="T30" s="40"/>
      <c r="U30" s="40"/>
      <c r="V30" s="40"/>
      <c r="W30" s="40"/>
      <c r="X30" s="40">
        <v>29</v>
      </c>
      <c r="Y30" s="40"/>
      <c r="Z30" s="40"/>
      <c r="AA30" s="40"/>
      <c r="AB30" s="40"/>
      <c r="AC30" s="40"/>
      <c r="AD30" s="40">
        <v>25</v>
      </c>
      <c r="AE30" s="40"/>
      <c r="AF30" s="40"/>
      <c r="AG30" s="40"/>
      <c r="AH30" s="18"/>
      <c r="AI30" s="21">
        <f t="shared" si="1"/>
        <v>102</v>
      </c>
      <c r="AJ30" s="56"/>
    </row>
    <row r="31" spans="1:36" s="16" customFormat="1" ht="15" customHeight="1">
      <c r="A31" s="51"/>
      <c r="B31" s="58" t="s">
        <v>9</v>
      </c>
      <c r="C31" s="59"/>
      <c r="D31" s="37"/>
      <c r="E31" s="38"/>
      <c r="F31" s="38"/>
      <c r="G31" s="39"/>
      <c r="H31" s="19"/>
      <c r="I31" s="40"/>
      <c r="J31" s="40"/>
      <c r="K31" s="40">
        <v>7</v>
      </c>
      <c r="L31" s="40"/>
      <c r="M31" s="40"/>
      <c r="N31" s="40"/>
      <c r="O31" s="40"/>
      <c r="P31" s="40"/>
      <c r="Q31" s="40"/>
      <c r="R31" s="41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>
        <v>15</v>
      </c>
      <c r="AF31" s="40"/>
      <c r="AG31" s="40"/>
      <c r="AH31" s="18"/>
      <c r="AI31" s="21">
        <f t="shared" si="1"/>
        <v>22</v>
      </c>
      <c r="AJ31" s="56"/>
    </row>
    <row r="32" spans="1:36" s="16" customFormat="1" ht="15" customHeight="1" thickBot="1">
      <c r="A32" s="52"/>
      <c r="B32" s="60" t="s">
        <v>14</v>
      </c>
      <c r="C32" s="61"/>
      <c r="D32" s="22">
        <f t="shared" ref="D32:AH32" si="6">SUM(D27:D31)</f>
        <v>0</v>
      </c>
      <c r="E32" s="22">
        <f t="shared" si="6"/>
        <v>0</v>
      </c>
      <c r="F32" s="22">
        <f t="shared" si="6"/>
        <v>0</v>
      </c>
      <c r="G32" s="22">
        <f t="shared" si="6"/>
        <v>0</v>
      </c>
      <c r="H32" s="22">
        <f t="shared" si="6"/>
        <v>0</v>
      </c>
      <c r="I32" s="22">
        <f t="shared" si="6"/>
        <v>0</v>
      </c>
      <c r="J32" s="22">
        <f t="shared" si="6"/>
        <v>21</v>
      </c>
      <c r="K32" s="22">
        <f t="shared" si="6"/>
        <v>7</v>
      </c>
      <c r="L32" s="22">
        <f t="shared" si="6"/>
        <v>0</v>
      </c>
      <c r="M32" s="22">
        <f t="shared" si="6"/>
        <v>0</v>
      </c>
      <c r="N32" s="22">
        <f t="shared" si="6"/>
        <v>0</v>
      </c>
      <c r="O32" s="22">
        <f t="shared" si="6"/>
        <v>25</v>
      </c>
      <c r="P32" s="22">
        <f t="shared" si="6"/>
        <v>0</v>
      </c>
      <c r="Q32" s="22">
        <f t="shared" si="6"/>
        <v>0</v>
      </c>
      <c r="R32" s="23">
        <f t="shared" si="6"/>
        <v>0</v>
      </c>
      <c r="S32" s="22">
        <f t="shared" si="6"/>
        <v>23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22">
        <f t="shared" si="6"/>
        <v>0</v>
      </c>
      <c r="X32" s="22">
        <f t="shared" si="6"/>
        <v>29</v>
      </c>
      <c r="Y32" s="22">
        <f t="shared" si="6"/>
        <v>0</v>
      </c>
      <c r="Z32" s="22">
        <f t="shared" si="6"/>
        <v>0</v>
      </c>
      <c r="AA32" s="22">
        <f t="shared" si="6"/>
        <v>0</v>
      </c>
      <c r="AB32" s="22">
        <f t="shared" si="6"/>
        <v>0</v>
      </c>
      <c r="AC32" s="22">
        <f t="shared" si="6"/>
        <v>0</v>
      </c>
      <c r="AD32" s="22">
        <f t="shared" si="6"/>
        <v>25</v>
      </c>
      <c r="AE32" s="22">
        <f t="shared" si="6"/>
        <v>15</v>
      </c>
      <c r="AF32" s="22">
        <f t="shared" si="6"/>
        <v>0</v>
      </c>
      <c r="AG32" s="22">
        <f t="shared" si="6"/>
        <v>0</v>
      </c>
      <c r="AH32" s="22">
        <f t="shared" si="6"/>
        <v>0</v>
      </c>
      <c r="AI32" s="24">
        <f t="shared" si="1"/>
        <v>145</v>
      </c>
      <c r="AJ32" s="57"/>
    </row>
  </sheetData>
  <mergeCells count="42">
    <mergeCell ref="A27:A32"/>
    <mergeCell ref="B27:C27"/>
    <mergeCell ref="AJ27:AJ32"/>
    <mergeCell ref="B28:C28"/>
    <mergeCell ref="B29:C29"/>
    <mergeCell ref="B30:C30"/>
    <mergeCell ref="B31:C31"/>
    <mergeCell ref="B32:C32"/>
    <mergeCell ref="A21:A26"/>
    <mergeCell ref="B21:C21"/>
    <mergeCell ref="AJ21:AJ26"/>
    <mergeCell ref="B22:C22"/>
    <mergeCell ref="B23:C23"/>
    <mergeCell ref="B24:C24"/>
    <mergeCell ref="B25:C25"/>
    <mergeCell ref="B26:C26"/>
    <mergeCell ref="A15:A20"/>
    <mergeCell ref="B15:C15"/>
    <mergeCell ref="AJ15:AJ20"/>
    <mergeCell ref="B16:C16"/>
    <mergeCell ref="B17:C17"/>
    <mergeCell ref="B18:C18"/>
    <mergeCell ref="B19:C19"/>
    <mergeCell ref="B20:C20"/>
    <mergeCell ref="A9:A14"/>
    <mergeCell ref="B9:C9"/>
    <mergeCell ref="AJ9:AJ14"/>
    <mergeCell ref="B10:C10"/>
    <mergeCell ref="B11:C11"/>
    <mergeCell ref="B12:C12"/>
    <mergeCell ref="B13:C13"/>
    <mergeCell ref="B14:C14"/>
    <mergeCell ref="D1:O1"/>
    <mergeCell ref="B2:C2"/>
    <mergeCell ref="A3:A8"/>
    <mergeCell ref="B3:C3"/>
    <mergeCell ref="AJ3:AJ8"/>
    <mergeCell ref="B4:C4"/>
    <mergeCell ref="B5:C5"/>
    <mergeCell ref="B6:C6"/>
    <mergeCell ref="B7:C7"/>
    <mergeCell ref="B8:C8"/>
  </mergeCells>
  <phoneticPr fontId="2" type="noConversion"/>
  <conditionalFormatting sqref="D2:AH2">
    <cfRule type="expression" dxfId="24" priority="3" stopIfTrue="1">
      <formula>WEEKDAY(D2)=7</formula>
    </cfRule>
    <cfRule type="expression" dxfId="23" priority="4" stopIfTrue="1">
      <formula>WEEKDAY(D2)=1</formula>
    </cfRule>
  </conditionalFormatting>
  <conditionalFormatting sqref="D2:AH32">
    <cfRule type="expression" dxfId="22" priority="1">
      <formula>TEXT(D$2,"AAA")="일"</formula>
    </cfRule>
    <cfRule type="expression" dxfId="21" priority="2" stopIfTrue="1">
      <formula>TEXT(D$2,"AAA")="토"</formula>
    </cfRule>
    <cfRule type="expression" dxfId="20" priority="5">
      <formula>FALSE</formula>
    </cfRule>
  </conditionalFormatting>
  <pageMargins left="0.19685039370078741" right="0.39370078740157483" top="0.19685039370078741" bottom="0.11811023622047245" header="0.15748031496062992" footer="0.11811023622047245"/>
  <pageSetup paperSize="9" scale="70" fitToWidth="0" orientation="landscape" r:id="rId1"/>
  <headerFooter alignWithMargins="0">
    <oddFooter>&amp;LF705-02 (R01) &amp;C(주) 덱스코윈&amp;R&amp;P/&amp;N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0F25-ABB2-4F4A-9B94-54F1107A4D08}">
  <dimension ref="A1:AJ32"/>
  <sheetViews>
    <sheetView showGridLines="0" zoomScale="85" zoomScaleNormal="85" workbookViewId="0">
      <pane xSplit="3" ySplit="2" topLeftCell="D3" activePane="bottomRight" state="frozen"/>
      <selection activeCell="AH19" sqref="AH19"/>
      <selection pane="topRight" activeCell="AH19" sqref="AH19"/>
      <selection pane="bottomLeft" activeCell="AH19" sqref="AH19"/>
      <selection pane="bottomRight" activeCell="AI12" sqref="AI12"/>
    </sheetView>
  </sheetViews>
  <sheetFormatPr defaultColWidth="8.77734375" defaultRowHeight="16.5"/>
  <cols>
    <col min="1" max="1" width="7.21875" style="43" customWidth="1"/>
    <col min="2" max="2" width="11.109375" style="43" customWidth="1"/>
    <col min="3" max="3" width="7.6640625" style="43" customWidth="1"/>
    <col min="4" max="6" width="4.33203125" style="42" customWidth="1"/>
    <col min="7" max="8" width="4.33203125" style="44" customWidth="1"/>
    <col min="9" max="17" width="4.33203125" style="42" customWidth="1"/>
    <col min="18" max="18" width="4.33203125" style="45" customWidth="1"/>
    <col min="19" max="34" width="4.33203125" style="42" customWidth="1"/>
    <col min="35" max="35" width="7.21875" style="46" customWidth="1"/>
    <col min="36" max="36" width="6" style="16" customWidth="1"/>
    <col min="37" max="16384" width="8.77734375" style="3"/>
  </cols>
  <sheetData>
    <row r="1" spans="1:36" ht="21.75" customHeight="1" thickBot="1">
      <c r="A1" s="1"/>
      <c r="B1" s="1"/>
      <c r="C1" s="1"/>
      <c r="D1" s="47">
        <v>46266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"/>
      <c r="Q1" s="2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</row>
    <row r="2" spans="1:36" s="10" customFormat="1" ht="30" customHeight="1" thickBot="1">
      <c r="A2" s="4" t="s">
        <v>0</v>
      </c>
      <c r="B2" s="48" t="s">
        <v>1</v>
      </c>
      <c r="C2" s="49"/>
      <c r="D2" s="5">
        <f>D1</f>
        <v>46266</v>
      </c>
      <c r="E2" s="6">
        <f>D2+1</f>
        <v>46267</v>
      </c>
      <c r="F2" s="6">
        <f t="shared" ref="F2:AH2" si="0">E2+1</f>
        <v>46268</v>
      </c>
      <c r="G2" s="6">
        <f t="shared" si="0"/>
        <v>46269</v>
      </c>
      <c r="H2" s="6">
        <f t="shared" si="0"/>
        <v>46270</v>
      </c>
      <c r="I2" s="6">
        <f t="shared" si="0"/>
        <v>46271</v>
      </c>
      <c r="J2" s="6">
        <f t="shared" si="0"/>
        <v>46272</v>
      </c>
      <c r="K2" s="6">
        <f t="shared" si="0"/>
        <v>46273</v>
      </c>
      <c r="L2" s="6">
        <f t="shared" si="0"/>
        <v>46274</v>
      </c>
      <c r="M2" s="6">
        <f t="shared" si="0"/>
        <v>46275</v>
      </c>
      <c r="N2" s="6">
        <f t="shared" si="0"/>
        <v>46276</v>
      </c>
      <c r="O2" s="6">
        <f t="shared" si="0"/>
        <v>46277</v>
      </c>
      <c r="P2" s="6">
        <f t="shared" si="0"/>
        <v>46278</v>
      </c>
      <c r="Q2" s="6">
        <f t="shared" si="0"/>
        <v>46279</v>
      </c>
      <c r="R2" s="7">
        <f t="shared" si="0"/>
        <v>46280</v>
      </c>
      <c r="S2" s="6">
        <f t="shared" si="0"/>
        <v>46281</v>
      </c>
      <c r="T2" s="6">
        <f t="shared" si="0"/>
        <v>46282</v>
      </c>
      <c r="U2" s="6">
        <f t="shared" si="0"/>
        <v>46283</v>
      </c>
      <c r="V2" s="6">
        <f t="shared" si="0"/>
        <v>46284</v>
      </c>
      <c r="W2" s="6">
        <f t="shared" si="0"/>
        <v>46285</v>
      </c>
      <c r="X2" s="6">
        <f t="shared" si="0"/>
        <v>46286</v>
      </c>
      <c r="Y2" s="6">
        <f t="shared" si="0"/>
        <v>46287</v>
      </c>
      <c r="Z2" s="6">
        <f t="shared" si="0"/>
        <v>46288</v>
      </c>
      <c r="AA2" s="6">
        <f t="shared" si="0"/>
        <v>46289</v>
      </c>
      <c r="AB2" s="6">
        <f t="shared" si="0"/>
        <v>46290</v>
      </c>
      <c r="AC2" s="6">
        <f t="shared" si="0"/>
        <v>46291</v>
      </c>
      <c r="AD2" s="6">
        <f t="shared" si="0"/>
        <v>46292</v>
      </c>
      <c r="AE2" s="6">
        <f t="shared" si="0"/>
        <v>46293</v>
      </c>
      <c r="AF2" s="6">
        <f t="shared" si="0"/>
        <v>46294</v>
      </c>
      <c r="AG2" s="6">
        <f t="shared" si="0"/>
        <v>46295</v>
      </c>
      <c r="AH2" s="6">
        <f t="shared" si="0"/>
        <v>46296</v>
      </c>
      <c r="AI2" s="8" t="s">
        <v>2</v>
      </c>
      <c r="AJ2" s="9" t="s">
        <v>3</v>
      </c>
    </row>
    <row r="3" spans="1:36" s="16" customFormat="1" ht="15" customHeight="1">
      <c r="A3" s="50" t="s">
        <v>4</v>
      </c>
      <c r="B3" s="53" t="s">
        <v>5</v>
      </c>
      <c r="C3" s="54"/>
      <c r="D3" s="11"/>
      <c r="E3" s="12"/>
      <c r="F3" s="12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>
        <f>SUM(D3:AH3)</f>
        <v>0</v>
      </c>
      <c r="AJ3" s="55">
        <v>250</v>
      </c>
    </row>
    <row r="4" spans="1:36" s="16" customFormat="1" ht="15" customHeight="1">
      <c r="A4" s="51"/>
      <c r="B4" s="58" t="s">
        <v>6</v>
      </c>
      <c r="C4" s="59"/>
      <c r="D4" s="17"/>
      <c r="E4" s="18"/>
      <c r="F4" s="18"/>
      <c r="G4" s="19"/>
      <c r="H4" s="19"/>
      <c r="I4" s="18"/>
      <c r="J4" s="18"/>
      <c r="K4" s="18"/>
      <c r="L4" s="18"/>
      <c r="M4" s="18"/>
      <c r="N4" s="18"/>
      <c r="O4" s="18"/>
      <c r="P4" s="18"/>
      <c r="Q4" s="18"/>
      <c r="R4" s="20"/>
      <c r="S4" s="18"/>
      <c r="T4" s="18"/>
      <c r="U4" s="18"/>
      <c r="V4" s="18">
        <v>25</v>
      </c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21">
        <f t="shared" ref="AI4:AI32" si="1">SUM(D4:AH4)</f>
        <v>25</v>
      </c>
      <c r="AJ4" s="56"/>
    </row>
    <row r="5" spans="1:36" s="16" customFormat="1" ht="15" customHeight="1">
      <c r="A5" s="51"/>
      <c r="B5" s="58" t="s">
        <v>7</v>
      </c>
      <c r="C5" s="59"/>
      <c r="D5" s="17"/>
      <c r="E5" s="18">
        <v>50</v>
      </c>
      <c r="F5" s="18"/>
      <c r="G5" s="19"/>
      <c r="H5" s="19"/>
      <c r="I5" s="18"/>
      <c r="J5" s="18"/>
      <c r="K5" s="18"/>
      <c r="L5" s="18"/>
      <c r="M5" s="18"/>
      <c r="N5" s="18"/>
      <c r="O5" s="18"/>
      <c r="P5" s="18"/>
      <c r="Q5" s="18"/>
      <c r="R5" s="20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21">
        <f t="shared" si="1"/>
        <v>50</v>
      </c>
      <c r="AJ5" s="56"/>
    </row>
    <row r="6" spans="1:36" s="16" customFormat="1" ht="15" customHeight="1">
      <c r="A6" s="51"/>
      <c r="B6" s="58" t="s">
        <v>8</v>
      </c>
      <c r="C6" s="59"/>
      <c r="D6" s="17"/>
      <c r="E6" s="18"/>
      <c r="F6" s="18"/>
      <c r="G6" s="19"/>
      <c r="H6" s="19"/>
      <c r="I6" s="18"/>
      <c r="J6" s="18"/>
      <c r="K6" s="18"/>
      <c r="L6" s="18"/>
      <c r="M6" s="18"/>
      <c r="N6" s="18"/>
      <c r="O6" s="18"/>
      <c r="P6" s="18"/>
      <c r="Q6" s="18"/>
      <c r="R6" s="20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>
        <v>50</v>
      </c>
      <c r="AH6" s="18"/>
      <c r="AI6" s="21">
        <f t="shared" si="1"/>
        <v>50</v>
      </c>
      <c r="AJ6" s="56"/>
    </row>
    <row r="7" spans="1:36" s="16" customFormat="1" ht="15" customHeight="1">
      <c r="A7" s="51"/>
      <c r="B7" s="58" t="s">
        <v>9</v>
      </c>
      <c r="C7" s="59"/>
      <c r="D7" s="17"/>
      <c r="E7" s="18"/>
      <c r="F7" s="18"/>
      <c r="G7" s="19"/>
      <c r="H7" s="19"/>
      <c r="I7" s="18"/>
      <c r="J7" s="18"/>
      <c r="K7" s="18"/>
      <c r="L7" s="18"/>
      <c r="M7" s="18"/>
      <c r="N7" s="18"/>
      <c r="O7" s="18"/>
      <c r="P7" s="18"/>
      <c r="Q7" s="18"/>
      <c r="R7" s="2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21">
        <f t="shared" si="1"/>
        <v>0</v>
      </c>
      <c r="AJ7" s="56"/>
    </row>
    <row r="8" spans="1:36" s="16" customFormat="1" ht="15" customHeight="1" thickBot="1">
      <c r="A8" s="52"/>
      <c r="B8" s="60" t="s">
        <v>10</v>
      </c>
      <c r="C8" s="61"/>
      <c r="D8" s="22">
        <f t="shared" ref="D8:AH8" si="2">SUM(D3:D7)</f>
        <v>0</v>
      </c>
      <c r="E8" s="22">
        <f t="shared" si="2"/>
        <v>50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 t="shared" si="2"/>
        <v>0</v>
      </c>
      <c r="K8" s="22">
        <f t="shared" si="2"/>
        <v>0</v>
      </c>
      <c r="L8" s="22">
        <f t="shared" si="2"/>
        <v>0</v>
      </c>
      <c r="M8" s="22">
        <f t="shared" si="2"/>
        <v>0</v>
      </c>
      <c r="N8" s="22">
        <f t="shared" si="2"/>
        <v>0</v>
      </c>
      <c r="O8" s="22">
        <f t="shared" si="2"/>
        <v>0</v>
      </c>
      <c r="P8" s="22">
        <f t="shared" si="2"/>
        <v>0</v>
      </c>
      <c r="Q8" s="22">
        <f t="shared" si="2"/>
        <v>0</v>
      </c>
      <c r="R8" s="23">
        <f t="shared" si="2"/>
        <v>0</v>
      </c>
      <c r="S8" s="22">
        <f t="shared" si="2"/>
        <v>0</v>
      </c>
      <c r="T8" s="22">
        <f t="shared" si="2"/>
        <v>0</v>
      </c>
      <c r="U8" s="22">
        <f t="shared" si="2"/>
        <v>0</v>
      </c>
      <c r="V8" s="22">
        <f t="shared" si="2"/>
        <v>25</v>
      </c>
      <c r="W8" s="22">
        <f t="shared" si="2"/>
        <v>0</v>
      </c>
      <c r="X8" s="22">
        <f t="shared" si="2"/>
        <v>0</v>
      </c>
      <c r="Y8" s="22">
        <f t="shared" si="2"/>
        <v>0</v>
      </c>
      <c r="Z8" s="22">
        <f t="shared" si="2"/>
        <v>0</v>
      </c>
      <c r="AA8" s="22">
        <f t="shared" si="2"/>
        <v>0</v>
      </c>
      <c r="AB8" s="22">
        <f t="shared" si="2"/>
        <v>0</v>
      </c>
      <c r="AC8" s="22">
        <f t="shared" si="2"/>
        <v>0</v>
      </c>
      <c r="AD8" s="22">
        <f t="shared" si="2"/>
        <v>0</v>
      </c>
      <c r="AE8" s="22">
        <f t="shared" si="2"/>
        <v>0</v>
      </c>
      <c r="AF8" s="22">
        <f t="shared" si="2"/>
        <v>0</v>
      </c>
      <c r="AG8" s="22">
        <f t="shared" si="2"/>
        <v>50</v>
      </c>
      <c r="AH8" s="22">
        <f t="shared" si="2"/>
        <v>0</v>
      </c>
      <c r="AI8" s="24">
        <f>SUM(D8:AH8)</f>
        <v>125</v>
      </c>
      <c r="AJ8" s="57"/>
    </row>
    <row r="9" spans="1:36" s="16" customFormat="1" ht="15" customHeight="1">
      <c r="A9" s="50" t="s">
        <v>11</v>
      </c>
      <c r="B9" s="53" t="s">
        <v>5</v>
      </c>
      <c r="C9" s="54"/>
      <c r="D9" s="25"/>
      <c r="E9" s="26"/>
      <c r="F9" s="26"/>
      <c r="G9" s="27"/>
      <c r="H9" s="27"/>
      <c r="I9" s="26"/>
      <c r="J9" s="26"/>
      <c r="K9" s="26"/>
      <c r="L9" s="26"/>
      <c r="M9" s="26"/>
      <c r="N9" s="26"/>
      <c r="O9" s="26"/>
      <c r="P9" s="26"/>
      <c r="Q9" s="26"/>
      <c r="R9" s="2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9">
        <f t="shared" si="1"/>
        <v>0</v>
      </c>
      <c r="AJ9" s="55">
        <v>250</v>
      </c>
    </row>
    <row r="10" spans="1:36" s="16" customFormat="1" ht="15" customHeight="1">
      <c r="A10" s="51"/>
      <c r="B10" s="58" t="s">
        <v>6</v>
      </c>
      <c r="C10" s="59"/>
      <c r="D10" s="17"/>
      <c r="E10" s="18"/>
      <c r="F10" s="18"/>
      <c r="G10" s="19"/>
      <c r="H10" s="19"/>
      <c r="I10" s="18">
        <v>1</v>
      </c>
      <c r="J10" s="18"/>
      <c r="K10" s="18"/>
      <c r="L10" s="18"/>
      <c r="M10" s="18"/>
      <c r="N10" s="18"/>
      <c r="O10" s="18"/>
      <c r="P10" s="18"/>
      <c r="Q10" s="18"/>
      <c r="R10" s="20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>
        <v>24</v>
      </c>
      <c r="AG10" s="18"/>
      <c r="AH10" s="18"/>
      <c r="AI10" s="21">
        <f t="shared" si="1"/>
        <v>25</v>
      </c>
      <c r="AJ10" s="62"/>
    </row>
    <row r="11" spans="1:36" s="16" customFormat="1" ht="15" customHeight="1">
      <c r="A11" s="51"/>
      <c r="B11" s="58" t="s">
        <v>12</v>
      </c>
      <c r="C11" s="59"/>
      <c r="D11" s="17"/>
      <c r="E11" s="18"/>
      <c r="F11" s="18"/>
      <c r="G11" s="19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20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v>21</v>
      </c>
      <c r="AD11" s="18"/>
      <c r="AE11" s="18"/>
      <c r="AF11" s="18"/>
      <c r="AG11" s="18"/>
      <c r="AH11" s="18"/>
      <c r="AI11" s="21">
        <f t="shared" si="1"/>
        <v>21</v>
      </c>
      <c r="AJ11" s="62"/>
    </row>
    <row r="12" spans="1:36" s="16" customFormat="1" ht="15" customHeight="1">
      <c r="A12" s="51"/>
      <c r="B12" s="58" t="s">
        <v>8</v>
      </c>
      <c r="C12" s="59"/>
      <c r="D12" s="17"/>
      <c r="E12" s="18"/>
      <c r="F12" s="18"/>
      <c r="G12" s="19"/>
      <c r="H12" s="19"/>
      <c r="I12" s="18"/>
      <c r="J12" s="18"/>
      <c r="K12" s="18"/>
      <c r="L12" s="18">
        <v>24</v>
      </c>
      <c r="M12" s="18"/>
      <c r="N12" s="18"/>
      <c r="O12" s="18"/>
      <c r="P12" s="18"/>
      <c r="Q12" s="18"/>
      <c r="R12" s="20">
        <v>29</v>
      </c>
      <c r="S12" s="18"/>
      <c r="T12" s="18"/>
      <c r="U12" s="18"/>
      <c r="V12" s="18"/>
      <c r="W12" s="18">
        <v>25</v>
      </c>
      <c r="X12" s="18">
        <v>25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1">
        <f t="shared" si="1"/>
        <v>103</v>
      </c>
      <c r="AJ12" s="62"/>
    </row>
    <row r="13" spans="1:36" s="16" customFormat="1" ht="15" customHeight="1">
      <c r="A13" s="51"/>
      <c r="B13" s="58" t="s">
        <v>9</v>
      </c>
      <c r="C13" s="59"/>
      <c r="D13" s="17"/>
      <c r="E13" s="18"/>
      <c r="F13" s="18"/>
      <c r="G13" s="19"/>
      <c r="H13" s="19"/>
      <c r="I13" s="18">
        <v>6</v>
      </c>
      <c r="J13" s="18"/>
      <c r="K13" s="18"/>
      <c r="L13" s="18"/>
      <c r="M13" s="18"/>
      <c r="N13" s="18"/>
      <c r="O13" s="18"/>
      <c r="P13" s="18"/>
      <c r="Q13" s="18"/>
      <c r="R13" s="20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9">
        <f t="shared" si="1"/>
        <v>6</v>
      </c>
      <c r="AJ13" s="62"/>
    </row>
    <row r="14" spans="1:36" s="16" customFormat="1" ht="15" customHeight="1" thickBot="1">
      <c r="A14" s="52"/>
      <c r="B14" s="60" t="s">
        <v>10</v>
      </c>
      <c r="C14" s="61"/>
      <c r="D14" s="22">
        <f t="shared" ref="D14:AH14" si="3">SUM(D9:D13)</f>
        <v>0</v>
      </c>
      <c r="E14" s="22">
        <f t="shared" si="3"/>
        <v>0</v>
      </c>
      <c r="F14" s="22">
        <f t="shared" si="3"/>
        <v>0</v>
      </c>
      <c r="G14" s="22">
        <f t="shared" si="3"/>
        <v>0</v>
      </c>
      <c r="H14" s="22">
        <f t="shared" si="3"/>
        <v>0</v>
      </c>
      <c r="I14" s="22">
        <f t="shared" si="3"/>
        <v>7</v>
      </c>
      <c r="J14" s="22">
        <f t="shared" si="3"/>
        <v>0</v>
      </c>
      <c r="K14" s="22">
        <f t="shared" si="3"/>
        <v>0</v>
      </c>
      <c r="L14" s="22">
        <f t="shared" si="3"/>
        <v>24</v>
      </c>
      <c r="M14" s="22">
        <f t="shared" si="3"/>
        <v>0</v>
      </c>
      <c r="N14" s="22">
        <f t="shared" si="3"/>
        <v>0</v>
      </c>
      <c r="O14" s="22">
        <f t="shared" si="3"/>
        <v>0</v>
      </c>
      <c r="P14" s="22">
        <f t="shared" si="3"/>
        <v>0</v>
      </c>
      <c r="Q14" s="22">
        <f>SUM(Q9:Q13)</f>
        <v>0</v>
      </c>
      <c r="R14" s="23">
        <f t="shared" si="3"/>
        <v>29</v>
      </c>
      <c r="S14" s="22">
        <f t="shared" si="3"/>
        <v>0</v>
      </c>
      <c r="T14" s="22">
        <f t="shared" si="3"/>
        <v>0</v>
      </c>
      <c r="U14" s="22">
        <f t="shared" si="3"/>
        <v>0</v>
      </c>
      <c r="V14" s="22">
        <f t="shared" si="3"/>
        <v>0</v>
      </c>
      <c r="W14" s="22">
        <f t="shared" si="3"/>
        <v>25</v>
      </c>
      <c r="X14" s="22">
        <f t="shared" si="3"/>
        <v>25</v>
      </c>
      <c r="Y14" s="22">
        <f t="shared" si="3"/>
        <v>0</v>
      </c>
      <c r="Z14" s="22">
        <f t="shared" si="3"/>
        <v>0</v>
      </c>
      <c r="AA14" s="22">
        <f t="shared" si="3"/>
        <v>0</v>
      </c>
      <c r="AB14" s="22">
        <f t="shared" si="3"/>
        <v>0</v>
      </c>
      <c r="AC14" s="22">
        <f t="shared" si="3"/>
        <v>21</v>
      </c>
      <c r="AD14" s="22">
        <f t="shared" si="3"/>
        <v>0</v>
      </c>
      <c r="AE14" s="22">
        <f t="shared" si="3"/>
        <v>0</v>
      </c>
      <c r="AF14" s="22">
        <f t="shared" si="3"/>
        <v>24</v>
      </c>
      <c r="AG14" s="22">
        <f t="shared" si="3"/>
        <v>0</v>
      </c>
      <c r="AH14" s="22">
        <f t="shared" si="3"/>
        <v>0</v>
      </c>
      <c r="AI14" s="30">
        <f t="shared" si="1"/>
        <v>155</v>
      </c>
      <c r="AJ14" s="63"/>
    </row>
    <row r="15" spans="1:36" s="16" customFormat="1" ht="15" customHeight="1">
      <c r="A15" s="50" t="s">
        <v>13</v>
      </c>
      <c r="B15" s="53" t="s">
        <v>5</v>
      </c>
      <c r="C15" s="54"/>
      <c r="D15" s="31"/>
      <c r="E15" s="32"/>
      <c r="F15" s="32"/>
      <c r="G15" s="33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12"/>
      <c r="AH15" s="12"/>
      <c r="AI15" s="15">
        <f t="shared" si="1"/>
        <v>0</v>
      </c>
      <c r="AJ15" s="55">
        <v>250</v>
      </c>
    </row>
    <row r="16" spans="1:36" s="16" customFormat="1" ht="15" customHeight="1">
      <c r="A16" s="51"/>
      <c r="B16" s="58" t="s">
        <v>6</v>
      </c>
      <c r="C16" s="59"/>
      <c r="D16" s="17"/>
      <c r="E16" s="18"/>
      <c r="F16" s="18"/>
      <c r="G16" s="19"/>
      <c r="H16" s="19"/>
      <c r="I16" s="18"/>
      <c r="J16" s="18">
        <v>1</v>
      </c>
      <c r="K16" s="18"/>
      <c r="L16" s="18"/>
      <c r="M16" s="18"/>
      <c r="N16" s="18"/>
      <c r="O16" s="18"/>
      <c r="P16" s="18"/>
      <c r="Q16" s="18"/>
      <c r="R16" s="20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1">
        <f t="shared" si="1"/>
        <v>1</v>
      </c>
      <c r="AJ16" s="56"/>
    </row>
    <row r="17" spans="1:36" s="16" customFormat="1" ht="15" customHeight="1">
      <c r="A17" s="51"/>
      <c r="B17" s="58" t="s">
        <v>12</v>
      </c>
      <c r="C17" s="59"/>
      <c r="D17" s="17"/>
      <c r="E17" s="18"/>
      <c r="F17" s="18"/>
      <c r="G17" s="19"/>
      <c r="H17" s="19"/>
      <c r="I17" s="18"/>
      <c r="J17" s="36">
        <v>20</v>
      </c>
      <c r="K17" s="18"/>
      <c r="L17" s="18"/>
      <c r="M17" s="18"/>
      <c r="N17" s="18"/>
      <c r="O17" s="18"/>
      <c r="P17" s="18"/>
      <c r="Q17" s="18"/>
      <c r="R17" s="20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1">
        <f t="shared" si="1"/>
        <v>20</v>
      </c>
      <c r="AJ17" s="56"/>
    </row>
    <row r="18" spans="1:36" s="16" customFormat="1" ht="15" customHeight="1">
      <c r="A18" s="51"/>
      <c r="B18" s="58" t="s">
        <v>8</v>
      </c>
      <c r="C18" s="59"/>
      <c r="D18" s="37"/>
      <c r="E18" s="38"/>
      <c r="F18" s="38"/>
      <c r="G18" s="39"/>
      <c r="H18" s="19"/>
      <c r="I18" s="40"/>
      <c r="J18" s="40"/>
      <c r="K18" s="40"/>
      <c r="L18" s="40"/>
      <c r="M18" s="40"/>
      <c r="N18" s="40"/>
      <c r="O18" s="40">
        <v>25</v>
      </c>
      <c r="P18" s="40"/>
      <c r="Q18" s="40"/>
      <c r="R18" s="41"/>
      <c r="S18" s="40">
        <v>23</v>
      </c>
      <c r="T18" s="40"/>
      <c r="U18" s="40"/>
      <c r="V18" s="40"/>
      <c r="W18" s="40"/>
      <c r="X18" s="40">
        <v>29</v>
      </c>
      <c r="Y18" s="40"/>
      <c r="Z18" s="40"/>
      <c r="AA18" s="40"/>
      <c r="AB18" s="40"/>
      <c r="AC18" s="40"/>
      <c r="AD18" s="40">
        <v>25</v>
      </c>
      <c r="AE18" s="40"/>
      <c r="AF18" s="40"/>
      <c r="AG18" s="40"/>
      <c r="AH18" s="18"/>
      <c r="AI18" s="21">
        <f t="shared" si="1"/>
        <v>102</v>
      </c>
      <c r="AJ18" s="56"/>
    </row>
    <row r="19" spans="1:36" s="16" customFormat="1" ht="15" customHeight="1">
      <c r="A19" s="51"/>
      <c r="B19" s="58" t="s">
        <v>9</v>
      </c>
      <c r="C19" s="59"/>
      <c r="D19" s="37"/>
      <c r="E19" s="38"/>
      <c r="F19" s="38"/>
      <c r="G19" s="39"/>
      <c r="H19" s="19"/>
      <c r="I19" s="40"/>
      <c r="J19" s="40"/>
      <c r="K19" s="40">
        <v>7</v>
      </c>
      <c r="L19" s="40"/>
      <c r="M19" s="40"/>
      <c r="N19" s="40"/>
      <c r="O19" s="40"/>
      <c r="P19" s="40"/>
      <c r="Q19" s="40"/>
      <c r="R19" s="41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>
        <v>15</v>
      </c>
      <c r="AF19" s="40"/>
      <c r="AG19" s="40"/>
      <c r="AH19" s="18"/>
      <c r="AI19" s="21">
        <f t="shared" si="1"/>
        <v>22</v>
      </c>
      <c r="AJ19" s="56"/>
    </row>
    <row r="20" spans="1:36" s="16" customFormat="1" ht="15" customHeight="1" thickBot="1">
      <c r="A20" s="52"/>
      <c r="B20" s="60" t="s">
        <v>14</v>
      </c>
      <c r="C20" s="61"/>
      <c r="D20" s="22">
        <f t="shared" ref="D20:AH20" si="4">SUM(D15:D19)</f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21</v>
      </c>
      <c r="K20" s="22">
        <f t="shared" si="4"/>
        <v>7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25</v>
      </c>
      <c r="P20" s="22">
        <f t="shared" si="4"/>
        <v>0</v>
      </c>
      <c r="Q20" s="22">
        <f t="shared" si="4"/>
        <v>0</v>
      </c>
      <c r="R20" s="23">
        <f t="shared" si="4"/>
        <v>0</v>
      </c>
      <c r="S20" s="22">
        <f t="shared" si="4"/>
        <v>23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29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25</v>
      </c>
      <c r="AE20" s="22">
        <f t="shared" si="4"/>
        <v>15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4">
        <f t="shared" si="1"/>
        <v>145</v>
      </c>
      <c r="AJ20" s="57"/>
    </row>
    <row r="21" spans="1:36" s="16" customFormat="1" ht="15" customHeight="1">
      <c r="A21" s="50" t="s">
        <v>15</v>
      </c>
      <c r="B21" s="53" t="s">
        <v>5</v>
      </c>
      <c r="C21" s="54"/>
      <c r="D21" s="31"/>
      <c r="E21" s="32"/>
      <c r="F21" s="32"/>
      <c r="G21" s="33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12"/>
      <c r="AH21" s="12"/>
      <c r="AI21" s="15">
        <f t="shared" si="1"/>
        <v>0</v>
      </c>
      <c r="AJ21" s="55">
        <v>250</v>
      </c>
    </row>
    <row r="22" spans="1:36" s="16" customFormat="1" ht="15" customHeight="1">
      <c r="A22" s="51"/>
      <c r="B22" s="58" t="s">
        <v>6</v>
      </c>
      <c r="C22" s="59"/>
      <c r="D22" s="17"/>
      <c r="E22" s="18"/>
      <c r="F22" s="18"/>
      <c r="G22" s="19"/>
      <c r="H22" s="19"/>
      <c r="I22" s="18"/>
      <c r="J22" s="18">
        <v>1</v>
      </c>
      <c r="K22" s="18"/>
      <c r="L22" s="18"/>
      <c r="M22" s="18"/>
      <c r="N22" s="18"/>
      <c r="O22" s="18"/>
      <c r="P22" s="18"/>
      <c r="Q22" s="18"/>
      <c r="R22" s="20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1">
        <f t="shared" si="1"/>
        <v>1</v>
      </c>
      <c r="AJ22" s="56"/>
    </row>
    <row r="23" spans="1:36" s="16" customFormat="1" ht="15" customHeight="1">
      <c r="A23" s="51"/>
      <c r="B23" s="58" t="s">
        <v>12</v>
      </c>
      <c r="C23" s="59"/>
      <c r="D23" s="17"/>
      <c r="E23" s="18"/>
      <c r="F23" s="18"/>
      <c r="G23" s="19"/>
      <c r="H23" s="19"/>
      <c r="I23" s="18"/>
      <c r="J23" s="36">
        <v>20</v>
      </c>
      <c r="K23" s="18"/>
      <c r="L23" s="18"/>
      <c r="M23" s="18"/>
      <c r="N23" s="18"/>
      <c r="O23" s="18"/>
      <c r="P23" s="18"/>
      <c r="Q23" s="18"/>
      <c r="R23" s="20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1">
        <f t="shared" si="1"/>
        <v>20</v>
      </c>
      <c r="AJ23" s="56"/>
    </row>
    <row r="24" spans="1:36" s="16" customFormat="1" ht="15" customHeight="1">
      <c r="A24" s="51"/>
      <c r="B24" s="58" t="s">
        <v>8</v>
      </c>
      <c r="C24" s="59"/>
      <c r="D24" s="37"/>
      <c r="E24" s="38"/>
      <c r="F24" s="38"/>
      <c r="G24" s="39"/>
      <c r="H24" s="19"/>
      <c r="I24" s="40"/>
      <c r="J24" s="40"/>
      <c r="K24" s="40"/>
      <c r="L24" s="40"/>
      <c r="M24" s="40"/>
      <c r="N24" s="40"/>
      <c r="O24" s="40">
        <v>25</v>
      </c>
      <c r="P24" s="40"/>
      <c r="Q24" s="40"/>
      <c r="R24" s="41"/>
      <c r="S24" s="40">
        <v>23</v>
      </c>
      <c r="T24" s="40"/>
      <c r="U24" s="40"/>
      <c r="V24" s="40"/>
      <c r="W24" s="40"/>
      <c r="X24" s="40">
        <v>29</v>
      </c>
      <c r="Y24" s="40"/>
      <c r="Z24" s="40"/>
      <c r="AA24" s="40"/>
      <c r="AB24" s="40"/>
      <c r="AC24" s="40"/>
      <c r="AD24" s="40">
        <v>25</v>
      </c>
      <c r="AE24" s="40"/>
      <c r="AF24" s="40"/>
      <c r="AG24" s="40"/>
      <c r="AH24" s="18"/>
      <c r="AI24" s="21">
        <f t="shared" si="1"/>
        <v>102</v>
      </c>
      <c r="AJ24" s="56"/>
    </row>
    <row r="25" spans="1:36" s="16" customFormat="1" ht="15" customHeight="1">
      <c r="A25" s="51"/>
      <c r="B25" s="58" t="s">
        <v>9</v>
      </c>
      <c r="C25" s="59"/>
      <c r="D25" s="37"/>
      <c r="E25" s="38"/>
      <c r="F25" s="38"/>
      <c r="G25" s="39"/>
      <c r="H25" s="19"/>
      <c r="I25" s="40"/>
      <c r="J25" s="40"/>
      <c r="K25" s="40">
        <v>7</v>
      </c>
      <c r="L25" s="40"/>
      <c r="M25" s="40"/>
      <c r="N25" s="40"/>
      <c r="O25" s="40"/>
      <c r="P25" s="40"/>
      <c r="Q25" s="40"/>
      <c r="R25" s="41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>
        <v>15</v>
      </c>
      <c r="AF25" s="40"/>
      <c r="AG25" s="40"/>
      <c r="AH25" s="18"/>
      <c r="AI25" s="21">
        <f t="shared" si="1"/>
        <v>22</v>
      </c>
      <c r="AJ25" s="56"/>
    </row>
    <row r="26" spans="1:36" s="16" customFormat="1" ht="15" customHeight="1" thickBot="1">
      <c r="A26" s="52"/>
      <c r="B26" s="60" t="s">
        <v>14</v>
      </c>
      <c r="C26" s="61"/>
      <c r="D26" s="22">
        <f t="shared" ref="D26:AH26" si="5">SUM(D21:D25)</f>
        <v>0</v>
      </c>
      <c r="E26" s="22">
        <f t="shared" si="5"/>
        <v>0</v>
      </c>
      <c r="F26" s="22">
        <f t="shared" si="5"/>
        <v>0</v>
      </c>
      <c r="G26" s="22">
        <f t="shared" si="5"/>
        <v>0</v>
      </c>
      <c r="H26" s="22">
        <f t="shared" si="5"/>
        <v>0</v>
      </c>
      <c r="I26" s="22">
        <f t="shared" si="5"/>
        <v>0</v>
      </c>
      <c r="J26" s="22">
        <f t="shared" si="5"/>
        <v>21</v>
      </c>
      <c r="K26" s="22">
        <f t="shared" si="5"/>
        <v>7</v>
      </c>
      <c r="L26" s="22">
        <f t="shared" si="5"/>
        <v>0</v>
      </c>
      <c r="M26" s="22">
        <f t="shared" si="5"/>
        <v>0</v>
      </c>
      <c r="N26" s="22">
        <f t="shared" si="5"/>
        <v>0</v>
      </c>
      <c r="O26" s="22">
        <f t="shared" si="5"/>
        <v>25</v>
      </c>
      <c r="P26" s="22">
        <f t="shared" si="5"/>
        <v>0</v>
      </c>
      <c r="Q26" s="22">
        <f t="shared" si="5"/>
        <v>0</v>
      </c>
      <c r="R26" s="23">
        <f t="shared" si="5"/>
        <v>0</v>
      </c>
      <c r="S26" s="22">
        <f t="shared" si="5"/>
        <v>23</v>
      </c>
      <c r="T26" s="22">
        <f t="shared" si="5"/>
        <v>0</v>
      </c>
      <c r="U26" s="22">
        <f t="shared" si="5"/>
        <v>0</v>
      </c>
      <c r="V26" s="22">
        <f t="shared" si="5"/>
        <v>0</v>
      </c>
      <c r="W26" s="22">
        <f t="shared" si="5"/>
        <v>0</v>
      </c>
      <c r="X26" s="22">
        <f t="shared" si="5"/>
        <v>29</v>
      </c>
      <c r="Y26" s="22">
        <f t="shared" si="5"/>
        <v>0</v>
      </c>
      <c r="Z26" s="22">
        <f t="shared" si="5"/>
        <v>0</v>
      </c>
      <c r="AA26" s="22">
        <f t="shared" si="5"/>
        <v>0</v>
      </c>
      <c r="AB26" s="22">
        <f t="shared" si="5"/>
        <v>0</v>
      </c>
      <c r="AC26" s="22">
        <f t="shared" si="5"/>
        <v>0</v>
      </c>
      <c r="AD26" s="22">
        <f t="shared" si="5"/>
        <v>25</v>
      </c>
      <c r="AE26" s="22">
        <f t="shared" si="5"/>
        <v>15</v>
      </c>
      <c r="AF26" s="22">
        <f t="shared" si="5"/>
        <v>0</v>
      </c>
      <c r="AG26" s="22">
        <f t="shared" si="5"/>
        <v>0</v>
      </c>
      <c r="AH26" s="22">
        <f t="shared" si="5"/>
        <v>0</v>
      </c>
      <c r="AI26" s="24">
        <f t="shared" si="1"/>
        <v>145</v>
      </c>
      <c r="AJ26" s="57"/>
    </row>
    <row r="27" spans="1:36" s="16" customFormat="1" ht="15" customHeight="1">
      <c r="A27" s="50" t="s">
        <v>16</v>
      </c>
      <c r="B27" s="53" t="s">
        <v>5</v>
      </c>
      <c r="C27" s="54"/>
      <c r="D27" s="31"/>
      <c r="E27" s="32"/>
      <c r="F27" s="32"/>
      <c r="G27" s="33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12"/>
      <c r="AH27" s="12"/>
      <c r="AI27" s="15">
        <f t="shared" si="1"/>
        <v>0</v>
      </c>
      <c r="AJ27" s="55">
        <v>250</v>
      </c>
    </row>
    <row r="28" spans="1:36" s="16" customFormat="1" ht="15" customHeight="1">
      <c r="A28" s="51"/>
      <c r="B28" s="58" t="s">
        <v>6</v>
      </c>
      <c r="C28" s="59"/>
      <c r="D28" s="17"/>
      <c r="E28" s="18"/>
      <c r="F28" s="18"/>
      <c r="G28" s="19"/>
      <c r="H28" s="19"/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1">
        <f t="shared" si="1"/>
        <v>1</v>
      </c>
      <c r="AJ28" s="56"/>
    </row>
    <row r="29" spans="1:36" s="16" customFormat="1" ht="15" customHeight="1">
      <c r="A29" s="51"/>
      <c r="B29" s="58" t="s">
        <v>12</v>
      </c>
      <c r="C29" s="59"/>
      <c r="D29" s="17"/>
      <c r="E29" s="18"/>
      <c r="F29" s="18"/>
      <c r="G29" s="19"/>
      <c r="H29" s="19"/>
      <c r="I29" s="18"/>
      <c r="J29" s="36">
        <v>20</v>
      </c>
      <c r="K29" s="18"/>
      <c r="L29" s="18"/>
      <c r="M29" s="18"/>
      <c r="N29" s="18"/>
      <c r="O29" s="18"/>
      <c r="P29" s="18"/>
      <c r="Q29" s="18"/>
      <c r="R29" s="20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1">
        <f t="shared" si="1"/>
        <v>20</v>
      </c>
      <c r="AJ29" s="56"/>
    </row>
    <row r="30" spans="1:36" s="16" customFormat="1" ht="15" customHeight="1">
      <c r="A30" s="51"/>
      <c r="B30" s="58" t="s">
        <v>8</v>
      </c>
      <c r="C30" s="59"/>
      <c r="D30" s="37"/>
      <c r="E30" s="38"/>
      <c r="F30" s="38"/>
      <c r="G30" s="39"/>
      <c r="H30" s="19"/>
      <c r="I30" s="40"/>
      <c r="J30" s="40"/>
      <c r="K30" s="40"/>
      <c r="L30" s="40"/>
      <c r="M30" s="40"/>
      <c r="N30" s="40"/>
      <c r="O30" s="40">
        <v>25</v>
      </c>
      <c r="P30" s="40"/>
      <c r="Q30" s="40"/>
      <c r="R30" s="41"/>
      <c r="S30" s="40">
        <v>23</v>
      </c>
      <c r="T30" s="40"/>
      <c r="U30" s="40"/>
      <c r="V30" s="40"/>
      <c r="W30" s="40"/>
      <c r="X30" s="40">
        <v>29</v>
      </c>
      <c r="Y30" s="40"/>
      <c r="Z30" s="40"/>
      <c r="AA30" s="40"/>
      <c r="AB30" s="40"/>
      <c r="AC30" s="40"/>
      <c r="AD30" s="40">
        <v>25</v>
      </c>
      <c r="AE30" s="40"/>
      <c r="AF30" s="40"/>
      <c r="AG30" s="40"/>
      <c r="AH30" s="18"/>
      <c r="AI30" s="21">
        <f t="shared" si="1"/>
        <v>102</v>
      </c>
      <c r="AJ30" s="56"/>
    </row>
    <row r="31" spans="1:36" s="16" customFormat="1" ht="15" customHeight="1">
      <c r="A31" s="51"/>
      <c r="B31" s="58" t="s">
        <v>9</v>
      </c>
      <c r="C31" s="59"/>
      <c r="D31" s="37"/>
      <c r="E31" s="38"/>
      <c r="F31" s="38"/>
      <c r="G31" s="39"/>
      <c r="H31" s="19"/>
      <c r="I31" s="40"/>
      <c r="J31" s="40"/>
      <c r="K31" s="40">
        <v>7</v>
      </c>
      <c r="L31" s="40"/>
      <c r="M31" s="40"/>
      <c r="N31" s="40"/>
      <c r="O31" s="40"/>
      <c r="P31" s="40"/>
      <c r="Q31" s="40"/>
      <c r="R31" s="41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>
        <v>15</v>
      </c>
      <c r="AF31" s="40"/>
      <c r="AG31" s="40"/>
      <c r="AH31" s="18"/>
      <c r="AI31" s="21">
        <f t="shared" si="1"/>
        <v>22</v>
      </c>
      <c r="AJ31" s="56"/>
    </row>
    <row r="32" spans="1:36" s="16" customFormat="1" ht="15" customHeight="1" thickBot="1">
      <c r="A32" s="52"/>
      <c r="B32" s="60" t="s">
        <v>14</v>
      </c>
      <c r="C32" s="61"/>
      <c r="D32" s="22">
        <f t="shared" ref="D32:AH32" si="6">SUM(D27:D31)</f>
        <v>0</v>
      </c>
      <c r="E32" s="22">
        <f t="shared" si="6"/>
        <v>0</v>
      </c>
      <c r="F32" s="22">
        <f t="shared" si="6"/>
        <v>0</v>
      </c>
      <c r="G32" s="22">
        <f t="shared" si="6"/>
        <v>0</v>
      </c>
      <c r="H32" s="22">
        <f t="shared" si="6"/>
        <v>0</v>
      </c>
      <c r="I32" s="22">
        <f t="shared" si="6"/>
        <v>0</v>
      </c>
      <c r="J32" s="22">
        <f t="shared" si="6"/>
        <v>21</v>
      </c>
      <c r="K32" s="22">
        <f t="shared" si="6"/>
        <v>7</v>
      </c>
      <c r="L32" s="22">
        <f t="shared" si="6"/>
        <v>0</v>
      </c>
      <c r="M32" s="22">
        <f t="shared" si="6"/>
        <v>0</v>
      </c>
      <c r="N32" s="22">
        <f t="shared" si="6"/>
        <v>0</v>
      </c>
      <c r="O32" s="22">
        <f t="shared" si="6"/>
        <v>25</v>
      </c>
      <c r="P32" s="22">
        <f t="shared" si="6"/>
        <v>0</v>
      </c>
      <c r="Q32" s="22">
        <f t="shared" si="6"/>
        <v>0</v>
      </c>
      <c r="R32" s="23">
        <f t="shared" si="6"/>
        <v>0</v>
      </c>
      <c r="S32" s="22">
        <f t="shared" si="6"/>
        <v>23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22">
        <f t="shared" si="6"/>
        <v>0</v>
      </c>
      <c r="X32" s="22">
        <f t="shared" si="6"/>
        <v>29</v>
      </c>
      <c r="Y32" s="22">
        <f t="shared" si="6"/>
        <v>0</v>
      </c>
      <c r="Z32" s="22">
        <f t="shared" si="6"/>
        <v>0</v>
      </c>
      <c r="AA32" s="22">
        <f t="shared" si="6"/>
        <v>0</v>
      </c>
      <c r="AB32" s="22">
        <f t="shared" si="6"/>
        <v>0</v>
      </c>
      <c r="AC32" s="22">
        <f t="shared" si="6"/>
        <v>0</v>
      </c>
      <c r="AD32" s="22">
        <f t="shared" si="6"/>
        <v>25</v>
      </c>
      <c r="AE32" s="22">
        <f t="shared" si="6"/>
        <v>15</v>
      </c>
      <c r="AF32" s="22">
        <f t="shared" si="6"/>
        <v>0</v>
      </c>
      <c r="AG32" s="22">
        <f t="shared" si="6"/>
        <v>0</v>
      </c>
      <c r="AH32" s="22">
        <f t="shared" si="6"/>
        <v>0</v>
      </c>
      <c r="AI32" s="24">
        <f t="shared" si="1"/>
        <v>145</v>
      </c>
      <c r="AJ32" s="57"/>
    </row>
  </sheetData>
  <mergeCells count="42">
    <mergeCell ref="A27:A32"/>
    <mergeCell ref="B27:C27"/>
    <mergeCell ref="AJ27:AJ32"/>
    <mergeCell ref="B28:C28"/>
    <mergeCell ref="B29:C29"/>
    <mergeCell ref="B30:C30"/>
    <mergeCell ref="B31:C31"/>
    <mergeCell ref="B32:C32"/>
    <mergeCell ref="A21:A26"/>
    <mergeCell ref="B21:C21"/>
    <mergeCell ref="AJ21:AJ26"/>
    <mergeCell ref="B22:C22"/>
    <mergeCell ref="B23:C23"/>
    <mergeCell ref="B24:C24"/>
    <mergeCell ref="B25:C25"/>
    <mergeCell ref="B26:C26"/>
    <mergeCell ref="A15:A20"/>
    <mergeCell ref="B15:C15"/>
    <mergeCell ref="AJ15:AJ20"/>
    <mergeCell ref="B16:C16"/>
    <mergeCell ref="B17:C17"/>
    <mergeCell ref="B18:C18"/>
    <mergeCell ref="B19:C19"/>
    <mergeCell ref="B20:C20"/>
    <mergeCell ref="A9:A14"/>
    <mergeCell ref="B9:C9"/>
    <mergeCell ref="AJ9:AJ14"/>
    <mergeCell ref="B10:C10"/>
    <mergeCell ref="B11:C11"/>
    <mergeCell ref="B12:C12"/>
    <mergeCell ref="B13:C13"/>
    <mergeCell ref="B14:C14"/>
    <mergeCell ref="D1:O1"/>
    <mergeCell ref="B2:C2"/>
    <mergeCell ref="A3:A8"/>
    <mergeCell ref="B3:C3"/>
    <mergeCell ref="AJ3:AJ8"/>
    <mergeCell ref="B4:C4"/>
    <mergeCell ref="B5:C5"/>
    <mergeCell ref="B6:C6"/>
    <mergeCell ref="B7:C7"/>
    <mergeCell ref="B8:C8"/>
  </mergeCells>
  <phoneticPr fontId="2" type="noConversion"/>
  <conditionalFormatting sqref="D2:AH2">
    <cfRule type="expression" dxfId="19" priority="3" stopIfTrue="1">
      <formula>WEEKDAY(D2)=7</formula>
    </cfRule>
    <cfRule type="expression" dxfId="18" priority="4" stopIfTrue="1">
      <formula>WEEKDAY(D2)=1</formula>
    </cfRule>
  </conditionalFormatting>
  <conditionalFormatting sqref="D2:AH32">
    <cfRule type="expression" dxfId="17" priority="1">
      <formula>TEXT(D$2,"AAA")="일"</formula>
    </cfRule>
    <cfRule type="expression" dxfId="16" priority="2" stopIfTrue="1">
      <formula>TEXT(D$2,"AAA")="토"</formula>
    </cfRule>
    <cfRule type="expression" dxfId="15" priority="5">
      <formula>FALSE</formula>
    </cfRule>
  </conditionalFormatting>
  <pageMargins left="0.19685039370078741" right="0.39370078740157483" top="0.19685039370078741" bottom="0.11811023622047245" header="0.15748031496062992" footer="0.11811023622047245"/>
  <pageSetup paperSize="9" scale="70" fitToWidth="0" orientation="landscape" r:id="rId1"/>
  <headerFooter alignWithMargins="0">
    <oddFooter>&amp;LF705-02 (R01) &amp;C(주) 덱스코윈&amp;R&amp;P/&amp;N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0AD5-CD45-44D3-B633-554319975A0E}">
  <dimension ref="A1:AJ32"/>
  <sheetViews>
    <sheetView showGridLines="0" zoomScale="85" zoomScaleNormal="85" workbookViewId="0">
      <pane xSplit="3" ySplit="2" topLeftCell="D3" activePane="bottomRight" state="frozen"/>
      <selection activeCell="AH19" sqref="AH19"/>
      <selection pane="topRight" activeCell="AH19" sqref="AH19"/>
      <selection pane="bottomLeft" activeCell="AH19" sqref="AH19"/>
      <selection pane="bottomRight" activeCell="AI12" sqref="AI12"/>
    </sheetView>
  </sheetViews>
  <sheetFormatPr defaultColWidth="8.77734375" defaultRowHeight="16.5"/>
  <cols>
    <col min="1" max="1" width="7.21875" style="43" customWidth="1"/>
    <col min="2" max="2" width="11.109375" style="43" customWidth="1"/>
    <col min="3" max="3" width="7.6640625" style="43" customWidth="1"/>
    <col min="4" max="6" width="4.33203125" style="42" customWidth="1"/>
    <col min="7" max="8" width="4.33203125" style="44" customWidth="1"/>
    <col min="9" max="17" width="4.33203125" style="42" customWidth="1"/>
    <col min="18" max="18" width="4.33203125" style="45" customWidth="1"/>
    <col min="19" max="34" width="4.33203125" style="42" customWidth="1"/>
    <col min="35" max="35" width="7.21875" style="46" customWidth="1"/>
    <col min="36" max="36" width="6" style="16" customWidth="1"/>
    <col min="37" max="16384" width="8.77734375" style="3"/>
  </cols>
  <sheetData>
    <row r="1" spans="1:36" ht="21.75" customHeight="1" thickBot="1">
      <c r="A1" s="1"/>
      <c r="B1" s="1"/>
      <c r="C1" s="1"/>
      <c r="D1" s="47">
        <v>46296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"/>
      <c r="Q1" s="2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</row>
    <row r="2" spans="1:36" s="10" customFormat="1" ht="30" customHeight="1" thickBot="1">
      <c r="A2" s="4" t="s">
        <v>0</v>
      </c>
      <c r="B2" s="48" t="s">
        <v>1</v>
      </c>
      <c r="C2" s="49"/>
      <c r="D2" s="5">
        <f>D1</f>
        <v>46296</v>
      </c>
      <c r="E2" s="6">
        <f>D2+1</f>
        <v>46297</v>
      </c>
      <c r="F2" s="6">
        <f t="shared" ref="F2:AH2" si="0">E2+1</f>
        <v>46298</v>
      </c>
      <c r="G2" s="6">
        <f t="shared" si="0"/>
        <v>46299</v>
      </c>
      <c r="H2" s="6">
        <f t="shared" si="0"/>
        <v>46300</v>
      </c>
      <c r="I2" s="6">
        <f t="shared" si="0"/>
        <v>46301</v>
      </c>
      <c r="J2" s="6">
        <f t="shared" si="0"/>
        <v>46302</v>
      </c>
      <c r="K2" s="6">
        <f t="shared" si="0"/>
        <v>46303</v>
      </c>
      <c r="L2" s="6">
        <f t="shared" si="0"/>
        <v>46304</v>
      </c>
      <c r="M2" s="6">
        <f t="shared" si="0"/>
        <v>46305</v>
      </c>
      <c r="N2" s="6">
        <f t="shared" si="0"/>
        <v>46306</v>
      </c>
      <c r="O2" s="6">
        <f t="shared" si="0"/>
        <v>46307</v>
      </c>
      <c r="P2" s="6">
        <f t="shared" si="0"/>
        <v>46308</v>
      </c>
      <c r="Q2" s="6">
        <f t="shared" si="0"/>
        <v>46309</v>
      </c>
      <c r="R2" s="7">
        <f t="shared" si="0"/>
        <v>46310</v>
      </c>
      <c r="S2" s="6">
        <f t="shared" si="0"/>
        <v>46311</v>
      </c>
      <c r="T2" s="6">
        <f t="shared" si="0"/>
        <v>46312</v>
      </c>
      <c r="U2" s="6">
        <f t="shared" si="0"/>
        <v>46313</v>
      </c>
      <c r="V2" s="6">
        <f t="shared" si="0"/>
        <v>46314</v>
      </c>
      <c r="W2" s="6">
        <f t="shared" si="0"/>
        <v>46315</v>
      </c>
      <c r="X2" s="6">
        <f t="shared" si="0"/>
        <v>46316</v>
      </c>
      <c r="Y2" s="6">
        <f t="shared" si="0"/>
        <v>46317</v>
      </c>
      <c r="Z2" s="6">
        <f t="shared" si="0"/>
        <v>46318</v>
      </c>
      <c r="AA2" s="6">
        <f t="shared" si="0"/>
        <v>46319</v>
      </c>
      <c r="AB2" s="6">
        <f t="shared" si="0"/>
        <v>46320</v>
      </c>
      <c r="AC2" s="6">
        <f t="shared" si="0"/>
        <v>46321</v>
      </c>
      <c r="AD2" s="6">
        <f t="shared" si="0"/>
        <v>46322</v>
      </c>
      <c r="AE2" s="6">
        <f t="shared" si="0"/>
        <v>46323</v>
      </c>
      <c r="AF2" s="6">
        <f t="shared" si="0"/>
        <v>46324</v>
      </c>
      <c r="AG2" s="6">
        <f t="shared" si="0"/>
        <v>46325</v>
      </c>
      <c r="AH2" s="6">
        <f t="shared" si="0"/>
        <v>46326</v>
      </c>
      <c r="AI2" s="8" t="s">
        <v>2</v>
      </c>
      <c r="AJ2" s="9" t="s">
        <v>3</v>
      </c>
    </row>
    <row r="3" spans="1:36" s="16" customFormat="1" ht="15" customHeight="1">
      <c r="A3" s="50" t="s">
        <v>4</v>
      </c>
      <c r="B3" s="53" t="s">
        <v>5</v>
      </c>
      <c r="C3" s="54"/>
      <c r="D3" s="11"/>
      <c r="E3" s="12"/>
      <c r="F3" s="12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>
        <f>SUM(D3:AH3)</f>
        <v>0</v>
      </c>
      <c r="AJ3" s="55">
        <v>250</v>
      </c>
    </row>
    <row r="4" spans="1:36" s="16" customFormat="1" ht="15" customHeight="1">
      <c r="A4" s="51"/>
      <c r="B4" s="58" t="s">
        <v>6</v>
      </c>
      <c r="C4" s="59"/>
      <c r="D4" s="17"/>
      <c r="E4" s="18"/>
      <c r="F4" s="18"/>
      <c r="G4" s="19"/>
      <c r="H4" s="19"/>
      <c r="I4" s="18"/>
      <c r="J4" s="18"/>
      <c r="K4" s="18"/>
      <c r="L4" s="18"/>
      <c r="M4" s="18"/>
      <c r="N4" s="18"/>
      <c r="O4" s="18"/>
      <c r="P4" s="18"/>
      <c r="Q4" s="18"/>
      <c r="R4" s="20"/>
      <c r="S4" s="18"/>
      <c r="T4" s="18"/>
      <c r="U4" s="18"/>
      <c r="V4" s="18">
        <v>25</v>
      </c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21">
        <f t="shared" ref="AI4:AI32" si="1">SUM(D4:AH4)</f>
        <v>25</v>
      </c>
      <c r="AJ4" s="56"/>
    </row>
    <row r="5" spans="1:36" s="16" customFormat="1" ht="15" customHeight="1">
      <c r="A5" s="51"/>
      <c r="B5" s="58" t="s">
        <v>7</v>
      </c>
      <c r="C5" s="59"/>
      <c r="D5" s="17"/>
      <c r="E5" s="18">
        <v>50</v>
      </c>
      <c r="F5" s="18"/>
      <c r="G5" s="19"/>
      <c r="H5" s="19"/>
      <c r="I5" s="18"/>
      <c r="J5" s="18"/>
      <c r="K5" s="18"/>
      <c r="L5" s="18"/>
      <c r="M5" s="18"/>
      <c r="N5" s="18"/>
      <c r="O5" s="18"/>
      <c r="P5" s="18"/>
      <c r="Q5" s="18"/>
      <c r="R5" s="20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21">
        <f t="shared" si="1"/>
        <v>50</v>
      </c>
      <c r="AJ5" s="56"/>
    </row>
    <row r="6" spans="1:36" s="16" customFormat="1" ht="15" customHeight="1">
      <c r="A6" s="51"/>
      <c r="B6" s="58" t="s">
        <v>8</v>
      </c>
      <c r="C6" s="59"/>
      <c r="D6" s="17"/>
      <c r="E6" s="18"/>
      <c r="F6" s="18"/>
      <c r="G6" s="19"/>
      <c r="H6" s="19"/>
      <c r="I6" s="18"/>
      <c r="J6" s="18"/>
      <c r="K6" s="18"/>
      <c r="L6" s="18"/>
      <c r="M6" s="18"/>
      <c r="N6" s="18"/>
      <c r="O6" s="18"/>
      <c r="P6" s="18"/>
      <c r="Q6" s="18"/>
      <c r="R6" s="20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>
        <v>50</v>
      </c>
      <c r="AH6" s="18"/>
      <c r="AI6" s="21">
        <f t="shared" si="1"/>
        <v>50</v>
      </c>
      <c r="AJ6" s="56"/>
    </row>
    <row r="7" spans="1:36" s="16" customFormat="1" ht="15" customHeight="1">
      <c r="A7" s="51"/>
      <c r="B7" s="58" t="s">
        <v>9</v>
      </c>
      <c r="C7" s="59"/>
      <c r="D7" s="17"/>
      <c r="E7" s="18"/>
      <c r="F7" s="18"/>
      <c r="G7" s="19"/>
      <c r="H7" s="19"/>
      <c r="I7" s="18"/>
      <c r="J7" s="18"/>
      <c r="K7" s="18"/>
      <c r="L7" s="18"/>
      <c r="M7" s="18"/>
      <c r="N7" s="18"/>
      <c r="O7" s="18"/>
      <c r="P7" s="18"/>
      <c r="Q7" s="18"/>
      <c r="R7" s="2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21">
        <f t="shared" si="1"/>
        <v>0</v>
      </c>
      <c r="AJ7" s="56"/>
    </row>
    <row r="8" spans="1:36" s="16" customFormat="1" ht="15" customHeight="1" thickBot="1">
      <c r="A8" s="52"/>
      <c r="B8" s="60" t="s">
        <v>10</v>
      </c>
      <c r="C8" s="61"/>
      <c r="D8" s="22">
        <f t="shared" ref="D8:AH8" si="2">SUM(D3:D7)</f>
        <v>0</v>
      </c>
      <c r="E8" s="22">
        <f t="shared" si="2"/>
        <v>50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 t="shared" si="2"/>
        <v>0</v>
      </c>
      <c r="K8" s="22">
        <f t="shared" si="2"/>
        <v>0</v>
      </c>
      <c r="L8" s="22">
        <f t="shared" si="2"/>
        <v>0</v>
      </c>
      <c r="M8" s="22">
        <f t="shared" si="2"/>
        <v>0</v>
      </c>
      <c r="N8" s="22">
        <f t="shared" si="2"/>
        <v>0</v>
      </c>
      <c r="O8" s="22">
        <f t="shared" si="2"/>
        <v>0</v>
      </c>
      <c r="P8" s="22">
        <f t="shared" si="2"/>
        <v>0</v>
      </c>
      <c r="Q8" s="22">
        <f t="shared" si="2"/>
        <v>0</v>
      </c>
      <c r="R8" s="23">
        <f t="shared" si="2"/>
        <v>0</v>
      </c>
      <c r="S8" s="22">
        <f t="shared" si="2"/>
        <v>0</v>
      </c>
      <c r="T8" s="22">
        <f t="shared" si="2"/>
        <v>0</v>
      </c>
      <c r="U8" s="22">
        <f t="shared" si="2"/>
        <v>0</v>
      </c>
      <c r="V8" s="22">
        <f t="shared" si="2"/>
        <v>25</v>
      </c>
      <c r="W8" s="22">
        <f t="shared" si="2"/>
        <v>0</v>
      </c>
      <c r="X8" s="22">
        <f t="shared" si="2"/>
        <v>0</v>
      </c>
      <c r="Y8" s="22">
        <f t="shared" si="2"/>
        <v>0</v>
      </c>
      <c r="Z8" s="22">
        <f t="shared" si="2"/>
        <v>0</v>
      </c>
      <c r="AA8" s="22">
        <f t="shared" si="2"/>
        <v>0</v>
      </c>
      <c r="AB8" s="22">
        <f t="shared" si="2"/>
        <v>0</v>
      </c>
      <c r="AC8" s="22">
        <f t="shared" si="2"/>
        <v>0</v>
      </c>
      <c r="AD8" s="22">
        <f t="shared" si="2"/>
        <v>0</v>
      </c>
      <c r="AE8" s="22">
        <f t="shared" si="2"/>
        <v>0</v>
      </c>
      <c r="AF8" s="22">
        <f t="shared" si="2"/>
        <v>0</v>
      </c>
      <c r="AG8" s="22">
        <f t="shared" si="2"/>
        <v>50</v>
      </c>
      <c r="AH8" s="22">
        <f t="shared" si="2"/>
        <v>0</v>
      </c>
      <c r="AI8" s="24">
        <f>SUM(D8:AH8)</f>
        <v>125</v>
      </c>
      <c r="AJ8" s="57"/>
    </row>
    <row r="9" spans="1:36" s="16" customFormat="1" ht="15" customHeight="1">
      <c r="A9" s="50" t="s">
        <v>11</v>
      </c>
      <c r="B9" s="53" t="s">
        <v>5</v>
      </c>
      <c r="C9" s="54"/>
      <c r="D9" s="25"/>
      <c r="E9" s="26"/>
      <c r="F9" s="26"/>
      <c r="G9" s="27"/>
      <c r="H9" s="27"/>
      <c r="I9" s="26"/>
      <c r="J9" s="26"/>
      <c r="K9" s="26"/>
      <c r="L9" s="26"/>
      <c r="M9" s="26"/>
      <c r="N9" s="26"/>
      <c r="O9" s="26"/>
      <c r="P9" s="26"/>
      <c r="Q9" s="26"/>
      <c r="R9" s="2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9">
        <f t="shared" si="1"/>
        <v>0</v>
      </c>
      <c r="AJ9" s="55">
        <v>250</v>
      </c>
    </row>
    <row r="10" spans="1:36" s="16" customFormat="1" ht="15" customHeight="1">
      <c r="A10" s="51"/>
      <c r="B10" s="58" t="s">
        <v>6</v>
      </c>
      <c r="C10" s="59"/>
      <c r="D10" s="17"/>
      <c r="E10" s="18"/>
      <c r="F10" s="18"/>
      <c r="G10" s="19"/>
      <c r="H10" s="19"/>
      <c r="I10" s="18">
        <v>1</v>
      </c>
      <c r="J10" s="18"/>
      <c r="K10" s="18"/>
      <c r="L10" s="18"/>
      <c r="M10" s="18"/>
      <c r="N10" s="18"/>
      <c r="O10" s="18"/>
      <c r="P10" s="18"/>
      <c r="Q10" s="18"/>
      <c r="R10" s="20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>
        <v>24</v>
      </c>
      <c r="AG10" s="18"/>
      <c r="AH10" s="18"/>
      <c r="AI10" s="21">
        <f t="shared" si="1"/>
        <v>25</v>
      </c>
      <c r="AJ10" s="62"/>
    </row>
    <row r="11" spans="1:36" s="16" customFormat="1" ht="15" customHeight="1">
      <c r="A11" s="51"/>
      <c r="B11" s="58" t="s">
        <v>12</v>
      </c>
      <c r="C11" s="59"/>
      <c r="D11" s="17"/>
      <c r="E11" s="18"/>
      <c r="F11" s="18"/>
      <c r="G11" s="19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20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v>21</v>
      </c>
      <c r="AD11" s="18"/>
      <c r="AE11" s="18"/>
      <c r="AF11" s="18"/>
      <c r="AG11" s="18"/>
      <c r="AH11" s="18"/>
      <c r="AI11" s="21">
        <f t="shared" si="1"/>
        <v>21</v>
      </c>
      <c r="AJ11" s="62"/>
    </row>
    <row r="12" spans="1:36" s="16" customFormat="1" ht="15" customHeight="1">
      <c r="A12" s="51"/>
      <c r="B12" s="58" t="s">
        <v>8</v>
      </c>
      <c r="C12" s="59"/>
      <c r="D12" s="17"/>
      <c r="E12" s="18"/>
      <c r="F12" s="18"/>
      <c r="G12" s="19"/>
      <c r="H12" s="19"/>
      <c r="I12" s="18"/>
      <c r="J12" s="18"/>
      <c r="K12" s="18"/>
      <c r="L12" s="18">
        <v>24</v>
      </c>
      <c r="M12" s="18"/>
      <c r="N12" s="18"/>
      <c r="O12" s="18"/>
      <c r="P12" s="18"/>
      <c r="Q12" s="18"/>
      <c r="R12" s="20">
        <v>29</v>
      </c>
      <c r="S12" s="18"/>
      <c r="T12" s="18"/>
      <c r="U12" s="18"/>
      <c r="V12" s="18"/>
      <c r="W12" s="18">
        <v>25</v>
      </c>
      <c r="X12" s="18">
        <v>25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1">
        <f t="shared" si="1"/>
        <v>103</v>
      </c>
      <c r="AJ12" s="62"/>
    </row>
    <row r="13" spans="1:36" s="16" customFormat="1" ht="15" customHeight="1">
      <c r="A13" s="51"/>
      <c r="B13" s="58" t="s">
        <v>9</v>
      </c>
      <c r="C13" s="59"/>
      <c r="D13" s="17"/>
      <c r="E13" s="18"/>
      <c r="F13" s="18"/>
      <c r="G13" s="19"/>
      <c r="H13" s="19"/>
      <c r="I13" s="18">
        <v>6</v>
      </c>
      <c r="J13" s="18"/>
      <c r="K13" s="18"/>
      <c r="L13" s="18"/>
      <c r="M13" s="18"/>
      <c r="N13" s="18"/>
      <c r="O13" s="18"/>
      <c r="P13" s="18"/>
      <c r="Q13" s="18"/>
      <c r="R13" s="20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9">
        <f t="shared" si="1"/>
        <v>6</v>
      </c>
      <c r="AJ13" s="62"/>
    </row>
    <row r="14" spans="1:36" s="16" customFormat="1" ht="15" customHeight="1" thickBot="1">
      <c r="A14" s="52"/>
      <c r="B14" s="60" t="s">
        <v>10</v>
      </c>
      <c r="C14" s="61"/>
      <c r="D14" s="22">
        <f t="shared" ref="D14:AH14" si="3">SUM(D9:D13)</f>
        <v>0</v>
      </c>
      <c r="E14" s="22">
        <f t="shared" si="3"/>
        <v>0</v>
      </c>
      <c r="F14" s="22">
        <f t="shared" si="3"/>
        <v>0</v>
      </c>
      <c r="G14" s="22">
        <f t="shared" si="3"/>
        <v>0</v>
      </c>
      <c r="H14" s="22">
        <f t="shared" si="3"/>
        <v>0</v>
      </c>
      <c r="I14" s="22">
        <f t="shared" si="3"/>
        <v>7</v>
      </c>
      <c r="J14" s="22">
        <f t="shared" si="3"/>
        <v>0</v>
      </c>
      <c r="K14" s="22">
        <f t="shared" si="3"/>
        <v>0</v>
      </c>
      <c r="L14" s="22">
        <f t="shared" si="3"/>
        <v>24</v>
      </c>
      <c r="M14" s="22">
        <f t="shared" si="3"/>
        <v>0</v>
      </c>
      <c r="N14" s="22">
        <f t="shared" si="3"/>
        <v>0</v>
      </c>
      <c r="O14" s="22">
        <f t="shared" si="3"/>
        <v>0</v>
      </c>
      <c r="P14" s="22">
        <f t="shared" si="3"/>
        <v>0</v>
      </c>
      <c r="Q14" s="22">
        <f>SUM(Q9:Q13)</f>
        <v>0</v>
      </c>
      <c r="R14" s="23">
        <f t="shared" si="3"/>
        <v>29</v>
      </c>
      <c r="S14" s="22">
        <f t="shared" si="3"/>
        <v>0</v>
      </c>
      <c r="T14" s="22">
        <f t="shared" si="3"/>
        <v>0</v>
      </c>
      <c r="U14" s="22">
        <f t="shared" si="3"/>
        <v>0</v>
      </c>
      <c r="V14" s="22">
        <f t="shared" si="3"/>
        <v>0</v>
      </c>
      <c r="W14" s="22">
        <f t="shared" si="3"/>
        <v>25</v>
      </c>
      <c r="X14" s="22">
        <f t="shared" si="3"/>
        <v>25</v>
      </c>
      <c r="Y14" s="22">
        <f t="shared" si="3"/>
        <v>0</v>
      </c>
      <c r="Z14" s="22">
        <f t="shared" si="3"/>
        <v>0</v>
      </c>
      <c r="AA14" s="22">
        <f t="shared" si="3"/>
        <v>0</v>
      </c>
      <c r="AB14" s="22">
        <f t="shared" si="3"/>
        <v>0</v>
      </c>
      <c r="AC14" s="22">
        <f t="shared" si="3"/>
        <v>21</v>
      </c>
      <c r="AD14" s="22">
        <f t="shared" si="3"/>
        <v>0</v>
      </c>
      <c r="AE14" s="22">
        <f t="shared" si="3"/>
        <v>0</v>
      </c>
      <c r="AF14" s="22">
        <f t="shared" si="3"/>
        <v>24</v>
      </c>
      <c r="AG14" s="22">
        <f t="shared" si="3"/>
        <v>0</v>
      </c>
      <c r="AH14" s="22">
        <f t="shared" si="3"/>
        <v>0</v>
      </c>
      <c r="AI14" s="30">
        <f t="shared" si="1"/>
        <v>155</v>
      </c>
      <c r="AJ14" s="63"/>
    </row>
    <row r="15" spans="1:36" s="16" customFormat="1" ht="15" customHeight="1">
      <c r="A15" s="50" t="s">
        <v>13</v>
      </c>
      <c r="B15" s="53" t="s">
        <v>5</v>
      </c>
      <c r="C15" s="54"/>
      <c r="D15" s="31"/>
      <c r="E15" s="32"/>
      <c r="F15" s="32"/>
      <c r="G15" s="33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12"/>
      <c r="AH15" s="12"/>
      <c r="AI15" s="15">
        <f t="shared" si="1"/>
        <v>0</v>
      </c>
      <c r="AJ15" s="55">
        <v>250</v>
      </c>
    </row>
    <row r="16" spans="1:36" s="16" customFormat="1" ht="15" customHeight="1">
      <c r="A16" s="51"/>
      <c r="B16" s="58" t="s">
        <v>6</v>
      </c>
      <c r="C16" s="59"/>
      <c r="D16" s="17"/>
      <c r="E16" s="18"/>
      <c r="F16" s="18"/>
      <c r="G16" s="19"/>
      <c r="H16" s="19"/>
      <c r="I16" s="18"/>
      <c r="J16" s="18">
        <v>1</v>
      </c>
      <c r="K16" s="18"/>
      <c r="L16" s="18"/>
      <c r="M16" s="18"/>
      <c r="N16" s="18"/>
      <c r="O16" s="18"/>
      <c r="P16" s="18"/>
      <c r="Q16" s="18"/>
      <c r="R16" s="20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1">
        <f t="shared" si="1"/>
        <v>1</v>
      </c>
      <c r="AJ16" s="56"/>
    </row>
    <row r="17" spans="1:36" s="16" customFormat="1" ht="15" customHeight="1">
      <c r="A17" s="51"/>
      <c r="B17" s="58" t="s">
        <v>12</v>
      </c>
      <c r="C17" s="59"/>
      <c r="D17" s="17"/>
      <c r="E17" s="18"/>
      <c r="F17" s="18"/>
      <c r="G17" s="19"/>
      <c r="H17" s="19"/>
      <c r="I17" s="18"/>
      <c r="J17" s="36">
        <v>20</v>
      </c>
      <c r="K17" s="18"/>
      <c r="L17" s="18"/>
      <c r="M17" s="18"/>
      <c r="N17" s="18"/>
      <c r="O17" s="18"/>
      <c r="P17" s="18"/>
      <c r="Q17" s="18"/>
      <c r="R17" s="20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1">
        <f t="shared" si="1"/>
        <v>20</v>
      </c>
      <c r="AJ17" s="56"/>
    </row>
    <row r="18" spans="1:36" s="16" customFormat="1" ht="15" customHeight="1">
      <c r="A18" s="51"/>
      <c r="B18" s="58" t="s">
        <v>8</v>
      </c>
      <c r="C18" s="59"/>
      <c r="D18" s="37"/>
      <c r="E18" s="38"/>
      <c r="F18" s="38"/>
      <c r="G18" s="39"/>
      <c r="H18" s="19"/>
      <c r="I18" s="40"/>
      <c r="J18" s="40"/>
      <c r="K18" s="40"/>
      <c r="L18" s="40"/>
      <c r="M18" s="40"/>
      <c r="N18" s="40"/>
      <c r="O18" s="40">
        <v>25</v>
      </c>
      <c r="P18" s="40"/>
      <c r="Q18" s="40"/>
      <c r="R18" s="41"/>
      <c r="S18" s="40">
        <v>23</v>
      </c>
      <c r="T18" s="40"/>
      <c r="U18" s="40"/>
      <c r="V18" s="40"/>
      <c r="W18" s="40"/>
      <c r="X18" s="40">
        <v>29</v>
      </c>
      <c r="Y18" s="40"/>
      <c r="Z18" s="40"/>
      <c r="AA18" s="40"/>
      <c r="AB18" s="40"/>
      <c r="AC18" s="40"/>
      <c r="AD18" s="40">
        <v>25</v>
      </c>
      <c r="AE18" s="40"/>
      <c r="AF18" s="40"/>
      <c r="AG18" s="40"/>
      <c r="AH18" s="18"/>
      <c r="AI18" s="21">
        <f t="shared" si="1"/>
        <v>102</v>
      </c>
      <c r="AJ18" s="56"/>
    </row>
    <row r="19" spans="1:36" s="16" customFormat="1" ht="15" customHeight="1">
      <c r="A19" s="51"/>
      <c r="B19" s="58" t="s">
        <v>9</v>
      </c>
      <c r="C19" s="59"/>
      <c r="D19" s="37"/>
      <c r="E19" s="38"/>
      <c r="F19" s="38"/>
      <c r="G19" s="39"/>
      <c r="H19" s="19"/>
      <c r="I19" s="40"/>
      <c r="J19" s="40"/>
      <c r="K19" s="40">
        <v>7</v>
      </c>
      <c r="L19" s="40"/>
      <c r="M19" s="40"/>
      <c r="N19" s="40"/>
      <c r="O19" s="40"/>
      <c r="P19" s="40"/>
      <c r="Q19" s="40"/>
      <c r="R19" s="41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>
        <v>15</v>
      </c>
      <c r="AF19" s="40"/>
      <c r="AG19" s="40"/>
      <c r="AH19" s="18"/>
      <c r="AI19" s="21">
        <f t="shared" si="1"/>
        <v>22</v>
      </c>
      <c r="AJ19" s="56"/>
    </row>
    <row r="20" spans="1:36" s="16" customFormat="1" ht="15" customHeight="1" thickBot="1">
      <c r="A20" s="52"/>
      <c r="B20" s="60" t="s">
        <v>14</v>
      </c>
      <c r="C20" s="61"/>
      <c r="D20" s="22">
        <f t="shared" ref="D20:AH20" si="4">SUM(D15:D19)</f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21</v>
      </c>
      <c r="K20" s="22">
        <f t="shared" si="4"/>
        <v>7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25</v>
      </c>
      <c r="P20" s="22">
        <f t="shared" si="4"/>
        <v>0</v>
      </c>
      <c r="Q20" s="22">
        <f t="shared" si="4"/>
        <v>0</v>
      </c>
      <c r="R20" s="23">
        <f t="shared" si="4"/>
        <v>0</v>
      </c>
      <c r="S20" s="22">
        <f t="shared" si="4"/>
        <v>23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29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25</v>
      </c>
      <c r="AE20" s="22">
        <f t="shared" si="4"/>
        <v>15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4">
        <f t="shared" si="1"/>
        <v>145</v>
      </c>
      <c r="AJ20" s="57"/>
    </row>
    <row r="21" spans="1:36" s="16" customFormat="1" ht="15" customHeight="1">
      <c r="A21" s="50" t="s">
        <v>15</v>
      </c>
      <c r="B21" s="53" t="s">
        <v>5</v>
      </c>
      <c r="C21" s="54"/>
      <c r="D21" s="31"/>
      <c r="E21" s="32"/>
      <c r="F21" s="32"/>
      <c r="G21" s="33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12"/>
      <c r="AH21" s="12"/>
      <c r="AI21" s="15">
        <f t="shared" si="1"/>
        <v>0</v>
      </c>
      <c r="AJ21" s="55">
        <v>250</v>
      </c>
    </row>
    <row r="22" spans="1:36" s="16" customFormat="1" ht="15" customHeight="1">
      <c r="A22" s="51"/>
      <c r="B22" s="58" t="s">
        <v>6</v>
      </c>
      <c r="C22" s="59"/>
      <c r="D22" s="17"/>
      <c r="E22" s="18"/>
      <c r="F22" s="18"/>
      <c r="G22" s="19"/>
      <c r="H22" s="19"/>
      <c r="I22" s="18"/>
      <c r="J22" s="18">
        <v>1</v>
      </c>
      <c r="K22" s="18"/>
      <c r="L22" s="18"/>
      <c r="M22" s="18"/>
      <c r="N22" s="18"/>
      <c r="O22" s="18"/>
      <c r="P22" s="18"/>
      <c r="Q22" s="18"/>
      <c r="R22" s="20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1">
        <f t="shared" si="1"/>
        <v>1</v>
      </c>
      <c r="AJ22" s="56"/>
    </row>
    <row r="23" spans="1:36" s="16" customFormat="1" ht="15" customHeight="1">
      <c r="A23" s="51"/>
      <c r="B23" s="58" t="s">
        <v>12</v>
      </c>
      <c r="C23" s="59"/>
      <c r="D23" s="17"/>
      <c r="E23" s="18"/>
      <c r="F23" s="18"/>
      <c r="G23" s="19"/>
      <c r="H23" s="19"/>
      <c r="I23" s="18"/>
      <c r="J23" s="36">
        <v>20</v>
      </c>
      <c r="K23" s="18"/>
      <c r="L23" s="18"/>
      <c r="M23" s="18"/>
      <c r="N23" s="18"/>
      <c r="O23" s="18"/>
      <c r="P23" s="18"/>
      <c r="Q23" s="18"/>
      <c r="R23" s="20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1">
        <f t="shared" si="1"/>
        <v>20</v>
      </c>
      <c r="AJ23" s="56"/>
    </row>
    <row r="24" spans="1:36" s="16" customFormat="1" ht="15" customHeight="1">
      <c r="A24" s="51"/>
      <c r="B24" s="58" t="s">
        <v>8</v>
      </c>
      <c r="C24" s="59"/>
      <c r="D24" s="37"/>
      <c r="E24" s="38"/>
      <c r="F24" s="38"/>
      <c r="G24" s="39"/>
      <c r="H24" s="19"/>
      <c r="I24" s="40"/>
      <c r="J24" s="40"/>
      <c r="K24" s="40"/>
      <c r="L24" s="40"/>
      <c r="M24" s="40"/>
      <c r="N24" s="40"/>
      <c r="O24" s="40">
        <v>25</v>
      </c>
      <c r="P24" s="40"/>
      <c r="Q24" s="40"/>
      <c r="R24" s="41"/>
      <c r="S24" s="40">
        <v>23</v>
      </c>
      <c r="T24" s="40"/>
      <c r="U24" s="40"/>
      <c r="V24" s="40"/>
      <c r="W24" s="40"/>
      <c r="X24" s="40">
        <v>29</v>
      </c>
      <c r="Y24" s="40"/>
      <c r="Z24" s="40"/>
      <c r="AA24" s="40"/>
      <c r="AB24" s="40"/>
      <c r="AC24" s="40"/>
      <c r="AD24" s="40">
        <v>25</v>
      </c>
      <c r="AE24" s="40"/>
      <c r="AF24" s="40"/>
      <c r="AG24" s="40"/>
      <c r="AH24" s="18"/>
      <c r="AI24" s="21">
        <f t="shared" si="1"/>
        <v>102</v>
      </c>
      <c r="AJ24" s="56"/>
    </row>
    <row r="25" spans="1:36" s="16" customFormat="1" ht="15" customHeight="1">
      <c r="A25" s="51"/>
      <c r="B25" s="58" t="s">
        <v>9</v>
      </c>
      <c r="C25" s="59"/>
      <c r="D25" s="37"/>
      <c r="E25" s="38"/>
      <c r="F25" s="38"/>
      <c r="G25" s="39"/>
      <c r="H25" s="19"/>
      <c r="I25" s="40"/>
      <c r="J25" s="40"/>
      <c r="K25" s="40">
        <v>7</v>
      </c>
      <c r="L25" s="40"/>
      <c r="M25" s="40"/>
      <c r="N25" s="40"/>
      <c r="O25" s="40"/>
      <c r="P25" s="40"/>
      <c r="Q25" s="40"/>
      <c r="R25" s="41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>
        <v>15</v>
      </c>
      <c r="AF25" s="40"/>
      <c r="AG25" s="40"/>
      <c r="AH25" s="18"/>
      <c r="AI25" s="21">
        <f t="shared" si="1"/>
        <v>22</v>
      </c>
      <c r="AJ25" s="56"/>
    </row>
    <row r="26" spans="1:36" s="16" customFormat="1" ht="15" customHeight="1" thickBot="1">
      <c r="A26" s="52"/>
      <c r="B26" s="60" t="s">
        <v>14</v>
      </c>
      <c r="C26" s="61"/>
      <c r="D26" s="22">
        <f t="shared" ref="D26:AH26" si="5">SUM(D21:D25)</f>
        <v>0</v>
      </c>
      <c r="E26" s="22">
        <f t="shared" si="5"/>
        <v>0</v>
      </c>
      <c r="F26" s="22">
        <f t="shared" si="5"/>
        <v>0</v>
      </c>
      <c r="G26" s="22">
        <f t="shared" si="5"/>
        <v>0</v>
      </c>
      <c r="H26" s="22">
        <f t="shared" si="5"/>
        <v>0</v>
      </c>
      <c r="I26" s="22">
        <f t="shared" si="5"/>
        <v>0</v>
      </c>
      <c r="J26" s="22">
        <f t="shared" si="5"/>
        <v>21</v>
      </c>
      <c r="K26" s="22">
        <f t="shared" si="5"/>
        <v>7</v>
      </c>
      <c r="L26" s="22">
        <f t="shared" si="5"/>
        <v>0</v>
      </c>
      <c r="M26" s="22">
        <f t="shared" si="5"/>
        <v>0</v>
      </c>
      <c r="N26" s="22">
        <f t="shared" si="5"/>
        <v>0</v>
      </c>
      <c r="O26" s="22">
        <f t="shared" si="5"/>
        <v>25</v>
      </c>
      <c r="P26" s="22">
        <f t="shared" si="5"/>
        <v>0</v>
      </c>
      <c r="Q26" s="22">
        <f t="shared" si="5"/>
        <v>0</v>
      </c>
      <c r="R26" s="23">
        <f t="shared" si="5"/>
        <v>0</v>
      </c>
      <c r="S26" s="22">
        <f t="shared" si="5"/>
        <v>23</v>
      </c>
      <c r="T26" s="22">
        <f t="shared" si="5"/>
        <v>0</v>
      </c>
      <c r="U26" s="22">
        <f t="shared" si="5"/>
        <v>0</v>
      </c>
      <c r="V26" s="22">
        <f t="shared" si="5"/>
        <v>0</v>
      </c>
      <c r="W26" s="22">
        <f t="shared" si="5"/>
        <v>0</v>
      </c>
      <c r="X26" s="22">
        <f t="shared" si="5"/>
        <v>29</v>
      </c>
      <c r="Y26" s="22">
        <f t="shared" si="5"/>
        <v>0</v>
      </c>
      <c r="Z26" s="22">
        <f t="shared" si="5"/>
        <v>0</v>
      </c>
      <c r="AA26" s="22">
        <f t="shared" si="5"/>
        <v>0</v>
      </c>
      <c r="AB26" s="22">
        <f t="shared" si="5"/>
        <v>0</v>
      </c>
      <c r="AC26" s="22">
        <f t="shared" si="5"/>
        <v>0</v>
      </c>
      <c r="AD26" s="22">
        <f t="shared" si="5"/>
        <v>25</v>
      </c>
      <c r="AE26" s="22">
        <f t="shared" si="5"/>
        <v>15</v>
      </c>
      <c r="AF26" s="22">
        <f t="shared" si="5"/>
        <v>0</v>
      </c>
      <c r="AG26" s="22">
        <f t="shared" si="5"/>
        <v>0</v>
      </c>
      <c r="AH26" s="22">
        <f t="shared" si="5"/>
        <v>0</v>
      </c>
      <c r="AI26" s="24">
        <f t="shared" si="1"/>
        <v>145</v>
      </c>
      <c r="AJ26" s="57"/>
    </row>
    <row r="27" spans="1:36" s="16" customFormat="1" ht="15" customHeight="1">
      <c r="A27" s="50" t="s">
        <v>16</v>
      </c>
      <c r="B27" s="53" t="s">
        <v>5</v>
      </c>
      <c r="C27" s="54"/>
      <c r="D27" s="31"/>
      <c r="E27" s="32"/>
      <c r="F27" s="32"/>
      <c r="G27" s="33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12"/>
      <c r="AH27" s="12"/>
      <c r="AI27" s="15">
        <f t="shared" si="1"/>
        <v>0</v>
      </c>
      <c r="AJ27" s="55">
        <v>250</v>
      </c>
    </row>
    <row r="28" spans="1:36" s="16" customFormat="1" ht="15" customHeight="1">
      <c r="A28" s="51"/>
      <c r="B28" s="58" t="s">
        <v>6</v>
      </c>
      <c r="C28" s="59"/>
      <c r="D28" s="17"/>
      <c r="E28" s="18"/>
      <c r="F28" s="18"/>
      <c r="G28" s="19"/>
      <c r="H28" s="19"/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1">
        <f t="shared" si="1"/>
        <v>1</v>
      </c>
      <c r="AJ28" s="56"/>
    </row>
    <row r="29" spans="1:36" s="16" customFormat="1" ht="15" customHeight="1">
      <c r="A29" s="51"/>
      <c r="B29" s="58" t="s">
        <v>12</v>
      </c>
      <c r="C29" s="59"/>
      <c r="D29" s="17"/>
      <c r="E29" s="18"/>
      <c r="F29" s="18"/>
      <c r="G29" s="19"/>
      <c r="H29" s="19"/>
      <c r="I29" s="18"/>
      <c r="J29" s="36">
        <v>20</v>
      </c>
      <c r="K29" s="18"/>
      <c r="L29" s="18"/>
      <c r="M29" s="18"/>
      <c r="N29" s="18"/>
      <c r="O29" s="18"/>
      <c r="P29" s="18"/>
      <c r="Q29" s="18"/>
      <c r="R29" s="20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1">
        <f t="shared" si="1"/>
        <v>20</v>
      </c>
      <c r="AJ29" s="56"/>
    </row>
    <row r="30" spans="1:36" s="16" customFormat="1" ht="15" customHeight="1">
      <c r="A30" s="51"/>
      <c r="B30" s="58" t="s">
        <v>8</v>
      </c>
      <c r="C30" s="59"/>
      <c r="D30" s="37"/>
      <c r="E30" s="38"/>
      <c r="F30" s="38"/>
      <c r="G30" s="39"/>
      <c r="H30" s="19"/>
      <c r="I30" s="40"/>
      <c r="J30" s="40"/>
      <c r="K30" s="40"/>
      <c r="L30" s="40"/>
      <c r="M30" s="40"/>
      <c r="N30" s="40"/>
      <c r="O30" s="40">
        <v>25</v>
      </c>
      <c r="P30" s="40"/>
      <c r="Q30" s="40"/>
      <c r="R30" s="41"/>
      <c r="S30" s="40">
        <v>23</v>
      </c>
      <c r="T30" s="40"/>
      <c r="U30" s="40"/>
      <c r="V30" s="40"/>
      <c r="W30" s="40"/>
      <c r="X30" s="40">
        <v>29</v>
      </c>
      <c r="Y30" s="40"/>
      <c r="Z30" s="40"/>
      <c r="AA30" s="40"/>
      <c r="AB30" s="40"/>
      <c r="AC30" s="40"/>
      <c r="AD30" s="40">
        <v>25</v>
      </c>
      <c r="AE30" s="40"/>
      <c r="AF30" s="40"/>
      <c r="AG30" s="40"/>
      <c r="AH30" s="18"/>
      <c r="AI30" s="21">
        <f t="shared" si="1"/>
        <v>102</v>
      </c>
      <c r="AJ30" s="56"/>
    </row>
    <row r="31" spans="1:36" s="16" customFormat="1" ht="15" customHeight="1">
      <c r="A31" s="51"/>
      <c r="B31" s="58" t="s">
        <v>9</v>
      </c>
      <c r="C31" s="59"/>
      <c r="D31" s="37"/>
      <c r="E31" s="38"/>
      <c r="F31" s="38"/>
      <c r="G31" s="39"/>
      <c r="H31" s="19"/>
      <c r="I31" s="40"/>
      <c r="J31" s="40"/>
      <c r="K31" s="40">
        <v>7</v>
      </c>
      <c r="L31" s="40"/>
      <c r="M31" s="40"/>
      <c r="N31" s="40"/>
      <c r="O31" s="40"/>
      <c r="P31" s="40"/>
      <c r="Q31" s="40"/>
      <c r="R31" s="41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>
        <v>15</v>
      </c>
      <c r="AF31" s="40"/>
      <c r="AG31" s="40"/>
      <c r="AH31" s="18"/>
      <c r="AI31" s="21">
        <f t="shared" si="1"/>
        <v>22</v>
      </c>
      <c r="AJ31" s="56"/>
    </row>
    <row r="32" spans="1:36" s="16" customFormat="1" ht="15" customHeight="1" thickBot="1">
      <c r="A32" s="52"/>
      <c r="B32" s="60" t="s">
        <v>14</v>
      </c>
      <c r="C32" s="61"/>
      <c r="D32" s="22">
        <f t="shared" ref="D32:AH32" si="6">SUM(D27:D31)</f>
        <v>0</v>
      </c>
      <c r="E32" s="22">
        <f t="shared" si="6"/>
        <v>0</v>
      </c>
      <c r="F32" s="22">
        <f t="shared" si="6"/>
        <v>0</v>
      </c>
      <c r="G32" s="22">
        <f t="shared" si="6"/>
        <v>0</v>
      </c>
      <c r="H32" s="22">
        <f t="shared" si="6"/>
        <v>0</v>
      </c>
      <c r="I32" s="22">
        <f t="shared" si="6"/>
        <v>0</v>
      </c>
      <c r="J32" s="22">
        <f t="shared" si="6"/>
        <v>21</v>
      </c>
      <c r="K32" s="22">
        <f t="shared" si="6"/>
        <v>7</v>
      </c>
      <c r="L32" s="22">
        <f t="shared" si="6"/>
        <v>0</v>
      </c>
      <c r="M32" s="22">
        <f t="shared" si="6"/>
        <v>0</v>
      </c>
      <c r="N32" s="22">
        <f t="shared" si="6"/>
        <v>0</v>
      </c>
      <c r="O32" s="22">
        <f t="shared" si="6"/>
        <v>25</v>
      </c>
      <c r="P32" s="22">
        <f t="shared" si="6"/>
        <v>0</v>
      </c>
      <c r="Q32" s="22">
        <f t="shared" si="6"/>
        <v>0</v>
      </c>
      <c r="R32" s="23">
        <f t="shared" si="6"/>
        <v>0</v>
      </c>
      <c r="S32" s="22">
        <f t="shared" si="6"/>
        <v>23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22">
        <f t="shared" si="6"/>
        <v>0</v>
      </c>
      <c r="X32" s="22">
        <f t="shared" si="6"/>
        <v>29</v>
      </c>
      <c r="Y32" s="22">
        <f t="shared" si="6"/>
        <v>0</v>
      </c>
      <c r="Z32" s="22">
        <f t="shared" si="6"/>
        <v>0</v>
      </c>
      <c r="AA32" s="22">
        <f t="shared" si="6"/>
        <v>0</v>
      </c>
      <c r="AB32" s="22">
        <f t="shared" si="6"/>
        <v>0</v>
      </c>
      <c r="AC32" s="22">
        <f t="shared" si="6"/>
        <v>0</v>
      </c>
      <c r="AD32" s="22">
        <f t="shared" si="6"/>
        <v>25</v>
      </c>
      <c r="AE32" s="22">
        <f t="shared" si="6"/>
        <v>15</v>
      </c>
      <c r="AF32" s="22">
        <f t="shared" si="6"/>
        <v>0</v>
      </c>
      <c r="AG32" s="22">
        <f t="shared" si="6"/>
        <v>0</v>
      </c>
      <c r="AH32" s="22">
        <f t="shared" si="6"/>
        <v>0</v>
      </c>
      <c r="AI32" s="24">
        <f t="shared" si="1"/>
        <v>145</v>
      </c>
      <c r="AJ32" s="57"/>
    </row>
  </sheetData>
  <mergeCells count="42">
    <mergeCell ref="A27:A32"/>
    <mergeCell ref="B27:C27"/>
    <mergeCell ref="AJ27:AJ32"/>
    <mergeCell ref="B28:C28"/>
    <mergeCell ref="B29:C29"/>
    <mergeCell ref="B30:C30"/>
    <mergeCell ref="B31:C31"/>
    <mergeCell ref="B32:C32"/>
    <mergeCell ref="A21:A26"/>
    <mergeCell ref="B21:C21"/>
    <mergeCell ref="AJ21:AJ26"/>
    <mergeCell ref="B22:C22"/>
    <mergeCell ref="B23:C23"/>
    <mergeCell ref="B24:C24"/>
    <mergeCell ref="B25:C25"/>
    <mergeCell ref="B26:C26"/>
    <mergeCell ref="A15:A20"/>
    <mergeCell ref="B15:C15"/>
    <mergeCell ref="AJ15:AJ20"/>
    <mergeCell ref="B16:C16"/>
    <mergeCell ref="B17:C17"/>
    <mergeCell ref="B18:C18"/>
    <mergeCell ref="B19:C19"/>
    <mergeCell ref="B20:C20"/>
    <mergeCell ref="A9:A14"/>
    <mergeCell ref="B9:C9"/>
    <mergeCell ref="AJ9:AJ14"/>
    <mergeCell ref="B10:C10"/>
    <mergeCell ref="B11:C11"/>
    <mergeCell ref="B12:C12"/>
    <mergeCell ref="B13:C13"/>
    <mergeCell ref="B14:C14"/>
    <mergeCell ref="D1:O1"/>
    <mergeCell ref="B2:C2"/>
    <mergeCell ref="A3:A8"/>
    <mergeCell ref="B3:C3"/>
    <mergeCell ref="AJ3:AJ8"/>
    <mergeCell ref="B4:C4"/>
    <mergeCell ref="B5:C5"/>
    <mergeCell ref="B6:C6"/>
    <mergeCell ref="B7:C7"/>
    <mergeCell ref="B8:C8"/>
  </mergeCells>
  <phoneticPr fontId="2" type="noConversion"/>
  <conditionalFormatting sqref="D2:AH2">
    <cfRule type="expression" dxfId="14" priority="3" stopIfTrue="1">
      <formula>WEEKDAY(D2)=7</formula>
    </cfRule>
    <cfRule type="expression" dxfId="13" priority="4" stopIfTrue="1">
      <formula>WEEKDAY(D2)=1</formula>
    </cfRule>
  </conditionalFormatting>
  <conditionalFormatting sqref="D2:AH32">
    <cfRule type="expression" dxfId="12" priority="1">
      <formula>TEXT(D$2,"AAA")="일"</formula>
    </cfRule>
    <cfRule type="expression" dxfId="11" priority="2" stopIfTrue="1">
      <formula>TEXT(D$2,"AAA")="토"</formula>
    </cfRule>
    <cfRule type="expression" dxfId="10" priority="5">
      <formula>FALSE</formula>
    </cfRule>
  </conditionalFormatting>
  <pageMargins left="0.19685039370078741" right="0.39370078740157483" top="0.19685039370078741" bottom="0.11811023622047245" header="0.15748031496062992" footer="0.11811023622047245"/>
  <pageSetup paperSize="9" scale="70" fitToWidth="0" orientation="landscape" r:id="rId1"/>
  <headerFooter alignWithMargins="0">
    <oddFooter>&amp;LF705-02 (R01) &amp;C(주) 덱스코윈&amp;R&amp;P/&amp;N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67E5-E9D2-4AA3-9614-1AC502E8129E}">
  <dimension ref="A1:AJ32"/>
  <sheetViews>
    <sheetView showGridLines="0" zoomScale="85" zoomScaleNormal="85" workbookViewId="0">
      <pane xSplit="3" ySplit="2" topLeftCell="D3" activePane="bottomRight" state="frozen"/>
      <selection activeCell="AH19" sqref="AH19"/>
      <selection pane="topRight" activeCell="AH19" sqref="AH19"/>
      <selection pane="bottomLeft" activeCell="AH19" sqref="AH19"/>
      <selection pane="bottomRight" activeCell="AI12" sqref="AI12"/>
    </sheetView>
  </sheetViews>
  <sheetFormatPr defaultColWidth="8.77734375" defaultRowHeight="16.5"/>
  <cols>
    <col min="1" max="1" width="7.21875" style="43" customWidth="1"/>
    <col min="2" max="2" width="11.109375" style="43" customWidth="1"/>
    <col min="3" max="3" width="7.6640625" style="43" customWidth="1"/>
    <col min="4" max="6" width="4.33203125" style="42" customWidth="1"/>
    <col min="7" max="8" width="4.33203125" style="44" customWidth="1"/>
    <col min="9" max="17" width="4.33203125" style="42" customWidth="1"/>
    <col min="18" max="18" width="4.33203125" style="45" customWidth="1"/>
    <col min="19" max="34" width="4.33203125" style="42" customWidth="1"/>
    <col min="35" max="35" width="7.21875" style="46" customWidth="1"/>
    <col min="36" max="36" width="6" style="16" customWidth="1"/>
    <col min="37" max="16384" width="8.77734375" style="3"/>
  </cols>
  <sheetData>
    <row r="1" spans="1:36" ht="21.75" customHeight="1" thickBot="1">
      <c r="A1" s="1"/>
      <c r="B1" s="1"/>
      <c r="C1" s="1"/>
      <c r="D1" s="47">
        <v>46327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"/>
      <c r="Q1" s="2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</row>
    <row r="2" spans="1:36" s="10" customFormat="1" ht="30" customHeight="1" thickBot="1">
      <c r="A2" s="4" t="s">
        <v>0</v>
      </c>
      <c r="B2" s="48" t="s">
        <v>1</v>
      </c>
      <c r="C2" s="49"/>
      <c r="D2" s="5">
        <f>D1</f>
        <v>46327</v>
      </c>
      <c r="E2" s="6">
        <f>D2+1</f>
        <v>46328</v>
      </c>
      <c r="F2" s="6">
        <f t="shared" ref="F2:AH2" si="0">E2+1</f>
        <v>46329</v>
      </c>
      <c r="G2" s="6">
        <f t="shared" si="0"/>
        <v>46330</v>
      </c>
      <c r="H2" s="6">
        <f t="shared" si="0"/>
        <v>46331</v>
      </c>
      <c r="I2" s="6">
        <f t="shared" si="0"/>
        <v>46332</v>
      </c>
      <c r="J2" s="6">
        <f t="shared" si="0"/>
        <v>46333</v>
      </c>
      <c r="K2" s="6">
        <f t="shared" si="0"/>
        <v>46334</v>
      </c>
      <c r="L2" s="6">
        <f t="shared" si="0"/>
        <v>46335</v>
      </c>
      <c r="M2" s="6">
        <f t="shared" si="0"/>
        <v>46336</v>
      </c>
      <c r="N2" s="6">
        <f t="shared" si="0"/>
        <v>46337</v>
      </c>
      <c r="O2" s="6">
        <f t="shared" si="0"/>
        <v>46338</v>
      </c>
      <c r="P2" s="6">
        <f t="shared" si="0"/>
        <v>46339</v>
      </c>
      <c r="Q2" s="6">
        <f t="shared" si="0"/>
        <v>46340</v>
      </c>
      <c r="R2" s="7">
        <f t="shared" si="0"/>
        <v>46341</v>
      </c>
      <c r="S2" s="6">
        <f t="shared" si="0"/>
        <v>46342</v>
      </c>
      <c r="T2" s="6">
        <f t="shared" si="0"/>
        <v>46343</v>
      </c>
      <c r="U2" s="6">
        <f t="shared" si="0"/>
        <v>46344</v>
      </c>
      <c r="V2" s="6">
        <f t="shared" si="0"/>
        <v>46345</v>
      </c>
      <c r="W2" s="6">
        <f t="shared" si="0"/>
        <v>46346</v>
      </c>
      <c r="X2" s="6">
        <f t="shared" si="0"/>
        <v>46347</v>
      </c>
      <c r="Y2" s="6">
        <f t="shared" si="0"/>
        <v>46348</v>
      </c>
      <c r="Z2" s="6">
        <f t="shared" si="0"/>
        <v>46349</v>
      </c>
      <c r="AA2" s="6">
        <f t="shared" si="0"/>
        <v>46350</v>
      </c>
      <c r="AB2" s="6">
        <f t="shared" si="0"/>
        <v>46351</v>
      </c>
      <c r="AC2" s="6">
        <f t="shared" si="0"/>
        <v>46352</v>
      </c>
      <c r="AD2" s="6">
        <f t="shared" si="0"/>
        <v>46353</v>
      </c>
      <c r="AE2" s="6">
        <f t="shared" si="0"/>
        <v>46354</v>
      </c>
      <c r="AF2" s="6">
        <f t="shared" si="0"/>
        <v>46355</v>
      </c>
      <c r="AG2" s="6">
        <f t="shared" si="0"/>
        <v>46356</v>
      </c>
      <c r="AH2" s="6">
        <f t="shared" si="0"/>
        <v>46357</v>
      </c>
      <c r="AI2" s="8" t="s">
        <v>2</v>
      </c>
      <c r="AJ2" s="9" t="s">
        <v>3</v>
      </c>
    </row>
    <row r="3" spans="1:36" s="16" customFormat="1" ht="15" customHeight="1">
      <c r="A3" s="50" t="s">
        <v>4</v>
      </c>
      <c r="B3" s="53" t="s">
        <v>5</v>
      </c>
      <c r="C3" s="54"/>
      <c r="D3" s="11"/>
      <c r="E3" s="12"/>
      <c r="F3" s="12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>
        <f>SUM(D3:AH3)</f>
        <v>0</v>
      </c>
      <c r="AJ3" s="55">
        <v>250</v>
      </c>
    </row>
    <row r="4" spans="1:36" s="16" customFormat="1" ht="15" customHeight="1">
      <c r="A4" s="51"/>
      <c r="B4" s="58" t="s">
        <v>6</v>
      </c>
      <c r="C4" s="59"/>
      <c r="D4" s="17"/>
      <c r="E4" s="18"/>
      <c r="F4" s="18"/>
      <c r="G4" s="19"/>
      <c r="H4" s="19"/>
      <c r="I4" s="18"/>
      <c r="J4" s="18"/>
      <c r="K4" s="18"/>
      <c r="L4" s="18"/>
      <c r="M4" s="18"/>
      <c r="N4" s="18"/>
      <c r="O4" s="18"/>
      <c r="P4" s="18"/>
      <c r="Q4" s="18"/>
      <c r="R4" s="20"/>
      <c r="S4" s="18"/>
      <c r="T4" s="18"/>
      <c r="U4" s="18"/>
      <c r="V4" s="18">
        <v>25</v>
      </c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21">
        <f t="shared" ref="AI4:AI32" si="1">SUM(D4:AH4)</f>
        <v>25</v>
      </c>
      <c r="AJ4" s="56"/>
    </row>
    <row r="5" spans="1:36" s="16" customFormat="1" ht="15" customHeight="1">
      <c r="A5" s="51"/>
      <c r="B5" s="58" t="s">
        <v>7</v>
      </c>
      <c r="C5" s="59"/>
      <c r="D5" s="17"/>
      <c r="E5" s="18">
        <v>50</v>
      </c>
      <c r="F5" s="18"/>
      <c r="G5" s="19"/>
      <c r="H5" s="19"/>
      <c r="I5" s="18"/>
      <c r="J5" s="18"/>
      <c r="K5" s="18"/>
      <c r="L5" s="18"/>
      <c r="M5" s="18"/>
      <c r="N5" s="18"/>
      <c r="O5" s="18"/>
      <c r="P5" s="18"/>
      <c r="Q5" s="18"/>
      <c r="R5" s="20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21">
        <f t="shared" si="1"/>
        <v>50</v>
      </c>
      <c r="AJ5" s="56"/>
    </row>
    <row r="6" spans="1:36" s="16" customFormat="1" ht="15" customHeight="1">
      <c r="A6" s="51"/>
      <c r="B6" s="58" t="s">
        <v>8</v>
      </c>
      <c r="C6" s="59"/>
      <c r="D6" s="17"/>
      <c r="E6" s="18"/>
      <c r="F6" s="18"/>
      <c r="G6" s="19"/>
      <c r="H6" s="19"/>
      <c r="I6" s="18"/>
      <c r="J6" s="18"/>
      <c r="K6" s="18"/>
      <c r="L6" s="18"/>
      <c r="M6" s="18"/>
      <c r="N6" s="18"/>
      <c r="O6" s="18"/>
      <c r="P6" s="18"/>
      <c r="Q6" s="18"/>
      <c r="R6" s="20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>
        <v>50</v>
      </c>
      <c r="AH6" s="18"/>
      <c r="AI6" s="21">
        <f t="shared" si="1"/>
        <v>50</v>
      </c>
      <c r="AJ6" s="56"/>
    </row>
    <row r="7" spans="1:36" s="16" customFormat="1" ht="15" customHeight="1">
      <c r="A7" s="51"/>
      <c r="B7" s="58" t="s">
        <v>9</v>
      </c>
      <c r="C7" s="59"/>
      <c r="D7" s="17"/>
      <c r="E7" s="18"/>
      <c r="F7" s="18"/>
      <c r="G7" s="19"/>
      <c r="H7" s="19"/>
      <c r="I7" s="18"/>
      <c r="J7" s="18"/>
      <c r="K7" s="18"/>
      <c r="L7" s="18"/>
      <c r="M7" s="18"/>
      <c r="N7" s="18"/>
      <c r="O7" s="18"/>
      <c r="P7" s="18"/>
      <c r="Q7" s="18"/>
      <c r="R7" s="2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21">
        <f t="shared" si="1"/>
        <v>0</v>
      </c>
      <c r="AJ7" s="56"/>
    </row>
    <row r="8" spans="1:36" s="16" customFormat="1" ht="15" customHeight="1" thickBot="1">
      <c r="A8" s="52"/>
      <c r="B8" s="60" t="s">
        <v>10</v>
      </c>
      <c r="C8" s="61"/>
      <c r="D8" s="22">
        <f t="shared" ref="D8:AH8" si="2">SUM(D3:D7)</f>
        <v>0</v>
      </c>
      <c r="E8" s="22">
        <f t="shared" si="2"/>
        <v>50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 t="shared" si="2"/>
        <v>0</v>
      </c>
      <c r="K8" s="22">
        <f t="shared" si="2"/>
        <v>0</v>
      </c>
      <c r="L8" s="22">
        <f t="shared" si="2"/>
        <v>0</v>
      </c>
      <c r="M8" s="22">
        <f t="shared" si="2"/>
        <v>0</v>
      </c>
      <c r="N8" s="22">
        <f t="shared" si="2"/>
        <v>0</v>
      </c>
      <c r="O8" s="22">
        <f t="shared" si="2"/>
        <v>0</v>
      </c>
      <c r="P8" s="22">
        <f t="shared" si="2"/>
        <v>0</v>
      </c>
      <c r="Q8" s="22">
        <f t="shared" si="2"/>
        <v>0</v>
      </c>
      <c r="R8" s="23">
        <f t="shared" si="2"/>
        <v>0</v>
      </c>
      <c r="S8" s="22">
        <f t="shared" si="2"/>
        <v>0</v>
      </c>
      <c r="T8" s="22">
        <f t="shared" si="2"/>
        <v>0</v>
      </c>
      <c r="U8" s="22">
        <f t="shared" si="2"/>
        <v>0</v>
      </c>
      <c r="V8" s="22">
        <f t="shared" si="2"/>
        <v>25</v>
      </c>
      <c r="W8" s="22">
        <f t="shared" si="2"/>
        <v>0</v>
      </c>
      <c r="X8" s="22">
        <f t="shared" si="2"/>
        <v>0</v>
      </c>
      <c r="Y8" s="22">
        <f t="shared" si="2"/>
        <v>0</v>
      </c>
      <c r="Z8" s="22">
        <f t="shared" si="2"/>
        <v>0</v>
      </c>
      <c r="AA8" s="22">
        <f t="shared" si="2"/>
        <v>0</v>
      </c>
      <c r="AB8" s="22">
        <f t="shared" si="2"/>
        <v>0</v>
      </c>
      <c r="AC8" s="22">
        <f t="shared" si="2"/>
        <v>0</v>
      </c>
      <c r="AD8" s="22">
        <f t="shared" si="2"/>
        <v>0</v>
      </c>
      <c r="AE8" s="22">
        <f t="shared" si="2"/>
        <v>0</v>
      </c>
      <c r="AF8" s="22">
        <f t="shared" si="2"/>
        <v>0</v>
      </c>
      <c r="AG8" s="22">
        <f t="shared" si="2"/>
        <v>50</v>
      </c>
      <c r="AH8" s="22">
        <f t="shared" si="2"/>
        <v>0</v>
      </c>
      <c r="AI8" s="24">
        <f>SUM(D8:AH8)</f>
        <v>125</v>
      </c>
      <c r="AJ8" s="57"/>
    </row>
    <row r="9" spans="1:36" s="16" customFormat="1" ht="15" customHeight="1">
      <c r="A9" s="50" t="s">
        <v>11</v>
      </c>
      <c r="B9" s="53" t="s">
        <v>5</v>
      </c>
      <c r="C9" s="54"/>
      <c r="D9" s="25"/>
      <c r="E9" s="26"/>
      <c r="F9" s="26"/>
      <c r="G9" s="27"/>
      <c r="H9" s="27"/>
      <c r="I9" s="26"/>
      <c r="J9" s="26"/>
      <c r="K9" s="26"/>
      <c r="L9" s="26"/>
      <c r="M9" s="26"/>
      <c r="N9" s="26"/>
      <c r="O9" s="26"/>
      <c r="P9" s="26"/>
      <c r="Q9" s="26"/>
      <c r="R9" s="2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9">
        <f t="shared" si="1"/>
        <v>0</v>
      </c>
      <c r="AJ9" s="55">
        <v>250</v>
      </c>
    </row>
    <row r="10" spans="1:36" s="16" customFormat="1" ht="15" customHeight="1">
      <c r="A10" s="51"/>
      <c r="B10" s="58" t="s">
        <v>6</v>
      </c>
      <c r="C10" s="59"/>
      <c r="D10" s="17"/>
      <c r="E10" s="18"/>
      <c r="F10" s="18"/>
      <c r="G10" s="19"/>
      <c r="H10" s="19"/>
      <c r="I10" s="18">
        <v>1</v>
      </c>
      <c r="J10" s="18"/>
      <c r="K10" s="18"/>
      <c r="L10" s="18"/>
      <c r="M10" s="18"/>
      <c r="N10" s="18"/>
      <c r="O10" s="18"/>
      <c r="P10" s="18"/>
      <c r="Q10" s="18"/>
      <c r="R10" s="20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>
        <v>24</v>
      </c>
      <c r="AG10" s="18"/>
      <c r="AH10" s="18"/>
      <c r="AI10" s="21">
        <f t="shared" si="1"/>
        <v>25</v>
      </c>
      <c r="AJ10" s="62"/>
    </row>
    <row r="11" spans="1:36" s="16" customFormat="1" ht="15" customHeight="1">
      <c r="A11" s="51"/>
      <c r="B11" s="58" t="s">
        <v>12</v>
      </c>
      <c r="C11" s="59"/>
      <c r="D11" s="17"/>
      <c r="E11" s="18"/>
      <c r="F11" s="18"/>
      <c r="G11" s="19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20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v>21</v>
      </c>
      <c r="AD11" s="18"/>
      <c r="AE11" s="18"/>
      <c r="AF11" s="18"/>
      <c r="AG11" s="18"/>
      <c r="AH11" s="18"/>
      <c r="AI11" s="21">
        <f t="shared" si="1"/>
        <v>21</v>
      </c>
      <c r="AJ11" s="62"/>
    </row>
    <row r="12" spans="1:36" s="16" customFormat="1" ht="15" customHeight="1">
      <c r="A12" s="51"/>
      <c r="B12" s="58" t="s">
        <v>8</v>
      </c>
      <c r="C12" s="59"/>
      <c r="D12" s="17"/>
      <c r="E12" s="18"/>
      <c r="F12" s="18"/>
      <c r="G12" s="19"/>
      <c r="H12" s="19"/>
      <c r="I12" s="18"/>
      <c r="J12" s="18"/>
      <c r="K12" s="18"/>
      <c r="L12" s="18">
        <v>24</v>
      </c>
      <c r="M12" s="18"/>
      <c r="N12" s="18"/>
      <c r="O12" s="18"/>
      <c r="P12" s="18"/>
      <c r="Q12" s="18"/>
      <c r="R12" s="20">
        <v>29</v>
      </c>
      <c r="S12" s="18"/>
      <c r="T12" s="18"/>
      <c r="U12" s="18"/>
      <c r="V12" s="18"/>
      <c r="W12" s="18">
        <v>25</v>
      </c>
      <c r="X12" s="18">
        <v>25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1">
        <f t="shared" si="1"/>
        <v>103</v>
      </c>
      <c r="AJ12" s="62"/>
    </row>
    <row r="13" spans="1:36" s="16" customFormat="1" ht="15" customHeight="1">
      <c r="A13" s="51"/>
      <c r="B13" s="58" t="s">
        <v>9</v>
      </c>
      <c r="C13" s="59"/>
      <c r="D13" s="17"/>
      <c r="E13" s="18"/>
      <c r="F13" s="18"/>
      <c r="G13" s="19"/>
      <c r="H13" s="19"/>
      <c r="I13" s="18">
        <v>6</v>
      </c>
      <c r="J13" s="18"/>
      <c r="K13" s="18"/>
      <c r="L13" s="18"/>
      <c r="M13" s="18"/>
      <c r="N13" s="18"/>
      <c r="O13" s="18"/>
      <c r="P13" s="18"/>
      <c r="Q13" s="18"/>
      <c r="R13" s="20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9">
        <f t="shared" si="1"/>
        <v>6</v>
      </c>
      <c r="AJ13" s="62"/>
    </row>
    <row r="14" spans="1:36" s="16" customFormat="1" ht="15" customHeight="1" thickBot="1">
      <c r="A14" s="52"/>
      <c r="B14" s="60" t="s">
        <v>10</v>
      </c>
      <c r="C14" s="61"/>
      <c r="D14" s="22">
        <f t="shared" ref="D14:AH14" si="3">SUM(D9:D13)</f>
        <v>0</v>
      </c>
      <c r="E14" s="22">
        <f t="shared" si="3"/>
        <v>0</v>
      </c>
      <c r="F14" s="22">
        <f t="shared" si="3"/>
        <v>0</v>
      </c>
      <c r="G14" s="22">
        <f t="shared" si="3"/>
        <v>0</v>
      </c>
      <c r="H14" s="22">
        <f t="shared" si="3"/>
        <v>0</v>
      </c>
      <c r="I14" s="22">
        <f t="shared" si="3"/>
        <v>7</v>
      </c>
      <c r="J14" s="22">
        <f t="shared" si="3"/>
        <v>0</v>
      </c>
      <c r="K14" s="22">
        <f t="shared" si="3"/>
        <v>0</v>
      </c>
      <c r="L14" s="22">
        <f t="shared" si="3"/>
        <v>24</v>
      </c>
      <c r="M14" s="22">
        <f t="shared" si="3"/>
        <v>0</v>
      </c>
      <c r="N14" s="22">
        <f t="shared" si="3"/>
        <v>0</v>
      </c>
      <c r="O14" s="22">
        <f t="shared" si="3"/>
        <v>0</v>
      </c>
      <c r="P14" s="22">
        <f t="shared" si="3"/>
        <v>0</v>
      </c>
      <c r="Q14" s="22">
        <f>SUM(Q9:Q13)</f>
        <v>0</v>
      </c>
      <c r="R14" s="23">
        <f t="shared" si="3"/>
        <v>29</v>
      </c>
      <c r="S14" s="22">
        <f t="shared" si="3"/>
        <v>0</v>
      </c>
      <c r="T14" s="22">
        <f t="shared" si="3"/>
        <v>0</v>
      </c>
      <c r="U14" s="22">
        <f t="shared" si="3"/>
        <v>0</v>
      </c>
      <c r="V14" s="22">
        <f t="shared" si="3"/>
        <v>0</v>
      </c>
      <c r="W14" s="22">
        <f t="shared" si="3"/>
        <v>25</v>
      </c>
      <c r="X14" s="22">
        <f t="shared" si="3"/>
        <v>25</v>
      </c>
      <c r="Y14" s="22">
        <f t="shared" si="3"/>
        <v>0</v>
      </c>
      <c r="Z14" s="22">
        <f t="shared" si="3"/>
        <v>0</v>
      </c>
      <c r="AA14" s="22">
        <f t="shared" si="3"/>
        <v>0</v>
      </c>
      <c r="AB14" s="22">
        <f t="shared" si="3"/>
        <v>0</v>
      </c>
      <c r="AC14" s="22">
        <f t="shared" si="3"/>
        <v>21</v>
      </c>
      <c r="AD14" s="22">
        <f t="shared" si="3"/>
        <v>0</v>
      </c>
      <c r="AE14" s="22">
        <f t="shared" si="3"/>
        <v>0</v>
      </c>
      <c r="AF14" s="22">
        <f t="shared" si="3"/>
        <v>24</v>
      </c>
      <c r="AG14" s="22">
        <f t="shared" si="3"/>
        <v>0</v>
      </c>
      <c r="AH14" s="22">
        <f t="shared" si="3"/>
        <v>0</v>
      </c>
      <c r="AI14" s="30">
        <f t="shared" si="1"/>
        <v>155</v>
      </c>
      <c r="AJ14" s="63"/>
    </row>
    <row r="15" spans="1:36" s="16" customFormat="1" ht="15" customHeight="1">
      <c r="A15" s="50" t="s">
        <v>13</v>
      </c>
      <c r="B15" s="53" t="s">
        <v>5</v>
      </c>
      <c r="C15" s="54"/>
      <c r="D15" s="31"/>
      <c r="E15" s="32"/>
      <c r="F15" s="32"/>
      <c r="G15" s="33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12"/>
      <c r="AH15" s="12"/>
      <c r="AI15" s="15">
        <f t="shared" si="1"/>
        <v>0</v>
      </c>
      <c r="AJ15" s="55">
        <v>250</v>
      </c>
    </row>
    <row r="16" spans="1:36" s="16" customFormat="1" ht="15" customHeight="1">
      <c r="A16" s="51"/>
      <c r="B16" s="58" t="s">
        <v>6</v>
      </c>
      <c r="C16" s="59"/>
      <c r="D16" s="17"/>
      <c r="E16" s="18"/>
      <c r="F16" s="18"/>
      <c r="G16" s="19"/>
      <c r="H16" s="19"/>
      <c r="I16" s="18"/>
      <c r="J16" s="18">
        <v>1</v>
      </c>
      <c r="K16" s="18"/>
      <c r="L16" s="18"/>
      <c r="M16" s="18"/>
      <c r="N16" s="18"/>
      <c r="O16" s="18"/>
      <c r="P16" s="18"/>
      <c r="Q16" s="18"/>
      <c r="R16" s="20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1">
        <f t="shared" si="1"/>
        <v>1</v>
      </c>
      <c r="AJ16" s="56"/>
    </row>
    <row r="17" spans="1:36" s="16" customFormat="1" ht="15" customHeight="1">
      <c r="A17" s="51"/>
      <c r="B17" s="58" t="s">
        <v>12</v>
      </c>
      <c r="C17" s="59"/>
      <c r="D17" s="17"/>
      <c r="E17" s="18"/>
      <c r="F17" s="18"/>
      <c r="G17" s="19"/>
      <c r="H17" s="19"/>
      <c r="I17" s="18"/>
      <c r="J17" s="36">
        <v>20</v>
      </c>
      <c r="K17" s="18"/>
      <c r="L17" s="18"/>
      <c r="M17" s="18"/>
      <c r="N17" s="18"/>
      <c r="O17" s="18"/>
      <c r="P17" s="18"/>
      <c r="Q17" s="18"/>
      <c r="R17" s="20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1">
        <f t="shared" si="1"/>
        <v>20</v>
      </c>
      <c r="AJ17" s="56"/>
    </row>
    <row r="18" spans="1:36" s="16" customFormat="1" ht="15" customHeight="1">
      <c r="A18" s="51"/>
      <c r="B18" s="58" t="s">
        <v>8</v>
      </c>
      <c r="C18" s="59"/>
      <c r="D18" s="37"/>
      <c r="E18" s="38"/>
      <c r="F18" s="38"/>
      <c r="G18" s="39"/>
      <c r="H18" s="19"/>
      <c r="I18" s="40"/>
      <c r="J18" s="40"/>
      <c r="K18" s="40"/>
      <c r="L18" s="40"/>
      <c r="M18" s="40"/>
      <c r="N18" s="40"/>
      <c r="O18" s="40">
        <v>25</v>
      </c>
      <c r="P18" s="40"/>
      <c r="Q18" s="40"/>
      <c r="R18" s="41"/>
      <c r="S18" s="40">
        <v>23</v>
      </c>
      <c r="T18" s="40"/>
      <c r="U18" s="40"/>
      <c r="V18" s="40"/>
      <c r="W18" s="40"/>
      <c r="X18" s="40">
        <v>29</v>
      </c>
      <c r="Y18" s="40"/>
      <c r="Z18" s="40"/>
      <c r="AA18" s="40"/>
      <c r="AB18" s="40"/>
      <c r="AC18" s="40"/>
      <c r="AD18" s="40">
        <v>25</v>
      </c>
      <c r="AE18" s="40"/>
      <c r="AF18" s="40"/>
      <c r="AG18" s="40"/>
      <c r="AH18" s="18"/>
      <c r="AI18" s="21">
        <f t="shared" si="1"/>
        <v>102</v>
      </c>
      <c r="AJ18" s="56"/>
    </row>
    <row r="19" spans="1:36" s="16" customFormat="1" ht="15" customHeight="1">
      <c r="A19" s="51"/>
      <c r="B19" s="58" t="s">
        <v>9</v>
      </c>
      <c r="C19" s="59"/>
      <c r="D19" s="37"/>
      <c r="E19" s="38"/>
      <c r="F19" s="38"/>
      <c r="G19" s="39"/>
      <c r="H19" s="19"/>
      <c r="I19" s="40"/>
      <c r="J19" s="40"/>
      <c r="K19" s="40">
        <v>7</v>
      </c>
      <c r="L19" s="40"/>
      <c r="M19" s="40"/>
      <c r="N19" s="40"/>
      <c r="O19" s="40"/>
      <c r="P19" s="40"/>
      <c r="Q19" s="40"/>
      <c r="R19" s="41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>
        <v>15</v>
      </c>
      <c r="AF19" s="40"/>
      <c r="AG19" s="40"/>
      <c r="AH19" s="18"/>
      <c r="AI19" s="21">
        <f t="shared" si="1"/>
        <v>22</v>
      </c>
      <c r="AJ19" s="56"/>
    </row>
    <row r="20" spans="1:36" s="16" customFormat="1" ht="15" customHeight="1" thickBot="1">
      <c r="A20" s="52"/>
      <c r="B20" s="60" t="s">
        <v>14</v>
      </c>
      <c r="C20" s="61"/>
      <c r="D20" s="22">
        <f t="shared" ref="D20:AH20" si="4">SUM(D15:D19)</f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21</v>
      </c>
      <c r="K20" s="22">
        <f t="shared" si="4"/>
        <v>7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25</v>
      </c>
      <c r="P20" s="22">
        <f t="shared" si="4"/>
        <v>0</v>
      </c>
      <c r="Q20" s="22">
        <f t="shared" si="4"/>
        <v>0</v>
      </c>
      <c r="R20" s="23">
        <f t="shared" si="4"/>
        <v>0</v>
      </c>
      <c r="S20" s="22">
        <f t="shared" si="4"/>
        <v>23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29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25</v>
      </c>
      <c r="AE20" s="22">
        <f t="shared" si="4"/>
        <v>15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4">
        <f t="shared" si="1"/>
        <v>145</v>
      </c>
      <c r="AJ20" s="57"/>
    </row>
    <row r="21" spans="1:36" s="16" customFormat="1" ht="15" customHeight="1">
      <c r="A21" s="50" t="s">
        <v>15</v>
      </c>
      <c r="B21" s="53" t="s">
        <v>5</v>
      </c>
      <c r="C21" s="54"/>
      <c r="D21" s="31"/>
      <c r="E21" s="32"/>
      <c r="F21" s="32"/>
      <c r="G21" s="33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12"/>
      <c r="AH21" s="12"/>
      <c r="AI21" s="15">
        <f t="shared" si="1"/>
        <v>0</v>
      </c>
      <c r="AJ21" s="55">
        <v>250</v>
      </c>
    </row>
    <row r="22" spans="1:36" s="16" customFormat="1" ht="15" customHeight="1">
      <c r="A22" s="51"/>
      <c r="B22" s="58" t="s">
        <v>6</v>
      </c>
      <c r="C22" s="59"/>
      <c r="D22" s="17"/>
      <c r="E22" s="18"/>
      <c r="F22" s="18"/>
      <c r="G22" s="19"/>
      <c r="H22" s="19"/>
      <c r="I22" s="18"/>
      <c r="J22" s="18">
        <v>1</v>
      </c>
      <c r="K22" s="18"/>
      <c r="L22" s="18"/>
      <c r="M22" s="18"/>
      <c r="N22" s="18"/>
      <c r="O22" s="18"/>
      <c r="P22" s="18"/>
      <c r="Q22" s="18"/>
      <c r="R22" s="20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1">
        <f t="shared" si="1"/>
        <v>1</v>
      </c>
      <c r="AJ22" s="56"/>
    </row>
    <row r="23" spans="1:36" s="16" customFormat="1" ht="15" customHeight="1">
      <c r="A23" s="51"/>
      <c r="B23" s="58" t="s">
        <v>12</v>
      </c>
      <c r="C23" s="59"/>
      <c r="D23" s="17"/>
      <c r="E23" s="18"/>
      <c r="F23" s="18"/>
      <c r="G23" s="19"/>
      <c r="H23" s="19"/>
      <c r="I23" s="18"/>
      <c r="J23" s="36">
        <v>20</v>
      </c>
      <c r="K23" s="18"/>
      <c r="L23" s="18"/>
      <c r="M23" s="18"/>
      <c r="N23" s="18"/>
      <c r="O23" s="18"/>
      <c r="P23" s="18"/>
      <c r="Q23" s="18"/>
      <c r="R23" s="20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1">
        <f t="shared" si="1"/>
        <v>20</v>
      </c>
      <c r="AJ23" s="56"/>
    </row>
    <row r="24" spans="1:36" s="16" customFormat="1" ht="15" customHeight="1">
      <c r="A24" s="51"/>
      <c r="B24" s="58" t="s">
        <v>8</v>
      </c>
      <c r="C24" s="59"/>
      <c r="D24" s="37"/>
      <c r="E24" s="38"/>
      <c r="F24" s="38"/>
      <c r="G24" s="39"/>
      <c r="H24" s="19"/>
      <c r="I24" s="40"/>
      <c r="J24" s="40"/>
      <c r="K24" s="40"/>
      <c r="L24" s="40"/>
      <c r="M24" s="40"/>
      <c r="N24" s="40"/>
      <c r="O24" s="40">
        <v>25</v>
      </c>
      <c r="P24" s="40"/>
      <c r="Q24" s="40"/>
      <c r="R24" s="41"/>
      <c r="S24" s="40">
        <v>23</v>
      </c>
      <c r="T24" s="40"/>
      <c r="U24" s="40"/>
      <c r="V24" s="40"/>
      <c r="W24" s="40"/>
      <c r="X24" s="40">
        <v>29</v>
      </c>
      <c r="Y24" s="40"/>
      <c r="Z24" s="40"/>
      <c r="AA24" s="40"/>
      <c r="AB24" s="40"/>
      <c r="AC24" s="40"/>
      <c r="AD24" s="40">
        <v>25</v>
      </c>
      <c r="AE24" s="40"/>
      <c r="AF24" s="40"/>
      <c r="AG24" s="40"/>
      <c r="AH24" s="18"/>
      <c r="AI24" s="21">
        <f t="shared" si="1"/>
        <v>102</v>
      </c>
      <c r="AJ24" s="56"/>
    </row>
    <row r="25" spans="1:36" s="16" customFormat="1" ht="15" customHeight="1">
      <c r="A25" s="51"/>
      <c r="B25" s="58" t="s">
        <v>9</v>
      </c>
      <c r="C25" s="59"/>
      <c r="D25" s="37"/>
      <c r="E25" s="38"/>
      <c r="F25" s="38"/>
      <c r="G25" s="39"/>
      <c r="H25" s="19"/>
      <c r="I25" s="40"/>
      <c r="J25" s="40"/>
      <c r="K25" s="40">
        <v>7</v>
      </c>
      <c r="L25" s="40"/>
      <c r="M25" s="40"/>
      <c r="N25" s="40"/>
      <c r="O25" s="40"/>
      <c r="P25" s="40"/>
      <c r="Q25" s="40"/>
      <c r="R25" s="41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>
        <v>15</v>
      </c>
      <c r="AF25" s="40"/>
      <c r="AG25" s="40"/>
      <c r="AH25" s="18"/>
      <c r="AI25" s="21">
        <f t="shared" si="1"/>
        <v>22</v>
      </c>
      <c r="AJ25" s="56"/>
    </row>
    <row r="26" spans="1:36" s="16" customFormat="1" ht="15" customHeight="1" thickBot="1">
      <c r="A26" s="52"/>
      <c r="B26" s="60" t="s">
        <v>14</v>
      </c>
      <c r="C26" s="61"/>
      <c r="D26" s="22">
        <f t="shared" ref="D26:AH26" si="5">SUM(D21:D25)</f>
        <v>0</v>
      </c>
      <c r="E26" s="22">
        <f t="shared" si="5"/>
        <v>0</v>
      </c>
      <c r="F26" s="22">
        <f t="shared" si="5"/>
        <v>0</v>
      </c>
      <c r="G26" s="22">
        <f t="shared" si="5"/>
        <v>0</v>
      </c>
      <c r="H26" s="22">
        <f t="shared" si="5"/>
        <v>0</v>
      </c>
      <c r="I26" s="22">
        <f t="shared" si="5"/>
        <v>0</v>
      </c>
      <c r="J26" s="22">
        <f t="shared" si="5"/>
        <v>21</v>
      </c>
      <c r="K26" s="22">
        <f t="shared" si="5"/>
        <v>7</v>
      </c>
      <c r="L26" s="22">
        <f t="shared" si="5"/>
        <v>0</v>
      </c>
      <c r="M26" s="22">
        <f t="shared" si="5"/>
        <v>0</v>
      </c>
      <c r="N26" s="22">
        <f t="shared" si="5"/>
        <v>0</v>
      </c>
      <c r="O26" s="22">
        <f t="shared" si="5"/>
        <v>25</v>
      </c>
      <c r="P26" s="22">
        <f t="shared" si="5"/>
        <v>0</v>
      </c>
      <c r="Q26" s="22">
        <f t="shared" si="5"/>
        <v>0</v>
      </c>
      <c r="R26" s="23">
        <f t="shared" si="5"/>
        <v>0</v>
      </c>
      <c r="S26" s="22">
        <f t="shared" si="5"/>
        <v>23</v>
      </c>
      <c r="T26" s="22">
        <f t="shared" si="5"/>
        <v>0</v>
      </c>
      <c r="U26" s="22">
        <f t="shared" si="5"/>
        <v>0</v>
      </c>
      <c r="V26" s="22">
        <f t="shared" si="5"/>
        <v>0</v>
      </c>
      <c r="W26" s="22">
        <f t="shared" si="5"/>
        <v>0</v>
      </c>
      <c r="X26" s="22">
        <f t="shared" si="5"/>
        <v>29</v>
      </c>
      <c r="Y26" s="22">
        <f t="shared" si="5"/>
        <v>0</v>
      </c>
      <c r="Z26" s="22">
        <f t="shared" si="5"/>
        <v>0</v>
      </c>
      <c r="AA26" s="22">
        <f t="shared" si="5"/>
        <v>0</v>
      </c>
      <c r="AB26" s="22">
        <f t="shared" si="5"/>
        <v>0</v>
      </c>
      <c r="AC26" s="22">
        <f t="shared" si="5"/>
        <v>0</v>
      </c>
      <c r="AD26" s="22">
        <f t="shared" si="5"/>
        <v>25</v>
      </c>
      <c r="AE26" s="22">
        <f t="shared" si="5"/>
        <v>15</v>
      </c>
      <c r="AF26" s="22">
        <f t="shared" si="5"/>
        <v>0</v>
      </c>
      <c r="AG26" s="22">
        <f t="shared" si="5"/>
        <v>0</v>
      </c>
      <c r="AH26" s="22">
        <f t="shared" si="5"/>
        <v>0</v>
      </c>
      <c r="AI26" s="24">
        <f t="shared" si="1"/>
        <v>145</v>
      </c>
      <c r="AJ26" s="57"/>
    </row>
    <row r="27" spans="1:36" s="16" customFormat="1" ht="15" customHeight="1">
      <c r="A27" s="50" t="s">
        <v>16</v>
      </c>
      <c r="B27" s="53" t="s">
        <v>5</v>
      </c>
      <c r="C27" s="54"/>
      <c r="D27" s="31"/>
      <c r="E27" s="32"/>
      <c r="F27" s="32"/>
      <c r="G27" s="33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12"/>
      <c r="AH27" s="12"/>
      <c r="AI27" s="15">
        <f t="shared" si="1"/>
        <v>0</v>
      </c>
      <c r="AJ27" s="55">
        <v>250</v>
      </c>
    </row>
    <row r="28" spans="1:36" s="16" customFormat="1" ht="15" customHeight="1">
      <c r="A28" s="51"/>
      <c r="B28" s="58" t="s">
        <v>6</v>
      </c>
      <c r="C28" s="59"/>
      <c r="D28" s="17"/>
      <c r="E28" s="18"/>
      <c r="F28" s="18"/>
      <c r="G28" s="19"/>
      <c r="H28" s="19"/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1">
        <f t="shared" si="1"/>
        <v>1</v>
      </c>
      <c r="AJ28" s="56"/>
    </row>
    <row r="29" spans="1:36" s="16" customFormat="1" ht="15" customHeight="1">
      <c r="A29" s="51"/>
      <c r="B29" s="58" t="s">
        <v>12</v>
      </c>
      <c r="C29" s="59"/>
      <c r="D29" s="17"/>
      <c r="E29" s="18"/>
      <c r="F29" s="18"/>
      <c r="G29" s="19"/>
      <c r="H29" s="19"/>
      <c r="I29" s="18"/>
      <c r="J29" s="36">
        <v>20</v>
      </c>
      <c r="K29" s="18"/>
      <c r="L29" s="18"/>
      <c r="M29" s="18"/>
      <c r="N29" s="18"/>
      <c r="O29" s="18"/>
      <c r="P29" s="18"/>
      <c r="Q29" s="18"/>
      <c r="R29" s="20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1">
        <f t="shared" si="1"/>
        <v>20</v>
      </c>
      <c r="AJ29" s="56"/>
    </row>
    <row r="30" spans="1:36" s="16" customFormat="1" ht="15" customHeight="1">
      <c r="A30" s="51"/>
      <c r="B30" s="58" t="s">
        <v>8</v>
      </c>
      <c r="C30" s="59"/>
      <c r="D30" s="37"/>
      <c r="E30" s="38"/>
      <c r="F30" s="38"/>
      <c r="G30" s="39"/>
      <c r="H30" s="19"/>
      <c r="I30" s="40"/>
      <c r="J30" s="40"/>
      <c r="K30" s="40"/>
      <c r="L30" s="40"/>
      <c r="M30" s="40"/>
      <c r="N30" s="40"/>
      <c r="O30" s="40">
        <v>25</v>
      </c>
      <c r="P30" s="40"/>
      <c r="Q30" s="40"/>
      <c r="R30" s="41"/>
      <c r="S30" s="40">
        <v>23</v>
      </c>
      <c r="T30" s="40"/>
      <c r="U30" s="40"/>
      <c r="V30" s="40"/>
      <c r="W30" s="40"/>
      <c r="X30" s="40">
        <v>29</v>
      </c>
      <c r="Y30" s="40"/>
      <c r="Z30" s="40"/>
      <c r="AA30" s="40"/>
      <c r="AB30" s="40"/>
      <c r="AC30" s="40"/>
      <c r="AD30" s="40">
        <v>25</v>
      </c>
      <c r="AE30" s="40"/>
      <c r="AF30" s="40"/>
      <c r="AG30" s="40"/>
      <c r="AH30" s="18"/>
      <c r="AI30" s="21">
        <f t="shared" si="1"/>
        <v>102</v>
      </c>
      <c r="AJ30" s="56"/>
    </row>
    <row r="31" spans="1:36" s="16" customFormat="1" ht="15" customHeight="1">
      <c r="A31" s="51"/>
      <c r="B31" s="58" t="s">
        <v>9</v>
      </c>
      <c r="C31" s="59"/>
      <c r="D31" s="37"/>
      <c r="E31" s="38"/>
      <c r="F31" s="38"/>
      <c r="G31" s="39"/>
      <c r="H31" s="19"/>
      <c r="I31" s="40"/>
      <c r="J31" s="40"/>
      <c r="K31" s="40">
        <v>7</v>
      </c>
      <c r="L31" s="40"/>
      <c r="M31" s="40"/>
      <c r="N31" s="40"/>
      <c r="O31" s="40"/>
      <c r="P31" s="40"/>
      <c r="Q31" s="40"/>
      <c r="R31" s="41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>
        <v>15</v>
      </c>
      <c r="AF31" s="40"/>
      <c r="AG31" s="40"/>
      <c r="AH31" s="18"/>
      <c r="AI31" s="21">
        <f t="shared" si="1"/>
        <v>22</v>
      </c>
      <c r="AJ31" s="56"/>
    </row>
    <row r="32" spans="1:36" s="16" customFormat="1" ht="15" customHeight="1" thickBot="1">
      <c r="A32" s="52"/>
      <c r="B32" s="60" t="s">
        <v>14</v>
      </c>
      <c r="C32" s="61"/>
      <c r="D32" s="22">
        <f t="shared" ref="D32:AH32" si="6">SUM(D27:D31)</f>
        <v>0</v>
      </c>
      <c r="E32" s="22">
        <f t="shared" si="6"/>
        <v>0</v>
      </c>
      <c r="F32" s="22">
        <f t="shared" si="6"/>
        <v>0</v>
      </c>
      <c r="G32" s="22">
        <f t="shared" si="6"/>
        <v>0</v>
      </c>
      <c r="H32" s="22">
        <f t="shared" si="6"/>
        <v>0</v>
      </c>
      <c r="I32" s="22">
        <f t="shared" si="6"/>
        <v>0</v>
      </c>
      <c r="J32" s="22">
        <f t="shared" si="6"/>
        <v>21</v>
      </c>
      <c r="K32" s="22">
        <f t="shared" si="6"/>
        <v>7</v>
      </c>
      <c r="L32" s="22">
        <f t="shared" si="6"/>
        <v>0</v>
      </c>
      <c r="M32" s="22">
        <f t="shared" si="6"/>
        <v>0</v>
      </c>
      <c r="N32" s="22">
        <f t="shared" si="6"/>
        <v>0</v>
      </c>
      <c r="O32" s="22">
        <f t="shared" si="6"/>
        <v>25</v>
      </c>
      <c r="P32" s="22">
        <f t="shared" si="6"/>
        <v>0</v>
      </c>
      <c r="Q32" s="22">
        <f t="shared" si="6"/>
        <v>0</v>
      </c>
      <c r="R32" s="23">
        <f t="shared" si="6"/>
        <v>0</v>
      </c>
      <c r="S32" s="22">
        <f t="shared" si="6"/>
        <v>23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22">
        <f t="shared" si="6"/>
        <v>0</v>
      </c>
      <c r="X32" s="22">
        <f t="shared" si="6"/>
        <v>29</v>
      </c>
      <c r="Y32" s="22">
        <f t="shared" si="6"/>
        <v>0</v>
      </c>
      <c r="Z32" s="22">
        <f t="shared" si="6"/>
        <v>0</v>
      </c>
      <c r="AA32" s="22">
        <f t="shared" si="6"/>
        <v>0</v>
      </c>
      <c r="AB32" s="22">
        <f t="shared" si="6"/>
        <v>0</v>
      </c>
      <c r="AC32" s="22">
        <f t="shared" si="6"/>
        <v>0</v>
      </c>
      <c r="AD32" s="22">
        <f t="shared" si="6"/>
        <v>25</v>
      </c>
      <c r="AE32" s="22">
        <f t="shared" si="6"/>
        <v>15</v>
      </c>
      <c r="AF32" s="22">
        <f t="shared" si="6"/>
        <v>0</v>
      </c>
      <c r="AG32" s="22">
        <f t="shared" si="6"/>
        <v>0</v>
      </c>
      <c r="AH32" s="22">
        <f t="shared" si="6"/>
        <v>0</v>
      </c>
      <c r="AI32" s="24">
        <f t="shared" si="1"/>
        <v>145</v>
      </c>
      <c r="AJ32" s="57"/>
    </row>
  </sheetData>
  <mergeCells count="42">
    <mergeCell ref="A27:A32"/>
    <mergeCell ref="B27:C27"/>
    <mergeCell ref="AJ27:AJ32"/>
    <mergeCell ref="B28:C28"/>
    <mergeCell ref="B29:C29"/>
    <mergeCell ref="B30:C30"/>
    <mergeCell ref="B31:C31"/>
    <mergeCell ref="B32:C32"/>
    <mergeCell ref="A21:A26"/>
    <mergeCell ref="B21:C21"/>
    <mergeCell ref="AJ21:AJ26"/>
    <mergeCell ref="B22:C22"/>
    <mergeCell ref="B23:C23"/>
    <mergeCell ref="B24:C24"/>
    <mergeCell ref="B25:C25"/>
    <mergeCell ref="B26:C26"/>
    <mergeCell ref="A15:A20"/>
    <mergeCell ref="B15:C15"/>
    <mergeCell ref="AJ15:AJ20"/>
    <mergeCell ref="B16:C16"/>
    <mergeCell ref="B17:C17"/>
    <mergeCell ref="B18:C18"/>
    <mergeCell ref="B19:C19"/>
    <mergeCell ref="B20:C20"/>
    <mergeCell ref="A9:A14"/>
    <mergeCell ref="B9:C9"/>
    <mergeCell ref="AJ9:AJ14"/>
    <mergeCell ref="B10:C10"/>
    <mergeCell ref="B11:C11"/>
    <mergeCell ref="B12:C12"/>
    <mergeCell ref="B13:C13"/>
    <mergeCell ref="B14:C14"/>
    <mergeCell ref="D1:O1"/>
    <mergeCell ref="B2:C2"/>
    <mergeCell ref="A3:A8"/>
    <mergeCell ref="B3:C3"/>
    <mergeCell ref="AJ3:AJ8"/>
    <mergeCell ref="B4:C4"/>
    <mergeCell ref="B5:C5"/>
    <mergeCell ref="B6:C6"/>
    <mergeCell ref="B7:C7"/>
    <mergeCell ref="B8:C8"/>
  </mergeCells>
  <phoneticPr fontId="2" type="noConversion"/>
  <conditionalFormatting sqref="D2:AH2">
    <cfRule type="expression" dxfId="9" priority="3" stopIfTrue="1">
      <formula>WEEKDAY(D2)=7</formula>
    </cfRule>
    <cfRule type="expression" dxfId="8" priority="4" stopIfTrue="1">
      <formula>WEEKDAY(D2)=1</formula>
    </cfRule>
  </conditionalFormatting>
  <conditionalFormatting sqref="D2:AH32">
    <cfRule type="expression" dxfId="7" priority="1">
      <formula>TEXT(D$2,"AAA")="일"</formula>
    </cfRule>
    <cfRule type="expression" dxfId="6" priority="2" stopIfTrue="1">
      <formula>TEXT(D$2,"AAA")="토"</formula>
    </cfRule>
    <cfRule type="expression" dxfId="5" priority="5">
      <formula>FALSE</formula>
    </cfRule>
  </conditionalFormatting>
  <pageMargins left="0.19685039370078741" right="0.39370078740157483" top="0.19685039370078741" bottom="0.11811023622047245" header="0.15748031496062992" footer="0.11811023622047245"/>
  <pageSetup paperSize="9" scale="70" fitToWidth="0" orientation="landscape" r:id="rId1"/>
  <headerFooter alignWithMargins="0">
    <oddFooter>&amp;LF705-02 (R01) &amp;C(주) 덱스코윈&amp;R&amp;P/&amp;N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81E8-0CBB-4EB0-AF01-4D9F0CD307D7}">
  <dimension ref="A1:AJ32"/>
  <sheetViews>
    <sheetView showGridLines="0" tabSelected="1" zoomScale="85" zoomScaleNormal="85" workbookViewId="0">
      <pane xSplit="3" ySplit="2" topLeftCell="D3" activePane="bottomRight" state="frozen"/>
      <selection activeCell="AH19" sqref="AH19"/>
      <selection pane="topRight" activeCell="AH19" sqref="AH19"/>
      <selection pane="bottomLeft" activeCell="AH19" sqref="AH19"/>
      <selection pane="bottomRight" activeCell="AI12" sqref="AI12"/>
    </sheetView>
  </sheetViews>
  <sheetFormatPr defaultColWidth="8.77734375" defaultRowHeight="16.5"/>
  <cols>
    <col min="1" max="1" width="7.21875" style="43" customWidth="1"/>
    <col min="2" max="2" width="11.109375" style="43" customWidth="1"/>
    <col min="3" max="3" width="7.6640625" style="43" customWidth="1"/>
    <col min="4" max="6" width="4.33203125" style="42" customWidth="1"/>
    <col min="7" max="8" width="4.33203125" style="44" customWidth="1"/>
    <col min="9" max="17" width="4.33203125" style="42" customWidth="1"/>
    <col min="18" max="18" width="4.33203125" style="45" customWidth="1"/>
    <col min="19" max="34" width="4.33203125" style="42" customWidth="1"/>
    <col min="35" max="35" width="7.21875" style="46" customWidth="1"/>
    <col min="36" max="36" width="6" style="16" customWidth="1"/>
    <col min="37" max="16384" width="8.77734375" style="3"/>
  </cols>
  <sheetData>
    <row r="1" spans="1:36" ht="21.75" customHeight="1" thickBot="1">
      <c r="A1" s="1"/>
      <c r="B1" s="1"/>
      <c r="C1" s="1"/>
      <c r="D1" s="47">
        <v>46357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2"/>
      <c r="Q1" s="2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  <c r="AJ1" s="1"/>
    </row>
    <row r="2" spans="1:36" s="10" customFormat="1" ht="30" customHeight="1" thickBot="1">
      <c r="A2" s="4" t="s">
        <v>0</v>
      </c>
      <c r="B2" s="48" t="s">
        <v>1</v>
      </c>
      <c r="C2" s="49"/>
      <c r="D2" s="5">
        <f>D1</f>
        <v>46357</v>
      </c>
      <c r="E2" s="6">
        <f>D2+1</f>
        <v>46358</v>
      </c>
      <c r="F2" s="6">
        <f t="shared" ref="F2:AH2" si="0">E2+1</f>
        <v>46359</v>
      </c>
      <c r="G2" s="6">
        <f t="shared" si="0"/>
        <v>46360</v>
      </c>
      <c r="H2" s="6">
        <f t="shared" si="0"/>
        <v>46361</v>
      </c>
      <c r="I2" s="6">
        <f t="shared" si="0"/>
        <v>46362</v>
      </c>
      <c r="J2" s="6">
        <f t="shared" si="0"/>
        <v>46363</v>
      </c>
      <c r="K2" s="6">
        <f t="shared" si="0"/>
        <v>46364</v>
      </c>
      <c r="L2" s="6">
        <f t="shared" si="0"/>
        <v>46365</v>
      </c>
      <c r="M2" s="6">
        <f t="shared" si="0"/>
        <v>46366</v>
      </c>
      <c r="N2" s="6">
        <f t="shared" si="0"/>
        <v>46367</v>
      </c>
      <c r="O2" s="6">
        <f t="shared" si="0"/>
        <v>46368</v>
      </c>
      <c r="P2" s="6">
        <f t="shared" si="0"/>
        <v>46369</v>
      </c>
      <c r="Q2" s="6">
        <f t="shared" si="0"/>
        <v>46370</v>
      </c>
      <c r="R2" s="7">
        <f t="shared" si="0"/>
        <v>46371</v>
      </c>
      <c r="S2" s="6">
        <f t="shared" si="0"/>
        <v>46372</v>
      </c>
      <c r="T2" s="6">
        <f t="shared" si="0"/>
        <v>46373</v>
      </c>
      <c r="U2" s="6">
        <f t="shared" si="0"/>
        <v>46374</v>
      </c>
      <c r="V2" s="6">
        <f t="shared" si="0"/>
        <v>46375</v>
      </c>
      <c r="W2" s="6">
        <f t="shared" si="0"/>
        <v>46376</v>
      </c>
      <c r="X2" s="6">
        <f t="shared" si="0"/>
        <v>46377</v>
      </c>
      <c r="Y2" s="6">
        <f t="shared" si="0"/>
        <v>46378</v>
      </c>
      <c r="Z2" s="6">
        <f t="shared" si="0"/>
        <v>46379</v>
      </c>
      <c r="AA2" s="6">
        <f t="shared" si="0"/>
        <v>46380</v>
      </c>
      <c r="AB2" s="6">
        <f t="shared" si="0"/>
        <v>46381</v>
      </c>
      <c r="AC2" s="6">
        <f t="shared" si="0"/>
        <v>46382</v>
      </c>
      <c r="AD2" s="6">
        <f t="shared" si="0"/>
        <v>46383</v>
      </c>
      <c r="AE2" s="6">
        <f t="shared" si="0"/>
        <v>46384</v>
      </c>
      <c r="AF2" s="6">
        <f t="shared" si="0"/>
        <v>46385</v>
      </c>
      <c r="AG2" s="6">
        <f t="shared" si="0"/>
        <v>46386</v>
      </c>
      <c r="AH2" s="6">
        <f t="shared" si="0"/>
        <v>46387</v>
      </c>
      <c r="AI2" s="8" t="s">
        <v>2</v>
      </c>
      <c r="AJ2" s="9" t="s">
        <v>3</v>
      </c>
    </row>
    <row r="3" spans="1:36" s="16" customFormat="1" ht="15" customHeight="1">
      <c r="A3" s="50" t="s">
        <v>4</v>
      </c>
      <c r="B3" s="53" t="s">
        <v>5</v>
      </c>
      <c r="C3" s="54"/>
      <c r="D3" s="11"/>
      <c r="E3" s="12"/>
      <c r="F3" s="12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4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>
        <f>SUM(D3:AH3)</f>
        <v>0</v>
      </c>
      <c r="AJ3" s="55">
        <v>250</v>
      </c>
    </row>
    <row r="4" spans="1:36" s="16" customFormat="1" ht="15" customHeight="1">
      <c r="A4" s="51"/>
      <c r="B4" s="58" t="s">
        <v>6</v>
      </c>
      <c r="C4" s="59"/>
      <c r="D4" s="17"/>
      <c r="E4" s="18"/>
      <c r="F4" s="18"/>
      <c r="G4" s="19"/>
      <c r="H4" s="19"/>
      <c r="I4" s="18"/>
      <c r="J4" s="18"/>
      <c r="K4" s="18"/>
      <c r="L4" s="18"/>
      <c r="M4" s="18"/>
      <c r="N4" s="18"/>
      <c r="O4" s="18"/>
      <c r="P4" s="18"/>
      <c r="Q4" s="18"/>
      <c r="R4" s="20"/>
      <c r="S4" s="18"/>
      <c r="T4" s="18"/>
      <c r="U4" s="18"/>
      <c r="V4" s="18">
        <v>25</v>
      </c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21">
        <f t="shared" ref="AI4:AI32" si="1">SUM(D4:AH4)</f>
        <v>25</v>
      </c>
      <c r="AJ4" s="56"/>
    </row>
    <row r="5" spans="1:36" s="16" customFormat="1" ht="15" customHeight="1">
      <c r="A5" s="51"/>
      <c r="B5" s="58" t="s">
        <v>7</v>
      </c>
      <c r="C5" s="59"/>
      <c r="D5" s="17"/>
      <c r="E5" s="18">
        <v>50</v>
      </c>
      <c r="F5" s="18"/>
      <c r="G5" s="19"/>
      <c r="H5" s="19"/>
      <c r="I5" s="18"/>
      <c r="J5" s="18"/>
      <c r="K5" s="18"/>
      <c r="L5" s="18"/>
      <c r="M5" s="18"/>
      <c r="N5" s="18"/>
      <c r="O5" s="18"/>
      <c r="P5" s="18"/>
      <c r="Q5" s="18"/>
      <c r="R5" s="20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21">
        <f t="shared" si="1"/>
        <v>50</v>
      </c>
      <c r="AJ5" s="56"/>
    </row>
    <row r="6" spans="1:36" s="16" customFormat="1" ht="15" customHeight="1">
      <c r="A6" s="51"/>
      <c r="B6" s="58" t="s">
        <v>8</v>
      </c>
      <c r="C6" s="59"/>
      <c r="D6" s="17"/>
      <c r="E6" s="18"/>
      <c r="F6" s="18"/>
      <c r="G6" s="19"/>
      <c r="H6" s="19"/>
      <c r="I6" s="18"/>
      <c r="J6" s="18"/>
      <c r="K6" s="18"/>
      <c r="L6" s="18"/>
      <c r="M6" s="18"/>
      <c r="N6" s="18"/>
      <c r="O6" s="18"/>
      <c r="P6" s="18"/>
      <c r="Q6" s="18"/>
      <c r="R6" s="20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>
        <v>50</v>
      </c>
      <c r="AH6" s="18"/>
      <c r="AI6" s="21">
        <f t="shared" si="1"/>
        <v>50</v>
      </c>
      <c r="AJ6" s="56"/>
    </row>
    <row r="7" spans="1:36" s="16" customFormat="1" ht="15" customHeight="1">
      <c r="A7" s="51"/>
      <c r="B7" s="58" t="s">
        <v>9</v>
      </c>
      <c r="C7" s="59"/>
      <c r="D7" s="17"/>
      <c r="E7" s="18"/>
      <c r="F7" s="18"/>
      <c r="G7" s="19"/>
      <c r="H7" s="19"/>
      <c r="I7" s="18"/>
      <c r="J7" s="18"/>
      <c r="K7" s="18"/>
      <c r="L7" s="18"/>
      <c r="M7" s="18"/>
      <c r="N7" s="18"/>
      <c r="O7" s="18"/>
      <c r="P7" s="18"/>
      <c r="Q7" s="18"/>
      <c r="R7" s="20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21">
        <f t="shared" si="1"/>
        <v>0</v>
      </c>
      <c r="AJ7" s="56"/>
    </row>
    <row r="8" spans="1:36" s="16" customFormat="1" ht="15" customHeight="1" thickBot="1">
      <c r="A8" s="52"/>
      <c r="B8" s="60" t="s">
        <v>10</v>
      </c>
      <c r="C8" s="61"/>
      <c r="D8" s="22">
        <f t="shared" ref="D8:AH8" si="2">SUM(D3:D7)</f>
        <v>0</v>
      </c>
      <c r="E8" s="22">
        <f t="shared" si="2"/>
        <v>50</v>
      </c>
      <c r="F8" s="22">
        <f t="shared" si="2"/>
        <v>0</v>
      </c>
      <c r="G8" s="22">
        <f t="shared" si="2"/>
        <v>0</v>
      </c>
      <c r="H8" s="22">
        <f t="shared" si="2"/>
        <v>0</v>
      </c>
      <c r="I8" s="22">
        <f t="shared" si="2"/>
        <v>0</v>
      </c>
      <c r="J8" s="22">
        <f t="shared" si="2"/>
        <v>0</v>
      </c>
      <c r="K8" s="22">
        <f t="shared" si="2"/>
        <v>0</v>
      </c>
      <c r="L8" s="22">
        <f t="shared" si="2"/>
        <v>0</v>
      </c>
      <c r="M8" s="22">
        <f t="shared" si="2"/>
        <v>0</v>
      </c>
      <c r="N8" s="22">
        <f t="shared" si="2"/>
        <v>0</v>
      </c>
      <c r="O8" s="22">
        <f t="shared" si="2"/>
        <v>0</v>
      </c>
      <c r="P8" s="22">
        <f t="shared" si="2"/>
        <v>0</v>
      </c>
      <c r="Q8" s="22">
        <f t="shared" si="2"/>
        <v>0</v>
      </c>
      <c r="R8" s="23">
        <f t="shared" si="2"/>
        <v>0</v>
      </c>
      <c r="S8" s="22">
        <f t="shared" si="2"/>
        <v>0</v>
      </c>
      <c r="T8" s="22">
        <f t="shared" si="2"/>
        <v>0</v>
      </c>
      <c r="U8" s="22">
        <f t="shared" si="2"/>
        <v>0</v>
      </c>
      <c r="V8" s="22">
        <f t="shared" si="2"/>
        <v>25</v>
      </c>
      <c r="W8" s="22">
        <f t="shared" si="2"/>
        <v>0</v>
      </c>
      <c r="X8" s="22">
        <f t="shared" si="2"/>
        <v>0</v>
      </c>
      <c r="Y8" s="22">
        <f t="shared" si="2"/>
        <v>0</v>
      </c>
      <c r="Z8" s="22">
        <f t="shared" si="2"/>
        <v>0</v>
      </c>
      <c r="AA8" s="22">
        <f t="shared" si="2"/>
        <v>0</v>
      </c>
      <c r="AB8" s="22">
        <f t="shared" si="2"/>
        <v>0</v>
      </c>
      <c r="AC8" s="22">
        <f t="shared" si="2"/>
        <v>0</v>
      </c>
      <c r="AD8" s="22">
        <f t="shared" si="2"/>
        <v>0</v>
      </c>
      <c r="AE8" s="22">
        <f t="shared" si="2"/>
        <v>0</v>
      </c>
      <c r="AF8" s="22">
        <f t="shared" si="2"/>
        <v>0</v>
      </c>
      <c r="AG8" s="22">
        <f t="shared" si="2"/>
        <v>50</v>
      </c>
      <c r="AH8" s="22">
        <f t="shared" si="2"/>
        <v>0</v>
      </c>
      <c r="AI8" s="24">
        <f>SUM(D8:AH8)</f>
        <v>125</v>
      </c>
      <c r="AJ8" s="57"/>
    </row>
    <row r="9" spans="1:36" s="16" customFormat="1" ht="15" customHeight="1">
      <c r="A9" s="50" t="s">
        <v>11</v>
      </c>
      <c r="B9" s="53" t="s">
        <v>5</v>
      </c>
      <c r="C9" s="54"/>
      <c r="D9" s="25"/>
      <c r="E9" s="26"/>
      <c r="F9" s="26"/>
      <c r="G9" s="27"/>
      <c r="H9" s="27"/>
      <c r="I9" s="26"/>
      <c r="J9" s="26"/>
      <c r="K9" s="26"/>
      <c r="L9" s="26"/>
      <c r="M9" s="26"/>
      <c r="N9" s="26"/>
      <c r="O9" s="26"/>
      <c r="P9" s="26"/>
      <c r="Q9" s="26"/>
      <c r="R9" s="28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9">
        <f t="shared" si="1"/>
        <v>0</v>
      </c>
      <c r="AJ9" s="55">
        <v>250</v>
      </c>
    </row>
    <row r="10" spans="1:36" s="16" customFormat="1" ht="15" customHeight="1">
      <c r="A10" s="51"/>
      <c r="B10" s="58" t="s">
        <v>6</v>
      </c>
      <c r="C10" s="59"/>
      <c r="D10" s="17"/>
      <c r="E10" s="18"/>
      <c r="F10" s="18"/>
      <c r="G10" s="19"/>
      <c r="H10" s="19"/>
      <c r="I10" s="18">
        <v>1</v>
      </c>
      <c r="J10" s="18"/>
      <c r="K10" s="18"/>
      <c r="L10" s="18"/>
      <c r="M10" s="18"/>
      <c r="N10" s="18"/>
      <c r="O10" s="18"/>
      <c r="P10" s="18"/>
      <c r="Q10" s="18"/>
      <c r="R10" s="20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>
        <v>24</v>
      </c>
      <c r="AG10" s="18"/>
      <c r="AH10" s="18"/>
      <c r="AI10" s="21">
        <f t="shared" si="1"/>
        <v>25</v>
      </c>
      <c r="AJ10" s="62"/>
    </row>
    <row r="11" spans="1:36" s="16" customFormat="1" ht="15" customHeight="1">
      <c r="A11" s="51"/>
      <c r="B11" s="58" t="s">
        <v>12</v>
      </c>
      <c r="C11" s="59"/>
      <c r="D11" s="17"/>
      <c r="E11" s="18"/>
      <c r="F11" s="18"/>
      <c r="G11" s="19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20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v>21</v>
      </c>
      <c r="AD11" s="18"/>
      <c r="AE11" s="18"/>
      <c r="AF11" s="18"/>
      <c r="AG11" s="18"/>
      <c r="AH11" s="18"/>
      <c r="AI11" s="21">
        <f t="shared" si="1"/>
        <v>21</v>
      </c>
      <c r="AJ11" s="62"/>
    </row>
    <row r="12" spans="1:36" s="16" customFormat="1" ht="15" customHeight="1">
      <c r="A12" s="51"/>
      <c r="B12" s="58" t="s">
        <v>8</v>
      </c>
      <c r="C12" s="59"/>
      <c r="D12" s="17"/>
      <c r="E12" s="18"/>
      <c r="F12" s="18"/>
      <c r="G12" s="19"/>
      <c r="H12" s="19"/>
      <c r="I12" s="18"/>
      <c r="J12" s="18"/>
      <c r="K12" s="18"/>
      <c r="L12" s="18">
        <v>24</v>
      </c>
      <c r="M12" s="18"/>
      <c r="N12" s="18"/>
      <c r="O12" s="18"/>
      <c r="P12" s="18"/>
      <c r="Q12" s="18"/>
      <c r="R12" s="20">
        <v>29</v>
      </c>
      <c r="S12" s="18"/>
      <c r="T12" s="18"/>
      <c r="U12" s="18"/>
      <c r="V12" s="18"/>
      <c r="W12" s="18">
        <v>25</v>
      </c>
      <c r="X12" s="18">
        <v>25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1">
        <f t="shared" si="1"/>
        <v>103</v>
      </c>
      <c r="AJ12" s="62"/>
    </row>
    <row r="13" spans="1:36" s="16" customFormat="1" ht="15" customHeight="1">
      <c r="A13" s="51"/>
      <c r="B13" s="58" t="s">
        <v>9</v>
      </c>
      <c r="C13" s="59"/>
      <c r="D13" s="17"/>
      <c r="E13" s="18"/>
      <c r="F13" s="18"/>
      <c r="G13" s="19"/>
      <c r="H13" s="19"/>
      <c r="I13" s="18">
        <v>6</v>
      </c>
      <c r="J13" s="18"/>
      <c r="K13" s="18"/>
      <c r="L13" s="18"/>
      <c r="M13" s="18"/>
      <c r="N13" s="18"/>
      <c r="O13" s="18"/>
      <c r="P13" s="18"/>
      <c r="Q13" s="18"/>
      <c r="R13" s="20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9">
        <f t="shared" si="1"/>
        <v>6</v>
      </c>
      <c r="AJ13" s="62"/>
    </row>
    <row r="14" spans="1:36" s="16" customFormat="1" ht="15" customHeight="1" thickBot="1">
      <c r="A14" s="52"/>
      <c r="B14" s="60" t="s">
        <v>10</v>
      </c>
      <c r="C14" s="61"/>
      <c r="D14" s="22">
        <f t="shared" ref="D14:AH14" si="3">SUM(D9:D13)</f>
        <v>0</v>
      </c>
      <c r="E14" s="22">
        <f t="shared" si="3"/>
        <v>0</v>
      </c>
      <c r="F14" s="22">
        <f t="shared" si="3"/>
        <v>0</v>
      </c>
      <c r="G14" s="22">
        <f t="shared" si="3"/>
        <v>0</v>
      </c>
      <c r="H14" s="22">
        <f t="shared" si="3"/>
        <v>0</v>
      </c>
      <c r="I14" s="22">
        <f t="shared" si="3"/>
        <v>7</v>
      </c>
      <c r="J14" s="22">
        <f t="shared" si="3"/>
        <v>0</v>
      </c>
      <c r="K14" s="22">
        <f t="shared" si="3"/>
        <v>0</v>
      </c>
      <c r="L14" s="22">
        <f t="shared" si="3"/>
        <v>24</v>
      </c>
      <c r="M14" s="22">
        <f t="shared" si="3"/>
        <v>0</v>
      </c>
      <c r="N14" s="22">
        <f t="shared" si="3"/>
        <v>0</v>
      </c>
      <c r="O14" s="22">
        <f t="shared" si="3"/>
        <v>0</v>
      </c>
      <c r="P14" s="22">
        <f t="shared" si="3"/>
        <v>0</v>
      </c>
      <c r="Q14" s="22">
        <f>SUM(Q9:Q13)</f>
        <v>0</v>
      </c>
      <c r="R14" s="23">
        <f t="shared" si="3"/>
        <v>29</v>
      </c>
      <c r="S14" s="22">
        <f t="shared" si="3"/>
        <v>0</v>
      </c>
      <c r="T14" s="22">
        <f t="shared" si="3"/>
        <v>0</v>
      </c>
      <c r="U14" s="22">
        <f t="shared" si="3"/>
        <v>0</v>
      </c>
      <c r="V14" s="22">
        <f t="shared" si="3"/>
        <v>0</v>
      </c>
      <c r="W14" s="22">
        <f t="shared" si="3"/>
        <v>25</v>
      </c>
      <c r="X14" s="22">
        <f t="shared" si="3"/>
        <v>25</v>
      </c>
      <c r="Y14" s="22">
        <f t="shared" si="3"/>
        <v>0</v>
      </c>
      <c r="Z14" s="22">
        <f t="shared" si="3"/>
        <v>0</v>
      </c>
      <c r="AA14" s="22">
        <f t="shared" si="3"/>
        <v>0</v>
      </c>
      <c r="AB14" s="22">
        <f t="shared" si="3"/>
        <v>0</v>
      </c>
      <c r="AC14" s="22">
        <f t="shared" si="3"/>
        <v>21</v>
      </c>
      <c r="AD14" s="22">
        <f t="shared" si="3"/>
        <v>0</v>
      </c>
      <c r="AE14" s="22">
        <f t="shared" si="3"/>
        <v>0</v>
      </c>
      <c r="AF14" s="22">
        <f t="shared" si="3"/>
        <v>24</v>
      </c>
      <c r="AG14" s="22">
        <f t="shared" si="3"/>
        <v>0</v>
      </c>
      <c r="AH14" s="22">
        <f t="shared" si="3"/>
        <v>0</v>
      </c>
      <c r="AI14" s="30">
        <f t="shared" si="1"/>
        <v>155</v>
      </c>
      <c r="AJ14" s="63"/>
    </row>
    <row r="15" spans="1:36" s="16" customFormat="1" ht="15" customHeight="1">
      <c r="A15" s="50" t="s">
        <v>13</v>
      </c>
      <c r="B15" s="53" t="s">
        <v>5</v>
      </c>
      <c r="C15" s="54"/>
      <c r="D15" s="31"/>
      <c r="E15" s="32"/>
      <c r="F15" s="32"/>
      <c r="G15" s="33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12"/>
      <c r="AH15" s="12"/>
      <c r="AI15" s="15">
        <f t="shared" si="1"/>
        <v>0</v>
      </c>
      <c r="AJ15" s="55">
        <v>250</v>
      </c>
    </row>
    <row r="16" spans="1:36" s="16" customFormat="1" ht="15" customHeight="1">
      <c r="A16" s="51"/>
      <c r="B16" s="58" t="s">
        <v>6</v>
      </c>
      <c r="C16" s="59"/>
      <c r="D16" s="17"/>
      <c r="E16" s="18"/>
      <c r="F16" s="18"/>
      <c r="G16" s="19"/>
      <c r="H16" s="19"/>
      <c r="I16" s="18"/>
      <c r="J16" s="18">
        <v>1</v>
      </c>
      <c r="K16" s="18"/>
      <c r="L16" s="18"/>
      <c r="M16" s="18"/>
      <c r="N16" s="18"/>
      <c r="O16" s="18"/>
      <c r="P16" s="18"/>
      <c r="Q16" s="18"/>
      <c r="R16" s="20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1">
        <f t="shared" si="1"/>
        <v>1</v>
      </c>
      <c r="AJ16" s="56"/>
    </row>
    <row r="17" spans="1:36" s="16" customFormat="1" ht="15" customHeight="1">
      <c r="A17" s="51"/>
      <c r="B17" s="58" t="s">
        <v>12</v>
      </c>
      <c r="C17" s="59"/>
      <c r="D17" s="17"/>
      <c r="E17" s="18"/>
      <c r="F17" s="18"/>
      <c r="G17" s="19"/>
      <c r="H17" s="19"/>
      <c r="I17" s="18"/>
      <c r="J17" s="36">
        <v>20</v>
      </c>
      <c r="K17" s="18"/>
      <c r="L17" s="18"/>
      <c r="M17" s="18"/>
      <c r="N17" s="18"/>
      <c r="O17" s="18"/>
      <c r="P17" s="18"/>
      <c r="Q17" s="18"/>
      <c r="R17" s="20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1">
        <f t="shared" si="1"/>
        <v>20</v>
      </c>
      <c r="AJ17" s="56"/>
    </row>
    <row r="18" spans="1:36" s="16" customFormat="1" ht="15" customHeight="1">
      <c r="A18" s="51"/>
      <c r="B18" s="58" t="s">
        <v>8</v>
      </c>
      <c r="C18" s="59"/>
      <c r="D18" s="37"/>
      <c r="E18" s="38"/>
      <c r="F18" s="38"/>
      <c r="G18" s="39"/>
      <c r="H18" s="19"/>
      <c r="I18" s="40"/>
      <c r="J18" s="40"/>
      <c r="K18" s="40"/>
      <c r="L18" s="40"/>
      <c r="M18" s="40"/>
      <c r="N18" s="40"/>
      <c r="O18" s="40">
        <v>25</v>
      </c>
      <c r="P18" s="40"/>
      <c r="Q18" s="40"/>
      <c r="R18" s="41"/>
      <c r="S18" s="40">
        <v>23</v>
      </c>
      <c r="T18" s="40"/>
      <c r="U18" s="40"/>
      <c r="V18" s="40"/>
      <c r="W18" s="40"/>
      <c r="X18" s="40">
        <v>29</v>
      </c>
      <c r="Y18" s="40"/>
      <c r="Z18" s="40"/>
      <c r="AA18" s="40"/>
      <c r="AB18" s="40"/>
      <c r="AC18" s="40"/>
      <c r="AD18" s="40">
        <v>25</v>
      </c>
      <c r="AE18" s="40"/>
      <c r="AF18" s="40"/>
      <c r="AG18" s="40"/>
      <c r="AH18" s="18"/>
      <c r="AI18" s="21">
        <f t="shared" si="1"/>
        <v>102</v>
      </c>
      <c r="AJ18" s="56"/>
    </row>
    <row r="19" spans="1:36" s="16" customFormat="1" ht="15" customHeight="1">
      <c r="A19" s="51"/>
      <c r="B19" s="58" t="s">
        <v>9</v>
      </c>
      <c r="C19" s="59"/>
      <c r="D19" s="37"/>
      <c r="E19" s="38"/>
      <c r="F19" s="38"/>
      <c r="G19" s="39"/>
      <c r="H19" s="19"/>
      <c r="I19" s="40"/>
      <c r="J19" s="40"/>
      <c r="K19" s="40">
        <v>7</v>
      </c>
      <c r="L19" s="40"/>
      <c r="M19" s="40"/>
      <c r="N19" s="40"/>
      <c r="O19" s="40"/>
      <c r="P19" s="40"/>
      <c r="Q19" s="40"/>
      <c r="R19" s="41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>
        <v>15</v>
      </c>
      <c r="AF19" s="40"/>
      <c r="AG19" s="40"/>
      <c r="AH19" s="18"/>
      <c r="AI19" s="21">
        <f t="shared" si="1"/>
        <v>22</v>
      </c>
      <c r="AJ19" s="56"/>
    </row>
    <row r="20" spans="1:36" s="16" customFormat="1" ht="15" customHeight="1" thickBot="1">
      <c r="A20" s="52"/>
      <c r="B20" s="60" t="s">
        <v>14</v>
      </c>
      <c r="C20" s="61"/>
      <c r="D20" s="22">
        <f t="shared" ref="D20:AH20" si="4">SUM(D15:D19)</f>
        <v>0</v>
      </c>
      <c r="E20" s="22">
        <f t="shared" si="4"/>
        <v>0</v>
      </c>
      <c r="F20" s="22">
        <f t="shared" si="4"/>
        <v>0</v>
      </c>
      <c r="G20" s="22">
        <f t="shared" si="4"/>
        <v>0</v>
      </c>
      <c r="H20" s="22">
        <f t="shared" si="4"/>
        <v>0</v>
      </c>
      <c r="I20" s="22">
        <f t="shared" si="4"/>
        <v>0</v>
      </c>
      <c r="J20" s="22">
        <f t="shared" si="4"/>
        <v>21</v>
      </c>
      <c r="K20" s="22">
        <f t="shared" si="4"/>
        <v>7</v>
      </c>
      <c r="L20" s="22">
        <f t="shared" si="4"/>
        <v>0</v>
      </c>
      <c r="M20" s="22">
        <f t="shared" si="4"/>
        <v>0</v>
      </c>
      <c r="N20" s="22">
        <f t="shared" si="4"/>
        <v>0</v>
      </c>
      <c r="O20" s="22">
        <f t="shared" si="4"/>
        <v>25</v>
      </c>
      <c r="P20" s="22">
        <f t="shared" si="4"/>
        <v>0</v>
      </c>
      <c r="Q20" s="22">
        <f t="shared" si="4"/>
        <v>0</v>
      </c>
      <c r="R20" s="23">
        <f t="shared" si="4"/>
        <v>0</v>
      </c>
      <c r="S20" s="22">
        <f t="shared" si="4"/>
        <v>23</v>
      </c>
      <c r="T20" s="22">
        <f t="shared" si="4"/>
        <v>0</v>
      </c>
      <c r="U20" s="22">
        <f t="shared" si="4"/>
        <v>0</v>
      </c>
      <c r="V20" s="22">
        <f t="shared" si="4"/>
        <v>0</v>
      </c>
      <c r="W20" s="22">
        <f t="shared" si="4"/>
        <v>0</v>
      </c>
      <c r="X20" s="22">
        <f t="shared" si="4"/>
        <v>29</v>
      </c>
      <c r="Y20" s="22">
        <f t="shared" si="4"/>
        <v>0</v>
      </c>
      <c r="Z20" s="22">
        <f t="shared" si="4"/>
        <v>0</v>
      </c>
      <c r="AA20" s="22">
        <f t="shared" si="4"/>
        <v>0</v>
      </c>
      <c r="AB20" s="22">
        <f t="shared" si="4"/>
        <v>0</v>
      </c>
      <c r="AC20" s="22">
        <f t="shared" si="4"/>
        <v>0</v>
      </c>
      <c r="AD20" s="22">
        <f t="shared" si="4"/>
        <v>25</v>
      </c>
      <c r="AE20" s="22">
        <f t="shared" si="4"/>
        <v>15</v>
      </c>
      <c r="AF20" s="22">
        <f t="shared" si="4"/>
        <v>0</v>
      </c>
      <c r="AG20" s="22">
        <f t="shared" si="4"/>
        <v>0</v>
      </c>
      <c r="AH20" s="22">
        <f t="shared" si="4"/>
        <v>0</v>
      </c>
      <c r="AI20" s="24">
        <f t="shared" si="1"/>
        <v>145</v>
      </c>
      <c r="AJ20" s="57"/>
    </row>
    <row r="21" spans="1:36" s="16" customFormat="1" ht="15" customHeight="1">
      <c r="A21" s="50" t="s">
        <v>15</v>
      </c>
      <c r="B21" s="53" t="s">
        <v>5</v>
      </c>
      <c r="C21" s="54"/>
      <c r="D21" s="31"/>
      <c r="E21" s="32"/>
      <c r="F21" s="32"/>
      <c r="G21" s="33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12"/>
      <c r="AH21" s="12"/>
      <c r="AI21" s="15">
        <f t="shared" si="1"/>
        <v>0</v>
      </c>
      <c r="AJ21" s="55">
        <v>250</v>
      </c>
    </row>
    <row r="22" spans="1:36" s="16" customFormat="1" ht="15" customHeight="1">
      <c r="A22" s="51"/>
      <c r="B22" s="58" t="s">
        <v>6</v>
      </c>
      <c r="C22" s="59"/>
      <c r="D22" s="17"/>
      <c r="E22" s="18"/>
      <c r="F22" s="18"/>
      <c r="G22" s="19"/>
      <c r="H22" s="19"/>
      <c r="I22" s="18"/>
      <c r="J22" s="18">
        <v>1</v>
      </c>
      <c r="K22" s="18"/>
      <c r="L22" s="18"/>
      <c r="M22" s="18"/>
      <c r="N22" s="18"/>
      <c r="O22" s="18"/>
      <c r="P22" s="18"/>
      <c r="Q22" s="18"/>
      <c r="R22" s="20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1">
        <f t="shared" si="1"/>
        <v>1</v>
      </c>
      <c r="AJ22" s="56"/>
    </row>
    <row r="23" spans="1:36" s="16" customFormat="1" ht="15" customHeight="1">
      <c r="A23" s="51"/>
      <c r="B23" s="58" t="s">
        <v>12</v>
      </c>
      <c r="C23" s="59"/>
      <c r="D23" s="17"/>
      <c r="E23" s="18"/>
      <c r="F23" s="18"/>
      <c r="G23" s="19"/>
      <c r="H23" s="19"/>
      <c r="I23" s="18"/>
      <c r="J23" s="36">
        <v>20</v>
      </c>
      <c r="K23" s="18"/>
      <c r="L23" s="18"/>
      <c r="M23" s="18"/>
      <c r="N23" s="18"/>
      <c r="O23" s="18"/>
      <c r="P23" s="18"/>
      <c r="Q23" s="18"/>
      <c r="R23" s="20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1">
        <f t="shared" si="1"/>
        <v>20</v>
      </c>
      <c r="AJ23" s="56"/>
    </row>
    <row r="24" spans="1:36" s="16" customFormat="1" ht="15" customHeight="1">
      <c r="A24" s="51"/>
      <c r="B24" s="58" t="s">
        <v>8</v>
      </c>
      <c r="C24" s="59"/>
      <c r="D24" s="37"/>
      <c r="E24" s="38"/>
      <c r="F24" s="38"/>
      <c r="G24" s="39"/>
      <c r="H24" s="19"/>
      <c r="I24" s="40"/>
      <c r="J24" s="40"/>
      <c r="K24" s="40"/>
      <c r="L24" s="40"/>
      <c r="M24" s="40"/>
      <c r="N24" s="40"/>
      <c r="O24" s="40">
        <v>25</v>
      </c>
      <c r="P24" s="40"/>
      <c r="Q24" s="40"/>
      <c r="R24" s="41"/>
      <c r="S24" s="40">
        <v>23</v>
      </c>
      <c r="T24" s="40"/>
      <c r="U24" s="40"/>
      <c r="V24" s="40"/>
      <c r="W24" s="40"/>
      <c r="X24" s="40">
        <v>29</v>
      </c>
      <c r="Y24" s="40"/>
      <c r="Z24" s="40"/>
      <c r="AA24" s="40"/>
      <c r="AB24" s="40"/>
      <c r="AC24" s="40"/>
      <c r="AD24" s="40">
        <v>25</v>
      </c>
      <c r="AE24" s="40"/>
      <c r="AF24" s="40"/>
      <c r="AG24" s="40"/>
      <c r="AH24" s="18"/>
      <c r="AI24" s="21">
        <f t="shared" si="1"/>
        <v>102</v>
      </c>
      <c r="AJ24" s="56"/>
    </row>
    <row r="25" spans="1:36" s="16" customFormat="1" ht="15" customHeight="1">
      <c r="A25" s="51"/>
      <c r="B25" s="58" t="s">
        <v>9</v>
      </c>
      <c r="C25" s="59"/>
      <c r="D25" s="37"/>
      <c r="E25" s="38"/>
      <c r="F25" s="38"/>
      <c r="G25" s="39"/>
      <c r="H25" s="19"/>
      <c r="I25" s="40"/>
      <c r="J25" s="40"/>
      <c r="K25" s="40">
        <v>7</v>
      </c>
      <c r="L25" s="40"/>
      <c r="M25" s="40"/>
      <c r="N25" s="40"/>
      <c r="O25" s="40"/>
      <c r="P25" s="40"/>
      <c r="Q25" s="40"/>
      <c r="R25" s="41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>
        <v>15</v>
      </c>
      <c r="AF25" s="40"/>
      <c r="AG25" s="40"/>
      <c r="AH25" s="18"/>
      <c r="AI25" s="21">
        <f t="shared" si="1"/>
        <v>22</v>
      </c>
      <c r="AJ25" s="56"/>
    </row>
    <row r="26" spans="1:36" s="16" customFormat="1" ht="15" customHeight="1" thickBot="1">
      <c r="A26" s="52"/>
      <c r="B26" s="60" t="s">
        <v>14</v>
      </c>
      <c r="C26" s="61"/>
      <c r="D26" s="22">
        <f t="shared" ref="D26:AH26" si="5">SUM(D21:D25)</f>
        <v>0</v>
      </c>
      <c r="E26" s="22">
        <f t="shared" si="5"/>
        <v>0</v>
      </c>
      <c r="F26" s="22">
        <f t="shared" si="5"/>
        <v>0</v>
      </c>
      <c r="G26" s="22">
        <f t="shared" si="5"/>
        <v>0</v>
      </c>
      <c r="H26" s="22">
        <f t="shared" si="5"/>
        <v>0</v>
      </c>
      <c r="I26" s="22">
        <f t="shared" si="5"/>
        <v>0</v>
      </c>
      <c r="J26" s="22">
        <f t="shared" si="5"/>
        <v>21</v>
      </c>
      <c r="K26" s="22">
        <f t="shared" si="5"/>
        <v>7</v>
      </c>
      <c r="L26" s="22">
        <f t="shared" si="5"/>
        <v>0</v>
      </c>
      <c r="M26" s="22">
        <f t="shared" si="5"/>
        <v>0</v>
      </c>
      <c r="N26" s="22">
        <f t="shared" si="5"/>
        <v>0</v>
      </c>
      <c r="O26" s="22">
        <f t="shared" si="5"/>
        <v>25</v>
      </c>
      <c r="P26" s="22">
        <f t="shared" si="5"/>
        <v>0</v>
      </c>
      <c r="Q26" s="22">
        <f t="shared" si="5"/>
        <v>0</v>
      </c>
      <c r="R26" s="23">
        <f t="shared" si="5"/>
        <v>0</v>
      </c>
      <c r="S26" s="22">
        <f t="shared" si="5"/>
        <v>23</v>
      </c>
      <c r="T26" s="22">
        <f t="shared" si="5"/>
        <v>0</v>
      </c>
      <c r="U26" s="22">
        <f t="shared" si="5"/>
        <v>0</v>
      </c>
      <c r="V26" s="22">
        <f t="shared" si="5"/>
        <v>0</v>
      </c>
      <c r="W26" s="22">
        <f t="shared" si="5"/>
        <v>0</v>
      </c>
      <c r="X26" s="22">
        <f t="shared" si="5"/>
        <v>29</v>
      </c>
      <c r="Y26" s="22">
        <f t="shared" si="5"/>
        <v>0</v>
      </c>
      <c r="Z26" s="22">
        <f t="shared" si="5"/>
        <v>0</v>
      </c>
      <c r="AA26" s="22">
        <f t="shared" si="5"/>
        <v>0</v>
      </c>
      <c r="AB26" s="22">
        <f t="shared" si="5"/>
        <v>0</v>
      </c>
      <c r="AC26" s="22">
        <f t="shared" si="5"/>
        <v>0</v>
      </c>
      <c r="AD26" s="22">
        <f t="shared" si="5"/>
        <v>25</v>
      </c>
      <c r="AE26" s="22">
        <f t="shared" si="5"/>
        <v>15</v>
      </c>
      <c r="AF26" s="22">
        <f t="shared" si="5"/>
        <v>0</v>
      </c>
      <c r="AG26" s="22">
        <f t="shared" si="5"/>
        <v>0</v>
      </c>
      <c r="AH26" s="22">
        <f t="shared" si="5"/>
        <v>0</v>
      </c>
      <c r="AI26" s="24">
        <f t="shared" si="1"/>
        <v>145</v>
      </c>
      <c r="AJ26" s="57"/>
    </row>
    <row r="27" spans="1:36" s="16" customFormat="1" ht="15" customHeight="1">
      <c r="A27" s="50" t="s">
        <v>16</v>
      </c>
      <c r="B27" s="53" t="s">
        <v>5</v>
      </c>
      <c r="C27" s="54"/>
      <c r="D27" s="31"/>
      <c r="E27" s="32"/>
      <c r="F27" s="32"/>
      <c r="G27" s="33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12"/>
      <c r="AH27" s="12"/>
      <c r="AI27" s="15">
        <f t="shared" si="1"/>
        <v>0</v>
      </c>
      <c r="AJ27" s="55">
        <v>250</v>
      </c>
    </row>
    <row r="28" spans="1:36" s="16" customFormat="1" ht="15" customHeight="1">
      <c r="A28" s="51"/>
      <c r="B28" s="58" t="s">
        <v>6</v>
      </c>
      <c r="C28" s="59"/>
      <c r="D28" s="17"/>
      <c r="E28" s="18"/>
      <c r="F28" s="18"/>
      <c r="G28" s="19"/>
      <c r="H28" s="19"/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20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1">
        <f t="shared" si="1"/>
        <v>1</v>
      </c>
      <c r="AJ28" s="56"/>
    </row>
    <row r="29" spans="1:36" s="16" customFormat="1" ht="15" customHeight="1">
      <c r="A29" s="51"/>
      <c r="B29" s="58" t="s">
        <v>12</v>
      </c>
      <c r="C29" s="59"/>
      <c r="D29" s="17"/>
      <c r="E29" s="18"/>
      <c r="F29" s="18"/>
      <c r="G29" s="19"/>
      <c r="H29" s="19"/>
      <c r="I29" s="18"/>
      <c r="J29" s="36">
        <v>20</v>
      </c>
      <c r="K29" s="18"/>
      <c r="L29" s="18"/>
      <c r="M29" s="18"/>
      <c r="N29" s="18"/>
      <c r="O29" s="18"/>
      <c r="P29" s="18"/>
      <c r="Q29" s="18"/>
      <c r="R29" s="20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1">
        <f t="shared" si="1"/>
        <v>20</v>
      </c>
      <c r="AJ29" s="56"/>
    </row>
    <row r="30" spans="1:36" s="16" customFormat="1" ht="15" customHeight="1">
      <c r="A30" s="51"/>
      <c r="B30" s="58" t="s">
        <v>8</v>
      </c>
      <c r="C30" s="59"/>
      <c r="D30" s="37"/>
      <c r="E30" s="38"/>
      <c r="F30" s="38"/>
      <c r="G30" s="39"/>
      <c r="H30" s="19"/>
      <c r="I30" s="40"/>
      <c r="J30" s="40"/>
      <c r="K30" s="40"/>
      <c r="L30" s="40"/>
      <c r="M30" s="40"/>
      <c r="N30" s="40"/>
      <c r="O30" s="40">
        <v>25</v>
      </c>
      <c r="P30" s="40"/>
      <c r="Q30" s="40"/>
      <c r="R30" s="41"/>
      <c r="S30" s="40">
        <v>23</v>
      </c>
      <c r="T30" s="40"/>
      <c r="U30" s="40"/>
      <c r="V30" s="40"/>
      <c r="W30" s="40"/>
      <c r="X30" s="40">
        <v>29</v>
      </c>
      <c r="Y30" s="40"/>
      <c r="Z30" s="40"/>
      <c r="AA30" s="40"/>
      <c r="AB30" s="40"/>
      <c r="AC30" s="40"/>
      <c r="AD30" s="40">
        <v>25</v>
      </c>
      <c r="AE30" s="40"/>
      <c r="AF30" s="40"/>
      <c r="AG30" s="40"/>
      <c r="AH30" s="18"/>
      <c r="AI30" s="21">
        <f t="shared" si="1"/>
        <v>102</v>
      </c>
      <c r="AJ30" s="56"/>
    </row>
    <row r="31" spans="1:36" s="16" customFormat="1" ht="15" customHeight="1">
      <c r="A31" s="51"/>
      <c r="B31" s="58" t="s">
        <v>9</v>
      </c>
      <c r="C31" s="59"/>
      <c r="D31" s="37"/>
      <c r="E31" s="38"/>
      <c r="F31" s="38"/>
      <c r="G31" s="39"/>
      <c r="H31" s="19"/>
      <c r="I31" s="40"/>
      <c r="J31" s="40"/>
      <c r="K31" s="40">
        <v>7</v>
      </c>
      <c r="L31" s="40"/>
      <c r="M31" s="40"/>
      <c r="N31" s="40"/>
      <c r="O31" s="40"/>
      <c r="P31" s="40"/>
      <c r="Q31" s="40"/>
      <c r="R31" s="41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>
        <v>15</v>
      </c>
      <c r="AF31" s="40"/>
      <c r="AG31" s="40"/>
      <c r="AH31" s="18"/>
      <c r="AI31" s="21">
        <f t="shared" si="1"/>
        <v>22</v>
      </c>
      <c r="AJ31" s="56"/>
    </row>
    <row r="32" spans="1:36" s="16" customFormat="1" ht="15" customHeight="1" thickBot="1">
      <c r="A32" s="52"/>
      <c r="B32" s="60" t="s">
        <v>14</v>
      </c>
      <c r="C32" s="61"/>
      <c r="D32" s="22">
        <f t="shared" ref="D32:AH32" si="6">SUM(D27:D31)</f>
        <v>0</v>
      </c>
      <c r="E32" s="22">
        <f t="shared" si="6"/>
        <v>0</v>
      </c>
      <c r="F32" s="22">
        <f t="shared" si="6"/>
        <v>0</v>
      </c>
      <c r="G32" s="22">
        <f t="shared" si="6"/>
        <v>0</v>
      </c>
      <c r="H32" s="22">
        <f t="shared" si="6"/>
        <v>0</v>
      </c>
      <c r="I32" s="22">
        <f t="shared" si="6"/>
        <v>0</v>
      </c>
      <c r="J32" s="22">
        <f t="shared" si="6"/>
        <v>21</v>
      </c>
      <c r="K32" s="22">
        <f t="shared" si="6"/>
        <v>7</v>
      </c>
      <c r="L32" s="22">
        <f t="shared" si="6"/>
        <v>0</v>
      </c>
      <c r="M32" s="22">
        <f t="shared" si="6"/>
        <v>0</v>
      </c>
      <c r="N32" s="22">
        <f t="shared" si="6"/>
        <v>0</v>
      </c>
      <c r="O32" s="22">
        <f t="shared" si="6"/>
        <v>25</v>
      </c>
      <c r="P32" s="22">
        <f t="shared" si="6"/>
        <v>0</v>
      </c>
      <c r="Q32" s="22">
        <f t="shared" si="6"/>
        <v>0</v>
      </c>
      <c r="R32" s="23">
        <f t="shared" si="6"/>
        <v>0</v>
      </c>
      <c r="S32" s="22">
        <f t="shared" si="6"/>
        <v>23</v>
      </c>
      <c r="T32" s="22">
        <f t="shared" si="6"/>
        <v>0</v>
      </c>
      <c r="U32" s="22">
        <f t="shared" si="6"/>
        <v>0</v>
      </c>
      <c r="V32" s="22">
        <f t="shared" si="6"/>
        <v>0</v>
      </c>
      <c r="W32" s="22">
        <f t="shared" si="6"/>
        <v>0</v>
      </c>
      <c r="X32" s="22">
        <f t="shared" si="6"/>
        <v>29</v>
      </c>
      <c r="Y32" s="22">
        <f t="shared" si="6"/>
        <v>0</v>
      </c>
      <c r="Z32" s="22">
        <f t="shared" si="6"/>
        <v>0</v>
      </c>
      <c r="AA32" s="22">
        <f t="shared" si="6"/>
        <v>0</v>
      </c>
      <c r="AB32" s="22">
        <f t="shared" si="6"/>
        <v>0</v>
      </c>
      <c r="AC32" s="22">
        <f t="shared" si="6"/>
        <v>0</v>
      </c>
      <c r="AD32" s="22">
        <f t="shared" si="6"/>
        <v>25</v>
      </c>
      <c r="AE32" s="22">
        <f t="shared" si="6"/>
        <v>15</v>
      </c>
      <c r="AF32" s="22">
        <f t="shared" si="6"/>
        <v>0</v>
      </c>
      <c r="AG32" s="22">
        <f t="shared" si="6"/>
        <v>0</v>
      </c>
      <c r="AH32" s="22">
        <f t="shared" si="6"/>
        <v>0</v>
      </c>
      <c r="AI32" s="24">
        <f t="shared" si="1"/>
        <v>145</v>
      </c>
      <c r="AJ32" s="57"/>
    </row>
  </sheetData>
  <mergeCells count="42">
    <mergeCell ref="A27:A32"/>
    <mergeCell ref="B27:C27"/>
    <mergeCell ref="AJ27:AJ32"/>
    <mergeCell ref="B28:C28"/>
    <mergeCell ref="B29:C29"/>
    <mergeCell ref="B30:C30"/>
    <mergeCell ref="B31:C31"/>
    <mergeCell ref="B32:C32"/>
    <mergeCell ref="A21:A26"/>
    <mergeCell ref="B21:C21"/>
    <mergeCell ref="AJ21:AJ26"/>
    <mergeCell ref="B22:C22"/>
    <mergeCell ref="B23:C23"/>
    <mergeCell ref="B24:C24"/>
    <mergeCell ref="B25:C25"/>
    <mergeCell ref="B26:C26"/>
    <mergeCell ref="A15:A20"/>
    <mergeCell ref="B15:C15"/>
    <mergeCell ref="AJ15:AJ20"/>
    <mergeCell ref="B16:C16"/>
    <mergeCell ref="B17:C17"/>
    <mergeCell ref="B18:C18"/>
    <mergeCell ref="B19:C19"/>
    <mergeCell ref="B20:C20"/>
    <mergeCell ref="A9:A14"/>
    <mergeCell ref="B9:C9"/>
    <mergeCell ref="AJ9:AJ14"/>
    <mergeCell ref="B10:C10"/>
    <mergeCell ref="B11:C11"/>
    <mergeCell ref="B12:C12"/>
    <mergeCell ref="B13:C13"/>
    <mergeCell ref="B14:C14"/>
    <mergeCell ref="D1:O1"/>
    <mergeCell ref="B2:C2"/>
    <mergeCell ref="A3:A8"/>
    <mergeCell ref="B3:C3"/>
    <mergeCell ref="AJ3:AJ8"/>
    <mergeCell ref="B4:C4"/>
    <mergeCell ref="B5:C5"/>
    <mergeCell ref="B6:C6"/>
    <mergeCell ref="B7:C7"/>
    <mergeCell ref="B8:C8"/>
  </mergeCells>
  <phoneticPr fontId="2" type="noConversion"/>
  <conditionalFormatting sqref="D2:AH2">
    <cfRule type="expression" dxfId="4" priority="3" stopIfTrue="1">
      <formula>WEEKDAY(D2)=7</formula>
    </cfRule>
    <cfRule type="expression" dxfId="3" priority="4" stopIfTrue="1">
      <formula>WEEKDAY(D2)=1</formula>
    </cfRule>
  </conditionalFormatting>
  <conditionalFormatting sqref="D2:AH32">
    <cfRule type="expression" dxfId="2" priority="1">
      <formula>TEXT(D$2,"AAA")="일"</formula>
    </cfRule>
    <cfRule type="expression" dxfId="1" priority="2" stopIfTrue="1">
      <formula>TEXT(D$2,"AAA")="토"</formula>
    </cfRule>
    <cfRule type="expression" dxfId="0" priority="5">
      <formula>FALSE</formula>
    </cfRule>
  </conditionalFormatting>
  <pageMargins left="0.19685039370078741" right="0.39370078740157483" top="0.19685039370078741" bottom="0.11811023622047245" header="0.15748031496062992" footer="0.11811023622047245"/>
  <pageSetup paperSize="9" scale="70" fitToWidth="0" orientation="landscape" r:id="rId1"/>
  <headerFooter alignWithMargins="0">
    <oddFooter>&amp;LF705-02 (R01) &amp;C(주) 덱스코윈&amp;R&amp;P/&amp;N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12</vt:i4>
      </vt:variant>
    </vt:vector>
  </HeadingPairs>
  <TitlesOfParts>
    <vt:vector size="24" baseType="lpstr">
      <vt:lpstr>26.01</vt:lpstr>
      <vt:lpstr>26.02</vt:lpstr>
      <vt:lpstr>26.03</vt:lpstr>
      <vt:lpstr>26.04</vt:lpstr>
      <vt:lpstr>26.05</vt:lpstr>
      <vt:lpstr>26.06</vt:lpstr>
      <vt:lpstr>26.07</vt:lpstr>
      <vt:lpstr>26.08</vt:lpstr>
      <vt:lpstr>26.09</vt:lpstr>
      <vt:lpstr>26.10</vt:lpstr>
      <vt:lpstr>26.11</vt:lpstr>
      <vt:lpstr>26.12</vt:lpstr>
      <vt:lpstr>'26.01'!Print_Titles</vt:lpstr>
      <vt:lpstr>'26.02'!Print_Titles</vt:lpstr>
      <vt:lpstr>'26.03'!Print_Titles</vt:lpstr>
      <vt:lpstr>'26.04'!Print_Titles</vt:lpstr>
      <vt:lpstr>'26.05'!Print_Titles</vt:lpstr>
      <vt:lpstr>'26.06'!Print_Titles</vt:lpstr>
      <vt:lpstr>'26.07'!Print_Titles</vt:lpstr>
      <vt:lpstr>'26.08'!Print_Titles</vt:lpstr>
      <vt:lpstr>'26.09'!Print_Titles</vt:lpstr>
      <vt:lpstr>'26.10'!Print_Titles</vt:lpstr>
      <vt:lpstr>'26.11'!Print_Titles</vt:lpstr>
      <vt:lpstr>'26.12'!Print_Titles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승범 유</dc:creator>
  <cp:lastModifiedBy>승범 유</cp:lastModifiedBy>
  <cp:lastPrinted>2026-05-07T03:33:28Z</cp:lastPrinted>
  <dcterms:created xsi:type="dcterms:W3CDTF">2026-01-06T07:24:26Z</dcterms:created>
  <dcterms:modified xsi:type="dcterms:W3CDTF">2026-07-23T06:02:20Z</dcterms:modified>
</cp:coreProperties>
</file>